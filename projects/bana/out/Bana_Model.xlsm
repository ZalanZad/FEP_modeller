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ashboard" sheetId="1" state="visible" r:id="rId4"/>
    <sheet name="Inputs" sheetId="2" state="visible" r:id="rId5"/>
    <sheet name="Curves" sheetId="3" state="visible" r:id="rId6"/>
    <sheet name="Calc_1" sheetId="4" state="visible" r:id="rId7"/>
    <sheet name="Calc_2" sheetId="5" state="visible" r:id="rId8"/>
    <sheet name="Checks" sheetId="6" state="visible" r:id="rId9"/>
  </sheets>
  <definedNames>
    <definedName function="false" hidden="false" name="Bid_Labels" vbProcedure="false">Dashboard!$E$9:$F$9</definedName>
    <definedName function="false" hidden="false" name="Checks_1_Stored" vbProcedure="false">Dashboard!$H$106:$O$106</definedName>
    <definedName function="false" hidden="false" name="Checks_2_Stored" vbProcedure="false">Dashboard!$H$107:$O$107</definedName>
    <definedName function="false" hidden="false" name="COD_IRR_1_Stored" vbProcedure="false">Dashboard!$H$92:$O$92</definedName>
    <definedName function="false" hidden="false" name="COD_IRR_2_Stored" vbProcedure="false">Dashboard!$H$93:$O$93</definedName>
    <definedName function="false" hidden="false" name="COD_MOIC_1_Stored" vbProcedure="false">Dashboard!$H$94:$O$94</definedName>
    <definedName function="false" hidden="false" name="COD_MOIC_2_Stored" vbProcedure="false">Dashboard!$H$95:$O$95</definedName>
    <definedName function="false" hidden="false" name="Dash_BESS" vbProcedure="false">Dashboard!$E$15:$F$15</definedName>
    <definedName function="false" hidden="false" name="Dash_BESS_Hours" vbProcedure="false">Dashboard!$E$16:$F$16</definedName>
    <definedName function="false" hidden="false" name="Dash_Community" vbProcedure="false">Dashboard!$E$13:$F$13</definedName>
    <definedName function="false" hidden="false" name="Dash_EU_Transformer" vbProcedure="false">Dashboard!$E$21:$F$21</definedName>
    <definedName function="false" hidden="false" name="Dash_EU_Turbine" vbProcedure="false">Dashboard!$E$20:$F$20</definedName>
    <definedName function="false" hidden="false" name="Dash_Municipal" vbProcedure="false">Dashboard!$E$12:$F$12</definedName>
    <definedName function="false" hidden="false" name="Dash_Overbuild" vbProcedure="false">Dashboard!$E$14:$F$14</definedName>
    <definedName function="false" hidden="false" name="Dash_Partial" vbProcedure="false">Dashboard!$E$18:$F$18</definedName>
    <definedName function="false" hidden="false" name="Dash_PB_Mult" vbProcedure="false">Dashboard!$E$17:$F$17</definedName>
    <definedName function="false" hidden="false" name="Dash_Shared" vbProcedure="false">Dashboard!$E$19:$F$19</definedName>
    <definedName function="false" hidden="false" name="Days_In_Year" vbProcedure="false">Inputs!$F$13</definedName>
    <definedName function="false" hidden="false" name="Debt_COD_1_Stored" vbProcedure="false">Dashboard!$H$100:$O$100</definedName>
    <definedName function="false" hidden="false" name="Debt_COD_2_Stored" vbProcedure="false">Dashboard!$H$101:$O$101</definedName>
    <definedName function="false" hidden="false" name="Equity_COD_1_Stored" vbProcedure="false">Dashboard!$H$102:$O$102</definedName>
    <definedName function="false" hidden="false" name="Equity_COD_2_Stored" vbProcedure="false">Dashboard!$H$103:$O$103</definedName>
    <definedName function="false" hidden="false" name="GoalSeek_Topics" vbProcedure="false">Inputs!$F$103</definedName>
    <definedName function="false" hidden="false" name="HTM_IRR_1_Stored" vbProcedure="false">Dashboard!$H$96:$O$96</definedName>
    <definedName function="false" hidden="false" name="HTM_IRR_2_Stored" vbProcedure="false">Dashboard!$H$97:$O$97</definedName>
    <definedName function="false" hidden="false" name="HTM_MOIC_1_Stored" vbProcedure="false">Dashboard!$H$98:$O$98</definedName>
    <definedName function="false" hidden="false" name="HTM_MOIC_2_Stored" vbProcedure="false">Dashboard!$H$99:$O$99</definedName>
    <definedName function="false" hidden="false" name="In_Admin" vbProcedure="false">Inputs!$F$84</definedName>
    <definedName function="false" hidden="false" name="In_Award_Date" vbProcedure="false">Inputs!$F$21</definedName>
    <definedName function="false" hidden="false" name="In_Bench_BESS" vbProcedure="false">Inputs!$F$56</definedName>
    <definedName function="false" hidden="false" name="In_Bench_Wind" vbProcedure="false">Inputs!$F$57</definedName>
    <definedName function="false" hidden="false" name="In_BESS_Built" vbProcedure="false">Inputs!$F$51</definedName>
    <definedName function="false" hidden="false" name="In_BESS_Capex" vbProcedure="false">Inputs!$F$73</definedName>
    <definedName function="false" hidden="false" name="In_Bid_Date" vbProcedure="false">Inputs!$F$20</definedName>
    <definedName function="false" hidden="false" name="In_Bid_Rate" vbProcedure="false">Inputs!$F$59</definedName>
    <definedName function="false" hidden="false" name="In_Bottleneck_Loss" vbProcedure="false">Inputs!$F$50</definedName>
    <definedName function="false" hidden="false" name="In_Capex_Contingency" vbProcedure="false">Inputs!$F$72</definedName>
    <definedName function="false" hidden="false" name="In_CIT" vbProcedure="false">Inputs!$F$40</definedName>
    <definedName function="false" hidden="false" name="In_Closing" vbProcedure="false">Inputs!$F$24</definedName>
    <definedName function="false" hidden="false" name="In_COD" vbProcedure="false">Inputs!$F$27</definedName>
    <definedName function="false" hidden="false" name="In_COD_Price" vbProcedure="false">Inputs!$F$36</definedName>
    <definedName function="false" hidden="false" name="In_COD_Price_CN" vbProcedure="false">Inputs!$F$37</definedName>
    <definedName function="false" hidden="false" name="In_Commitment_Fee" vbProcedure="false">Inputs!$F$98</definedName>
    <definedName function="false" hidden="false" name="In_Curtailment" vbProcedure="false">Inputs!$F$77</definedName>
    <definedName function="false" hidden="false" name="In_DD" vbProcedure="false">Inputs!$F$34</definedName>
    <definedName function="false" hidden="false" name="In_Debt_Rate" vbProcedure="false">Inputs!$F$96</definedName>
    <definedName function="false" hidden="false" name="In_Debt_Tenor" vbProcedure="false">Inputs!$F$95</definedName>
    <definedName function="false" hidden="false" name="In_Decision_Date" vbProcedure="false">Inputs!$F$22</definedName>
    <definedName function="false" hidden="false" name="In_Degradation" vbProcedure="false">Inputs!$F$78</definedName>
    <definedName function="false" hidden="false" name="In_Dep_Years" vbProcedure="false">Inputs!$F$42</definedName>
    <definedName function="false" hidden="false" name="In_Devex" vbProcedure="false">Inputs!$F$35</definedName>
    <definedName function="false" hidden="false" name="In_Direct_Fee" vbProcedure="false">Inputs!$F$62</definedName>
    <definedName function="false" hidden="false" name="In_Discount_Rate" vbProcedure="false">Inputs!$F$39</definedName>
    <definedName function="false" hidden="false" name="In_DSCR" vbProcedure="false">Inputs!$F$94</definedName>
    <definedName function="false" hidden="false" name="In_DSRA_Months" vbProcedure="false">Inputs!$F$99</definedName>
    <definedName function="false" hidden="false" name="In_Fixed_Opex" vbProcedure="false">Inputs!$F$82</definedName>
    <definedName function="false" hidden="false" name="In_FX" vbProcedure="false">Inputs!$F$32</definedName>
    <definedName function="false" hidden="false" name="In_Gearing" vbProcedure="false">Inputs!$F$92</definedName>
    <definedName function="false" hidden="false" name="In_Gearing_CN" vbProcedure="false">Inputs!$F$93</definedName>
    <definedName function="false" hidden="false" name="In_Guarantee_Fee" vbProcedure="false">Inputs!$F$64</definedName>
    <definedName function="false" hidden="false" name="In_HCSSZ_Date" vbProcedure="false">Inputs!$F$26</definedName>
    <definedName function="false" hidden="false" name="In_HIPA" vbProcedure="false">Inputs!$F$88</definedName>
    <definedName function="false" hidden="false" name="In_Indirect_Fee" vbProcedure="false">Inputs!$F$63</definedName>
    <definedName function="false" hidden="false" name="In_Innovation" vbProcedure="false">Inputs!$F$89</definedName>
    <definedName function="false" hidden="false" name="In_Lease" vbProcedure="false">Inputs!$F$83</definedName>
    <definedName function="false" hidden="false" name="In_Life" vbProcedure="false">Inputs!$F$28</definedName>
    <definedName function="false" hidden="false" name="In_Loss_Cap" vbProcedure="false">Inputs!$F$43</definedName>
    <definedName function="false" hidden="false" name="In_Loss_Years" vbProcedure="false">Inputs!$F$44</definedName>
    <definedName function="false" hidden="false" name="In_MEKH" vbProcedure="false">Inputs!$F$87</definedName>
    <definedName function="false" hidden="false" name="In_Min_Hours" vbProcedure="false">Inputs!$F$52</definedName>
    <definedName function="false" hidden="false" name="In_Model_Start" vbProcedure="false">Inputs!$F$19</definedName>
    <definedName function="false" hidden="false" name="In_MVA" vbProcedure="false">Inputs!$F$48</definedName>
    <definedName function="false" hidden="false" name="In_NTP" vbProcedure="false">Inputs!$F$25</definedName>
    <definedName function="false" hidden="false" name="In_Opex_Contingency" vbProcedure="false">Inputs!$F$85</definedName>
    <definedName function="false" hidden="false" name="In_Opex_Esc" vbProcedure="false">Inputs!$F$86</definedName>
    <definedName function="false" hidden="false" name="In_Other_Wind" vbProcedure="false">Inputs!$F$69</definedName>
    <definedName function="false" hidden="false" name="In_Overbuild_Built" vbProcedure="false">Inputs!$F$49</definedName>
    <definedName function="false" hidden="false" name="In_P50_Hours" vbProcedure="false">Inputs!$F$76</definedName>
    <definedName function="false" hidden="false" name="In_Part_Fee" vbProcedure="false">Inputs!$F$58</definedName>
    <definedName function="false" hidden="false" name="In_PB_Days" vbProcedure="false">Inputs!$F$23</definedName>
    <definedName function="false" hidden="false" name="In_PB_Rate" vbProcedure="false">Inputs!$F$60</definedName>
    <definedName function="false" hidden="false" name="In_PB_Release" vbProcedure="false">Inputs!$F$29</definedName>
    <definedName function="false" hidden="false" name="In_PPA_Esc" vbProcedure="false">Inputs!$F$80</definedName>
    <definedName function="false" hidden="false" name="In_PPA_Price" vbProcedure="false">Inputs!$F$79</definedName>
    <definedName function="false" hidden="false" name="In_Purchase_Price" vbProcedure="false">Inputs!$F$33</definedName>
    <definedName function="false" hidden="false" name="In_Sale_Costs" vbProcedure="false">Inputs!$F$38</definedName>
    <definedName function="false" hidden="false" name="In_Sale_Gain_Taxed" vbProcedure="false">Inputs!$F$41</definedName>
    <definedName function="false" hidden="false" name="In_Sanction_Lag" vbProcedure="false">Inputs!$F$55</definedName>
    <definedName function="false" hidden="false" name="In_Sanction_Regime" vbProcedure="false">Inputs!$F$54</definedName>
    <definedName function="false" hidden="false" name="In_Substation" vbProcedure="false">Inputs!$F$70</definedName>
    <definedName function="false" hidden="false" name="In_Substation_CN" vbProcedure="false">Inputs!$F$71</definedName>
    <definedName function="false" hidden="false" name="In_Tolerance_Cap" vbProcedure="false">Inputs!$F$53</definedName>
    <definedName function="false" hidden="false" name="In_TSO_Security" vbProcedure="false">Inputs!$F$61</definedName>
    <definedName function="false" hidden="false" name="In_Turbine" vbProcedure="false">Inputs!$F$67</definedName>
    <definedName function="false" hidden="false" name="In_Turbine_CN" vbProcedure="false">Inputs!$F$68</definedName>
    <definedName function="false" hidden="false" name="In_Upfront_Fee" vbProcedure="false">Inputs!$F$97</definedName>
    <definedName function="false" hidden="false" name="In_Var_Opex" vbProcedure="false">Inputs!$F$81</definedName>
    <definedName function="false" hidden="false" name="Live_Results" vbProcedure="false">Dashboard!$E$92:$E$107</definedName>
    <definedName function="false" hidden="false" name="Master_Check" vbProcedure="false">Checks!$F$32</definedName>
    <definedName function="false" hidden="false" name="Million" vbProcedure="false">Inputs!$F$12</definedName>
    <definedName function="false" hidden="false" name="Min_DSCR_1_Stored" vbProcedure="false">Dashboard!$H$104:$O$104</definedName>
    <definedName function="false" hidden="false" name="Min_DSCR_2_Stored" vbProcedure="false">Dashboard!$H$105:$O$105</definedName>
    <definedName function="false" hidden="false" name="Model_Checks" vbProcedure="false">Checks!$F$30</definedName>
    <definedName function="false" hidden="false" name="Months_In_Year" vbProcedure="false">Inputs!$F$14</definedName>
    <definedName function="false" hidden="false" name="Months_Per_Period" vbProcedure="false">Inputs!$F$15</definedName>
    <definedName function="false" hidden="false" name="Osz1_Incl" vbProcedure="false">Curves!$J$8:$R$8</definedName>
    <definedName function="false" hidden="false" name="Osz1_LB" vbProcedure="false">Curves!$J$7:$R$7</definedName>
    <definedName function="false" hidden="false" name="Osz1_Max" vbProcedure="false">Curves!$F$7</definedName>
    <definedName function="false" hidden="false" name="Osz1_Min" vbProcedure="false">Curves!$E$7</definedName>
    <definedName function="false" hidden="false" name="Osz1_Pts" vbProcedure="false">Curves!$J$9:$S$9</definedName>
    <definedName function="false" hidden="false" name="Osz1_W" vbProcedure="false">Curves!$E$9</definedName>
    <definedName function="false" hidden="false" name="Osz2_Incl" vbProcedure="false">Curves!$J$11:$T$11</definedName>
    <definedName function="false" hidden="false" name="Osz2_LB" vbProcedure="false">Curves!$J$10:$T$10</definedName>
    <definedName function="false" hidden="false" name="Osz2_Max" vbProcedure="false">Curves!$F$10</definedName>
    <definedName function="false" hidden="false" name="Osz2_Min" vbProcedure="false">Curves!$E$10</definedName>
    <definedName function="false" hidden="false" name="Osz2_Pts" vbProcedure="false">Curves!$J$12:$U$12</definedName>
    <definedName function="false" hidden="false" name="Osz2_W" vbProcedure="false">Curves!$E$12</definedName>
    <definedName function="false" hidden="false" name="Osz3_Incl" vbProcedure="false">Curves!$J$17:$S$17</definedName>
    <definedName function="false" hidden="false" name="Osz3_LB" vbProcedure="false">Curves!$J$16:$S$16</definedName>
    <definedName function="false" hidden="false" name="Osz3_Pts" vbProcedure="false">Curves!$J$18:$T$18</definedName>
    <definedName function="false" hidden="false" name="Osz3_W" vbProcedure="false">Curves!$E$18</definedName>
    <definedName function="false" hidden="false" name="Osz4_Incl" vbProcedure="false">Curves!$J$14:$S$14</definedName>
    <definedName function="false" hidden="false" name="Osz4_LB" vbProcedure="false">Curves!$J$13:$S$13</definedName>
    <definedName function="false" hidden="false" name="Osz4_Min" vbProcedure="false">Curves!$E$13</definedName>
    <definedName function="false" hidden="false" name="Osz4_Pts" vbProcedure="false">Curves!$J$15:$T$15</definedName>
    <definedName function="false" hidden="false" name="Osz4_W" vbProcedure="false">Curves!$E$15</definedName>
    <definedName function="false" hidden="false" name="Osz5_Pts" vbProcedure="false">Curves!$J$22:$J$22</definedName>
    <definedName function="false" hidden="false" name="Osz5_W" vbProcedure="false">Curves!$E$22</definedName>
    <definedName function="false" hidden="false" name="Osz6_Incl" vbProcedure="false">Curves!$J$20:$S$20</definedName>
    <definedName function="false" hidden="false" name="Osz6_LB" vbProcedure="false">Curves!$J$19:$S$19</definedName>
    <definedName function="false" hidden="false" name="Osz6_Pts" vbProcedure="false">Curves!$J$21:$T$21</definedName>
    <definedName function="false" hidden="false" name="Osz6_W" vbProcedure="false">Curves!$E$21</definedName>
    <definedName function="false" hidden="false" name="Osz8_Pts" vbProcedure="false">Curves!$J$23:$J$23</definedName>
    <definedName function="false" hidden="false" name="Osz8_W" vbProcedure="false">Curves!$E$23</definedName>
    <definedName function="false" hidden="false" name="Osz9a_Pts" vbProcedure="false">Curves!$J$24:$J$24</definedName>
    <definedName function="false" hidden="false" name="Osz9b_Pts" vbProcedure="false">Curves!$J$25:$J$25</definedName>
    <definedName function="false" hidden="false" name="Osz9_W" vbProcedure="false">Curves!$E$24</definedName>
    <definedName function="false" hidden="false" name="Out_BESS_Built_1" vbProcedure="false">Dashboard!$E$30</definedName>
    <definedName function="false" hidden="false" name="Out_BESS_Built_2" vbProcedure="false">Dashboard!$F$30</definedName>
    <definedName function="false" hidden="false" name="Out_BESS_MWh_1" vbProcedure="false">Dashboard!$E$29</definedName>
    <definedName function="false" hidden="false" name="Out_BESS_MWh_2" vbProcedure="false">Dashboard!$F$29</definedName>
    <definedName function="false" hidden="false" name="Out_BESS_MW_1" vbProcedure="false">Dashboard!$E$28</definedName>
    <definedName function="false" hidden="false" name="Out_BESS_MW_2" vbProcedure="false">Dashboard!$F$28</definedName>
    <definedName function="false" hidden="false" name="Out_Bottleneck_Loss_1" vbProcedure="false">Dashboard!$E$32</definedName>
    <definedName function="false" hidden="false" name="Out_Bottleneck_Loss_2" vbProcedure="false">Dashboard!$F$32</definedName>
    <definedName function="false" hidden="false" name="Out_Capacity_Used_1" vbProcedure="false">Dashboard!$E$79</definedName>
    <definedName function="false" hidden="false" name="Out_Capacity_Used_2" vbProcedure="false">Dashboard!$F$79</definedName>
    <definedName function="false" hidden="false" name="Out_Checks_1" vbProcedure="false">Dashboard!$E$89</definedName>
    <definedName function="false" hidden="false" name="Out_Checks_2" vbProcedure="false">Dashboard!$F$89</definedName>
    <definedName function="false" hidden="false" name="Out_COD_IRR_1" vbProcedure="false">Dashboard!$E$38</definedName>
    <definedName function="false" hidden="false" name="Out_COD_IRR_2" vbProcedure="false">Dashboard!$F$38</definedName>
    <definedName function="false" hidden="false" name="Out_COD_MOIC_1" vbProcedure="false">Dashboard!$E$39</definedName>
    <definedName function="false" hidden="false" name="Out_COD_MOIC_2" vbProcedure="false">Dashboard!$F$39</definedName>
    <definedName function="false" hidden="false" name="Out_COD_NPV_1" vbProcedure="false">Dashboard!$E$40</definedName>
    <definedName function="false" hidden="false" name="Out_COD_NPV_2" vbProcedure="false">Dashboard!$F$40</definedName>
    <definedName function="false" hidden="false" name="Out_COD_Price_1" vbProcedure="false">Dashboard!$E$71</definedName>
    <definedName function="false" hidden="false" name="Out_COD_Price_2" vbProcedure="false">Dashboard!$F$71</definedName>
    <definedName function="false" hidden="false" name="Out_COD_Proceeds_1" vbProcedure="false">Dashboard!$E$72</definedName>
    <definedName function="false" hidden="false" name="Out_COD_Proceeds_2" vbProcedure="false">Dashboard!$F$72</definedName>
    <definedName function="false" hidden="false" name="Out_COD_Profit_1" vbProcedure="false">Dashboard!$E$37</definedName>
    <definedName function="false" hidden="false" name="Out_COD_Profit_2" vbProcedure="false">Dashboard!$F$37</definedName>
    <definedName function="false" hidden="false" name="Out_COD_Tax_1" vbProcedure="false">Dashboard!$E$73</definedName>
    <definedName function="false" hidden="false" name="Out_COD_Tax_2" vbProcedure="false">Dashboard!$F$73</definedName>
    <definedName function="false" hidden="false" name="Out_Debt_Capacity_1" vbProcedure="false">Dashboard!$E$76</definedName>
    <definedName function="false" hidden="false" name="Out_Debt_Capacity_2" vbProcedure="false">Dashboard!$F$76</definedName>
    <definedName function="false" hidden="false" name="Out_Debt_COD_1" vbProcedure="false">Dashboard!$E$56</definedName>
    <definedName function="false" hidden="false" name="Out_Debt_COD_2" vbProcedure="false">Dashboard!$F$56</definedName>
    <definedName function="false" hidden="false" name="Out_Debt_Share_1" vbProcedure="false">Dashboard!$E$78</definedName>
    <definedName function="false" hidden="false" name="Out_Debt_Share_2" vbProcedure="false">Dashboard!$F$78</definedName>
    <definedName function="false" hidden="false" name="Out_DSRA_1" vbProcedure="false">Dashboard!$E$80</definedName>
    <definedName function="false" hidden="false" name="Out_DSRA_2" vbProcedure="false">Dashboard!$F$80</definedName>
    <definedName function="false" hidden="false" name="Out_EBITDA_Life_1" vbProcedure="false">Dashboard!$E$86</definedName>
    <definedName function="false" hidden="false" name="Out_EBITDA_Life_2" vbProcedure="false">Dashboard!$F$86</definedName>
    <definedName function="false" hidden="false" name="Out_EBITDA_Year1_1" vbProcedure="false">Dashboard!$E$84</definedName>
    <definedName function="false" hidden="false" name="Out_EBITDA_Year1_2" vbProcedure="false">Dashboard!$F$84</definedName>
    <definedName function="false" hidden="false" name="Out_Equity_COD_1" vbProcedure="false">Dashboard!$E$57</definedName>
    <definedName function="false" hidden="false" name="Out_Equity_COD_2" vbProcedure="false">Dashboard!$F$57</definedName>
    <definedName function="false" hidden="false" name="Out_Equity_Peak_HTM_1" vbProcedure="false">Dashboard!$E$58</definedName>
    <definedName function="false" hidden="false" name="Out_Equity_Peak_HTM_2" vbProcedure="false">Dashboard!$F$58</definedName>
    <definedName function="false" hidden="false" name="Out_Gearing_Cap_1" vbProcedure="false">Dashboard!$E$77</definedName>
    <definedName function="false" hidden="false" name="Out_Gearing_Cap_2" vbProcedure="false">Dashboard!$F$77</definedName>
    <definedName function="false" hidden="false" name="Out_Gearing_Uses_1" vbProcedure="false">Dashboard!$E$59</definedName>
    <definedName function="false" hidden="false" name="Out_Gearing_Uses_2" vbProcedure="false">Dashboard!$F$59</definedName>
    <definedName function="false" hidden="false" name="Out_Gen_Year1_1" vbProcedure="false">Dashboard!$E$82</definedName>
    <definedName function="false" hidden="false" name="Out_Gen_Year1_2" vbProcedure="false">Dashboard!$F$82</definedName>
    <definedName function="false" hidden="false" name="Out_Guarantee_Fees_COD_1" vbProcedure="false">Dashboard!$E$68</definedName>
    <definedName function="false" hidden="false" name="Out_Guarantee_Fees_COD_2" vbProcedure="false">Dashboard!$F$68</definedName>
    <definedName function="false" hidden="false" name="Out_HTM_IRR_1" vbProcedure="false">Dashboard!$E$42</definedName>
    <definedName function="false" hidden="false" name="Out_HTM_IRR_2" vbProcedure="false">Dashboard!$F$42</definedName>
    <definedName function="false" hidden="false" name="Out_HTM_MOIC_1" vbProcedure="false">Dashboard!$E$43</definedName>
    <definedName function="false" hidden="false" name="Out_HTM_MOIC_2" vbProcedure="false">Dashboard!$F$43</definedName>
    <definedName function="false" hidden="false" name="Out_HTM_NPV_1" vbProcedure="false">Dashboard!$E$44</definedName>
    <definedName function="false" hidden="false" name="Out_HTM_NPV_2" vbProcedure="false">Dashboard!$F$44</definedName>
    <definedName function="false" hidden="false" name="Out_HTM_Profit_1" vbProcedure="false">Dashboard!$E$41</definedName>
    <definedName function="false" hidden="false" name="Out_HTM_Profit_2" vbProcedure="false">Dashboard!$F$41</definedName>
    <definedName function="false" hidden="false" name="Out_Min_DSCR_1" vbProcedure="false">Dashboard!$E$81</definedName>
    <definedName function="false" hidden="false" name="Out_Min_DSCR_2" vbProcedure="false">Dashboard!$F$81</definedName>
    <definedName function="false" hidden="false" name="Out_PB_Call_Full_1" vbProcedure="false">Dashboard!$E$34</definedName>
    <definedName function="false" hidden="false" name="Out_PB_Call_Full_2" vbProcedure="false">Dashboard!$F$34</definedName>
    <definedName function="false" hidden="false" name="Out_PB_Call_ProRata_1" vbProcedure="false">Dashboard!$E$33</definedName>
    <definedName function="false" hidden="false" name="Out_PB_Call_ProRata_2" vbProcedure="false">Dashboard!$F$33</definedName>
    <definedName function="false" hidden="false" name="Out_Points_1" vbProcedure="false">Dashboard!$E$22</definedName>
    <definedName function="false" hidden="false" name="Out_Points_2" vbProcedure="false">Dashboard!$F$22</definedName>
    <definedName function="false" hidden="false" name="Out_Project_IRR_1" vbProcedure="false">Dashboard!$E$45</definedName>
    <definedName function="false" hidden="false" name="Out_Project_IRR_2" vbProcedure="false">Dashboard!$F$45</definedName>
    <definedName function="false" hidden="false" name="Out_Revenue_Life_1" vbProcedure="false">Dashboard!$E$85</definedName>
    <definedName function="false" hidden="false" name="Out_Revenue_Life_2" vbProcedure="false">Dashboard!$F$85</definedName>
    <definedName function="false" hidden="false" name="Out_Revenue_Year1_1" vbProcedure="false">Dashboard!$E$83</definedName>
    <definedName function="false" hidden="false" name="Out_Revenue_Year1_2" vbProcedure="false">Dashboard!$F$83</definedName>
    <definedName function="false" hidden="false" name="Out_Sec_bid_1" vbProcedure="false">Dashboard!$E$63</definedName>
    <definedName function="false" hidden="false" name="Out_Sec_bid_2" vbProcedure="false">Dashboard!$F$63</definedName>
    <definedName function="false" hidden="false" name="Out_Sec_direct_1" vbProcedure="false">Dashboard!$E$66</definedName>
    <definedName function="false" hidden="false" name="Out_Sec_direct_2" vbProcedure="false">Dashboard!$F$66</definedName>
    <definedName function="false" hidden="false" name="Out_Sec_fee_1" vbProcedure="false">Dashboard!$E$62</definedName>
    <definedName function="false" hidden="false" name="Out_Sec_fee_2" vbProcedure="false">Dashboard!$F$62</definedName>
    <definedName function="false" hidden="false" name="Out_Sec_indirect_1" vbProcedure="false">Dashboard!$E$67</definedName>
    <definedName function="false" hidden="false" name="Out_Sec_indirect_2" vbProcedure="false">Dashboard!$F$67</definedName>
    <definedName function="false" hidden="false" name="Out_Sec_pb_1" vbProcedure="false">Dashboard!$E$64</definedName>
    <definedName function="false" hidden="false" name="Out_Sec_pb_2" vbProcedure="false">Dashboard!$F$64</definedName>
    <definedName function="false" hidden="false" name="Out_Sec_tso_1" vbProcedure="false">Dashboard!$E$65</definedName>
    <definedName function="false" hidden="false" name="Out_Sec_tso_2" vbProcedure="false">Dashboard!$F$65</definedName>
    <definedName function="false" hidden="false" name="Out_Shortfall_1" vbProcedure="false">Dashboard!$E$31</definedName>
    <definedName function="false" hidden="false" name="Out_Shortfall_2" vbProcedure="false">Dashboard!$F$31</definedName>
    <definedName function="false" hidden="false" name="Out_Tax_Life_1" vbProcedure="false">Dashboard!$E$87</definedName>
    <definedName function="false" hidden="false" name="Out_Tax_Life_2" vbProcedure="false">Dashboard!$F$87</definedName>
    <definedName function="false" hidden="false" name="Out_Tax_Losses_Lapsed_1" vbProcedure="false">Dashboard!$E$88</definedName>
    <definedName function="false" hidden="false" name="Out_Tax_Losses_Lapsed_2" vbProcedure="false">Dashboard!$F$88</definedName>
    <definedName function="false" hidden="false" name="Out_Uses_Capex_1" vbProcedure="false">Dashboard!$E$50</definedName>
    <definedName function="false" hidden="false" name="Out_Uses_Capex_2" vbProcedure="false">Dashboard!$F$50</definedName>
    <definedName function="false" hidden="false" name="Out_Uses_Connection_1" vbProcedure="false">Dashboard!$E$51</definedName>
    <definedName function="false" hidden="false" name="Out_Uses_Connection_2" vbProcedure="false">Dashboard!$F$51</definedName>
    <definedName function="false" hidden="false" name="Out_Uses_Development_1" vbProcedure="false">Dashboard!$E$48</definedName>
    <definedName function="false" hidden="false" name="Out_Uses_Development_2" vbProcedure="false">Dashboard!$F$48</definedName>
    <definedName function="false" hidden="false" name="Out_Uses_Financing_1" vbProcedure="false">Dashboard!$E$53</definedName>
    <definedName function="false" hidden="false" name="Out_Uses_Financing_2" vbProcedure="false">Dashboard!$F$53</definedName>
    <definedName function="false" hidden="false" name="Out_Uses_Lease_1" vbProcedure="false">Dashboard!$E$54</definedName>
    <definedName function="false" hidden="false" name="Out_Uses_Lease_2" vbProcedure="false">Dashboard!$F$54</definedName>
    <definedName function="false" hidden="false" name="Out_Uses_Municipal_1" vbProcedure="false">Dashboard!$E$52</definedName>
    <definedName function="false" hidden="false" name="Out_Uses_Municipal_2" vbProcedure="false">Dashboard!$F$52</definedName>
    <definedName function="false" hidden="false" name="Out_Uses_Securities_1" vbProcedure="false">Dashboard!$E$49</definedName>
    <definedName function="false" hidden="false" name="Out_Uses_Securities_2" vbProcedure="false">Dashboard!$F$49</definedName>
    <definedName function="false" hidden="false" name="Out_Uses_Total_1" vbProcedure="false">Dashboard!$E$55</definedName>
    <definedName function="false" hidden="false" name="Out_Uses_Total_2" vbProcedure="false">Dashboard!$F$55</definedName>
    <definedName function="false" hidden="false" name="Out_Wind_Built_1" vbProcedure="false">Dashboard!$E$27</definedName>
    <definedName function="false" hidden="false" name="Out_Wind_Built_2" vbProcedure="false">Dashboard!$F$27</definedName>
    <definedName function="false" hidden="false" name="Out_Wind_MW_1" vbProcedure="false">Dashboard!$E$26</definedName>
    <definedName function="false" hidden="false" name="Out_Wind_MW_2" vbProcedure="false">Dashboard!$F$26</definedName>
    <definedName function="false" hidden="false" name="Points_Decimals" vbProcedure="false">Inputs!$F$47</definedName>
    <definedName function="false" hidden="false" name="Scenario_Name" vbProcedure="false">Dashboard!$S$12</definedName>
    <definedName function="false" hidden="false" name="Scenario_Names" vbProcedure="false">Inputs!$H$7:$O$7</definedName>
    <definedName function="false" hidden="false" name="Scenario_Selected" vbProcedure="false">Inputs!$F$5</definedName>
    <definedName function="false" hidden="false" name="Solver_Topics" vbProcedure="false">Inputs!$F$102</definedName>
    <definedName function="false" hidden="false" name="Stored_Results" vbProcedure="false">Dashboard!$H$92:$O$107</definedName>
    <definedName function="false" hidden="false" name="Tax_1_Copy" vbProcedure="false">Calc_1!$J$109:$EO$109</definedName>
    <definedName function="false" hidden="false" name="Tax_1_Delta" vbProcedure="false">Calc_1!$I$110</definedName>
    <definedName function="false" hidden="false" name="Tax_1_Paste" vbProcedure="false">Calc_1!$J$82:$EO$82</definedName>
    <definedName function="false" hidden="false" name="Tax_2_Copy" vbProcedure="false">Calc_2!$J$109:$EO$109</definedName>
    <definedName function="false" hidden="false" name="Tax_2_Delta" vbProcedure="false">Calc_2!$I$110</definedName>
    <definedName function="false" hidden="false" name="Tax_2_Paste" vbProcedure="false">Calc_2!$J$82:$EO$82</definedName>
    <definedName function="false" hidden="false" name="Thousand" vbProcedure="false">Inputs!$F$11</definedName>
    <definedName function="false" hidden="false" name="Tolerance" vbProcedure="false">Inputs!$F$16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<sst xmlns="http://schemas.openxmlformats.org/spreadsheetml/2006/main" count="1137" uniqueCount="485">
  <si>
    <t xml:space="preserve">Project Bana</t>
  </si>
  <si>
    <t xml:space="preserve">50 MW onshore wind, Ács Katódgyár – sale at COD vs hold to maturity</t>
  </si>
  <si>
    <t xml:space="preserve">Version</t>
  </si>
  <si>
    <t xml:space="preserve">v1</t>
  </si>
  <si>
    <t xml:space="preserve">Model date</t>
  </si>
  <si>
    <t xml:space="preserve">Key-assumption set</t>
  </si>
  <si>
    <t xml:space="preserve">Master check</t>
  </si>
  <si>
    <t xml:space="preserve">Item</t>
  </si>
  <si>
    <t xml:space="preserve">Unit</t>
  </si>
  <si>
    <t xml:space="preserve">European turbine</t>
  </si>
  <si>
    <t xml:space="preserve">Chinese turbine</t>
  </si>
  <si>
    <t xml:space="preserve">Key assumptions</t>
  </si>
  <si>
    <t xml:space="preserve">Live</t>
  </si>
  <si>
    <t xml:space="preserve">x</t>
  </si>
  <si>
    <t xml:space="preserve">The bid: commitments and points</t>
  </si>
  <si>
    <t xml:space="preserve">Offerable range</t>
  </si>
  <si>
    <t xml:space="preserve">Points EU</t>
  </si>
  <si>
    <t xml:space="preserve">Points CN</t>
  </si>
  <si>
    <t xml:space="preserve">Municipal one-off (ÖSZ-1)</t>
  </si>
  <si>
    <t xml:space="preserve">EUR k/MW</t>
  </si>
  <si>
    <t xml:space="preserve">0 or 10–50</t>
  </si>
  <si>
    <t xml:space="preserve">text</t>
  </si>
  <si>
    <t xml:space="preserve">Base</t>
  </si>
  <si>
    <t xml:space="preserve">Community contribution (ÖSZ-2)</t>
  </si>
  <si>
    <t xml:space="preserve">EUR/MWh</t>
  </si>
  <si>
    <t xml:space="preserve">0 or 2–3</t>
  </si>
  <si>
    <t xml:space="preserve">Overbuild committed (ÖSZ-3)</t>
  </si>
  <si>
    <t xml:space="preserve">%</t>
  </si>
  <si>
    <t xml:space="preserve">≥ 0 %</t>
  </si>
  <si>
    <t xml:space="preserve">Key assumptions (live)</t>
  </si>
  <si>
    <t xml:space="preserve">BESS power, share of MVA (ÖSZ-4)</t>
  </si>
  <si>
    <t xml:space="preserve">≤ wind MW</t>
  </si>
  <si>
    <t xml:space="preserve">Purchase price</t>
  </si>
  <si>
    <t xml:space="preserve">EUR k</t>
  </si>
  <si>
    <t xml:space="preserve">BESS duration</t>
  </si>
  <si>
    <t xml:space="preserve">h</t>
  </si>
  <si>
    <t xml:space="preserve">≥ 4 h</t>
  </si>
  <si>
    <t xml:space="preserve">COD</t>
  </si>
  <si>
    <t xml:space="preserve">date</t>
  </si>
  <si>
    <t xml:space="preserve">Performance security multiple (ÖSZ-6)</t>
  </si>
  <si>
    <t xml:space="preserve">≥ 1.0</t>
  </si>
  <si>
    <t xml:space="preserve">Overbuild built</t>
  </si>
  <si>
    <t xml:space="preserve">Partial award accepted (ÖSZ-5)</t>
  </si>
  <si>
    <t xml:space="preserve">flag</t>
  </si>
  <si>
    <t xml:space="preserve">0 / 1</t>
  </si>
  <si>
    <t xml:space="preserve">Sanction regime (1 pro rata, 2 full)</t>
  </si>
  <si>
    <t xml:space="preserve">Shared connection (ÖSZ-8)</t>
  </si>
  <si>
    <t xml:space="preserve">COD price, EU</t>
  </si>
  <si>
    <t xml:space="preserve">EU turbines ≥ 80 % (ÖSZ-9), sets the route</t>
  </si>
  <si>
    <t xml:space="preserve">COD price, CN</t>
  </si>
  <si>
    <t xml:space="preserve">EU transformers ≥ 80 % (ÖSZ-9)</t>
  </si>
  <si>
    <t xml:space="preserve">Turbine price, EU</t>
  </si>
  <si>
    <t xml:space="preserve">Points total</t>
  </si>
  <si>
    <t xml:space="preserve">points</t>
  </si>
  <si>
    <t xml:space="preserve">Turbine price, CN</t>
  </si>
  <si>
    <t xml:space="preserve">Commitments within the offerable range</t>
  </si>
  <si>
    <t xml:space="preserve">Net P50 hours</t>
  </si>
  <si>
    <t xml:space="preserve">h/yr</t>
  </si>
  <si>
    <t xml:space="preserve">PPA price at COD, whole life</t>
  </si>
  <si>
    <t xml:space="preserve">Capacity: committed vs built</t>
  </si>
  <si>
    <t xml:space="preserve">Debt rate</t>
  </si>
  <si>
    <t xml:space="preserve">Wind committed in the bid</t>
  </si>
  <si>
    <t xml:space="preserve">MW</t>
  </si>
  <si>
    <t xml:space="preserve">Target DSCR</t>
  </si>
  <si>
    <t xml:space="preserve">Wind built</t>
  </si>
  <si>
    <t xml:space="preserve">Tenor from COD</t>
  </si>
  <si>
    <t xml:space="preserve">years</t>
  </si>
  <si>
    <t xml:space="preserve">BESS committed</t>
  </si>
  <si>
    <t xml:space="preserve">Debt share cap, EU</t>
  </si>
  <si>
    <t xml:space="preserve">BESS energy committed</t>
  </si>
  <si>
    <t xml:space="preserve">MWh</t>
  </si>
  <si>
    <t xml:space="preserve">Debt share cap, CN</t>
  </si>
  <si>
    <t xml:space="preserve">BESS built</t>
  </si>
  <si>
    <t xml:space="preserve">CIT</t>
  </si>
  <si>
    <t xml:space="preserve">Wind build shortfall vs commitment</t>
  </si>
  <si>
    <t xml:space="preserve">Discount rate</t>
  </si>
  <si>
    <t xml:space="preserve">Grid-bottleneck energy loss</t>
  </si>
  <si>
    <t xml:space="preserve">FX</t>
  </si>
  <si>
    <t xml:space="preserve">HUF/EUR</t>
  </si>
  <si>
    <t xml:space="preserve">PB call if the pro-rata rule applies (GYIK 28/30)</t>
  </si>
  <si>
    <t xml:space="preserve">EUR m</t>
  </si>
  <si>
    <t xml:space="preserve">PB call if the full-call rule applies (GYIK 72)</t>
  </si>
  <si>
    <t xml:space="preserve">Returns at a glance</t>
  </si>
  <si>
    <t xml:space="preserve">FEP profit – sale at COD</t>
  </si>
  <si>
    <t xml:space="preserve">FEP IRR – sale at COD</t>
  </si>
  <si>
    <t xml:space="preserve">FEP MOIC – sale at COD</t>
  </si>
  <si>
    <t xml:space="preserve">FEP NPV – sale at COD</t>
  </si>
  <si>
    <t xml:space="preserve">FEP profit – hold to maturity</t>
  </si>
  <si>
    <t xml:space="preserve">FEP IRR – hold to maturity</t>
  </si>
  <si>
    <t xml:space="preserve">FEP MOIC – hold to maturity</t>
  </si>
  <si>
    <t xml:space="preserve">FEP NPV – hold to maturity</t>
  </si>
  <si>
    <t xml:space="preserve">Project IRR, actual tax, before financing</t>
  </si>
  <si>
    <t xml:space="preserve">Funding to COD</t>
  </si>
  <si>
    <t xml:space="preserve">Purchase price, DD and devex</t>
  </si>
  <si>
    <t xml:space="preserve">Participation fee, TSO security, guarantee fees</t>
  </si>
  <si>
    <t xml:space="preserve">Construction capex (wind, substation, BESS)</t>
  </si>
  <si>
    <t xml:space="preserve">Connection fees, net of TSO security</t>
  </si>
  <si>
    <t xml:space="preserve">Municipal one-off</t>
  </si>
  <si>
    <t xml:space="preserve">Capitalised interest and debt fees</t>
  </si>
  <si>
    <t xml:space="preserve">Land lease during construction</t>
  </si>
  <si>
    <t xml:space="preserve">Total uses</t>
  </si>
  <si>
    <t xml:space="preserve">Senior debt at COD (incl. capitalised interest)</t>
  </si>
  <si>
    <t xml:space="preserve">FEP equity to COD</t>
  </si>
  <si>
    <t xml:space="preserve">FEP peak equity, hold (incl. DSRA)</t>
  </si>
  <si>
    <t xml:space="preserve">Debt share of total uses</t>
  </si>
  <si>
    <t xml:space="preserve">Securities and fees</t>
  </si>
  <si>
    <t xml:space="preserve">Form</t>
  </si>
  <si>
    <t xml:space="preserve">Posted</t>
  </si>
  <si>
    <t xml:space="preserve">Released</t>
  </si>
  <si>
    <t xml:space="preserve">Participation fee</t>
  </si>
  <si>
    <t xml:space="preserve">cash</t>
  </si>
  <si>
    <t xml:space="preserve">–</t>
  </si>
  <si>
    <t xml:space="preserve">Bid security</t>
  </si>
  <si>
    <t xml:space="preserve">guarantee</t>
  </si>
  <si>
    <t xml:space="preserve">Performance security</t>
  </si>
  <si>
    <t xml:space="preserve">TSO connection-request security</t>
  </si>
  <si>
    <t xml:space="preserve">credited</t>
  </si>
  <si>
    <t xml:space="preserve">Direct connection fee</t>
  </si>
  <si>
    <t xml:space="preserve">Indirect connection fee, net</t>
  </si>
  <si>
    <t xml:space="preserve">Guarantee fees to COD</t>
  </si>
  <si>
    <t xml:space="preserve">Sale at COD</t>
  </si>
  <si>
    <t xml:space="preserve">Sale price (enterprise value)</t>
  </si>
  <si>
    <t xml:space="preserve">Net proceeds to FEP (after debt and sale costs)</t>
  </si>
  <si>
    <t xml:space="preserve">Tax on the gain</t>
  </si>
  <si>
    <t xml:space="preserve">Hold to maturity: debt and tax</t>
  </si>
  <si>
    <t xml:space="preserve">Debt capacity at target DSCR (PV at COD)</t>
  </si>
  <si>
    <t xml:space="preserve">Debt share cap of construction cost</t>
  </si>
  <si>
    <t xml:space="preserve">Debt share of construction cost, sized</t>
  </si>
  <si>
    <t xml:space="preserve">Share of the DSCR capacity used</t>
  </si>
  <si>
    <t xml:space="preserve">DSRA funded at COD</t>
  </si>
  <si>
    <t xml:space="preserve">Minimum DSCR</t>
  </si>
  <si>
    <t xml:space="preserve">Net generation, first full year</t>
  </si>
  <si>
    <t xml:space="preserve">GWh</t>
  </si>
  <si>
    <t xml:space="preserve">Revenue, first full year</t>
  </si>
  <si>
    <t xml:space="preserve">EBITDA, first full year</t>
  </si>
  <si>
    <t xml:space="preserve">Lifetime revenue</t>
  </si>
  <si>
    <t xml:space="preserve">Lifetime EBITDA</t>
  </si>
  <si>
    <t xml:space="preserve">Lifetime corporate income tax</t>
  </si>
  <si>
    <t xml:space="preserve">Tax losses lapsed</t>
  </si>
  <si>
    <t xml:space="preserve">Checks failed in this set (0 = OK)</t>
  </si>
  <si>
    <t xml:space="preserve">#</t>
  </si>
  <si>
    <t xml:space="preserve">Stored results by key-assumption set</t>
  </si>
  <si>
    <t xml:space="preserve">FEP IRR – sale at COD – European turbine</t>
  </si>
  <si>
    <t xml:space="preserve">FEP IRR – sale at COD – Chinese turbine</t>
  </si>
  <si>
    <t xml:space="preserve">FEP MOIC – sale at COD – European turbine</t>
  </si>
  <si>
    <t xml:space="preserve">FEP MOIC – sale at COD – Chinese turbine</t>
  </si>
  <si>
    <t xml:space="preserve">FEP IRR – hold to maturity – European turbine</t>
  </si>
  <si>
    <t xml:space="preserve">FEP IRR – hold to maturity – Chinese turbine</t>
  </si>
  <si>
    <t xml:space="preserve">FEP MOIC – hold to maturity – European turbine</t>
  </si>
  <si>
    <t xml:space="preserve">FEP MOIC – hold to maturity – Chinese turbine</t>
  </si>
  <si>
    <t xml:space="preserve">Senior debt at COD (incl. capitalised interest) – European turbine</t>
  </si>
  <si>
    <t xml:space="preserve">Senior debt at COD (incl. capitalised interest) – Chinese turbine</t>
  </si>
  <si>
    <t xml:space="preserve">FEP equity to COD – European turbine</t>
  </si>
  <si>
    <t xml:space="preserve">FEP equity to COD – Chinese turbine</t>
  </si>
  <si>
    <t xml:space="preserve">Minimum DSCR – European turbine</t>
  </si>
  <si>
    <t xml:space="preserve">Minimum DSCR – Chinese turbine</t>
  </si>
  <si>
    <t xml:space="preserve">Checks failed in this set (0 = OK) – European turbine</t>
  </si>
  <si>
    <t xml:space="preserve">Checks failed in this set (0 = OK) – Chinese turbine</t>
  </si>
  <si>
    <t xml:space="preserve">***END***</t>
  </si>
  <si>
    <t xml:space="preserve">Scenario selected</t>
  </si>
  <si>
    <t xml:space="preserve">Set on the Dashboard</t>
  </si>
  <si>
    <t xml:space="preserve">Scenario number</t>
  </si>
  <si>
    <t xml:space="preserve">Input</t>
  </si>
  <si>
    <t xml:space="preserve">Source / note</t>
  </si>
  <si>
    <t xml:space="preserve">COD price −10%</t>
  </si>
  <si>
    <t xml:space="preserve">Turbine +10%</t>
  </si>
  <si>
    <t xml:space="preserve">Yield −10%</t>
  </si>
  <si>
    <t xml:space="preserve">PPA −10%</t>
  </si>
  <si>
    <t xml:space="preserve">Full PB call</t>
  </si>
  <si>
    <t xml:space="preserve">Rate +1 pp</t>
  </si>
  <si>
    <t xml:space="preserve">Tenor 10 years</t>
  </si>
  <si>
    <t xml:space="preserve">Constants</t>
  </si>
  <si>
    <t xml:space="preserve">Thousand</t>
  </si>
  <si>
    <t xml:space="preserve">Scale</t>
  </si>
  <si>
    <t xml:space="preserve">Million</t>
  </si>
  <si>
    <t xml:space="preserve">Days In Year</t>
  </si>
  <si>
    <t xml:space="preserve">days</t>
  </si>
  <si>
    <t xml:space="preserve">Day count for year fractions and XIRR</t>
  </si>
  <si>
    <t xml:space="preserve">Months In Year</t>
  </si>
  <si>
    <t xml:space="preserve">months</t>
  </si>
  <si>
    <t xml:space="preserve">Months Per Period</t>
  </si>
  <si>
    <t xml:space="preserve">Timeline periodicity (quarterly)</t>
  </si>
  <si>
    <t xml:space="preserve">Tolerance</t>
  </si>
  <si>
    <t xml:space="preserve">Check and solver tolerance</t>
  </si>
  <si>
    <t xml:space="preserve">Timing</t>
  </si>
  <si>
    <t xml:space="preserve">Model start date</t>
  </si>
  <si>
    <t xml:space="preserve">Timeline start</t>
  </si>
  <si>
    <t xml:space="preserve">Bid submission: fee paid, bid security posted, DD</t>
  </si>
  <si>
    <t xml:space="preserve">Kiírás VI.5</t>
  </si>
  <si>
    <t xml:space="preserve">Award decision</t>
  </si>
  <si>
    <t xml:space="preserve">Bana v3 Inputs E96</t>
  </si>
  <si>
    <t xml:space="preserve">Award decision received</t>
  </si>
  <si>
    <t xml:space="preserve">GYIK Q68</t>
  </si>
  <si>
    <t xml:space="preserve">PB posted, TSO security paid after the decision</t>
  </si>
  <si>
    <t xml:space="preserve">Kiírás XII.5, XIII.6</t>
  </si>
  <si>
    <t xml:space="preserve">Closing of the rights transfer: price paid</t>
  </si>
  <si>
    <t xml:space="preserve">Bana deck p2: closing after the award</t>
  </si>
  <si>
    <t xml:space="preserve">Notice to proceed</t>
  </si>
  <si>
    <t xml:space="preserve">Bana v3 Inputs E154</t>
  </si>
  <si>
    <t xml:space="preserve">Connection agreement (HCSSZ): fees paid</t>
  </si>
  <si>
    <t xml:space="preserve">Bana v3 Inputs E99</t>
  </si>
  <si>
    <t xml:space="preserve">Commercial operation date</t>
  </si>
  <si>
    <t xml:space="preserve">Bana v3 Inputs E155, E237</t>
  </si>
  <si>
    <t xml:space="preserve">Operating life</t>
  </si>
  <si>
    <t xml:space="preserve">Bana v3 Inputs E157</t>
  </si>
  <si>
    <t xml:space="preserve">Performance security released (hold route)</t>
  </si>
  <si>
    <t xml:space="preserve">Kiírás XII.8 (COD deadline + 6 m)</t>
  </si>
  <si>
    <t xml:space="preserve">Acquisition, exit and tax</t>
  </si>
  <si>
    <t xml:space="preserve">FX rate</t>
  </si>
  <si>
    <t xml:space="preserve">Bana v3 Inputs E11</t>
  </si>
  <si>
    <t xml:space="preserve">Purchase price to GEI</t>
  </si>
  <si>
    <t xml:space="preserve">Bana v3 Inputs E283</t>
  </si>
  <si>
    <t xml:space="preserve">Transaction and DD costs</t>
  </si>
  <si>
    <t xml:space="preserve">Bana v3 Inputs E25</t>
  </si>
  <si>
    <t xml:space="preserve">Devex to NTP incl. contingency</t>
  </si>
  <si>
    <t xml:space="preserve">Bana v3 Inputs E292</t>
  </si>
  <si>
    <t xml:space="preserve">Sale price at COD per MW, EU turbines</t>
  </si>
  <si>
    <t xml:space="preserve">Bana v3 Inputs M230</t>
  </si>
  <si>
    <t xml:space="preserve">Sale price at COD per MW, CN turbines</t>
  </si>
  <si>
    <t xml:space="preserve">Bana v3 Inputs N230</t>
  </si>
  <si>
    <t xml:space="preserve">Sale costs at COD</t>
  </si>
  <si>
    <t xml:space="preserve">Bana v3 Inputs E26</t>
  </si>
  <si>
    <t xml:space="preserve">FEP discount rate (NPV)</t>
  </si>
  <si>
    <t xml:space="preserve">Bana v3 Inputs E253</t>
  </si>
  <si>
    <t xml:space="preserve">Corporate income tax</t>
  </si>
  <si>
    <t xml:space="preserve">Bana v3 Inputs E12; Tao. 19. §</t>
  </si>
  <si>
    <t xml:space="preserve">Gain on the COD share sale taxed (0 = exempt)</t>
  </si>
  <si>
    <t xml:space="preserve">Bana v3 E231; participation exemption</t>
  </si>
  <si>
    <t xml:space="preserve">Tax depreciation period</t>
  </si>
  <si>
    <t xml:space="preserve">Bana v3 Inputs E213 (to confirm)</t>
  </si>
  <si>
    <t xml:space="preserve">Tax losses usable, share of the tax base</t>
  </si>
  <si>
    <t xml:space="preserve">Tao. 17. § (2); Bana v3 E214</t>
  </si>
  <si>
    <t xml:space="preserve">Tax losses usable within</t>
  </si>
  <si>
    <t xml:space="preserve">Tao. 17. § (1)</t>
  </si>
  <si>
    <t xml:space="preserve">Tender and grid</t>
  </si>
  <si>
    <t xml:space="preserve">Points rounded to decimals</t>
  </si>
  <si>
    <t xml:space="preserve">Kiírás X.1 b</t>
  </si>
  <si>
    <t xml:space="preserve">Net connection capacity</t>
  </si>
  <si>
    <t xml:space="preserve">MVA</t>
  </si>
  <si>
    <t xml:space="preserve">MEKH Annex 1; Bana v3 Inputs E281</t>
  </si>
  <si>
    <t xml:space="preserve">Overbuild built, share of MVA (bid: Dashboard)</t>
  </si>
  <si>
    <t xml:space="preserve">User 13-Oct-26</t>
  </si>
  <si>
    <t xml:space="preserve">Energy lost on overbuilt MW</t>
  </si>
  <si>
    <t xml:space="preserve">Bora!N18 (as Bora)</t>
  </si>
  <si>
    <t xml:space="preserve">BESS built (1 = yes)</t>
  </si>
  <si>
    <t xml:space="preserve">User 13-Oct-26 (as Bora)</t>
  </si>
  <si>
    <t xml:space="preserve">Minimum BESS duration for ÖSZ-4</t>
  </si>
  <si>
    <t xml:space="preserve">Kiírás Annex 8; GYIK Q5</t>
  </si>
  <si>
    <t xml:space="preserve">Build shortfall tolerated without sanction</t>
  </si>
  <si>
    <t xml:space="preserve">GYIK 28, 30</t>
  </si>
  <si>
    <t xml:space="preserve">Sanction regime (1 pro rata, 2 full PB call)</t>
  </si>
  <si>
    <t xml:space="preserve">GYIK 28/30 (1); Kiírás XIII.17, GYIK 72 (2)</t>
  </si>
  <si>
    <t xml:space="preserve">Sanction paid after COD</t>
  </si>
  <si>
    <t xml:space="preserve">Kiírás XIII.17</t>
  </si>
  <si>
    <t xml:space="preserve">Security base: benchmark investment, BESS</t>
  </si>
  <si>
    <t xml:space="preserve">mHUF/MWh</t>
  </si>
  <si>
    <t xml:space="preserve">Kiírás Annex 2</t>
  </si>
  <si>
    <t xml:space="preserve">Security base: benchmark investment, wind</t>
  </si>
  <si>
    <t xml:space="preserve">mHUF/MW</t>
  </si>
  <si>
    <t xml:space="preserve">Participation fee (cash, not refunded)</t>
  </si>
  <si>
    <t xml:space="preserve">mHUF</t>
  </si>
  <si>
    <t xml:space="preserve">Kiírás VI.4</t>
  </si>
  <si>
    <t xml:space="preserve">Bid security (guarantee), share of base</t>
  </si>
  <si>
    <t xml:space="preserve">Kiírás VIII.2</t>
  </si>
  <si>
    <t xml:space="preserve">Performance security (guarantee), minimum share</t>
  </si>
  <si>
    <t xml:space="preserve">Kiírás XII.3</t>
  </si>
  <si>
    <t xml:space="preserve">TSO security (cash, credited to the indirect fee)</t>
  </si>
  <si>
    <t xml:space="preserve">mHUF/MVA</t>
  </si>
  <si>
    <t xml:space="preserve">Bana v3 Inputs E83</t>
  </si>
  <si>
    <t xml:space="preserve">Direct connection fee per connection point (cash)</t>
  </si>
  <si>
    <t xml:space="preserve">MEKH Annex 1; Bana v3 Inputs E289</t>
  </si>
  <si>
    <t xml:space="preserve">Indirect connection fee (cash)</t>
  </si>
  <si>
    <t xml:space="preserve">MEKH Annex 1; Bana v3 Inputs E288</t>
  </si>
  <si>
    <t xml:space="preserve">Bank guarantee fee on guarantees outstanding</t>
  </si>
  <si>
    <t xml:space="preserve">Bana v3 Inputs E113</t>
  </si>
  <si>
    <t xml:space="preserve">Capex</t>
  </si>
  <si>
    <t xml:space="preserve">Turbine supply, EU</t>
  </si>
  <si>
    <t xml:space="preserve">User 12-Oct-26 (Bora SPEC v2.1)</t>
  </si>
  <si>
    <t xml:space="preserve">Turbine supply, CN</t>
  </si>
  <si>
    <t xml:space="preserve">Bana v3 Inputs I162</t>
  </si>
  <si>
    <t xml:space="preserve">Other wind capex (install, foundations, BoP, owner, land)</t>
  </si>
  <si>
    <t xml:space="preserve">Bana v3 Inputs E163:E166, E169:E170</t>
  </si>
  <si>
    <t xml:space="preserve">Substation and 132 kV bay, EU</t>
  </si>
  <si>
    <t xml:space="preserve">Bana v3 Inputs E167</t>
  </si>
  <si>
    <t xml:space="preserve">Substation and 132 kV bay, CN transformer</t>
  </si>
  <si>
    <t xml:space="preserve">Bana v3 Inputs I167</t>
  </si>
  <si>
    <t xml:space="preserve">Contingency on wind and substation capex</t>
  </si>
  <si>
    <t xml:space="preserve">Bana v3 Inputs E171</t>
  </si>
  <si>
    <t xml:space="preserve">BESS capex, all-in (no BESS revenue or opex)</t>
  </si>
  <si>
    <t xml:space="preserve">User 12-Oct-26 (Bora)</t>
  </si>
  <si>
    <t xml:space="preserve">Operations</t>
  </si>
  <si>
    <t xml:space="preserve">Bana v3 Inputs E179</t>
  </si>
  <si>
    <t xml:space="preserve">Curtailment</t>
  </si>
  <si>
    <t xml:space="preserve">Bana v3 Inputs E181</t>
  </si>
  <si>
    <t xml:space="preserve">Degradation per year</t>
  </si>
  <si>
    <t xml:space="preserve">Bana v3 Inputs E182</t>
  </si>
  <si>
    <t xml:space="preserve">PPA price at COD, whole life, 100 % of output</t>
  </si>
  <si>
    <t xml:space="preserve">PPA escalation</t>
  </si>
  <si>
    <t xml:space="preserve">Bana v3 Inputs E192</t>
  </si>
  <si>
    <t xml:space="preserve">Variable opex (balancing 4, grid 1)</t>
  </si>
  <si>
    <t xml:space="preserve">Bana v3 Inputs E194:E195</t>
  </si>
  <si>
    <t xml:space="preserve">Fixed opex (O&amp;M, BoP, insurance, AM, property tax)</t>
  </si>
  <si>
    <t xml:space="preserve">Bana v3 Inputs E201:E202, E204:E206</t>
  </si>
  <si>
    <t xml:space="preserve">Land lease from NTP</t>
  </si>
  <si>
    <t xml:space="preserve">Bana v3 Inputs E203</t>
  </si>
  <si>
    <t xml:space="preserve">Administration</t>
  </si>
  <si>
    <t xml:space="preserve">Bana v3 Inputs E207</t>
  </si>
  <si>
    <t xml:space="preserve">Opex contingency</t>
  </si>
  <si>
    <t xml:space="preserve">Bana v3 Inputs E208</t>
  </si>
  <si>
    <t xml:space="preserve">Opex escalation from the COD year</t>
  </si>
  <si>
    <t xml:space="preserve">Bana v3 Inputs E209</t>
  </si>
  <si>
    <t xml:space="preserve">MEKH supervisory fee</t>
  </si>
  <si>
    <t xml:space="preserve">Bana v3 Inputs E196</t>
  </si>
  <si>
    <t xml:space="preserve">Local business tax (HIPA), on revenue</t>
  </si>
  <si>
    <t xml:space="preserve">Bana v3 Inputs E210</t>
  </si>
  <si>
    <t xml:space="preserve">Innovation contribution, on the HIPA base</t>
  </si>
  <si>
    <t xml:space="preserve">Act LXXVI of 2014, 15. §</t>
  </si>
  <si>
    <t xml:space="preserve">Senior debt</t>
  </si>
  <si>
    <t xml:space="preserve">Debt share cap of construction cost, EU</t>
  </si>
  <si>
    <t xml:space="preserve">Rock Assumptions G547</t>
  </si>
  <si>
    <t xml:space="preserve">Debt share cap of construction cost, CN</t>
  </si>
  <si>
    <t xml:space="preserve">Rock G547 less 10 pp (Bana v3 CN)</t>
  </si>
  <si>
    <t xml:space="preserve">Target DSCR for sizing and sculpting</t>
  </si>
  <si>
    <t xml:space="preserve">Rock Assumptions G549</t>
  </si>
  <si>
    <t xml:space="preserve">Rock G540; set 8: Bana v3 E220</t>
  </si>
  <si>
    <t xml:space="preserve">All-in fixed interest rate</t>
  </si>
  <si>
    <t xml:space="preserve">Bana v3 Inputs E218</t>
  </si>
  <si>
    <t xml:space="preserve">Upfront fee on the facility</t>
  </si>
  <si>
    <t xml:space="preserve">Bana v3 Inputs E219</t>
  </si>
  <si>
    <t xml:space="preserve">Commitment fee on undrawn debt</t>
  </si>
  <si>
    <t xml:space="preserve">Bana v3 Inputs E222</t>
  </si>
  <si>
    <t xml:space="preserve">DSRA: months of debt service, funded at COD</t>
  </si>
  <si>
    <t xml:space="preserve">Bana v3 Inputs E268</t>
  </si>
  <si>
    <t xml:space="preserve">Macro control</t>
  </si>
  <si>
    <t xml:space="preserve">Solver Topics</t>
  </si>
  <si>
    <t xml:space="preserve">COPY/PASTE topics for Solver.bas</t>
  </si>
  <si>
    <t xml:space="preserve">Tax_1,Tax_2</t>
  </si>
  <si>
    <t xml:space="preserve">GoalSeek Topics</t>
  </si>
  <si>
    <t xml:space="preserve">Topics for GoalSeek.bas</t>
  </si>
  <si>
    <t xml:space="preserve">Tender scoring bands</t>
  </si>
  <si>
    <t xml:space="preserve">Kiírás Annex 3-4</t>
  </si>
  <si>
    <t xml:space="preserve">Weight / min</t>
  </si>
  <si>
    <t xml:space="preserve">Max</t>
  </si>
  <si>
    <t xml:space="preserve">Bands →</t>
  </si>
  <si>
    <t xml:space="preserve">ÖSZ-1 municipal one-off – lower bound</t>
  </si>
  <si>
    <t xml:space="preserve">ÖSZ-1 municipal one-off – lower bound included</t>
  </si>
  <si>
    <t xml:space="preserve">ÖSZ-1 municipal one-off – inner points (below, bands)</t>
  </si>
  <si>
    <t xml:space="preserve">ÖSZ-2 community contribution – lower bound</t>
  </si>
  <si>
    <t xml:space="preserve">ÖSZ-2 community contribution – lower bound included</t>
  </si>
  <si>
    <t xml:space="preserve">ÖSZ-2 community contribution – inner points (below, bands)</t>
  </si>
  <si>
    <t xml:space="preserve">ÖSZ-4 BESS ratio – lower bound</t>
  </si>
  <si>
    <t xml:space="preserve">ÖSZ-4 BESS ratio – lower bound included</t>
  </si>
  <si>
    <t xml:space="preserve">ÖSZ-4 BESS ratio – inner points (below, bands)</t>
  </si>
  <si>
    <t xml:space="preserve">ÖSZ-3 overbuild – lower bound</t>
  </si>
  <si>
    <t xml:space="preserve">ÖSZ-3 overbuild – lower bound included</t>
  </si>
  <si>
    <t xml:space="preserve">ÖSZ-3 overbuild – inner points (below, bands)</t>
  </si>
  <si>
    <t xml:space="preserve">ÖSZ-6 performance security multiple – lower bound</t>
  </si>
  <si>
    <t xml:space="preserve">ÖSZ-6 performance security multiple – lower bound included</t>
  </si>
  <si>
    <t xml:space="preserve">ÖSZ-6 performance security multiple – inner points (below, bands)</t>
  </si>
  <si>
    <t xml:space="preserve">ÖSZ-5 partial award – inner points</t>
  </si>
  <si>
    <t xml:space="preserve">ÖSZ-8 shared connection – inner points</t>
  </si>
  <si>
    <t xml:space="preserve">ÖSZ-9 EU turbines – inner points</t>
  </si>
  <si>
    <t xml:space="preserve">ÖSZ-9 EU transformers – inner points</t>
  </si>
  <si>
    <t xml:space="preserve">Bid number</t>
  </si>
  <si>
    <t xml:space="preserve">Period start</t>
  </si>
  <si>
    <t xml:space="preserve">Period end</t>
  </si>
  <si>
    <t xml:space="preserve">Days in period</t>
  </si>
  <si>
    <t xml:space="preserve">Year fraction</t>
  </si>
  <si>
    <t xml:space="preserve">factor</t>
  </si>
  <si>
    <t xml:space="preserve">Year</t>
  </si>
  <si>
    <t xml:space="preserve">year</t>
  </si>
  <si>
    <t xml:space="preserve">Period counter</t>
  </si>
  <si>
    <t xml:space="preserve">Timing and flags</t>
  </si>
  <si>
    <t xml:space="preserve">Construction share (NTP → COD)</t>
  </si>
  <si>
    <t xml:space="preserve">Devex share (closing → NTP)</t>
  </si>
  <si>
    <t xml:space="preserve">Land lease period (NTP → end of life)</t>
  </si>
  <si>
    <t xml:space="preserve">Debt repayment period</t>
  </si>
  <si>
    <t xml:space="preserve">Last debt repayment</t>
  </si>
  <si>
    <t xml:space="preserve">Tax depreciation share</t>
  </si>
  <si>
    <t xml:space="preserve">Operating year</t>
  </si>
  <si>
    <t xml:space="preserve">Debt compounding index (E: at COD, F: rate per period)</t>
  </si>
  <si>
    <t xml:space="preserve">Capacity (E: committed in the bid, F: built)</t>
  </si>
  <si>
    <t xml:space="preserve">Wind</t>
  </si>
  <si>
    <t xml:space="preserve">BESS power</t>
  </si>
  <si>
    <t xml:space="preserve">BESS energy</t>
  </si>
  <si>
    <t xml:space="preserve">Grid-bottleneck loss on built wind</t>
  </si>
  <si>
    <t xml:space="preserve">Build shortfall vs commitment (E: wind, F: BESS)</t>
  </si>
  <si>
    <t xml:space="preserve">Tender points (E: commitment, F: weighted points)</t>
  </si>
  <si>
    <t xml:space="preserve">ÖSZ-1 municipal one-off</t>
  </si>
  <si>
    <t xml:space="preserve">ÖSZ-2 community contribution</t>
  </si>
  <si>
    <t xml:space="preserve">ÖSZ-3 overbuild</t>
  </si>
  <si>
    <t xml:space="preserve">ÖSZ-4 BESS power, share of MVA</t>
  </si>
  <si>
    <t xml:space="preserve">ÖSZ-5 partial award</t>
  </si>
  <si>
    <t xml:space="preserve">ÖSZ-6 performance security multiple</t>
  </si>
  <si>
    <t xml:space="preserve">ÖSZ-8 shared connection</t>
  </si>
  <si>
    <t xml:space="preserve">ÖSZ-9 EU turbines (1 = European turbine route)</t>
  </si>
  <si>
    <t xml:space="preserve">ÖSZ-9 EU transformers</t>
  </si>
  <si>
    <t xml:space="preserve">Failed tests (E: ÖSZ-1 and -2 range, F: ÖSZ-6, BESS ≤ wind, 4 h)</t>
  </si>
  <si>
    <t xml:space="preserve">Development, securities and fees (E: amount, F: date)</t>
  </si>
  <si>
    <t xml:space="preserve">Devex</t>
  </si>
  <si>
    <t xml:space="preserve">Security base</t>
  </si>
  <si>
    <t xml:space="preserve">Participation fee (cash)</t>
  </si>
  <si>
    <t xml:space="preserve">Bid security outstanding (guarantee)</t>
  </si>
  <si>
    <t xml:space="preserve">Performance security outstanding (guarantee)</t>
  </si>
  <si>
    <t xml:space="preserve">TSO connection-request security (cash)</t>
  </si>
  <si>
    <t xml:space="preserve">Direct connection fee (cash)</t>
  </si>
  <si>
    <t xml:space="preserve">Indirect connection fee, net of TSO security</t>
  </si>
  <si>
    <t xml:space="preserve">Connection fees</t>
  </si>
  <si>
    <t xml:space="preserve">Guarantee fees (E: to COD)</t>
  </si>
  <si>
    <t xml:space="preserve">Performance security by technology (E: wind, F: BESS)</t>
  </si>
  <si>
    <t xml:space="preserve">PB call (E: pro rata above the tolerance, F: full call)</t>
  </si>
  <si>
    <t xml:space="preserve">PB call paid, selected regime (E: date)</t>
  </si>
  <si>
    <t xml:space="preserve">Development cash flow</t>
  </si>
  <si>
    <t xml:space="preserve">Construction</t>
  </si>
  <si>
    <t xml:space="preserve">Turbine supply, this route</t>
  </si>
  <si>
    <t xml:space="preserve">Substation and 132 kV bay, this route</t>
  </si>
  <si>
    <t xml:space="preserve">Capex (E: total)</t>
  </si>
  <si>
    <t xml:space="preserve">Municipal one-off at COD</t>
  </si>
  <si>
    <t xml:space="preserve">Construction cost (E: compounded to COD at the debt rate)</t>
  </si>
  <si>
    <t xml:space="preserve">Opex escalation index</t>
  </si>
  <si>
    <t xml:space="preserve">PPA price</t>
  </si>
  <si>
    <t xml:space="preserve">Net generation (E: first full year)</t>
  </si>
  <si>
    <t xml:space="preserve">Revenue (E: first full year)</t>
  </si>
  <si>
    <t xml:space="preserve">Variable opex (balancing, grid)</t>
  </si>
  <si>
    <t xml:space="preserve">Fixed opex and administration</t>
  </si>
  <si>
    <t xml:space="preserve">Land lease</t>
  </si>
  <si>
    <t xml:space="preserve">MEKH fee, HIPA and innovation contribution</t>
  </si>
  <si>
    <t xml:space="preserve">EBITDA (E: first full year)</t>
  </si>
  <si>
    <t xml:space="preserve">Debt sizing on CFADS</t>
  </si>
  <si>
    <t xml:space="preserve">Corporate income tax – paste (macro)</t>
  </si>
  <si>
    <t xml:space="preserve">CFADS (EBITDA, guarantee fees, tax; after COD)</t>
  </si>
  <si>
    <t xml:space="preserve">Debt service at target DSCR (E: PV at COD = capacity)</t>
  </si>
  <si>
    <t xml:space="preserve">Debt share cap, this route</t>
  </si>
  <si>
    <t xml:space="preserve">Debt share of construction cost (E), share of capacity used (F)</t>
  </si>
  <si>
    <t xml:space="preserve">Interest paid</t>
  </si>
  <si>
    <t xml:space="preserve">Debt service (sculpted)</t>
  </si>
  <si>
    <t xml:space="preserve">Opening balance</t>
  </si>
  <si>
    <t xml:space="preserve">Drawdown</t>
  </si>
  <si>
    <t xml:space="preserve">Interest capitalised</t>
  </si>
  <si>
    <t xml:space="preserve">Repayment</t>
  </si>
  <si>
    <t xml:space="preserve">Closing balance (E: at COD)</t>
  </si>
  <si>
    <t xml:space="preserve">Upfront fee</t>
  </si>
  <si>
    <t xml:space="preserve">Commitment fee</t>
  </si>
  <si>
    <t xml:space="preserve">DSRA funded at COD, released at the end (E: balance)</t>
  </si>
  <si>
    <t xml:space="preserve">DSCR (E: minimum)</t>
  </si>
  <si>
    <t xml:space="preserve">Tax</t>
  </si>
  <si>
    <t xml:space="preserve">Tax depreciation (E: base)</t>
  </si>
  <si>
    <t xml:space="preserve">Tax base before losses</t>
  </si>
  <si>
    <t xml:space="preserve">Tax losses: opening</t>
  </si>
  <si>
    <t xml:space="preserve">Losses added</t>
  </si>
  <si>
    <t xml:space="preserve">Losses used (capped)</t>
  </si>
  <si>
    <t xml:space="preserve">Losses lapsed (E: date, the NTP year + carry-forward period)</t>
  </si>
  <si>
    <t xml:space="preserve">Tax losses: closing</t>
  </si>
  <si>
    <t xml:space="preserve">Corporate income tax – copy</t>
  </si>
  <si>
    <t xml:space="preserve">Corporate income tax – delta</t>
  </si>
  <si>
    <t xml:space="preserve">Funding to COD (E: uses and sources)</t>
  </si>
  <si>
    <t xml:space="preserve">FEP equity (E), peak including the DSRA (F)</t>
  </si>
  <si>
    <t xml:space="preserve">FEP contributions to COD</t>
  </si>
  <si>
    <t xml:space="preserve">Sale price (built MW, after bottleneck loss)</t>
  </si>
  <si>
    <t xml:space="preserve">Net proceeds to FEP (after debt, sale costs, any PB call)</t>
  </si>
  <si>
    <t xml:space="preserve">FEP cash flow – sale at COD</t>
  </si>
  <si>
    <t xml:space="preserve">Hold to maturity</t>
  </si>
  <si>
    <t xml:space="preserve">Project cash flow before financing, with actual tax</t>
  </si>
  <si>
    <t xml:space="preserve">FEP equity cash flow – hold to maturity</t>
  </si>
  <si>
    <t xml:space="preserve">Status</t>
  </si>
  <si>
    <t xml:space="preserve">Fails</t>
  </si>
  <si>
    <t xml:space="preserve">Checks (0 = OK)</t>
  </si>
  <si>
    <t xml:space="preserve">Solver Tax_1: delta = 0</t>
  </si>
  <si>
    <t xml:space="preserve">Solver Tax_2: delta = 0</t>
  </si>
  <si>
    <t xml:space="preserve">Levers within the tender rules – Calc_1</t>
  </si>
  <si>
    <t xml:space="preserve">Levers within the tender rules – Calc_2</t>
  </si>
  <si>
    <t xml:space="preserve">COD falls on a quarter end – Calc_1</t>
  </si>
  <si>
    <t xml:space="preserve">COD falls on a quarter end – Calc_2</t>
  </si>
  <si>
    <t xml:space="preserve">Debt at COD within the DSCR capacity – Calc_1</t>
  </si>
  <si>
    <t xml:space="preserve">Debt at COD within the DSCR capacity – Calc_2</t>
  </si>
  <si>
    <t xml:space="preserve">Debt repaid by the end of the tenor – Calc_1</t>
  </si>
  <si>
    <t xml:space="preserve">Debt repaid by the end of the tenor – Calc_2</t>
  </si>
  <si>
    <t xml:space="preserve">DSCR not below target – Calc_1</t>
  </si>
  <si>
    <t xml:space="preserve">DSCR not below target – Calc_2</t>
  </si>
  <si>
    <t xml:space="preserve">Sources = uses to COD – Calc_1</t>
  </si>
  <si>
    <t xml:space="preserve">Sources = uses to COD – Calc_2</t>
  </si>
  <si>
    <t xml:space="preserve">XIRR returned a number on every route – Calc_1</t>
  </si>
  <si>
    <t xml:space="preserve">XIRR returned a number on every route – Calc_2</t>
  </si>
  <si>
    <t xml:space="preserve">Stored results = live case</t>
  </si>
  <si>
    <t xml:space="preserve">Checks excluding stored = live</t>
  </si>
</sst>
</file>

<file path=xl/styles.xml><?xml version="1.0" encoding="utf-8"?>
<styleSheet xmlns="http://schemas.openxmlformats.org/spreadsheetml/2006/main">
  <numFmts count="14">
    <numFmt numFmtId="164" formatCode="General"/>
    <numFmt numFmtId="165" formatCode="@"/>
    <numFmt numFmtId="166" formatCode="dd\-mmm\-yy"/>
    <numFmt numFmtId="167" formatCode="#,##0;\(#,##0\);\–"/>
    <numFmt numFmtId="168" formatCode="#,##0.00;\(#,##0.00\);\–"/>
    <numFmt numFmtId="169" formatCode="0.0%;\(0.0%\);\–"/>
    <numFmt numFmtId="170" formatCode="#,##0.0;\(#,##0.0\);\–"/>
    <numFmt numFmtId="171" formatCode="0.00\x"/>
    <numFmt numFmtId="172" formatCode="0;\-0;\–"/>
    <numFmt numFmtId="173" formatCode="0"/>
    <numFmt numFmtId="174" formatCode="0.00%"/>
    <numFmt numFmtId="175" formatCode="0.000"/>
    <numFmt numFmtId="176" formatCode="0.000;\(0.000\);\–"/>
    <numFmt numFmtId="177" formatCode="0.000%"/>
  </numFmts>
  <fonts count="15">
    <font>
      <sz val="10"/>
      <color rgb="FF000000"/>
      <name val="Aptos Narrow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FFFFFF"/>
      <name val="Aptos Narrow"/>
      <family val="0"/>
      <charset val="1"/>
    </font>
    <font>
      <b val="true"/>
      <sz val="10"/>
      <color rgb="FF808080"/>
      <name val="Aptos Narrow"/>
      <family val="0"/>
      <charset val="1"/>
    </font>
    <font>
      <b val="true"/>
      <sz val="10"/>
      <color rgb="FF3C3C3B"/>
      <name val="Aptos Narrow"/>
      <family val="0"/>
      <charset val="1"/>
    </font>
    <font>
      <sz val="10"/>
      <color rgb="FF0000FF"/>
      <name val="Aptos Narrow"/>
      <family val="0"/>
      <charset val="1"/>
    </font>
    <font>
      <sz val="10"/>
      <color rgb="FF00B050"/>
      <name val="Aptos Narrow"/>
      <family val="0"/>
      <charset val="1"/>
    </font>
    <font>
      <sz val="10"/>
      <color rgb="FF7030A0"/>
      <name val="Aptos Narrow"/>
      <family val="0"/>
      <charset val="1"/>
    </font>
    <font>
      <b val="true"/>
      <sz val="10"/>
      <color rgb="FFFFFFFF"/>
      <name val="Aptos Narrow"/>
      <family val="0"/>
      <charset val="1"/>
    </font>
    <font>
      <b val="true"/>
      <sz val="10"/>
      <color rgb="FF000000"/>
      <name val="Aptos Narrow"/>
      <family val="0"/>
      <charset val="1"/>
    </font>
    <font>
      <i val="true"/>
      <sz val="10"/>
      <color rgb="FF808080"/>
      <name val="Aptos Narrow"/>
      <family val="0"/>
      <charset val="1"/>
    </font>
    <font>
      <b val="true"/>
      <sz val="16"/>
      <color rgb="FF0000FF"/>
      <name val="Aptos Narrow"/>
      <family val="0"/>
      <charset val="1"/>
    </font>
    <font>
      <b val="true"/>
      <sz val="10"/>
      <name val="Aptos Narrow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rgb="FF00563C"/>
        <bgColor rgb="FF003300"/>
      </patternFill>
    </fill>
    <fill>
      <patternFill patternType="solid">
        <fgColor rgb="FFFFF2CC"/>
        <bgColor rgb="FFF2F2F2"/>
      </patternFill>
    </fill>
    <fill>
      <patternFill patternType="solid">
        <fgColor rgb="FFEDEDED"/>
        <bgColor rgb="FFF2F2F2"/>
      </patternFill>
    </fill>
    <fill>
      <patternFill patternType="solid">
        <fgColor rgb="FFF2F2F2"/>
        <bgColor rgb="FFEDEDED"/>
      </patternFill>
    </fill>
    <fill>
      <patternFill patternType="solid">
        <fgColor rgb="FFE6F4EC"/>
        <bgColor rgb="FFEDEDED"/>
      </patternFill>
    </fill>
  </fills>
  <borders count="4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3C3C3B"/>
      </bottom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 diagonalUp="false" diagonalDown="false">
      <left/>
      <right/>
      <top style="thin"/>
      <bottom/>
      <diagonal/>
    </border>
  </borders>
  <cellStyleXfs count="3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3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4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0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6" fillId="6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3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2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6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2" borderId="0" xfId="2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0" xfId="28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0" borderId="0" xfId="3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8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14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5" borderId="0" xfId="29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</cellXfs>
  <cellStyles count="1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fep_banner" xfId="20"/>
    <cellStyle name="fep_calc" xfId="21"/>
    <cellStyle name="fep_end" xfId="22"/>
    <cellStyle name="fep_header" xfId="23"/>
    <cellStyle name="fep_input" xfId="24"/>
    <cellStyle name="fep_label" xfId="25"/>
    <cellStyle name="fep_link" xfId="26"/>
    <cellStyle name="fep_macro" xfId="27"/>
    <cellStyle name="fep_section" xfId="28"/>
    <cellStyle name="fep_seed" xfId="29"/>
    <cellStyle name="fep_subheader" xfId="30"/>
    <cellStyle name="fep_total" xfId="31"/>
    <cellStyle name="fep_unit" xfId="32"/>
  </cellStyles>
  <dxfs count="2">
    <dxf>
      <font>
        <b val="1"/>
        <color rgb="FF00B050"/>
      </font>
    </dxf>
    <dxf>
      <font>
        <b val="1"/>
        <color rgb="FFFF000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7030A0"/>
      <rgbColor rgb="FFFFF2CC"/>
      <rgbColor rgb="FFE6F4EC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DEDED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563C"/>
      <rgbColor rgb="FF00B050"/>
      <rgbColor rgb="FF003300"/>
      <rgbColor rgb="FF333300"/>
      <rgbColor rgb="FF993300"/>
      <rgbColor rgb="FF993366"/>
      <rgbColor rgb="FF333399"/>
      <rgbColor rgb="FF3C3C3B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S109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9" topLeftCell="A10" activePane="bottomLeft" state="frozen"/>
      <selection pane="topLeft" activeCell="A1" activeCellId="0" sqref="A1"/>
      <selection pane="bottomLef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4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7" min="7" style="0" width="2"/>
    <col collapsed="false" customWidth="true" hidden="false" outlineLevel="0" max="15" min="8" style="0" width="12"/>
    <col collapsed="false" customWidth="true" hidden="false" outlineLevel="0" max="16" min="16" style="0" width="3"/>
    <col collapsed="false" customWidth="true" hidden="false" outlineLevel="0" max="17" min="17" style="0" width="34"/>
    <col collapsed="false" customWidth="true" hidden="false" outlineLevel="0" max="18" min="18" style="0" width="10"/>
    <col collapsed="false" customWidth="true" hidden="false" outlineLevel="0" max="19" min="19" style="0" width="12"/>
    <col collapsed="false" customWidth="false" hidden="true" outlineLevel="1" max="16384" min="20" style="0" width="13"/>
  </cols>
  <sheetData>
    <row r="2" customFormat="false" ht="15" hidden="false" customHeight="false" outlineLevel="0" collapsed="false">
      <c r="A2" s="1"/>
      <c r="B2" s="1" t="str">
        <f aca="false">C3&amp;" – Dashboard"</f>
        <v>Project Bana – Dashboard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customFormat="false" ht="19.7" hidden="false" customHeight="false" outlineLevel="0" collapsed="false">
      <c r="C3" s="2" t="s">
        <v>0</v>
      </c>
    </row>
    <row r="4" customFormat="false" ht="15" hidden="false" customHeight="false" outlineLevel="0" collapsed="false">
      <c r="C4" s="0" t="s">
        <v>1</v>
      </c>
    </row>
    <row r="5" customFormat="false" ht="15" hidden="false" customHeight="false" outlineLevel="0" collapsed="false">
      <c r="C5" s="0" t="s">
        <v>2</v>
      </c>
      <c r="E5" s="3" t="s">
        <v>3</v>
      </c>
    </row>
    <row r="6" customFormat="false" ht="15" hidden="false" customHeight="false" outlineLevel="0" collapsed="false">
      <c r="C6" s="0" t="s">
        <v>4</v>
      </c>
      <c r="E6" s="4" t="n">
        <v>46308</v>
      </c>
    </row>
    <row r="7" customFormat="false" ht="15" hidden="false" customHeight="false" outlineLevel="0" collapsed="false">
      <c r="C7" s="0" t="s">
        <v>5</v>
      </c>
      <c r="E7" s="5" t="str">
        <f aca="false">Scenario_Name</f>
        <v>Base</v>
      </c>
    </row>
    <row r="8" customFormat="false" ht="15" hidden="false" customHeight="false" outlineLevel="0" collapsed="false">
      <c r="C8" s="0" t="s">
        <v>6</v>
      </c>
      <c r="E8" s="6" t="str">
        <f aca="false">IF(Master_Check=0,"OK","CHECK")</f>
        <v>OK</v>
      </c>
    </row>
    <row r="9" customFormat="false" ht="15" hidden="false" customHeight="false" outlineLevel="0" collapsed="false">
      <c r="C9" s="7" t="s">
        <v>7</v>
      </c>
      <c r="D9" s="7" t="s">
        <v>8</v>
      </c>
      <c r="E9" s="8" t="s">
        <v>9</v>
      </c>
      <c r="F9" s="8" t="s">
        <v>10</v>
      </c>
      <c r="Q9" s="7" t="s">
        <v>11</v>
      </c>
      <c r="R9" s="7" t="s">
        <v>8</v>
      </c>
      <c r="S9" s="8" t="s">
        <v>12</v>
      </c>
    </row>
    <row r="11" customFormat="false" ht="15" hidden="false" customHeight="false" outlineLevel="0" collapsed="false">
      <c r="A11" s="9" t="s">
        <v>13</v>
      </c>
      <c r="B11" s="9"/>
      <c r="C11" s="9" t="s">
        <v>14</v>
      </c>
      <c r="D11" s="9"/>
      <c r="E11" s="10" t="s">
        <v>9</v>
      </c>
      <c r="F11" s="10" t="s">
        <v>10</v>
      </c>
      <c r="G11" s="9"/>
      <c r="H11" s="10" t="s">
        <v>15</v>
      </c>
      <c r="I11" s="10" t="s">
        <v>16</v>
      </c>
      <c r="J11" s="10" t="s">
        <v>17</v>
      </c>
      <c r="K11" s="9"/>
      <c r="L11" s="9"/>
      <c r="M11" s="9"/>
      <c r="N11" s="9"/>
      <c r="O11" s="9"/>
      <c r="Q11" s="9" t="s">
        <v>5</v>
      </c>
      <c r="R11" s="9"/>
      <c r="S11" s="9"/>
    </row>
    <row r="12" customFormat="false" ht="15" hidden="false" customHeight="false" outlineLevel="0" collapsed="false">
      <c r="C12" s="0" t="s">
        <v>18</v>
      </c>
      <c r="D12" s="11" t="s">
        <v>19</v>
      </c>
      <c r="E12" s="12" t="n">
        <v>50</v>
      </c>
      <c r="F12" s="12" t="n">
        <v>50</v>
      </c>
      <c r="H12" s="13" t="s">
        <v>20</v>
      </c>
      <c r="I12" s="14" t="n">
        <f aca="false">Calc_1!$F$31</f>
        <v>20</v>
      </c>
      <c r="J12" s="14" t="n">
        <f aca="false">Calc_2!$F$31</f>
        <v>20</v>
      </c>
      <c r="Q12" s="13" t="s">
        <v>5</v>
      </c>
      <c r="R12" s="11" t="s">
        <v>21</v>
      </c>
      <c r="S12" s="15" t="s">
        <v>22</v>
      </c>
    </row>
    <row r="13" customFormat="false" ht="15" hidden="false" customHeight="false" outlineLevel="0" collapsed="false">
      <c r="C13" s="0" t="s">
        <v>23</v>
      </c>
      <c r="D13" s="11" t="s">
        <v>24</v>
      </c>
      <c r="E13" s="16" t="n">
        <v>3</v>
      </c>
      <c r="F13" s="16" t="n">
        <v>3</v>
      </c>
      <c r="H13" s="13" t="s">
        <v>25</v>
      </c>
      <c r="I13" s="14" t="n">
        <f aca="false">Calc_1!$F$32</f>
        <v>15</v>
      </c>
      <c r="J13" s="14" t="n">
        <f aca="false">Calc_2!$F$32</f>
        <v>15</v>
      </c>
    </row>
    <row r="14" customFormat="false" ht="15" hidden="false" customHeight="false" outlineLevel="0" collapsed="false">
      <c r="C14" s="0" t="s">
        <v>26</v>
      </c>
      <c r="D14" s="11" t="s">
        <v>27</v>
      </c>
      <c r="E14" s="17" t="n">
        <v>0.2</v>
      </c>
      <c r="F14" s="17" t="n">
        <v>0.2</v>
      </c>
      <c r="H14" s="13" t="s">
        <v>28</v>
      </c>
      <c r="I14" s="14" t="n">
        <f aca="false">Calc_1!$F$33</f>
        <v>5</v>
      </c>
      <c r="J14" s="14" t="n">
        <f aca="false">Calc_2!$F$33</f>
        <v>5</v>
      </c>
      <c r="Q14" s="9" t="s">
        <v>29</v>
      </c>
      <c r="R14" s="9"/>
      <c r="S14" s="9"/>
    </row>
    <row r="15" customFormat="false" ht="15" hidden="false" customHeight="false" outlineLevel="0" collapsed="false">
      <c r="C15" s="0" t="s">
        <v>30</v>
      </c>
      <c r="D15" s="11" t="s">
        <v>27</v>
      </c>
      <c r="E15" s="17" t="n">
        <v>0.2</v>
      </c>
      <c r="F15" s="17" t="n">
        <v>0.2</v>
      </c>
      <c r="H15" s="13" t="s">
        <v>31</v>
      </c>
      <c r="I15" s="14" t="n">
        <f aca="false">Calc_1!$F$34</f>
        <v>7.5</v>
      </c>
      <c r="J15" s="14" t="n">
        <f aca="false">Calc_2!$F$34</f>
        <v>7.5</v>
      </c>
      <c r="Q15" s="13" t="s">
        <v>32</v>
      </c>
      <c r="R15" s="11" t="s">
        <v>33</v>
      </c>
      <c r="S15" s="18" t="n">
        <f aca="false">In_Purchase_Price</f>
        <v>4500</v>
      </c>
    </row>
    <row r="16" customFormat="false" ht="15" hidden="false" customHeight="false" outlineLevel="0" collapsed="false">
      <c r="C16" s="0" t="s">
        <v>34</v>
      </c>
      <c r="D16" s="11" t="s">
        <v>35</v>
      </c>
      <c r="E16" s="19" t="n">
        <v>4</v>
      </c>
      <c r="F16" s="19" t="n">
        <v>4</v>
      </c>
      <c r="H16" s="13" t="s">
        <v>36</v>
      </c>
      <c r="Q16" s="13" t="s">
        <v>37</v>
      </c>
      <c r="R16" s="11" t="s">
        <v>38</v>
      </c>
      <c r="S16" s="20" t="n">
        <f aca="false">In_COD</f>
        <v>47756</v>
      </c>
    </row>
    <row r="17" customFormat="false" ht="15" hidden="false" customHeight="false" outlineLevel="0" collapsed="false">
      <c r="C17" s="0" t="s">
        <v>39</v>
      </c>
      <c r="D17" s="11" t="s">
        <v>13</v>
      </c>
      <c r="E17" s="21" t="n">
        <v>1</v>
      </c>
      <c r="F17" s="21" t="n">
        <v>1</v>
      </c>
      <c r="H17" s="13" t="s">
        <v>40</v>
      </c>
      <c r="I17" s="14" t="n">
        <f aca="false">Calc_1!$F$36</f>
        <v>0</v>
      </c>
      <c r="J17" s="14" t="n">
        <f aca="false">Calc_2!$F$36</f>
        <v>0</v>
      </c>
      <c r="Q17" s="13" t="s">
        <v>41</v>
      </c>
      <c r="R17" s="11" t="s">
        <v>27</v>
      </c>
      <c r="S17" s="22" t="n">
        <f aca="false">In_Overbuild_Built</f>
        <v>0.1</v>
      </c>
    </row>
    <row r="18" customFormat="false" ht="15" hidden="false" customHeight="false" outlineLevel="0" collapsed="false">
      <c r="C18" s="0" t="s">
        <v>42</v>
      </c>
      <c r="D18" s="11" t="s">
        <v>43</v>
      </c>
      <c r="E18" s="23" t="n">
        <v>0</v>
      </c>
      <c r="F18" s="23" t="n">
        <v>0</v>
      </c>
      <c r="H18" s="13" t="s">
        <v>44</v>
      </c>
      <c r="I18" s="14" t="n">
        <f aca="false">Calc_1!$F$35</f>
        <v>0</v>
      </c>
      <c r="J18" s="14" t="n">
        <f aca="false">Calc_2!$F$35</f>
        <v>0</v>
      </c>
      <c r="Q18" s="13" t="s">
        <v>45</v>
      </c>
      <c r="R18" s="11" t="s">
        <v>43</v>
      </c>
      <c r="S18" s="24" t="n">
        <f aca="false">In_Sanction_Regime</f>
        <v>1</v>
      </c>
    </row>
    <row r="19" customFormat="false" ht="15" hidden="false" customHeight="false" outlineLevel="0" collapsed="false">
      <c r="C19" s="0" t="s">
        <v>46</v>
      </c>
      <c r="D19" s="11" t="s">
        <v>43</v>
      </c>
      <c r="E19" s="23" t="n">
        <v>0</v>
      </c>
      <c r="F19" s="23" t="n">
        <v>0</v>
      </c>
      <c r="H19" s="13" t="s">
        <v>44</v>
      </c>
      <c r="I19" s="14" t="n">
        <f aca="false">Calc_1!$F$37</f>
        <v>0</v>
      </c>
      <c r="J19" s="14" t="n">
        <f aca="false">Calc_2!$F$37</f>
        <v>0</v>
      </c>
      <c r="Q19" s="13" t="s">
        <v>47</v>
      </c>
      <c r="R19" s="11" t="s">
        <v>19</v>
      </c>
      <c r="S19" s="18" t="n">
        <f aca="false">In_COD_Price</f>
        <v>2450</v>
      </c>
    </row>
    <row r="20" customFormat="false" ht="15" hidden="false" customHeight="false" outlineLevel="0" collapsed="false">
      <c r="C20" s="0" t="s">
        <v>48</v>
      </c>
      <c r="D20" s="11" t="s">
        <v>43</v>
      </c>
      <c r="E20" s="23" t="n">
        <v>1</v>
      </c>
      <c r="F20" s="23" t="n">
        <v>0</v>
      </c>
      <c r="H20" s="13" t="s">
        <v>44</v>
      </c>
      <c r="I20" s="14" t="n">
        <f aca="false">Calc_1!$F$38</f>
        <v>12</v>
      </c>
      <c r="J20" s="14" t="n">
        <f aca="false">Calc_2!$F$38</f>
        <v>0</v>
      </c>
      <c r="Q20" s="13" t="s">
        <v>49</v>
      </c>
      <c r="R20" s="11" t="s">
        <v>19</v>
      </c>
      <c r="S20" s="18" t="n">
        <f aca="false">In_COD_Price_CN</f>
        <v>2100</v>
      </c>
    </row>
    <row r="21" customFormat="false" ht="15" hidden="false" customHeight="false" outlineLevel="0" collapsed="false">
      <c r="C21" s="0" t="s">
        <v>50</v>
      </c>
      <c r="D21" s="11" t="s">
        <v>43</v>
      </c>
      <c r="E21" s="23" t="n">
        <v>0</v>
      </c>
      <c r="F21" s="23" t="n">
        <v>0</v>
      </c>
      <c r="H21" s="13" t="s">
        <v>44</v>
      </c>
      <c r="I21" s="14" t="n">
        <f aca="false">Calc_1!$F$39</f>
        <v>0</v>
      </c>
      <c r="J21" s="14" t="n">
        <f aca="false">Calc_2!$F$39</f>
        <v>0</v>
      </c>
      <c r="Q21" s="13" t="s">
        <v>51</v>
      </c>
      <c r="R21" s="11" t="s">
        <v>19</v>
      </c>
      <c r="S21" s="18" t="n">
        <f aca="false">In_Turbine</f>
        <v>600</v>
      </c>
    </row>
    <row r="22" customFormat="false" ht="15" hidden="false" customHeight="false" outlineLevel="0" collapsed="false">
      <c r="C22" s="25" t="s">
        <v>52</v>
      </c>
      <c r="D22" s="11" t="s">
        <v>53</v>
      </c>
      <c r="E22" s="26" t="n">
        <f aca="false">Calc_1!$E40</f>
        <v>59.5</v>
      </c>
      <c r="F22" s="26" t="n">
        <f aca="false">Calc_2!$E40</f>
        <v>47.5</v>
      </c>
      <c r="Q22" s="13" t="s">
        <v>54</v>
      </c>
      <c r="R22" s="11" t="s">
        <v>19</v>
      </c>
      <c r="S22" s="18" t="n">
        <f aca="false">In_Turbine_CN</f>
        <v>500</v>
      </c>
    </row>
    <row r="23" customFormat="false" ht="15" hidden="false" customHeight="false" outlineLevel="0" collapsed="false">
      <c r="C23" s="0" t="s">
        <v>55</v>
      </c>
      <c r="D23" s="11" t="s">
        <v>43</v>
      </c>
      <c r="E23" s="27" t="str">
        <f aca="false">IF(Calc_1!$E41+Calc_1!$F41=0,"OK","CHECK")</f>
        <v>OK</v>
      </c>
      <c r="F23" s="27" t="str">
        <f aca="false">IF(Calc_2!$E41+Calc_2!$F41=0,"OK","CHECK")</f>
        <v>OK</v>
      </c>
      <c r="Q23" s="13" t="s">
        <v>56</v>
      </c>
      <c r="R23" s="11" t="s">
        <v>57</v>
      </c>
      <c r="S23" s="18" t="n">
        <f aca="false">In_P50_Hours</f>
        <v>2460</v>
      </c>
    </row>
    <row r="24" customFormat="false" ht="15" hidden="false" customHeight="false" outlineLevel="0" collapsed="false">
      <c r="Q24" s="0" t="s">
        <v>58</v>
      </c>
      <c r="R24" s="11" t="s">
        <v>24</v>
      </c>
      <c r="S24" s="28" t="n">
        <f aca="false">In_PPA_Price</f>
        <v>90</v>
      </c>
    </row>
    <row r="25" customFormat="false" ht="15" hidden="false" customHeight="false" outlineLevel="0" collapsed="false">
      <c r="A25" s="9" t="s">
        <v>13</v>
      </c>
      <c r="B25" s="9"/>
      <c r="C25" s="9" t="s">
        <v>59</v>
      </c>
      <c r="D25" s="9"/>
      <c r="E25" s="10" t="s">
        <v>9</v>
      </c>
      <c r="F25" s="10" t="s">
        <v>10</v>
      </c>
      <c r="G25" s="9"/>
      <c r="H25" s="9"/>
      <c r="I25" s="9"/>
      <c r="J25" s="9"/>
      <c r="K25" s="9"/>
      <c r="L25" s="9"/>
      <c r="M25" s="9"/>
      <c r="N25" s="9"/>
      <c r="O25" s="9"/>
      <c r="Q25" s="13" t="s">
        <v>60</v>
      </c>
      <c r="R25" s="11" t="s">
        <v>27</v>
      </c>
      <c r="S25" s="22" t="n">
        <f aca="false">In_Debt_Rate</f>
        <v>0.05</v>
      </c>
    </row>
    <row r="26" customFormat="false" ht="15" hidden="false" customHeight="false" outlineLevel="0" collapsed="false">
      <c r="C26" s="0" t="s">
        <v>61</v>
      </c>
      <c r="D26" s="11" t="s">
        <v>62</v>
      </c>
      <c r="E26" s="28" t="n">
        <f aca="false">Calc_1!$E24</f>
        <v>60</v>
      </c>
      <c r="F26" s="28" t="n">
        <f aca="false">Calc_2!$E24</f>
        <v>60</v>
      </c>
      <c r="Q26" s="13" t="s">
        <v>63</v>
      </c>
      <c r="R26" s="11" t="s">
        <v>13</v>
      </c>
      <c r="S26" s="29" t="n">
        <f aca="false">In_DSCR</f>
        <v>1.2</v>
      </c>
    </row>
    <row r="27" customFormat="false" ht="15" hidden="false" customHeight="false" outlineLevel="0" collapsed="false">
      <c r="C27" s="0" t="s">
        <v>64</v>
      </c>
      <c r="D27" s="11" t="s">
        <v>62</v>
      </c>
      <c r="E27" s="28" t="n">
        <f aca="false">Calc_1!$F24</f>
        <v>55</v>
      </c>
      <c r="F27" s="28" t="n">
        <f aca="false">Calc_2!$F24</f>
        <v>55</v>
      </c>
      <c r="Q27" s="13" t="s">
        <v>65</v>
      </c>
      <c r="R27" s="11" t="s">
        <v>66</v>
      </c>
      <c r="S27" s="30" t="n">
        <f aca="false">In_Debt_Tenor</f>
        <v>18</v>
      </c>
    </row>
    <row r="28" customFormat="false" ht="15" hidden="false" customHeight="false" outlineLevel="0" collapsed="false">
      <c r="C28" s="0" t="s">
        <v>67</v>
      </c>
      <c r="D28" s="11" t="s">
        <v>62</v>
      </c>
      <c r="E28" s="28" t="n">
        <f aca="false">Calc_1!$E25</f>
        <v>10</v>
      </c>
      <c r="F28" s="28" t="n">
        <f aca="false">Calc_2!$E25</f>
        <v>10</v>
      </c>
      <c r="Q28" s="13" t="s">
        <v>68</v>
      </c>
      <c r="R28" s="11" t="s">
        <v>27</v>
      </c>
      <c r="S28" s="22" t="n">
        <f aca="false">In_Gearing</f>
        <v>0.8</v>
      </c>
    </row>
    <row r="29" customFormat="false" ht="15" hidden="false" customHeight="false" outlineLevel="0" collapsed="false">
      <c r="C29" s="0" t="s">
        <v>69</v>
      </c>
      <c r="D29" s="11" t="s">
        <v>70</v>
      </c>
      <c r="E29" s="28" t="n">
        <f aca="false">Calc_1!$E26</f>
        <v>40</v>
      </c>
      <c r="F29" s="28" t="n">
        <f aca="false">Calc_2!$E26</f>
        <v>40</v>
      </c>
      <c r="Q29" s="13" t="s">
        <v>71</v>
      </c>
      <c r="R29" s="11" t="s">
        <v>27</v>
      </c>
      <c r="S29" s="22" t="n">
        <f aca="false">In_Gearing_CN</f>
        <v>0.7</v>
      </c>
    </row>
    <row r="30" customFormat="false" ht="15" hidden="false" customHeight="false" outlineLevel="0" collapsed="false">
      <c r="C30" s="0" t="s">
        <v>72</v>
      </c>
      <c r="D30" s="11" t="s">
        <v>62</v>
      </c>
      <c r="E30" s="28" t="n">
        <f aca="false">Calc_1!$F25</f>
        <v>10</v>
      </c>
      <c r="F30" s="28" t="n">
        <f aca="false">Calc_2!$F25</f>
        <v>10</v>
      </c>
      <c r="Q30" s="13" t="s">
        <v>73</v>
      </c>
      <c r="R30" s="11" t="s">
        <v>27</v>
      </c>
      <c r="S30" s="22" t="n">
        <f aca="false">In_CIT</f>
        <v>0.09</v>
      </c>
    </row>
    <row r="31" customFormat="false" ht="15" hidden="false" customHeight="false" outlineLevel="0" collapsed="false">
      <c r="C31" s="0" t="s">
        <v>74</v>
      </c>
      <c r="D31" s="11" t="s">
        <v>27</v>
      </c>
      <c r="E31" s="22" t="n">
        <f aca="false">Calc_1!$E28</f>
        <v>0.0833333333333333</v>
      </c>
      <c r="F31" s="22" t="n">
        <f aca="false">Calc_2!$E28</f>
        <v>0.0833333333333333</v>
      </c>
      <c r="Q31" s="13" t="s">
        <v>75</v>
      </c>
      <c r="R31" s="11" t="s">
        <v>27</v>
      </c>
      <c r="S31" s="22" t="n">
        <f aca="false">In_Discount_Rate</f>
        <v>0.08</v>
      </c>
    </row>
    <row r="32" customFormat="false" ht="15" hidden="false" customHeight="false" outlineLevel="0" collapsed="false">
      <c r="C32" s="0" t="s">
        <v>76</v>
      </c>
      <c r="D32" s="11" t="s">
        <v>27</v>
      </c>
      <c r="E32" s="31" t="n">
        <f aca="false">Calc_1!$E27</f>
        <v>0.00454545454545455</v>
      </c>
      <c r="F32" s="31" t="n">
        <f aca="false">Calc_2!$E27</f>
        <v>0.00454545454545455</v>
      </c>
      <c r="Q32" s="13" t="s">
        <v>77</v>
      </c>
      <c r="R32" s="11" t="s">
        <v>78</v>
      </c>
      <c r="S32" s="18" t="n">
        <f aca="false">In_FX</f>
        <v>365</v>
      </c>
    </row>
    <row r="33" customFormat="false" ht="15" hidden="false" customHeight="false" outlineLevel="0" collapsed="false">
      <c r="C33" s="0" t="s">
        <v>79</v>
      </c>
      <c r="D33" s="11" t="s">
        <v>80</v>
      </c>
      <c r="E33" s="32" t="n">
        <f aca="false">Calc_1!$E57/Thousand</f>
        <v>0</v>
      </c>
      <c r="F33" s="32" t="n">
        <f aca="false">Calc_2!$E57/Thousand</f>
        <v>0</v>
      </c>
    </row>
    <row r="34" customFormat="false" ht="15" hidden="false" customHeight="false" outlineLevel="0" collapsed="false">
      <c r="C34" s="0" t="s">
        <v>81</v>
      </c>
      <c r="D34" s="11" t="s">
        <v>80</v>
      </c>
      <c r="E34" s="32" t="n">
        <f aca="false">Calc_1!$F57/Thousand</f>
        <v>2.21643835616438</v>
      </c>
      <c r="F34" s="32" t="n">
        <f aca="false">Calc_2!$F57/Thousand</f>
        <v>2.21643835616438</v>
      </c>
    </row>
    <row r="36" customFormat="false" ht="15" hidden="false" customHeight="false" outlineLevel="0" collapsed="false">
      <c r="A36" s="9" t="s">
        <v>13</v>
      </c>
      <c r="B36" s="9"/>
      <c r="C36" s="9" t="s">
        <v>82</v>
      </c>
      <c r="D36" s="9"/>
      <c r="E36" s="10" t="s">
        <v>9</v>
      </c>
      <c r="F36" s="10" t="s">
        <v>10</v>
      </c>
      <c r="G36" s="9"/>
      <c r="H36" s="9"/>
      <c r="I36" s="9"/>
      <c r="J36" s="9"/>
      <c r="K36" s="9"/>
      <c r="L36" s="9"/>
      <c r="M36" s="9"/>
      <c r="N36" s="9"/>
      <c r="O36" s="9"/>
    </row>
    <row r="37" customFormat="false" ht="15" hidden="false" customHeight="false" outlineLevel="0" collapsed="false">
      <c r="C37" s="0" t="s">
        <v>83</v>
      </c>
      <c r="D37" s="11" t="s">
        <v>80</v>
      </c>
      <c r="E37" s="32" t="n">
        <f aca="false">Calc_1!$I129/Thousand</f>
        <v>41.3871450046578</v>
      </c>
      <c r="F37" s="32" t="n">
        <f aca="false">Calc_2!$I129/Thousand</f>
        <v>30.2252818902668</v>
      </c>
    </row>
    <row r="38" customFormat="false" ht="15" hidden="false" customHeight="false" outlineLevel="0" collapsed="false">
      <c r="C38" s="25" t="s">
        <v>84</v>
      </c>
      <c r="D38" s="11" t="s">
        <v>27</v>
      </c>
      <c r="E38" s="33" t="n">
        <f aca="false">Calc_1!$E130</f>
        <v>0.624343544593479</v>
      </c>
      <c r="F38" s="33" t="n">
        <f aca="false">Calc_2!$E130</f>
        <v>0.47383720841244</v>
      </c>
    </row>
    <row r="39" customFormat="false" ht="15" hidden="false" customHeight="false" outlineLevel="0" collapsed="false">
      <c r="C39" s="0" t="s">
        <v>85</v>
      </c>
      <c r="D39" s="11" t="s">
        <v>13</v>
      </c>
      <c r="E39" s="29" t="n">
        <f aca="false">Calc_1!$E131</f>
        <v>2.68350091902412</v>
      </c>
      <c r="F39" s="29" t="n">
        <f aca="false">Calc_2!$E131</f>
        <v>2.00126916528766</v>
      </c>
    </row>
    <row r="40" customFormat="false" ht="15" hidden="false" customHeight="false" outlineLevel="0" collapsed="false">
      <c r="C40" s="0" t="s">
        <v>86</v>
      </c>
      <c r="D40" s="11" t="s">
        <v>80</v>
      </c>
      <c r="E40" s="32" t="n">
        <f aca="false">Calc_1!$E132/Thousand</f>
        <v>28.4733902277952</v>
      </c>
      <c r="F40" s="32" t="n">
        <f aca="false">Calc_2!$E132/Thousand</f>
        <v>19.8103623570828</v>
      </c>
    </row>
    <row r="41" customFormat="false" ht="15" hidden="false" customHeight="false" outlineLevel="0" collapsed="false">
      <c r="C41" s="0" t="s">
        <v>87</v>
      </c>
      <c r="D41" s="11" t="s">
        <v>80</v>
      </c>
      <c r="E41" s="32" t="n">
        <f aca="false">Calc_1!$I137/Thousand</f>
        <v>134.539527402984</v>
      </c>
      <c r="F41" s="32" t="n">
        <f aca="false">Calc_2!$I137/Thousand</f>
        <v>148.354918341456</v>
      </c>
    </row>
    <row r="42" customFormat="false" ht="15" hidden="false" customHeight="false" outlineLevel="0" collapsed="false">
      <c r="C42" s="25" t="s">
        <v>88</v>
      </c>
      <c r="D42" s="11" t="s">
        <v>27</v>
      </c>
      <c r="E42" s="33" t="n">
        <f aca="false">Calc_1!$E138</f>
        <v>0.119964137616349</v>
      </c>
      <c r="F42" s="33" t="n">
        <f aca="false">Calc_2!$E138</f>
        <v>0.12592370397166</v>
      </c>
    </row>
    <row r="43" customFormat="false" ht="15" hidden="false" customHeight="false" outlineLevel="0" collapsed="false">
      <c r="C43" s="0" t="s">
        <v>89</v>
      </c>
      <c r="D43" s="11" t="s">
        <v>13</v>
      </c>
      <c r="E43" s="29" t="n">
        <f aca="false">Calc_1!$E139</f>
        <v>6.17426460476343</v>
      </c>
      <c r="F43" s="29" t="n">
        <f aca="false">Calc_2!$E139</f>
        <v>5.73637782064561</v>
      </c>
    </row>
    <row r="44" customFormat="false" ht="15" hidden="false" customHeight="false" outlineLevel="0" collapsed="false">
      <c r="C44" s="0" t="s">
        <v>90</v>
      </c>
      <c r="D44" s="11" t="s">
        <v>80</v>
      </c>
      <c r="E44" s="32" t="n">
        <f aca="false">Calc_1!$E140/Thousand</f>
        <v>13.4791979280703</v>
      </c>
      <c r="F44" s="32" t="n">
        <f aca="false">Calc_2!$E140/Thousand</f>
        <v>16.9289551785453</v>
      </c>
    </row>
    <row r="45" customFormat="false" ht="15" hidden="false" customHeight="false" outlineLevel="0" collapsed="false">
      <c r="C45" s="0" t="s">
        <v>91</v>
      </c>
      <c r="D45" s="11" t="s">
        <v>27</v>
      </c>
      <c r="E45" s="22" t="n">
        <f aca="false">Calc_1!$E136</f>
        <v>0.087034916708748</v>
      </c>
      <c r="F45" s="22" t="n">
        <f aca="false">Calc_2!$E136</f>
        <v>0.0949295483894887</v>
      </c>
    </row>
    <row r="47" customFormat="false" ht="15" hidden="false" customHeight="false" outlineLevel="0" collapsed="false">
      <c r="A47" s="9" t="s">
        <v>13</v>
      </c>
      <c r="B47" s="9"/>
      <c r="C47" s="9" t="s">
        <v>92</v>
      </c>
      <c r="D47" s="9"/>
      <c r="E47" s="10" t="s">
        <v>9</v>
      </c>
      <c r="F47" s="10" t="s">
        <v>10</v>
      </c>
      <c r="G47" s="9"/>
      <c r="H47" s="9"/>
      <c r="I47" s="9"/>
      <c r="J47" s="9"/>
      <c r="K47" s="9"/>
      <c r="L47" s="9"/>
      <c r="M47" s="9"/>
      <c r="N47" s="9"/>
      <c r="O47" s="9"/>
    </row>
    <row r="48" customFormat="false" ht="15" hidden="false" customHeight="false" outlineLevel="0" collapsed="false">
      <c r="C48" s="0" t="s">
        <v>93</v>
      </c>
      <c r="D48" s="11" t="s">
        <v>80</v>
      </c>
      <c r="E48" s="32" t="n">
        <f aca="false">Calc_1!$E113/Thousand</f>
        <v>5.15</v>
      </c>
      <c r="F48" s="32" t="n">
        <f aca="false">Calc_2!$E113/Thousand</f>
        <v>5.15</v>
      </c>
    </row>
    <row r="49" customFormat="false" ht="15" hidden="false" customHeight="false" outlineLevel="0" collapsed="false">
      <c r="C49" s="0" t="s">
        <v>94</v>
      </c>
      <c r="D49" s="11" t="s">
        <v>80</v>
      </c>
      <c r="E49" s="32" t="n">
        <f aca="false">Calc_1!$E114/Thousand</f>
        <v>1.11492155376243</v>
      </c>
      <c r="F49" s="32" t="n">
        <f aca="false">Calc_2!$E114/Thousand</f>
        <v>1.11492155376243</v>
      </c>
    </row>
    <row r="50" customFormat="false" ht="15" hidden="false" customHeight="false" outlineLevel="0" collapsed="false">
      <c r="C50" s="0" t="s">
        <v>95</v>
      </c>
      <c r="D50" s="11" t="s">
        <v>80</v>
      </c>
      <c r="E50" s="32" t="n">
        <f aca="false">Calc_1!$E115/Thousand</f>
        <v>70.15125</v>
      </c>
      <c r="F50" s="32" t="n">
        <f aca="false">Calc_2!$E115/Thousand</f>
        <v>63.11625</v>
      </c>
    </row>
    <row r="51" customFormat="false" ht="15" hidden="false" customHeight="false" outlineLevel="0" collapsed="false">
      <c r="C51" s="0" t="s">
        <v>96</v>
      </c>
      <c r="D51" s="11" t="s">
        <v>80</v>
      </c>
      <c r="E51" s="32" t="n">
        <f aca="false">Calc_1!$E116/Thousand</f>
        <v>8.15482315068493</v>
      </c>
      <c r="F51" s="32" t="n">
        <f aca="false">Calc_2!$E116/Thousand</f>
        <v>8.15482315068493</v>
      </c>
    </row>
    <row r="52" customFormat="false" ht="15" hidden="false" customHeight="false" outlineLevel="0" collapsed="false">
      <c r="C52" s="0" t="s">
        <v>97</v>
      </c>
      <c r="D52" s="11" t="s">
        <v>80</v>
      </c>
      <c r="E52" s="32" t="n">
        <f aca="false">Calc_1!$E117/Thousand</f>
        <v>2.5</v>
      </c>
      <c r="F52" s="32" t="n">
        <f aca="false">Calc_2!$E117/Thousand</f>
        <v>2.5</v>
      </c>
    </row>
    <row r="53" customFormat="false" ht="15" hidden="false" customHeight="false" outlineLevel="0" collapsed="false">
      <c r="C53" s="0" t="s">
        <v>98</v>
      </c>
      <c r="D53" s="11" t="s">
        <v>80</v>
      </c>
      <c r="E53" s="32" t="n">
        <f aca="false">Calc_1!$E118/Thousand</f>
        <v>4.83919009336073</v>
      </c>
      <c r="F53" s="32" t="n">
        <f aca="false">Calc_2!$E118/Thousand</f>
        <v>3.87355320775171</v>
      </c>
    </row>
    <row r="54" customFormat="false" ht="15" hidden="false" customHeight="false" outlineLevel="0" collapsed="false">
      <c r="C54" s="0" t="s">
        <v>99</v>
      </c>
      <c r="D54" s="11" t="s">
        <v>80</v>
      </c>
      <c r="E54" s="32" t="n">
        <f aca="false">Calc_1!$E119/Thousand</f>
        <v>0.340170197534084</v>
      </c>
      <c r="F54" s="32" t="n">
        <f aca="false">Calc_2!$E119/Thousand</f>
        <v>0.340170197534084</v>
      </c>
    </row>
    <row r="55" customFormat="false" ht="15" hidden="false" customHeight="false" outlineLevel="0" collapsed="false">
      <c r="C55" s="25" t="s">
        <v>100</v>
      </c>
      <c r="D55" s="11" t="s">
        <v>80</v>
      </c>
      <c r="E55" s="26" t="n">
        <f aca="false">Calc_1!$E120/Thousand</f>
        <v>92.2503549953422</v>
      </c>
      <c r="F55" s="26" t="n">
        <f aca="false">Calc_2!$E120/Thousand</f>
        <v>84.2497181097332</v>
      </c>
    </row>
    <row r="56" customFormat="false" ht="15" hidden="false" customHeight="false" outlineLevel="0" collapsed="false">
      <c r="C56" s="0" t="s">
        <v>101</v>
      </c>
      <c r="D56" s="11" t="s">
        <v>80</v>
      </c>
      <c r="E56" s="32" t="n">
        <f aca="false">Calc_1!$E95/Thousand</f>
        <v>67.6663796990003</v>
      </c>
      <c r="F56" s="32" t="n">
        <f aca="false">Calc_2!$E95/Thousand</f>
        <v>54.0627484734684</v>
      </c>
    </row>
    <row r="57" customFormat="false" ht="15" hidden="false" customHeight="false" outlineLevel="0" collapsed="false">
      <c r="C57" s="25" t="s">
        <v>102</v>
      </c>
      <c r="D57" s="11" t="s">
        <v>80</v>
      </c>
      <c r="E57" s="26" t="n">
        <f aca="false">Calc_1!$E121/Thousand</f>
        <v>24.5839752963419</v>
      </c>
      <c r="F57" s="26" t="n">
        <f aca="false">Calc_2!$E121/Thousand</f>
        <v>30.1869696362648</v>
      </c>
    </row>
    <row r="58" customFormat="false" ht="15" hidden="false" customHeight="false" outlineLevel="0" collapsed="false">
      <c r="C58" s="0" t="s">
        <v>103</v>
      </c>
      <c r="D58" s="11" t="s">
        <v>80</v>
      </c>
      <c r="E58" s="32" t="n">
        <f aca="false">Calc_1!$F121/Thousand</f>
        <v>26.0016712866069</v>
      </c>
      <c r="F58" s="32" t="n">
        <f aca="false">Calc_2!$F121/Thousand</f>
        <v>31.3224417390827</v>
      </c>
    </row>
    <row r="59" customFormat="false" ht="15" hidden="false" customHeight="false" outlineLevel="0" collapsed="false">
      <c r="C59" s="0" t="s">
        <v>104</v>
      </c>
      <c r="D59" s="11" t="s">
        <v>27</v>
      </c>
      <c r="E59" s="22" t="n">
        <f aca="false">Calc_1!$E122</f>
        <v>0.733508068369134</v>
      </c>
      <c r="F59" s="22" t="n">
        <f aca="false">Calc_2!$E122</f>
        <v>0.641696490937252</v>
      </c>
    </row>
    <row r="61" customFormat="false" ht="15" hidden="false" customHeight="false" outlineLevel="0" collapsed="false">
      <c r="A61" s="9" t="s">
        <v>13</v>
      </c>
      <c r="B61" s="9"/>
      <c r="C61" s="9" t="s">
        <v>105</v>
      </c>
      <c r="D61" s="9"/>
      <c r="E61" s="10" t="s">
        <v>9</v>
      </c>
      <c r="F61" s="10" t="s">
        <v>10</v>
      </c>
      <c r="G61" s="9"/>
      <c r="H61" s="10" t="s">
        <v>106</v>
      </c>
      <c r="I61" s="10" t="s">
        <v>107</v>
      </c>
      <c r="J61" s="10" t="s">
        <v>108</v>
      </c>
      <c r="K61" s="9"/>
      <c r="L61" s="9"/>
      <c r="M61" s="9"/>
      <c r="N61" s="9"/>
      <c r="O61" s="9"/>
    </row>
    <row r="62" customFormat="false" ht="15" hidden="false" customHeight="false" outlineLevel="0" collapsed="false">
      <c r="C62" s="0" t="s">
        <v>109</v>
      </c>
      <c r="D62" s="11" t="s">
        <v>80</v>
      </c>
      <c r="E62" s="34" t="n">
        <f aca="false">Calc_1!$E48/Thousand</f>
        <v>0.00821917808219178</v>
      </c>
      <c r="F62" s="34" t="n">
        <f aca="false">Calc_2!$E48/Thousand</f>
        <v>0.00821917808219178</v>
      </c>
      <c r="H62" s="13" t="s">
        <v>110</v>
      </c>
      <c r="I62" s="20" t="n">
        <f aca="false">In_Bid_Date</f>
        <v>46325</v>
      </c>
      <c r="J62" s="35" t="s">
        <v>111</v>
      </c>
    </row>
    <row r="63" customFormat="false" ht="15" hidden="false" customHeight="false" outlineLevel="0" collapsed="false">
      <c r="C63" s="0" t="s">
        <v>112</v>
      </c>
      <c r="D63" s="11" t="s">
        <v>80</v>
      </c>
      <c r="E63" s="34" t="n">
        <f aca="false">Calc_1!$E49/Thousand</f>
        <v>0.443287671232877</v>
      </c>
      <c r="F63" s="34" t="n">
        <f aca="false">Calc_2!$E49/Thousand</f>
        <v>0.443287671232877</v>
      </c>
      <c r="H63" s="13" t="s">
        <v>113</v>
      </c>
      <c r="I63" s="20" t="n">
        <f aca="false">In_Bid_Date</f>
        <v>46325</v>
      </c>
      <c r="J63" s="20" t="n">
        <f aca="false">Calc_1!$F$50</f>
        <v>46433</v>
      </c>
    </row>
    <row r="64" customFormat="false" ht="15" hidden="false" customHeight="false" outlineLevel="0" collapsed="false">
      <c r="C64" s="0" t="s">
        <v>114</v>
      </c>
      <c r="D64" s="11" t="s">
        <v>80</v>
      </c>
      <c r="E64" s="34" t="n">
        <f aca="false">Calc_1!$E50/Thousand</f>
        <v>2.21643835616438</v>
      </c>
      <c r="F64" s="34" t="n">
        <f aca="false">Calc_2!$E50/Thousand</f>
        <v>2.21643835616438</v>
      </c>
      <c r="H64" s="13" t="s">
        <v>113</v>
      </c>
      <c r="I64" s="20" t="n">
        <f aca="false">Calc_1!$F$50</f>
        <v>46433</v>
      </c>
      <c r="J64" s="20" t="n">
        <f aca="false">In_PB_Release</f>
        <v>48669</v>
      </c>
    </row>
    <row r="65" customFormat="false" ht="15" hidden="false" customHeight="false" outlineLevel="0" collapsed="false">
      <c r="C65" s="0" t="s">
        <v>115</v>
      </c>
      <c r="D65" s="11" t="s">
        <v>80</v>
      </c>
      <c r="E65" s="34" t="n">
        <f aca="false">Calc_1!$E51/Thousand</f>
        <v>0.616438356164384</v>
      </c>
      <c r="F65" s="34" t="n">
        <f aca="false">Calc_2!$E51/Thousand</f>
        <v>0.616438356164384</v>
      </c>
      <c r="H65" s="13" t="s">
        <v>110</v>
      </c>
      <c r="I65" s="20" t="n">
        <f aca="false">Calc_1!$F$50</f>
        <v>46433</v>
      </c>
      <c r="J65" s="35" t="s">
        <v>116</v>
      </c>
    </row>
    <row r="66" customFormat="false" ht="15" hidden="false" customHeight="false" outlineLevel="0" collapsed="false">
      <c r="C66" s="0" t="s">
        <v>117</v>
      </c>
      <c r="D66" s="11" t="s">
        <v>80</v>
      </c>
      <c r="E66" s="34" t="n">
        <f aca="false">Calc_1!$E52/Thousand</f>
        <v>1.26027397260274</v>
      </c>
      <c r="F66" s="34" t="n">
        <f aca="false">Calc_2!$E52/Thousand</f>
        <v>1.26027397260274</v>
      </c>
      <c r="H66" s="13" t="s">
        <v>110</v>
      </c>
      <c r="I66" s="20" t="n">
        <f aca="false">In_HCSSZ_Date</f>
        <v>47126</v>
      </c>
      <c r="J66" s="35" t="s">
        <v>111</v>
      </c>
    </row>
    <row r="67" customFormat="false" ht="15" hidden="false" customHeight="false" outlineLevel="0" collapsed="false">
      <c r="C67" s="0" t="s">
        <v>118</v>
      </c>
      <c r="D67" s="11" t="s">
        <v>80</v>
      </c>
      <c r="E67" s="34" t="n">
        <f aca="false">Calc_1!$E53/Thousand</f>
        <v>6.89454917808219</v>
      </c>
      <c r="F67" s="34" t="n">
        <f aca="false">Calc_2!$E53/Thousand</f>
        <v>6.89454917808219</v>
      </c>
      <c r="H67" s="13" t="s">
        <v>110</v>
      </c>
      <c r="I67" s="20" t="n">
        <f aca="false">In_HCSSZ_Date</f>
        <v>47126</v>
      </c>
      <c r="J67" s="35" t="s">
        <v>111</v>
      </c>
    </row>
    <row r="68" customFormat="false" ht="15" hidden="false" customHeight="false" outlineLevel="0" collapsed="false">
      <c r="C68" s="0" t="s">
        <v>119</v>
      </c>
      <c r="D68" s="11" t="s">
        <v>80</v>
      </c>
      <c r="E68" s="34" t="n">
        <f aca="false">(-Calc_1!$E55)/Thousand</f>
        <v>0.490264019515857</v>
      </c>
      <c r="F68" s="34" t="n">
        <f aca="false">(-Calc_2!$E55)/Thousand</f>
        <v>0.490264019515857</v>
      </c>
    </row>
    <row r="70" customFormat="false" ht="15" hidden="false" customHeight="false" outlineLevel="0" collapsed="false">
      <c r="A70" s="9" t="s">
        <v>13</v>
      </c>
      <c r="B70" s="9"/>
      <c r="C70" s="9" t="s">
        <v>120</v>
      </c>
      <c r="D70" s="9"/>
      <c r="E70" s="10" t="s">
        <v>9</v>
      </c>
      <c r="F70" s="10" t="s">
        <v>10</v>
      </c>
      <c r="G70" s="9"/>
      <c r="H70" s="9"/>
      <c r="I70" s="9"/>
      <c r="J70" s="9"/>
      <c r="K70" s="9"/>
      <c r="L70" s="9"/>
      <c r="M70" s="9"/>
      <c r="N70" s="9"/>
      <c r="O70" s="9"/>
    </row>
    <row r="71" customFormat="false" ht="15" hidden="false" customHeight="false" outlineLevel="0" collapsed="false">
      <c r="C71" s="0" t="s">
        <v>121</v>
      </c>
      <c r="D71" s="11" t="s">
        <v>80</v>
      </c>
      <c r="E71" s="32" t="n">
        <f aca="false">Calc_1!$E126/Thousand</f>
        <v>134.1375</v>
      </c>
      <c r="F71" s="32" t="n">
        <f aca="false">Calc_2!$E126/Thousand</f>
        <v>114.975</v>
      </c>
    </row>
    <row r="72" customFormat="false" ht="15" hidden="false" customHeight="false" outlineLevel="0" collapsed="false">
      <c r="C72" s="0" t="s">
        <v>122</v>
      </c>
      <c r="D72" s="11" t="s">
        <v>80</v>
      </c>
      <c r="E72" s="32" t="n">
        <f aca="false">Calc_1!$E127/Thousand</f>
        <v>65.9711203009997</v>
      </c>
      <c r="F72" s="32" t="n">
        <f aca="false">Calc_2!$E127/Thousand</f>
        <v>60.4122515265316</v>
      </c>
    </row>
    <row r="73" customFormat="false" ht="15" hidden="false" customHeight="false" outlineLevel="0" collapsed="false">
      <c r="C73" s="0" t="s">
        <v>123</v>
      </c>
      <c r="D73" s="11" t="s">
        <v>80</v>
      </c>
      <c r="E73" s="32" t="n">
        <f aca="false">Calc_1!$E128/Thousand</f>
        <v>-0</v>
      </c>
      <c r="F73" s="32" t="n">
        <f aca="false">Calc_2!$E128/Thousand</f>
        <v>-0</v>
      </c>
    </row>
    <row r="75" customFormat="false" ht="15" hidden="false" customHeight="false" outlineLevel="0" collapsed="false">
      <c r="A75" s="9" t="s">
        <v>13</v>
      </c>
      <c r="B75" s="9"/>
      <c r="C75" s="9" t="s">
        <v>124</v>
      </c>
      <c r="D75" s="9"/>
      <c r="E75" s="10" t="s">
        <v>9</v>
      </c>
      <c r="F75" s="10" t="s">
        <v>10</v>
      </c>
      <c r="G75" s="9"/>
      <c r="H75" s="9"/>
      <c r="I75" s="9"/>
      <c r="J75" s="9"/>
      <c r="K75" s="9"/>
      <c r="L75" s="9"/>
      <c r="M75" s="9"/>
      <c r="N75" s="9"/>
      <c r="O75" s="9"/>
    </row>
    <row r="76" customFormat="false" ht="15" hidden="false" customHeight="false" outlineLevel="0" collapsed="false">
      <c r="C76" s="0" t="s">
        <v>125</v>
      </c>
      <c r="D76" s="11" t="s">
        <v>80</v>
      </c>
      <c r="E76" s="32" t="n">
        <f aca="false">Calc_1!$E84/Thousand</f>
        <v>87.5035453688995</v>
      </c>
      <c r="F76" s="32" t="n">
        <f aca="false">Calc_2!$E84/Thousand</f>
        <v>86.8133267405873</v>
      </c>
    </row>
    <row r="77" customFormat="false" ht="15" hidden="false" customHeight="false" outlineLevel="0" collapsed="false">
      <c r="C77" s="0" t="s">
        <v>126</v>
      </c>
      <c r="D77" s="11" t="s">
        <v>27</v>
      </c>
      <c r="E77" s="22" t="n">
        <f aca="false">Calc_1!$E85</f>
        <v>0.8</v>
      </c>
      <c r="F77" s="22" t="n">
        <f aca="false">Calc_2!$E85</f>
        <v>0.7</v>
      </c>
    </row>
    <row r="78" customFormat="false" ht="15" hidden="false" customHeight="false" outlineLevel="0" collapsed="false">
      <c r="C78" s="0" t="s">
        <v>127</v>
      </c>
      <c r="D78" s="11" t="s">
        <v>27</v>
      </c>
      <c r="E78" s="22" t="n">
        <f aca="false">Calc_1!$E86</f>
        <v>0.8</v>
      </c>
      <c r="F78" s="22" t="n">
        <f aca="false">Calc_2!$E86</f>
        <v>0.7</v>
      </c>
    </row>
    <row r="79" customFormat="false" ht="15" hidden="false" customHeight="false" outlineLevel="0" collapsed="false">
      <c r="C79" s="0" t="s">
        <v>128</v>
      </c>
      <c r="D79" s="11" t="s">
        <v>27</v>
      </c>
      <c r="E79" s="22" t="n">
        <f aca="false">Calc_1!$F86</f>
        <v>0.773298720797321</v>
      </c>
      <c r="F79" s="22" t="n">
        <f aca="false">Calc_2!$F86</f>
        <v>0.622747111569827</v>
      </c>
    </row>
    <row r="80" customFormat="false" ht="15" hidden="false" customHeight="false" outlineLevel="0" collapsed="false">
      <c r="C80" s="0" t="s">
        <v>129</v>
      </c>
      <c r="D80" s="11" t="s">
        <v>80</v>
      </c>
      <c r="E80" s="32" t="n">
        <f aca="false">Calc_1!$E98/Thousand</f>
        <v>1.41769599026504</v>
      </c>
      <c r="F80" s="32" t="n">
        <f aca="false">Calc_2!$E98/Thousand</f>
        <v>1.13547210281793</v>
      </c>
    </row>
    <row r="81" customFormat="false" ht="15" hidden="false" customHeight="false" outlineLevel="0" collapsed="false">
      <c r="C81" s="0" t="s">
        <v>130</v>
      </c>
      <c r="D81" s="11" t="s">
        <v>13</v>
      </c>
      <c r="E81" s="29" t="n">
        <f aca="false">Calc_1!$E99</f>
        <v>1.5517935924719</v>
      </c>
      <c r="F81" s="29" t="n">
        <f aca="false">Calc_2!$E99</f>
        <v>1.92694591063623</v>
      </c>
    </row>
    <row r="82" customFormat="false" ht="15" hidden="false" customHeight="false" outlineLevel="0" collapsed="false">
      <c r="C82" s="0" t="s">
        <v>131</v>
      </c>
      <c r="D82" s="11" t="s">
        <v>132</v>
      </c>
      <c r="E82" s="36" t="n">
        <f aca="false">Calc_1!$E71/Thousand</f>
        <v>131.89149288</v>
      </c>
      <c r="F82" s="36" t="n">
        <f aca="false">Calc_2!$E71/Thousand</f>
        <v>131.89149288</v>
      </c>
    </row>
    <row r="83" customFormat="false" ht="15" hidden="false" customHeight="false" outlineLevel="0" collapsed="false">
      <c r="C83" s="0" t="s">
        <v>133</v>
      </c>
      <c r="D83" s="11" t="s">
        <v>80</v>
      </c>
      <c r="E83" s="32" t="n">
        <f aca="false">Calc_1!$E72/Thousand</f>
        <v>11.988936702792</v>
      </c>
      <c r="F83" s="32" t="n">
        <f aca="false">Calc_2!$E72/Thousand</f>
        <v>11.988936702792</v>
      </c>
    </row>
    <row r="84" customFormat="false" ht="15" hidden="false" customHeight="false" outlineLevel="0" collapsed="false">
      <c r="C84" s="0" t="s">
        <v>134</v>
      </c>
      <c r="D84" s="11" t="s">
        <v>80</v>
      </c>
      <c r="E84" s="32" t="n">
        <f aca="false">Calc_1!$E79/Thousand</f>
        <v>8.95390595038936</v>
      </c>
      <c r="F84" s="32" t="n">
        <f aca="false">Calc_2!$E79/Thousand</f>
        <v>8.95390595038936</v>
      </c>
    </row>
    <row r="85" customFormat="false" ht="15" hidden="false" customHeight="false" outlineLevel="0" collapsed="false">
      <c r="C85" s="0" t="s">
        <v>135</v>
      </c>
      <c r="D85" s="11" t="s">
        <v>80</v>
      </c>
      <c r="E85" s="32" t="n">
        <f aca="false">Calc_1!$I72/Thousand</f>
        <v>398.096796528086</v>
      </c>
      <c r="F85" s="32" t="n">
        <f aca="false">Calc_2!$I72/Thousand</f>
        <v>398.096796528086</v>
      </c>
    </row>
    <row r="86" customFormat="false" ht="15" hidden="false" customHeight="false" outlineLevel="0" collapsed="false">
      <c r="C86" s="0" t="s">
        <v>136</v>
      </c>
      <c r="D86" s="11" t="s">
        <v>80</v>
      </c>
      <c r="E86" s="32" t="n">
        <f aca="false">Calc_1!$I79/Thousand</f>
        <v>275.591293022842</v>
      </c>
      <c r="F86" s="32" t="n">
        <f aca="false">Calc_2!$I79/Thousand</f>
        <v>275.591293022842</v>
      </c>
    </row>
    <row r="87" customFormat="false" ht="15" hidden="false" customHeight="false" outlineLevel="0" collapsed="false">
      <c r="C87" s="0" t="s">
        <v>137</v>
      </c>
      <c r="D87" s="11" t="s">
        <v>80</v>
      </c>
      <c r="E87" s="32" t="n">
        <f aca="false">(SUM(Calc_1!$J109:$EO109))/Thousand</f>
        <v>-13.3952809329621</v>
      </c>
      <c r="F87" s="32" t="n">
        <f aca="false">(SUM(Calc_2!$J109:$EO109))/Thousand</f>
        <v>-14.6724644513527</v>
      </c>
    </row>
    <row r="88" customFormat="false" ht="15" hidden="false" customHeight="false" outlineLevel="0" collapsed="false">
      <c r="C88" s="0" t="s">
        <v>138</v>
      </c>
      <c r="D88" s="11" t="s">
        <v>80</v>
      </c>
      <c r="E88" s="32" t="n">
        <f aca="false">(-Calc_1!$I107)/Thousand</f>
        <v>0.901646474744928</v>
      </c>
      <c r="F88" s="32" t="n">
        <f aca="false">(-Calc_2!$I107)/Thousand</f>
        <v>-0</v>
      </c>
    </row>
    <row r="89" customFormat="false" ht="15" hidden="false" customHeight="false" outlineLevel="0" collapsed="false">
      <c r="C89" s="0" t="s">
        <v>139</v>
      </c>
      <c r="D89" s="11" t="s">
        <v>140</v>
      </c>
      <c r="E89" s="30" t="n">
        <f aca="false">Model_Checks</f>
        <v>0</v>
      </c>
      <c r="F89" s="30" t="n">
        <f aca="false">Model_Checks</f>
        <v>0</v>
      </c>
    </row>
    <row r="91" customFormat="false" ht="15" hidden="false" customHeight="false" outlineLevel="0" collapsed="false">
      <c r="A91" s="9" t="s">
        <v>13</v>
      </c>
      <c r="B91" s="9"/>
      <c r="C91" s="9" t="s">
        <v>141</v>
      </c>
      <c r="D91" s="9"/>
      <c r="E91" s="10" t="s">
        <v>12</v>
      </c>
      <c r="F91" s="10"/>
      <c r="G91" s="9"/>
      <c r="H91" s="10" t="str">
        <f aca="false">Inputs!H$7</f>
        <v>Base</v>
      </c>
      <c r="I91" s="10" t="str">
        <f aca="false">Inputs!I$7</f>
        <v>COD price −10%</v>
      </c>
      <c r="J91" s="10" t="str">
        <f aca="false">Inputs!J$7</f>
        <v>Turbine +10%</v>
      </c>
      <c r="K91" s="10" t="str">
        <f aca="false">Inputs!K$7</f>
        <v>Yield −10%</v>
      </c>
      <c r="L91" s="10" t="str">
        <f aca="false">Inputs!L$7</f>
        <v>PPA −10%</v>
      </c>
      <c r="M91" s="10" t="str">
        <f aca="false">Inputs!M$7</f>
        <v>Full PB call</v>
      </c>
      <c r="N91" s="10" t="str">
        <f aca="false">Inputs!N$7</f>
        <v>Rate +1 pp</v>
      </c>
      <c r="O91" s="10" t="str">
        <f aca="false">Inputs!O$7</f>
        <v>Tenor 10 years</v>
      </c>
    </row>
    <row r="92" customFormat="false" ht="15" hidden="false" customHeight="false" outlineLevel="0" collapsed="false">
      <c r="C92" s="0" t="s">
        <v>142</v>
      </c>
      <c r="D92" s="11" t="s">
        <v>27</v>
      </c>
      <c r="E92" s="22" t="n">
        <f aca="false">Calc_1!$E130</f>
        <v>0.624343544593479</v>
      </c>
      <c r="H92" s="37" t="n">
        <v>0.624343544593479</v>
      </c>
      <c r="I92" s="37" t="n">
        <v>0.476738274009575</v>
      </c>
      <c r="J92" s="37" t="n">
        <v>0.582008841043721</v>
      </c>
      <c r="K92" s="37" t="n">
        <v>0.624343544593479</v>
      </c>
      <c r="L92" s="37" t="n">
        <v>0.624343544593479</v>
      </c>
      <c r="M92" s="37" t="n">
        <v>0.601925306515448</v>
      </c>
      <c r="N92" s="37" t="n">
        <v>0.617852751593615</v>
      </c>
      <c r="O92" s="37" t="n">
        <v>0.577119303040713</v>
      </c>
    </row>
    <row r="93" customFormat="false" ht="15" hidden="false" customHeight="false" outlineLevel="0" collapsed="false">
      <c r="C93" s="0" t="s">
        <v>143</v>
      </c>
      <c r="D93" s="11" t="s">
        <v>27</v>
      </c>
      <c r="E93" s="22" t="n">
        <f aca="false">Calc_2!$E130</f>
        <v>0.47383720841244</v>
      </c>
      <c r="H93" s="37" t="n">
        <v>0.47383720841244</v>
      </c>
      <c r="I93" s="37" t="n">
        <v>0.328291735817911</v>
      </c>
      <c r="J93" s="37" t="n">
        <v>0.433414058247871</v>
      </c>
      <c r="K93" s="37" t="n">
        <v>0.47383720841244</v>
      </c>
      <c r="L93" s="37" t="n">
        <v>0.47383720841244</v>
      </c>
      <c r="M93" s="37" t="n">
        <v>0.447933579721229</v>
      </c>
      <c r="N93" s="37" t="n">
        <v>0.467874719012393</v>
      </c>
      <c r="O93" s="37" t="n">
        <v>0.47383720841244</v>
      </c>
    </row>
    <row r="94" customFormat="false" ht="15" hidden="false" customHeight="false" outlineLevel="0" collapsed="false">
      <c r="C94" s="0" t="s">
        <v>144</v>
      </c>
      <c r="D94" s="11" t="s">
        <v>13</v>
      </c>
      <c r="E94" s="29" t="n">
        <f aca="false">Calc_1!$E131</f>
        <v>2.68350091902412</v>
      </c>
      <c r="H94" s="38" t="n">
        <v>2.68350091902412</v>
      </c>
      <c r="I94" s="38" t="n">
        <v>2.13787109966793</v>
      </c>
      <c r="J94" s="38" t="n">
        <v>2.48759627164955</v>
      </c>
      <c r="K94" s="38" t="n">
        <v>2.68350091902412</v>
      </c>
      <c r="L94" s="38" t="n">
        <v>2.68350091902412</v>
      </c>
      <c r="M94" s="38" t="n">
        <v>2.59334306906508</v>
      </c>
      <c r="N94" s="38" t="n">
        <v>2.65696568317941</v>
      </c>
      <c r="O94" s="38" t="n">
        <v>2.2319774457774</v>
      </c>
    </row>
    <row r="95" customFormat="false" ht="15" hidden="false" customHeight="false" outlineLevel="0" collapsed="false">
      <c r="C95" s="0" t="s">
        <v>145</v>
      </c>
      <c r="D95" s="11" t="s">
        <v>13</v>
      </c>
      <c r="E95" s="29" t="n">
        <f aca="false">Calc_2!$E131</f>
        <v>2.00126916528766</v>
      </c>
      <c r="H95" s="38" t="n">
        <v>2.00126916528766</v>
      </c>
      <c r="I95" s="38" t="n">
        <v>1.62039290846102</v>
      </c>
      <c r="J95" s="38" t="n">
        <v>1.87396836110237</v>
      </c>
      <c r="K95" s="38" t="n">
        <v>2.00126916528766</v>
      </c>
      <c r="L95" s="38" t="n">
        <v>2.00126916528766</v>
      </c>
      <c r="M95" s="38" t="n">
        <v>1.92784548669815</v>
      </c>
      <c r="N95" s="38" t="n">
        <v>1.98413289962687</v>
      </c>
      <c r="O95" s="38" t="n">
        <v>2.00126916528766</v>
      </c>
    </row>
    <row r="96" customFormat="false" ht="15" hidden="false" customHeight="false" outlineLevel="0" collapsed="false">
      <c r="C96" s="0" t="s">
        <v>146</v>
      </c>
      <c r="D96" s="11" t="s">
        <v>27</v>
      </c>
      <c r="E96" s="22" t="n">
        <f aca="false">Calc_1!$E138</f>
        <v>0.119964137616349</v>
      </c>
      <c r="H96" s="37" t="n">
        <v>0.119964137616361</v>
      </c>
      <c r="I96" s="37" t="n">
        <v>0.119964137616361</v>
      </c>
      <c r="J96" s="37" t="n">
        <v>0.112317892314166</v>
      </c>
      <c r="K96" s="37" t="n">
        <v>0.0935640431128808</v>
      </c>
      <c r="L96" s="37" t="n">
        <v>0.0905417985549582</v>
      </c>
      <c r="M96" s="37" t="n">
        <v>0.113878099009195</v>
      </c>
      <c r="N96" s="37" t="n">
        <v>0.109152898481422</v>
      </c>
      <c r="O96" s="37" t="n">
        <v>0.0972160717259156</v>
      </c>
    </row>
    <row r="97" customFormat="false" ht="15" hidden="false" customHeight="false" outlineLevel="0" collapsed="false">
      <c r="C97" s="0" t="s">
        <v>147</v>
      </c>
      <c r="D97" s="11" t="s">
        <v>27</v>
      </c>
      <c r="E97" s="22" t="n">
        <f aca="false">Calc_2!$E138</f>
        <v>0.12592370397166</v>
      </c>
      <c r="H97" s="37" t="n">
        <v>0.125923703971663</v>
      </c>
      <c r="I97" s="37" t="n">
        <v>0.125923703971663</v>
      </c>
      <c r="J97" s="37" t="n">
        <v>0.119778382906334</v>
      </c>
      <c r="K97" s="37" t="n">
        <v>0.102253929974751</v>
      </c>
      <c r="L97" s="37" t="n">
        <v>0.0995222319691515</v>
      </c>
      <c r="M97" s="37" t="n">
        <v>0.120212561674967</v>
      </c>
      <c r="N97" s="37" t="n">
        <v>0.118165201883318</v>
      </c>
      <c r="O97" s="37" t="n">
        <v>0.109861862933439</v>
      </c>
    </row>
    <row r="98" customFormat="false" ht="15" hidden="false" customHeight="false" outlineLevel="0" collapsed="false">
      <c r="C98" s="0" t="s">
        <v>148</v>
      </c>
      <c r="D98" s="11" t="s">
        <v>13</v>
      </c>
      <c r="E98" s="29" t="n">
        <f aca="false">Calc_1!$E139</f>
        <v>6.17426460476343</v>
      </c>
      <c r="H98" s="38" t="n">
        <v>6.17426460476335</v>
      </c>
      <c r="I98" s="38" t="n">
        <v>6.17426460476335</v>
      </c>
      <c r="J98" s="38" t="n">
        <v>5.83628091129226</v>
      </c>
      <c r="K98" s="38" t="n">
        <v>4.95430721747097</v>
      </c>
      <c r="L98" s="38" t="n">
        <v>4.81093706141736</v>
      </c>
      <c r="M98" s="38" t="n">
        <v>5.82090751423521</v>
      </c>
      <c r="N98" s="38" t="n">
        <v>5.8259644777693</v>
      </c>
      <c r="O98" s="38" t="n">
        <v>5.249406955059</v>
      </c>
    </row>
    <row r="99" customFormat="false" ht="15" hidden="false" customHeight="false" outlineLevel="0" collapsed="false">
      <c r="C99" s="0" t="s">
        <v>149</v>
      </c>
      <c r="D99" s="11" t="s">
        <v>13</v>
      </c>
      <c r="E99" s="29" t="n">
        <f aca="false">Calc_2!$E139</f>
        <v>5.73637782064561</v>
      </c>
      <c r="H99" s="38" t="n">
        <v>5.73637782064561</v>
      </c>
      <c r="I99" s="38" t="n">
        <v>5.73637782064561</v>
      </c>
      <c r="J99" s="38" t="n">
        <v>5.47800058891021</v>
      </c>
      <c r="K99" s="38" t="n">
        <v>4.72670993337735</v>
      </c>
      <c r="L99" s="38" t="n">
        <v>4.60775819918129</v>
      </c>
      <c r="M99" s="38" t="n">
        <v>5.49623514378319</v>
      </c>
      <c r="N99" s="38" t="n">
        <v>5.50910945377204</v>
      </c>
      <c r="O99" s="38" t="n">
        <v>6.02902625889674</v>
      </c>
    </row>
    <row r="100" customFormat="false" ht="15" hidden="false" customHeight="false" outlineLevel="0" collapsed="false">
      <c r="C100" s="0" t="s">
        <v>150</v>
      </c>
      <c r="D100" s="11" t="s">
        <v>80</v>
      </c>
      <c r="E100" s="32" t="n">
        <f aca="false">Calc_1!$E95/Thousand</f>
        <v>67.6663796990003</v>
      </c>
      <c r="H100" s="39" t="n">
        <v>67.6663796990003</v>
      </c>
      <c r="I100" s="39" t="n">
        <v>67.6663796990003</v>
      </c>
      <c r="J100" s="39" t="n">
        <v>70.5626869771952</v>
      </c>
      <c r="K100" s="39" t="n">
        <v>67.6663796990003</v>
      </c>
      <c r="L100" s="39" t="n">
        <v>67.6663796990003</v>
      </c>
      <c r="M100" s="39" t="n">
        <v>67.6663796990003</v>
      </c>
      <c r="N100" s="39" t="n">
        <v>68.2897370953083</v>
      </c>
      <c r="O100" s="39" t="n">
        <v>57.3151199920069</v>
      </c>
    </row>
    <row r="101" customFormat="false" ht="15" hidden="false" customHeight="false" outlineLevel="0" collapsed="false">
      <c r="C101" s="0" t="s">
        <v>151</v>
      </c>
      <c r="D101" s="11" t="s">
        <v>80</v>
      </c>
      <c r="E101" s="32" t="n">
        <f aca="false">Calc_2!$E95/Thousand</f>
        <v>54.0627484734684</v>
      </c>
      <c r="H101" s="39" t="n">
        <v>54.0627484734684</v>
      </c>
      <c r="I101" s="39" t="n">
        <v>54.0627484734684</v>
      </c>
      <c r="J101" s="39" t="n">
        <v>56.1746391971522</v>
      </c>
      <c r="K101" s="39" t="n">
        <v>54.0627484734684</v>
      </c>
      <c r="L101" s="39" t="n">
        <v>54.0627484734684</v>
      </c>
      <c r="M101" s="39" t="n">
        <v>54.0627484734684</v>
      </c>
      <c r="N101" s="39" t="n">
        <v>54.5626815649957</v>
      </c>
      <c r="O101" s="39" t="n">
        <v>54.0627484734684</v>
      </c>
    </row>
    <row r="102" customFormat="false" ht="15" hidden="false" customHeight="false" outlineLevel="0" collapsed="false">
      <c r="C102" s="0" t="s">
        <v>152</v>
      </c>
      <c r="D102" s="11" t="s">
        <v>80</v>
      </c>
      <c r="E102" s="32" t="n">
        <f aca="false">Calc_1!$E121/Thousand</f>
        <v>24.5839752963419</v>
      </c>
      <c r="H102" s="39" t="n">
        <v>24.5839752963419</v>
      </c>
      <c r="I102" s="39" t="n">
        <v>24.5839752963419</v>
      </c>
      <c r="J102" s="39" t="n">
        <v>25.3557274311957</v>
      </c>
      <c r="K102" s="39" t="n">
        <v>24.5839752963419</v>
      </c>
      <c r="L102" s="39" t="n">
        <v>24.5839752963419</v>
      </c>
      <c r="M102" s="39" t="n">
        <v>24.5839752963419</v>
      </c>
      <c r="N102" s="39" t="n">
        <v>24.5948840507773</v>
      </c>
      <c r="O102" s="39" t="n">
        <v>34.1949602368899</v>
      </c>
    </row>
    <row r="103" customFormat="false" ht="15" hidden="false" customHeight="false" outlineLevel="0" collapsed="false">
      <c r="C103" s="0" t="s">
        <v>153</v>
      </c>
      <c r="D103" s="11" t="s">
        <v>80</v>
      </c>
      <c r="E103" s="32" t="n">
        <f aca="false">Calc_2!$E121/Thousand</f>
        <v>30.1869696362648</v>
      </c>
      <c r="H103" s="39" t="n">
        <v>30.1869696362648</v>
      </c>
      <c r="I103" s="39" t="n">
        <v>30.1869696362648</v>
      </c>
      <c r="J103" s="39" t="n">
        <v>31.1106430679291</v>
      </c>
      <c r="K103" s="39" t="n">
        <v>30.1869696362648</v>
      </c>
      <c r="L103" s="39" t="n">
        <v>30.1869696362648</v>
      </c>
      <c r="M103" s="39" t="n">
        <v>30.1869696362648</v>
      </c>
      <c r="N103" s="39" t="n">
        <v>30.1957184653665</v>
      </c>
      <c r="O103" s="39" t="n">
        <v>30.1869696362648</v>
      </c>
    </row>
    <row r="104" customFormat="false" ht="15" hidden="false" customHeight="false" outlineLevel="0" collapsed="false">
      <c r="C104" s="0" t="s">
        <v>154</v>
      </c>
      <c r="D104" s="11" t="s">
        <v>13</v>
      </c>
      <c r="E104" s="29" t="n">
        <f aca="false">Calc_1!$E99</f>
        <v>1.5517935924719</v>
      </c>
      <c r="H104" s="38" t="n">
        <v>1.55179359247249</v>
      </c>
      <c r="I104" s="38" t="n">
        <v>1.55179359247249</v>
      </c>
      <c r="J104" s="38" t="n">
        <v>1.49167083689523</v>
      </c>
      <c r="K104" s="38" t="n">
        <v>1.37364349570861</v>
      </c>
      <c r="L104" s="38" t="n">
        <v>1.35395824697932</v>
      </c>
      <c r="M104" s="38" t="n">
        <v>1.55179359246892</v>
      </c>
      <c r="N104" s="38" t="n">
        <v>1.432110718366</v>
      </c>
      <c r="O104" s="38" t="n">
        <v>1.2</v>
      </c>
    </row>
    <row r="105" customFormat="false" ht="15" hidden="false" customHeight="false" outlineLevel="0" collapsed="false">
      <c r="C105" s="0" t="s">
        <v>155</v>
      </c>
      <c r="D105" s="11" t="s">
        <v>13</v>
      </c>
      <c r="E105" s="29" t="n">
        <f aca="false">Calc_2!$E99</f>
        <v>1.92694591063623</v>
      </c>
      <c r="H105" s="38" t="n">
        <v>1.92694591063654</v>
      </c>
      <c r="I105" s="38" t="n">
        <v>1.92694591063654</v>
      </c>
      <c r="J105" s="38" t="n">
        <v>1.85868073500365</v>
      </c>
      <c r="K105" s="38" t="n">
        <v>1.70548675693337</v>
      </c>
      <c r="L105" s="38" t="n">
        <v>1.68096508544622</v>
      </c>
      <c r="M105" s="38" t="n">
        <v>1.92694591063715</v>
      </c>
      <c r="N105" s="38" t="n">
        <v>1.77776521555098</v>
      </c>
      <c r="O105" s="38" t="n">
        <v>1.26618029326218</v>
      </c>
    </row>
    <row r="106" customFormat="false" ht="15" hidden="false" customHeight="false" outlineLevel="0" collapsed="false">
      <c r="C106" s="0" t="s">
        <v>156</v>
      </c>
      <c r="D106" s="11" t="s">
        <v>140</v>
      </c>
      <c r="E106" s="30" t="n">
        <f aca="false">Model_Checks</f>
        <v>0</v>
      </c>
      <c r="H106" s="40" t="n">
        <v>0</v>
      </c>
      <c r="I106" s="40" t="n">
        <v>0</v>
      </c>
      <c r="J106" s="40" t="n">
        <v>0</v>
      </c>
      <c r="K106" s="40" t="n">
        <v>0</v>
      </c>
      <c r="L106" s="40" t="n">
        <v>0</v>
      </c>
      <c r="M106" s="40" t="n">
        <v>0</v>
      </c>
      <c r="N106" s="40" t="n">
        <v>0</v>
      </c>
      <c r="O106" s="40" t="n">
        <v>0</v>
      </c>
    </row>
    <row r="107" customFormat="false" ht="15" hidden="false" customHeight="false" outlineLevel="0" collapsed="false">
      <c r="C107" s="0" t="s">
        <v>157</v>
      </c>
      <c r="D107" s="11" t="s">
        <v>140</v>
      </c>
      <c r="E107" s="30" t="n">
        <f aca="false">Model_Checks</f>
        <v>0</v>
      </c>
      <c r="H107" s="40" t="n">
        <v>0</v>
      </c>
      <c r="I107" s="40" t="n">
        <v>0</v>
      </c>
      <c r="J107" s="40" t="n">
        <v>0</v>
      </c>
      <c r="K107" s="40" t="n">
        <v>0</v>
      </c>
      <c r="L107" s="40" t="n">
        <v>0</v>
      </c>
      <c r="M107" s="40" t="n">
        <v>0</v>
      </c>
      <c r="N107" s="40" t="n">
        <v>0</v>
      </c>
      <c r="O107" s="40" t="n">
        <v>0</v>
      </c>
    </row>
    <row r="109" customFormat="false" ht="15" hidden="false" customHeight="false" outlineLevel="0" collapsed="false">
      <c r="C109" s="41" t="s">
        <v>158</v>
      </c>
    </row>
  </sheetData>
  <conditionalFormatting sqref="E23:F23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conditionalFormatting sqref="E8">
    <cfRule type="cellIs" priority="4" operator="equal" aboveAverage="0" equalAverage="0" bottom="0" percent="0" rank="0" text="" dxfId="0">
      <formula>"OK"</formula>
    </cfRule>
    <cfRule type="cellIs" priority="5" operator="equal" aboveAverage="0" equalAverage="0" bottom="0" percent="0" rank="0" text="" dxfId="1">
      <formula>"CHECK"</formula>
    </cfRule>
  </conditionalFormatting>
  <dataValidations count="5">
    <dataValidation allowBlank="false" errorStyle="stop" operator="between" showDropDown="false" showErrorMessage="false" showInputMessage="false" sqref="E18:F18" type="list">
      <formula1>"0,1"</formula1>
      <formula2>0</formula2>
    </dataValidation>
    <dataValidation allowBlank="false" errorStyle="stop" operator="between" showDropDown="false" showErrorMessage="false" showInputMessage="false" sqref="E19:F19" type="list">
      <formula1>"0,1"</formula1>
      <formula2>0</formula2>
    </dataValidation>
    <dataValidation allowBlank="false" errorStyle="stop" operator="between" showDropDown="false" showErrorMessage="false" showInputMessage="false" sqref="E20:F20" type="list">
      <formula1>"0,1"</formula1>
      <formula2>0</formula2>
    </dataValidation>
    <dataValidation allowBlank="false" errorStyle="stop" operator="between" showDropDown="false" showErrorMessage="false" showInputMessage="false" sqref="E21:F21" type="list">
      <formula1>"0,1"</formula1>
      <formula2>0</formula2>
    </dataValidation>
    <dataValidation allowBlank="false" errorStyle="stop" operator="between" showDropDown="false" showErrorMessage="false" showInputMessage="false" sqref="S12" type="list">
      <formula1>Scenario_Names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P105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4" ySplit="7" topLeftCell="E8" activePane="bottomRight" state="frozen"/>
      <selection pane="topLeft" activeCell="A1" activeCellId="0" sqref="A1"/>
      <selection pane="topRight" activeCell="E1" activeCellId="0" sqref="E1"/>
      <selection pane="bottomLeft" activeCell="A8" activeCellId="0" sqref="A8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1" min="1" style="0" width="3"/>
    <col collapsed="false" customWidth="true" hidden="false" outlineLevel="0" max="2" min="2" style="0" width="40"/>
    <col collapsed="false" customWidth="true" hidden="false" outlineLevel="0" max="3" min="3" style="0" width="10"/>
    <col collapsed="false" customWidth="true" hidden="false" outlineLevel="0" max="4" min="4" style="0" width="36"/>
    <col collapsed="false" customWidth="true" hidden="false" outlineLevel="0" max="5" min="5" style="0" width="2"/>
    <col collapsed="false" customWidth="true" hidden="false" outlineLevel="0" max="6" min="6" style="0" width="12"/>
    <col collapsed="false" customWidth="true" hidden="false" outlineLevel="0" max="7" min="7" style="0" width="2"/>
    <col collapsed="false" customWidth="true" hidden="false" outlineLevel="0" max="15" min="8" style="0" width="12"/>
    <col collapsed="false" customWidth="true" hidden="false" outlineLevel="0" max="16" min="16" style="0" width="2"/>
    <col collapsed="false" customWidth="false" hidden="true" outlineLevel="1" max="16384" min="17" style="0" width="13"/>
  </cols>
  <sheetData>
    <row r="2" customFormat="false" ht="15" hidden="false" customHeight="false" outlineLevel="0" collapsed="false">
      <c r="A2" s="1"/>
      <c r="B2" s="1" t="str">
        <f aca="false">Dashboard!$C$3&amp;" – Inputs and scenarios"</f>
        <v>Project Bana – Inputs and scenarios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4" customFormat="false" ht="15" hidden="false" customHeight="false" outlineLevel="0" collapsed="false">
      <c r="B4" s="0" t="s">
        <v>159</v>
      </c>
      <c r="D4" s="0" t="s">
        <v>160</v>
      </c>
      <c r="F4" s="42" t="str">
        <f aca="false">Scenario_Name</f>
        <v>Base</v>
      </c>
    </row>
    <row r="5" customFormat="false" ht="15" hidden="false" customHeight="false" outlineLevel="0" collapsed="false">
      <c r="B5" s="0" t="s">
        <v>161</v>
      </c>
      <c r="F5" s="43" t="n">
        <f aca="false">MATCH(Scenario_Name,Scenario_Names,0)</f>
        <v>1</v>
      </c>
    </row>
    <row r="7" customFormat="false" ht="15" hidden="false" customHeight="false" outlineLevel="0" collapsed="false">
      <c r="B7" s="7" t="s">
        <v>162</v>
      </c>
      <c r="C7" s="7" t="s">
        <v>8</v>
      </c>
      <c r="D7" s="7" t="s">
        <v>163</v>
      </c>
      <c r="F7" s="8" t="s">
        <v>12</v>
      </c>
      <c r="H7" s="44" t="s">
        <v>22</v>
      </c>
      <c r="I7" s="44" t="s">
        <v>164</v>
      </c>
      <c r="J7" s="44" t="s">
        <v>165</v>
      </c>
      <c r="K7" s="44" t="s">
        <v>166</v>
      </c>
      <c r="L7" s="44" t="s">
        <v>167</v>
      </c>
      <c r="M7" s="44" t="s">
        <v>168</v>
      </c>
      <c r="N7" s="44" t="s">
        <v>169</v>
      </c>
      <c r="O7" s="44" t="s">
        <v>170</v>
      </c>
    </row>
    <row r="10" customFormat="false" ht="15" hidden="false" customHeight="false" outlineLevel="0" collapsed="false">
      <c r="A10" s="9" t="s">
        <v>13</v>
      </c>
      <c r="B10" s="9"/>
      <c r="C10" s="9" t="s">
        <v>171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</row>
    <row r="11" customFormat="false" ht="15" hidden="false" customHeight="false" outlineLevel="0" collapsed="false">
      <c r="B11" s="0" t="s">
        <v>172</v>
      </c>
      <c r="C11" s="11" t="s">
        <v>140</v>
      </c>
      <c r="D11" s="13" t="s">
        <v>173</v>
      </c>
      <c r="F11" s="44" t="n">
        <v>1000</v>
      </c>
    </row>
    <row r="12" customFormat="false" ht="15" hidden="false" customHeight="false" outlineLevel="0" collapsed="false">
      <c r="B12" s="0" t="s">
        <v>174</v>
      </c>
      <c r="C12" s="11" t="s">
        <v>140</v>
      </c>
      <c r="D12" s="13" t="s">
        <v>173</v>
      </c>
      <c r="F12" s="44" t="n">
        <v>1000000</v>
      </c>
    </row>
    <row r="13" customFormat="false" ht="15" hidden="false" customHeight="false" outlineLevel="0" collapsed="false">
      <c r="B13" s="0" t="s">
        <v>175</v>
      </c>
      <c r="C13" s="11" t="s">
        <v>176</v>
      </c>
      <c r="D13" s="13" t="s">
        <v>177</v>
      </c>
      <c r="F13" s="44" t="n">
        <v>365</v>
      </c>
    </row>
    <row r="14" customFormat="false" ht="15" hidden="false" customHeight="false" outlineLevel="0" collapsed="false">
      <c r="B14" s="0" t="s">
        <v>178</v>
      </c>
      <c r="C14" s="11" t="s">
        <v>179</v>
      </c>
      <c r="F14" s="44" t="n">
        <v>12</v>
      </c>
    </row>
    <row r="15" customFormat="false" ht="15" hidden="false" customHeight="false" outlineLevel="0" collapsed="false">
      <c r="B15" s="0" t="s">
        <v>180</v>
      </c>
      <c r="C15" s="11" t="s">
        <v>179</v>
      </c>
      <c r="D15" s="13" t="s">
        <v>181</v>
      </c>
      <c r="F15" s="44" t="n">
        <v>3</v>
      </c>
    </row>
    <row r="16" customFormat="false" ht="15" hidden="false" customHeight="false" outlineLevel="0" collapsed="false">
      <c r="B16" s="0" t="s">
        <v>182</v>
      </c>
      <c r="C16" s="11" t="s">
        <v>140</v>
      </c>
      <c r="D16" s="13" t="s">
        <v>183</v>
      </c>
      <c r="F16" s="44" t="n">
        <v>1E-006</v>
      </c>
    </row>
    <row r="18" customFormat="false" ht="15" hidden="false" customHeight="false" outlineLevel="0" collapsed="false">
      <c r="A18" s="9" t="s">
        <v>13</v>
      </c>
      <c r="B18" s="9"/>
      <c r="C18" s="9" t="s">
        <v>184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</row>
    <row r="19" customFormat="false" ht="15" hidden="false" customHeight="false" outlineLevel="0" collapsed="false">
      <c r="B19" s="0" t="s">
        <v>185</v>
      </c>
      <c r="C19" s="11" t="s">
        <v>38</v>
      </c>
      <c r="D19" s="13" t="s">
        <v>186</v>
      </c>
      <c r="F19" s="45" t="n">
        <f aca="false">IF(INDEX($H19:$O19,1,Scenario_Selected)="",$H19,INDEX($H19:$O19,1,Scenario_Selected))</f>
        <v>46296</v>
      </c>
      <c r="H19" s="4" t="n">
        <v>46296</v>
      </c>
      <c r="I19" s="4"/>
      <c r="J19" s="4"/>
      <c r="K19" s="4"/>
      <c r="L19" s="4"/>
      <c r="M19" s="4"/>
      <c r="N19" s="4"/>
      <c r="O19" s="4"/>
    </row>
    <row r="20" customFormat="false" ht="15" hidden="false" customHeight="false" outlineLevel="0" collapsed="false">
      <c r="B20" s="0" t="s">
        <v>187</v>
      </c>
      <c r="C20" s="11" t="s">
        <v>38</v>
      </c>
      <c r="D20" s="13" t="s">
        <v>188</v>
      </c>
      <c r="F20" s="45" t="n">
        <f aca="false">IF(INDEX($H20:$O20,1,Scenario_Selected)="",$H20,INDEX($H20:$O20,1,Scenario_Selected))</f>
        <v>46325</v>
      </c>
      <c r="H20" s="4" t="n">
        <v>46325</v>
      </c>
      <c r="I20" s="4"/>
      <c r="J20" s="4"/>
      <c r="K20" s="4"/>
      <c r="L20" s="4"/>
      <c r="M20" s="4"/>
      <c r="N20" s="4"/>
      <c r="O20" s="4"/>
    </row>
    <row r="21" customFormat="false" ht="15" hidden="false" customHeight="false" outlineLevel="0" collapsed="false">
      <c r="B21" s="0" t="s">
        <v>189</v>
      </c>
      <c r="C21" s="11" t="s">
        <v>38</v>
      </c>
      <c r="D21" s="13" t="s">
        <v>190</v>
      </c>
      <c r="F21" s="45" t="n">
        <f aca="false">IF(INDEX($H21:$O21,1,Scenario_Selected)="",$H21,INDEX($H21:$O21,1,Scenario_Selected))</f>
        <v>46369</v>
      </c>
      <c r="H21" s="4" t="n">
        <v>46369</v>
      </c>
      <c r="I21" s="4"/>
      <c r="J21" s="4"/>
      <c r="K21" s="4"/>
      <c r="L21" s="4"/>
      <c r="M21" s="4"/>
      <c r="N21" s="4"/>
      <c r="O21" s="4"/>
    </row>
    <row r="22" customFormat="false" ht="15" hidden="false" customHeight="false" outlineLevel="0" collapsed="false">
      <c r="B22" s="0" t="s">
        <v>191</v>
      </c>
      <c r="C22" s="11" t="s">
        <v>38</v>
      </c>
      <c r="D22" s="13" t="s">
        <v>192</v>
      </c>
      <c r="F22" s="45" t="n">
        <f aca="false">IF(INDEX($H22:$O22,1,Scenario_Selected)="",$H22,INDEX($H22:$O22,1,Scenario_Selected))</f>
        <v>46418</v>
      </c>
      <c r="H22" s="4" t="n">
        <v>46418</v>
      </c>
      <c r="I22" s="4"/>
      <c r="J22" s="4"/>
      <c r="K22" s="4"/>
      <c r="L22" s="4"/>
      <c r="M22" s="4"/>
      <c r="N22" s="4"/>
      <c r="O22" s="4"/>
    </row>
    <row r="23" customFormat="false" ht="15" hidden="false" customHeight="false" outlineLevel="0" collapsed="false">
      <c r="B23" s="0" t="s">
        <v>193</v>
      </c>
      <c r="C23" s="11" t="s">
        <v>176</v>
      </c>
      <c r="D23" s="13" t="s">
        <v>194</v>
      </c>
      <c r="F23" s="43" t="n">
        <f aca="false">IF(INDEX($H23:$O23,1,Scenario_Selected)="",$H23,INDEX($H23:$O23,1,Scenario_Selected))</f>
        <v>15</v>
      </c>
      <c r="H23" s="46" t="n">
        <v>15</v>
      </c>
      <c r="I23" s="46"/>
      <c r="J23" s="46"/>
      <c r="K23" s="46"/>
      <c r="L23" s="46"/>
      <c r="M23" s="46"/>
      <c r="N23" s="46"/>
      <c r="O23" s="46"/>
    </row>
    <row r="24" customFormat="false" ht="15" hidden="false" customHeight="false" outlineLevel="0" collapsed="false">
      <c r="B24" s="0" t="s">
        <v>195</v>
      </c>
      <c r="C24" s="11" t="s">
        <v>38</v>
      </c>
      <c r="D24" s="13" t="s">
        <v>196</v>
      </c>
      <c r="F24" s="45" t="n">
        <f aca="false">IF(INDEX($H24:$O24,1,Scenario_Selected)="",$H24,INDEX($H24:$O24,1,Scenario_Selected))</f>
        <v>46387</v>
      </c>
      <c r="H24" s="4" t="n">
        <v>46387</v>
      </c>
      <c r="I24" s="4"/>
      <c r="J24" s="4"/>
      <c r="K24" s="4"/>
      <c r="L24" s="4"/>
      <c r="M24" s="4"/>
      <c r="N24" s="4"/>
      <c r="O24" s="4"/>
    </row>
    <row r="25" customFormat="false" ht="15" hidden="false" customHeight="false" outlineLevel="0" collapsed="false">
      <c r="B25" s="0" t="s">
        <v>197</v>
      </c>
      <c r="C25" s="11" t="s">
        <v>38</v>
      </c>
      <c r="D25" s="13" t="s">
        <v>198</v>
      </c>
      <c r="F25" s="45" t="n">
        <f aca="false">IF(INDEX($H25:$O25,1,Scenario_Selected)="",$H25,INDEX($H25:$O25,1,Scenario_Selected))</f>
        <v>47026</v>
      </c>
      <c r="H25" s="4" t="n">
        <v>47026</v>
      </c>
      <c r="I25" s="4"/>
      <c r="J25" s="4"/>
      <c r="K25" s="4"/>
      <c r="L25" s="4"/>
      <c r="M25" s="4"/>
      <c r="N25" s="4"/>
      <c r="O25" s="4"/>
    </row>
    <row r="26" customFormat="false" ht="15" hidden="false" customHeight="false" outlineLevel="0" collapsed="false">
      <c r="B26" s="0" t="s">
        <v>199</v>
      </c>
      <c r="C26" s="11" t="s">
        <v>38</v>
      </c>
      <c r="D26" s="13" t="s">
        <v>200</v>
      </c>
      <c r="F26" s="45" t="n">
        <f aca="false">IF(INDEX($H26:$O26,1,Scenario_Selected)="",$H26,INDEX($H26:$O26,1,Scenario_Selected))</f>
        <v>47126</v>
      </c>
      <c r="H26" s="4" t="n">
        <v>47126</v>
      </c>
      <c r="I26" s="4"/>
      <c r="J26" s="4"/>
      <c r="K26" s="4"/>
      <c r="L26" s="4"/>
      <c r="M26" s="4"/>
      <c r="N26" s="4"/>
      <c r="O26" s="4"/>
    </row>
    <row r="27" customFormat="false" ht="15" hidden="false" customHeight="false" outlineLevel="0" collapsed="false">
      <c r="B27" s="0" t="s">
        <v>201</v>
      </c>
      <c r="C27" s="11" t="s">
        <v>38</v>
      </c>
      <c r="D27" s="13" t="s">
        <v>202</v>
      </c>
      <c r="F27" s="45" t="n">
        <f aca="false">IF(INDEX($H27:$O27,1,Scenario_Selected)="",$H27,INDEX($H27:$O27,1,Scenario_Selected))</f>
        <v>47756</v>
      </c>
      <c r="H27" s="4" t="n">
        <v>47756</v>
      </c>
      <c r="I27" s="4"/>
      <c r="J27" s="4"/>
      <c r="K27" s="4"/>
      <c r="L27" s="4"/>
      <c r="M27" s="4"/>
      <c r="N27" s="4"/>
      <c r="O27" s="4"/>
    </row>
    <row r="28" customFormat="false" ht="15" hidden="false" customHeight="false" outlineLevel="0" collapsed="false">
      <c r="B28" s="0" t="s">
        <v>203</v>
      </c>
      <c r="C28" s="11" t="s">
        <v>66</v>
      </c>
      <c r="D28" s="13" t="s">
        <v>204</v>
      </c>
      <c r="F28" s="43" t="n">
        <f aca="false">IF(INDEX($H28:$O28,1,Scenario_Selected)="",$H28,INDEX($H28:$O28,1,Scenario_Selected))</f>
        <v>30</v>
      </c>
      <c r="H28" s="46" t="n">
        <v>30</v>
      </c>
      <c r="I28" s="46"/>
      <c r="J28" s="46"/>
      <c r="K28" s="46"/>
      <c r="L28" s="46"/>
      <c r="M28" s="46"/>
      <c r="N28" s="46"/>
      <c r="O28" s="46"/>
    </row>
    <row r="29" customFormat="false" ht="15" hidden="false" customHeight="false" outlineLevel="0" collapsed="false">
      <c r="B29" s="0" t="s">
        <v>205</v>
      </c>
      <c r="C29" s="11" t="s">
        <v>38</v>
      </c>
      <c r="D29" s="13" t="s">
        <v>206</v>
      </c>
      <c r="F29" s="45" t="n">
        <f aca="false">IF(INDEX($H29:$O29,1,Scenario_Selected)="",$H29,INDEX($H29:$O29,1,Scenario_Selected))</f>
        <v>48669</v>
      </c>
      <c r="H29" s="4" t="n">
        <v>48669</v>
      </c>
      <c r="I29" s="4"/>
      <c r="J29" s="4"/>
      <c r="K29" s="4"/>
      <c r="L29" s="4"/>
      <c r="M29" s="4"/>
      <c r="N29" s="4"/>
      <c r="O29" s="4"/>
    </row>
    <row r="31" customFormat="false" ht="15" hidden="false" customHeight="false" outlineLevel="0" collapsed="false">
      <c r="A31" s="9" t="s">
        <v>13</v>
      </c>
      <c r="B31" s="9"/>
      <c r="C31" s="9" t="s">
        <v>207</v>
      </c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</row>
    <row r="32" customFormat="false" ht="15" hidden="false" customHeight="false" outlineLevel="0" collapsed="false">
      <c r="B32" s="0" t="s">
        <v>208</v>
      </c>
      <c r="C32" s="11" t="s">
        <v>78</v>
      </c>
      <c r="D32" s="13" t="s">
        <v>209</v>
      </c>
      <c r="F32" s="47" t="n">
        <f aca="false">IF(INDEX($H32:$O32,1,Scenario_Selected)="",$H32,INDEX($H32:$O32,1,Scenario_Selected))</f>
        <v>365</v>
      </c>
      <c r="H32" s="12" t="n">
        <v>365</v>
      </c>
      <c r="I32" s="12"/>
      <c r="J32" s="12"/>
      <c r="K32" s="12"/>
      <c r="L32" s="12"/>
      <c r="M32" s="12"/>
      <c r="N32" s="12"/>
      <c r="O32" s="12"/>
    </row>
    <row r="33" customFormat="false" ht="15" hidden="false" customHeight="false" outlineLevel="0" collapsed="false">
      <c r="B33" s="0" t="s">
        <v>210</v>
      </c>
      <c r="C33" s="11" t="s">
        <v>33</v>
      </c>
      <c r="D33" s="13" t="s">
        <v>211</v>
      </c>
      <c r="F33" s="47" t="n">
        <f aca="false">IF(INDEX($H33:$O33,1,Scenario_Selected)="",$H33,INDEX($H33:$O33,1,Scenario_Selected))</f>
        <v>4500</v>
      </c>
      <c r="H33" s="12" t="n">
        <v>4500</v>
      </c>
      <c r="I33" s="12"/>
      <c r="J33" s="12"/>
      <c r="K33" s="12"/>
      <c r="L33" s="12"/>
      <c r="M33" s="12"/>
      <c r="N33" s="12"/>
      <c r="O33" s="12"/>
    </row>
    <row r="34" customFormat="false" ht="15" hidden="false" customHeight="false" outlineLevel="0" collapsed="false">
      <c r="B34" s="0" t="s">
        <v>212</v>
      </c>
      <c r="C34" s="11" t="s">
        <v>33</v>
      </c>
      <c r="D34" s="13" t="s">
        <v>213</v>
      </c>
      <c r="F34" s="47" t="n">
        <f aca="false">IF(INDEX($H34:$O34,1,Scenario_Selected)="",$H34,INDEX($H34:$O34,1,Scenario_Selected))</f>
        <v>150</v>
      </c>
      <c r="H34" s="12" t="n">
        <v>150</v>
      </c>
      <c r="I34" s="12"/>
      <c r="J34" s="12"/>
      <c r="K34" s="12"/>
      <c r="L34" s="12"/>
      <c r="M34" s="12"/>
      <c r="N34" s="12"/>
      <c r="O34" s="12"/>
    </row>
    <row r="35" customFormat="false" ht="15" hidden="false" customHeight="false" outlineLevel="0" collapsed="false">
      <c r="B35" s="0" t="s">
        <v>214</v>
      </c>
      <c r="C35" s="11" t="s">
        <v>33</v>
      </c>
      <c r="D35" s="13" t="s">
        <v>215</v>
      </c>
      <c r="F35" s="47" t="n">
        <f aca="false">IF(INDEX($H35:$O35,1,Scenario_Selected)="",$H35,INDEX($H35:$O35,1,Scenario_Selected))</f>
        <v>500</v>
      </c>
      <c r="H35" s="12" t="n">
        <v>500</v>
      </c>
      <c r="I35" s="12"/>
      <c r="J35" s="12"/>
      <c r="K35" s="12"/>
      <c r="L35" s="12"/>
      <c r="M35" s="12"/>
      <c r="N35" s="12"/>
      <c r="O35" s="12"/>
    </row>
    <row r="36" customFormat="false" ht="15" hidden="false" customHeight="false" outlineLevel="0" collapsed="false">
      <c r="B36" s="0" t="s">
        <v>216</v>
      </c>
      <c r="C36" s="11" t="s">
        <v>19</v>
      </c>
      <c r="D36" s="13" t="s">
        <v>217</v>
      </c>
      <c r="F36" s="47" t="n">
        <f aca="false">IF(INDEX($H36:$O36,1,Scenario_Selected)="",$H36,INDEX($H36:$O36,1,Scenario_Selected))</f>
        <v>2450</v>
      </c>
      <c r="H36" s="12" t="n">
        <v>2450</v>
      </c>
      <c r="I36" s="12" t="n">
        <v>2205</v>
      </c>
      <c r="J36" s="12"/>
      <c r="K36" s="12"/>
      <c r="L36" s="12"/>
      <c r="M36" s="12"/>
      <c r="N36" s="12"/>
      <c r="O36" s="12"/>
    </row>
    <row r="37" customFormat="false" ht="15" hidden="false" customHeight="false" outlineLevel="0" collapsed="false">
      <c r="B37" s="0" t="s">
        <v>218</v>
      </c>
      <c r="C37" s="11" t="s">
        <v>19</v>
      </c>
      <c r="D37" s="13" t="s">
        <v>219</v>
      </c>
      <c r="F37" s="47" t="n">
        <f aca="false">IF(INDEX($H37:$O37,1,Scenario_Selected)="",$H37,INDEX($H37:$O37,1,Scenario_Selected))</f>
        <v>2100</v>
      </c>
      <c r="H37" s="12" t="n">
        <v>2100</v>
      </c>
      <c r="I37" s="12" t="n">
        <v>1890</v>
      </c>
      <c r="J37" s="12"/>
      <c r="K37" s="12"/>
      <c r="L37" s="12"/>
      <c r="M37" s="12"/>
      <c r="N37" s="12"/>
      <c r="O37" s="12"/>
    </row>
    <row r="38" customFormat="false" ht="15" hidden="false" customHeight="false" outlineLevel="0" collapsed="false">
      <c r="B38" s="0" t="s">
        <v>220</v>
      </c>
      <c r="C38" s="11" t="s">
        <v>33</v>
      </c>
      <c r="D38" s="13" t="s">
        <v>221</v>
      </c>
      <c r="F38" s="47" t="n">
        <f aca="false">IF(INDEX($H38:$O38,1,Scenario_Selected)="",$H38,INDEX($H38:$O38,1,Scenario_Selected))</f>
        <v>500</v>
      </c>
      <c r="H38" s="12" t="n">
        <v>500</v>
      </c>
      <c r="I38" s="12"/>
      <c r="J38" s="12"/>
      <c r="K38" s="12"/>
      <c r="L38" s="12"/>
      <c r="M38" s="12"/>
      <c r="N38" s="12"/>
      <c r="O38" s="12"/>
    </row>
    <row r="39" customFormat="false" ht="15" hidden="false" customHeight="false" outlineLevel="0" collapsed="false">
      <c r="B39" s="0" t="s">
        <v>222</v>
      </c>
      <c r="C39" s="11" t="s">
        <v>27</v>
      </c>
      <c r="D39" s="13" t="s">
        <v>223</v>
      </c>
      <c r="F39" s="48" t="n">
        <f aca="false">IF(INDEX($H39:$O39,1,Scenario_Selected)="",$H39,INDEX($H39:$O39,1,Scenario_Selected))</f>
        <v>0.08</v>
      </c>
      <c r="H39" s="17" t="n">
        <v>0.08</v>
      </c>
      <c r="I39" s="17"/>
      <c r="J39" s="17"/>
      <c r="K39" s="17"/>
      <c r="L39" s="17"/>
      <c r="M39" s="17"/>
      <c r="N39" s="17"/>
      <c r="O39" s="17"/>
    </row>
    <row r="40" customFormat="false" ht="15" hidden="false" customHeight="false" outlineLevel="0" collapsed="false">
      <c r="B40" s="0" t="s">
        <v>224</v>
      </c>
      <c r="C40" s="11" t="s">
        <v>27</v>
      </c>
      <c r="D40" s="13" t="s">
        <v>225</v>
      </c>
      <c r="F40" s="48" t="n">
        <f aca="false">IF(INDEX($H40:$O40,1,Scenario_Selected)="",$H40,INDEX($H40:$O40,1,Scenario_Selected))</f>
        <v>0.09</v>
      </c>
      <c r="H40" s="17" t="n">
        <v>0.09</v>
      </c>
      <c r="I40" s="17"/>
      <c r="J40" s="17"/>
      <c r="K40" s="17"/>
      <c r="L40" s="17"/>
      <c r="M40" s="17"/>
      <c r="N40" s="17"/>
      <c r="O40" s="17"/>
    </row>
    <row r="41" customFormat="false" ht="15" hidden="false" customHeight="false" outlineLevel="0" collapsed="false">
      <c r="B41" s="0" t="s">
        <v>226</v>
      </c>
      <c r="C41" s="11" t="s">
        <v>43</v>
      </c>
      <c r="D41" s="13" t="s">
        <v>227</v>
      </c>
      <c r="F41" s="49" t="n">
        <f aca="false">IF(INDEX($H41:$O41,1,Scenario_Selected)="",$H41,INDEX($H41:$O41,1,Scenario_Selected))</f>
        <v>0</v>
      </c>
      <c r="H41" s="23" t="n">
        <v>0</v>
      </c>
      <c r="I41" s="23"/>
      <c r="J41" s="23"/>
      <c r="K41" s="23"/>
      <c r="L41" s="23"/>
      <c r="M41" s="23"/>
      <c r="N41" s="23"/>
      <c r="O41" s="23"/>
    </row>
    <row r="42" customFormat="false" ht="15" hidden="false" customHeight="false" outlineLevel="0" collapsed="false">
      <c r="B42" s="0" t="s">
        <v>228</v>
      </c>
      <c r="C42" s="11" t="s">
        <v>66</v>
      </c>
      <c r="D42" s="13" t="s">
        <v>229</v>
      </c>
      <c r="F42" s="43" t="n">
        <f aca="false">IF(INDEX($H42:$O42,1,Scenario_Selected)="",$H42,INDEX($H42:$O42,1,Scenario_Selected))</f>
        <v>20</v>
      </c>
      <c r="H42" s="46" t="n">
        <v>20</v>
      </c>
      <c r="I42" s="46"/>
      <c r="J42" s="46"/>
      <c r="K42" s="46"/>
      <c r="L42" s="46"/>
      <c r="M42" s="46"/>
      <c r="N42" s="46"/>
      <c r="O42" s="46"/>
    </row>
    <row r="43" customFormat="false" ht="15" hidden="false" customHeight="false" outlineLevel="0" collapsed="false">
      <c r="B43" s="0" t="s">
        <v>230</v>
      </c>
      <c r="C43" s="11" t="s">
        <v>27</v>
      </c>
      <c r="D43" s="13" t="s">
        <v>231</v>
      </c>
      <c r="F43" s="48" t="n">
        <f aca="false">IF(INDEX($H43:$O43,1,Scenario_Selected)="",$H43,INDEX($H43:$O43,1,Scenario_Selected))</f>
        <v>0.5</v>
      </c>
      <c r="H43" s="17" t="n">
        <v>0.5</v>
      </c>
      <c r="I43" s="17"/>
      <c r="J43" s="17"/>
      <c r="K43" s="17"/>
      <c r="L43" s="17"/>
      <c r="M43" s="17"/>
      <c r="N43" s="17"/>
      <c r="O43" s="17"/>
    </row>
    <row r="44" customFormat="false" ht="15" hidden="false" customHeight="false" outlineLevel="0" collapsed="false">
      <c r="B44" s="0" t="s">
        <v>232</v>
      </c>
      <c r="C44" s="11" t="s">
        <v>66</v>
      </c>
      <c r="D44" s="13" t="s">
        <v>233</v>
      </c>
      <c r="F44" s="43" t="n">
        <f aca="false">IF(INDEX($H44:$O44,1,Scenario_Selected)="",$H44,INDEX($H44:$O44,1,Scenario_Selected))</f>
        <v>5</v>
      </c>
      <c r="H44" s="46" t="n">
        <v>5</v>
      </c>
      <c r="I44" s="46"/>
      <c r="J44" s="46"/>
      <c r="K44" s="46"/>
      <c r="L44" s="46"/>
      <c r="M44" s="46"/>
      <c r="N44" s="46"/>
      <c r="O44" s="46"/>
    </row>
    <row r="46" customFormat="false" ht="15" hidden="false" customHeight="false" outlineLevel="0" collapsed="false">
      <c r="A46" s="9" t="s">
        <v>13</v>
      </c>
      <c r="B46" s="9"/>
      <c r="C46" s="9" t="s">
        <v>234</v>
      </c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</row>
    <row r="47" customFormat="false" ht="15" hidden="false" customHeight="false" outlineLevel="0" collapsed="false">
      <c r="B47" s="0" t="s">
        <v>235</v>
      </c>
      <c r="C47" s="11" t="s">
        <v>140</v>
      </c>
      <c r="D47" s="13" t="s">
        <v>236</v>
      </c>
      <c r="F47" s="44" t="n">
        <v>2</v>
      </c>
    </row>
    <row r="48" customFormat="false" ht="15" hidden="false" customHeight="false" outlineLevel="0" collapsed="false">
      <c r="B48" s="0" t="s">
        <v>237</v>
      </c>
      <c r="C48" s="11" t="s">
        <v>238</v>
      </c>
      <c r="D48" s="13" t="s">
        <v>239</v>
      </c>
      <c r="F48" s="47" t="n">
        <f aca="false">IF(INDEX($H48:$O48,1,Scenario_Selected)="",$H48,INDEX($H48:$O48,1,Scenario_Selected))</f>
        <v>50</v>
      </c>
      <c r="H48" s="12" t="n">
        <v>50</v>
      </c>
      <c r="I48" s="12"/>
      <c r="J48" s="12"/>
      <c r="K48" s="12"/>
      <c r="L48" s="12"/>
      <c r="M48" s="12"/>
      <c r="N48" s="12"/>
      <c r="O48" s="12"/>
    </row>
    <row r="49" customFormat="false" ht="15" hidden="false" customHeight="false" outlineLevel="0" collapsed="false">
      <c r="B49" s="0" t="s">
        <v>240</v>
      </c>
      <c r="C49" s="11" t="s">
        <v>27</v>
      </c>
      <c r="D49" s="13" t="s">
        <v>241</v>
      </c>
      <c r="F49" s="48" t="n">
        <f aca="false">IF(INDEX($H49:$O49,1,Scenario_Selected)="",$H49,INDEX($H49:$O49,1,Scenario_Selected))</f>
        <v>0.1</v>
      </c>
      <c r="H49" s="17" t="n">
        <v>0.1</v>
      </c>
      <c r="I49" s="17"/>
      <c r="J49" s="17"/>
      <c r="K49" s="17"/>
      <c r="L49" s="17"/>
      <c r="M49" s="17"/>
      <c r="N49" s="17"/>
      <c r="O49" s="17"/>
    </row>
    <row r="50" customFormat="false" ht="15" hidden="false" customHeight="false" outlineLevel="0" collapsed="false">
      <c r="B50" s="0" t="s">
        <v>242</v>
      </c>
      <c r="C50" s="11" t="s">
        <v>27</v>
      </c>
      <c r="D50" s="13" t="s">
        <v>243</v>
      </c>
      <c r="F50" s="48" t="n">
        <f aca="false">IF(INDEX($H50:$O50,1,Scenario_Selected)="",$H50,INDEX($H50:$O50,1,Scenario_Selected))</f>
        <v>0.05</v>
      </c>
      <c r="H50" s="17" t="n">
        <v>0.05</v>
      </c>
      <c r="I50" s="17"/>
      <c r="J50" s="17"/>
      <c r="K50" s="17"/>
      <c r="L50" s="17"/>
      <c r="M50" s="17"/>
      <c r="N50" s="17"/>
      <c r="O50" s="17"/>
    </row>
    <row r="51" customFormat="false" ht="15" hidden="false" customHeight="false" outlineLevel="0" collapsed="false">
      <c r="B51" s="0" t="s">
        <v>244</v>
      </c>
      <c r="C51" s="11" t="s">
        <v>43</v>
      </c>
      <c r="D51" s="13" t="s">
        <v>245</v>
      </c>
      <c r="F51" s="49" t="n">
        <f aca="false">IF(INDEX($H51:$O51,1,Scenario_Selected)="",$H51,INDEX($H51:$O51,1,Scenario_Selected))</f>
        <v>1</v>
      </c>
      <c r="H51" s="23" t="n">
        <v>1</v>
      </c>
      <c r="I51" s="23"/>
      <c r="J51" s="23"/>
      <c r="K51" s="23"/>
      <c r="L51" s="23"/>
      <c r="M51" s="23"/>
      <c r="N51" s="23"/>
      <c r="O51" s="23"/>
    </row>
    <row r="52" customFormat="false" ht="15" hidden="false" customHeight="false" outlineLevel="0" collapsed="false">
      <c r="B52" s="0" t="s">
        <v>246</v>
      </c>
      <c r="C52" s="11" t="s">
        <v>35</v>
      </c>
      <c r="D52" s="13" t="s">
        <v>247</v>
      </c>
      <c r="F52" s="36" t="n">
        <f aca="false">IF(INDEX($H52:$O52,1,Scenario_Selected)="",$H52,INDEX($H52:$O52,1,Scenario_Selected))</f>
        <v>4</v>
      </c>
      <c r="H52" s="19" t="n">
        <v>4</v>
      </c>
      <c r="I52" s="19"/>
      <c r="J52" s="19"/>
      <c r="K52" s="19"/>
      <c r="L52" s="19"/>
      <c r="M52" s="19"/>
      <c r="N52" s="19"/>
      <c r="O52" s="19"/>
    </row>
    <row r="53" customFormat="false" ht="15" hidden="false" customHeight="false" outlineLevel="0" collapsed="false">
      <c r="B53" s="0" t="s">
        <v>248</v>
      </c>
      <c r="C53" s="11" t="s">
        <v>27</v>
      </c>
      <c r="D53" s="13" t="s">
        <v>249</v>
      </c>
      <c r="F53" s="48" t="n">
        <f aca="false">IF(INDEX($H53:$O53,1,Scenario_Selected)="",$H53,INDEX($H53:$O53,1,Scenario_Selected))</f>
        <v>0.1</v>
      </c>
      <c r="H53" s="17" t="n">
        <v>0.1</v>
      </c>
      <c r="I53" s="17"/>
      <c r="J53" s="17"/>
      <c r="K53" s="17"/>
      <c r="L53" s="17"/>
      <c r="M53" s="17"/>
      <c r="N53" s="17"/>
      <c r="O53" s="17"/>
    </row>
    <row r="54" customFormat="false" ht="15" hidden="false" customHeight="false" outlineLevel="0" collapsed="false">
      <c r="B54" s="0" t="s">
        <v>250</v>
      </c>
      <c r="C54" s="11" t="s">
        <v>43</v>
      </c>
      <c r="D54" s="13" t="s">
        <v>251</v>
      </c>
      <c r="F54" s="49" t="n">
        <f aca="false">IF(INDEX($H54:$O54,1,Scenario_Selected)="",$H54,INDEX($H54:$O54,1,Scenario_Selected))</f>
        <v>1</v>
      </c>
      <c r="H54" s="23" t="n">
        <v>1</v>
      </c>
      <c r="I54" s="23"/>
      <c r="J54" s="23"/>
      <c r="K54" s="23"/>
      <c r="L54" s="23"/>
      <c r="M54" s="23" t="n">
        <v>2</v>
      </c>
      <c r="N54" s="23"/>
      <c r="O54" s="23"/>
    </row>
    <row r="55" customFormat="false" ht="15" hidden="false" customHeight="false" outlineLevel="0" collapsed="false">
      <c r="B55" s="0" t="s">
        <v>252</v>
      </c>
      <c r="C55" s="11" t="s">
        <v>179</v>
      </c>
      <c r="D55" s="13" t="s">
        <v>253</v>
      </c>
      <c r="F55" s="43" t="n">
        <f aca="false">IF(INDEX($H55:$O55,1,Scenario_Selected)="",$H55,INDEX($H55:$O55,1,Scenario_Selected))</f>
        <v>6</v>
      </c>
      <c r="H55" s="46" t="n">
        <v>6</v>
      </c>
      <c r="I55" s="46"/>
      <c r="J55" s="46"/>
      <c r="K55" s="46"/>
      <c r="L55" s="46"/>
      <c r="M55" s="46"/>
      <c r="N55" s="46"/>
      <c r="O55" s="46"/>
    </row>
    <row r="56" customFormat="false" ht="15" hidden="false" customHeight="false" outlineLevel="0" collapsed="false">
      <c r="B56" s="0" t="s">
        <v>254</v>
      </c>
      <c r="C56" s="11" t="s">
        <v>255</v>
      </c>
      <c r="D56" s="13" t="s">
        <v>256</v>
      </c>
      <c r="F56" s="47" t="n">
        <f aca="false">IF(INDEX($H56:$O56,1,Scenario_Selected)="",$H56,INDEX($H56:$O56,1,Scenario_Selected))</f>
        <v>200</v>
      </c>
      <c r="H56" s="12" t="n">
        <v>200</v>
      </c>
      <c r="I56" s="12"/>
      <c r="J56" s="12"/>
      <c r="K56" s="12"/>
      <c r="L56" s="12"/>
      <c r="M56" s="12"/>
      <c r="N56" s="12"/>
      <c r="O56" s="12"/>
    </row>
    <row r="57" customFormat="false" ht="15" hidden="false" customHeight="false" outlineLevel="0" collapsed="false">
      <c r="B57" s="0" t="s">
        <v>257</v>
      </c>
      <c r="C57" s="11" t="s">
        <v>258</v>
      </c>
      <c r="D57" s="13" t="s">
        <v>256</v>
      </c>
      <c r="F57" s="47" t="n">
        <f aca="false">IF(INDEX($H57:$O57,1,Scenario_Selected)="",$H57,INDEX($H57:$O57,1,Scenario_Selected))</f>
        <v>406</v>
      </c>
      <c r="H57" s="12" t="n">
        <v>406</v>
      </c>
      <c r="I57" s="12"/>
      <c r="J57" s="12"/>
      <c r="K57" s="12"/>
      <c r="L57" s="12"/>
      <c r="M57" s="12"/>
      <c r="N57" s="12"/>
      <c r="O57" s="12"/>
    </row>
    <row r="58" customFormat="false" ht="15" hidden="false" customHeight="false" outlineLevel="0" collapsed="false">
      <c r="B58" s="0" t="s">
        <v>259</v>
      </c>
      <c r="C58" s="11" t="s">
        <v>260</v>
      </c>
      <c r="D58" s="13" t="s">
        <v>261</v>
      </c>
      <c r="F58" s="36" t="n">
        <f aca="false">IF(INDEX($H58:$O58,1,Scenario_Selected)="",$H58,INDEX($H58:$O58,1,Scenario_Selected))</f>
        <v>3</v>
      </c>
      <c r="H58" s="19" t="n">
        <v>3</v>
      </c>
      <c r="I58" s="19"/>
      <c r="J58" s="19"/>
      <c r="K58" s="19"/>
      <c r="L58" s="19"/>
      <c r="M58" s="19"/>
      <c r="N58" s="19"/>
      <c r="O58" s="19"/>
    </row>
    <row r="59" customFormat="false" ht="15" hidden="false" customHeight="false" outlineLevel="0" collapsed="false">
      <c r="B59" s="0" t="s">
        <v>262</v>
      </c>
      <c r="C59" s="11" t="s">
        <v>27</v>
      </c>
      <c r="D59" s="13" t="s">
        <v>263</v>
      </c>
      <c r="F59" s="50" t="n">
        <f aca="false">IF(INDEX($H59:$O59,1,Scenario_Selected)="",$H59,INDEX($H59:$O59,1,Scenario_Selected))</f>
        <v>0.005</v>
      </c>
      <c r="H59" s="51" t="n">
        <v>0.005</v>
      </c>
      <c r="I59" s="51"/>
      <c r="J59" s="51"/>
      <c r="K59" s="51"/>
      <c r="L59" s="51"/>
      <c r="M59" s="51"/>
      <c r="N59" s="51"/>
      <c r="O59" s="51"/>
    </row>
    <row r="60" customFormat="false" ht="15" hidden="false" customHeight="false" outlineLevel="0" collapsed="false">
      <c r="B60" s="0" t="s">
        <v>264</v>
      </c>
      <c r="C60" s="11" t="s">
        <v>27</v>
      </c>
      <c r="D60" s="13" t="s">
        <v>265</v>
      </c>
      <c r="F60" s="50" t="n">
        <f aca="false">IF(INDEX($H60:$O60,1,Scenario_Selected)="",$H60,INDEX($H60:$O60,1,Scenario_Selected))</f>
        <v>0.025</v>
      </c>
      <c r="H60" s="51" t="n">
        <v>0.025</v>
      </c>
      <c r="I60" s="51"/>
      <c r="J60" s="51"/>
      <c r="K60" s="51"/>
      <c r="L60" s="51"/>
      <c r="M60" s="51"/>
      <c r="N60" s="51"/>
      <c r="O60" s="51"/>
    </row>
    <row r="61" customFormat="false" ht="15" hidden="false" customHeight="false" outlineLevel="0" collapsed="false">
      <c r="B61" s="0" t="s">
        <v>266</v>
      </c>
      <c r="C61" s="11" t="s">
        <v>267</v>
      </c>
      <c r="D61" s="13" t="s">
        <v>268</v>
      </c>
      <c r="F61" s="36" t="n">
        <f aca="false">IF(INDEX($H61:$O61,1,Scenario_Selected)="",$H61,INDEX($H61:$O61,1,Scenario_Selected))</f>
        <v>4.5</v>
      </c>
      <c r="H61" s="19" t="n">
        <v>4.5</v>
      </c>
      <c r="I61" s="19"/>
      <c r="J61" s="19"/>
      <c r="K61" s="19"/>
      <c r="L61" s="19"/>
      <c r="M61" s="19"/>
      <c r="N61" s="19"/>
      <c r="O61" s="19"/>
    </row>
    <row r="62" customFormat="false" ht="15" hidden="false" customHeight="false" outlineLevel="0" collapsed="false">
      <c r="B62" s="0" t="s">
        <v>269</v>
      </c>
      <c r="C62" s="11" t="s">
        <v>260</v>
      </c>
      <c r="D62" s="13" t="s">
        <v>270</v>
      </c>
      <c r="F62" s="36" t="n">
        <f aca="false">IF(INDEX($H62:$O62,1,Scenario_Selected)="",$H62,INDEX($H62:$O62,1,Scenario_Selected))</f>
        <v>460</v>
      </c>
      <c r="H62" s="19" t="n">
        <v>460</v>
      </c>
      <c r="I62" s="19"/>
      <c r="J62" s="19"/>
      <c r="K62" s="19"/>
      <c r="L62" s="19"/>
      <c r="M62" s="19"/>
      <c r="N62" s="19"/>
      <c r="O62" s="19"/>
    </row>
    <row r="63" customFormat="false" ht="15" hidden="false" customHeight="false" outlineLevel="0" collapsed="false">
      <c r="B63" s="0" t="s">
        <v>271</v>
      </c>
      <c r="C63" s="11" t="s">
        <v>267</v>
      </c>
      <c r="D63" s="13" t="s">
        <v>272</v>
      </c>
      <c r="F63" s="32" t="n">
        <f aca="false">IF(INDEX($H63:$O63,1,Scenario_Selected)="",$H63,INDEX($H63:$O63,1,Scenario_Selected))</f>
        <v>54.830209</v>
      </c>
      <c r="H63" s="16" t="n">
        <v>54.830209</v>
      </c>
      <c r="I63" s="16"/>
      <c r="J63" s="16"/>
      <c r="K63" s="16"/>
      <c r="L63" s="16"/>
      <c r="M63" s="16"/>
      <c r="N63" s="16"/>
      <c r="O63" s="16"/>
    </row>
    <row r="64" customFormat="false" ht="15" hidden="false" customHeight="false" outlineLevel="0" collapsed="false">
      <c r="B64" s="0" t="s">
        <v>273</v>
      </c>
      <c r="C64" s="11" t="s">
        <v>27</v>
      </c>
      <c r="D64" s="13" t="s">
        <v>274</v>
      </c>
      <c r="F64" s="48" t="n">
        <f aca="false">IF(INDEX($H64:$O64,1,Scenario_Selected)="",$H64,INDEX($H64:$O64,1,Scenario_Selected))</f>
        <v>0.06</v>
      </c>
      <c r="H64" s="17" t="n">
        <v>0.06</v>
      </c>
      <c r="I64" s="17"/>
      <c r="J64" s="17"/>
      <c r="K64" s="17"/>
      <c r="L64" s="17"/>
      <c r="M64" s="17"/>
      <c r="N64" s="17"/>
      <c r="O64" s="17"/>
    </row>
    <row r="66" customFormat="false" ht="15" hidden="false" customHeight="false" outlineLevel="0" collapsed="false">
      <c r="A66" s="9" t="s">
        <v>13</v>
      </c>
      <c r="B66" s="9"/>
      <c r="C66" s="9" t="s">
        <v>275</v>
      </c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</row>
    <row r="67" customFormat="false" ht="15" hidden="false" customHeight="false" outlineLevel="0" collapsed="false">
      <c r="B67" s="0" t="s">
        <v>276</v>
      </c>
      <c r="C67" s="11" t="s">
        <v>19</v>
      </c>
      <c r="D67" s="13" t="s">
        <v>277</v>
      </c>
      <c r="F67" s="47" t="n">
        <f aca="false">IF(INDEX($H67:$O67,1,Scenario_Selected)="",$H67,INDEX($H67:$O67,1,Scenario_Selected))</f>
        <v>600</v>
      </c>
      <c r="H67" s="12" t="n">
        <v>600</v>
      </c>
      <c r="I67" s="12"/>
      <c r="J67" s="12" t="n">
        <v>660</v>
      </c>
      <c r="K67" s="12"/>
      <c r="L67" s="12"/>
      <c r="M67" s="12"/>
      <c r="N67" s="12"/>
      <c r="O67" s="12"/>
    </row>
    <row r="68" customFormat="false" ht="15" hidden="false" customHeight="false" outlineLevel="0" collapsed="false">
      <c r="B68" s="0" t="s">
        <v>278</v>
      </c>
      <c r="C68" s="11" t="s">
        <v>19</v>
      </c>
      <c r="D68" s="13" t="s">
        <v>279</v>
      </c>
      <c r="F68" s="47" t="n">
        <f aca="false">IF(INDEX($H68:$O68,1,Scenario_Selected)="",$H68,INDEX($H68:$O68,1,Scenario_Selected))</f>
        <v>500</v>
      </c>
      <c r="H68" s="12" t="n">
        <v>500</v>
      </c>
      <c r="I68" s="12"/>
      <c r="J68" s="12" t="n">
        <v>550</v>
      </c>
      <c r="K68" s="12"/>
      <c r="L68" s="12"/>
      <c r="M68" s="12"/>
      <c r="N68" s="12"/>
      <c r="O68" s="12"/>
    </row>
    <row r="69" customFormat="false" ht="15" hidden="false" customHeight="false" outlineLevel="0" collapsed="false">
      <c r="B69" s="0" t="s">
        <v>280</v>
      </c>
      <c r="C69" s="11" t="s">
        <v>19</v>
      </c>
      <c r="D69" s="13" t="s">
        <v>281</v>
      </c>
      <c r="F69" s="47" t="n">
        <f aca="false">IF(INDEX($H69:$O69,1,Scenario_Selected)="",$H69,INDEX($H69:$O69,1,Scenario_Selected))</f>
        <v>355</v>
      </c>
      <c r="H69" s="12" t="n">
        <v>355</v>
      </c>
      <c r="I69" s="12"/>
      <c r="J69" s="12"/>
      <c r="K69" s="12"/>
      <c r="L69" s="12"/>
      <c r="M69" s="12"/>
      <c r="N69" s="12"/>
      <c r="O69" s="12"/>
    </row>
    <row r="70" customFormat="false" ht="15" hidden="false" customHeight="false" outlineLevel="0" collapsed="false">
      <c r="B70" s="0" t="s">
        <v>282</v>
      </c>
      <c r="C70" s="11" t="s">
        <v>33</v>
      </c>
      <c r="D70" s="13" t="s">
        <v>283</v>
      </c>
      <c r="F70" s="47" t="n">
        <f aca="false">IF(INDEX($H70:$O70,1,Scenario_Selected)="",$H70,INDEX($H70:$O70,1,Scenario_Selected))</f>
        <v>12000</v>
      </c>
      <c r="H70" s="12" t="n">
        <v>12000</v>
      </c>
      <c r="I70" s="12"/>
      <c r="J70" s="12"/>
      <c r="K70" s="12"/>
      <c r="L70" s="12"/>
      <c r="M70" s="12"/>
      <c r="N70" s="12"/>
      <c r="O70" s="12"/>
    </row>
    <row r="71" customFormat="false" ht="15" hidden="false" customHeight="false" outlineLevel="0" collapsed="false">
      <c r="B71" s="0" t="s">
        <v>284</v>
      </c>
      <c r="C71" s="11" t="s">
        <v>33</v>
      </c>
      <c r="D71" s="13" t="s">
        <v>285</v>
      </c>
      <c r="F71" s="47" t="n">
        <f aca="false">IF(INDEX($H71:$O71,1,Scenario_Selected)="",$H71,INDEX($H71:$O71,1,Scenario_Selected))</f>
        <v>10800</v>
      </c>
      <c r="H71" s="12" t="n">
        <v>10800</v>
      </c>
      <c r="I71" s="12"/>
      <c r="J71" s="12"/>
      <c r="K71" s="12"/>
      <c r="L71" s="12"/>
      <c r="M71" s="12"/>
      <c r="N71" s="12"/>
      <c r="O71" s="12"/>
    </row>
    <row r="72" customFormat="false" ht="15" hidden="false" customHeight="false" outlineLevel="0" collapsed="false">
      <c r="B72" s="0" t="s">
        <v>286</v>
      </c>
      <c r="C72" s="11" t="s">
        <v>27</v>
      </c>
      <c r="D72" s="13" t="s">
        <v>287</v>
      </c>
      <c r="F72" s="48" t="n">
        <f aca="false">IF(INDEX($H72:$O72,1,Scenario_Selected)="",$H72,INDEX($H72:$O72,1,Scenario_Selected))</f>
        <v>0.05</v>
      </c>
      <c r="H72" s="17" t="n">
        <v>0.05</v>
      </c>
      <c r="I72" s="17"/>
      <c r="J72" s="17"/>
      <c r="K72" s="17"/>
      <c r="L72" s="17"/>
      <c r="M72" s="17"/>
      <c r="N72" s="17"/>
      <c r="O72" s="17"/>
    </row>
    <row r="73" customFormat="false" ht="15" hidden="false" customHeight="false" outlineLevel="0" collapsed="false">
      <c r="B73" s="0" t="s">
        <v>288</v>
      </c>
      <c r="C73" s="11" t="s">
        <v>19</v>
      </c>
      <c r="D73" s="13" t="s">
        <v>289</v>
      </c>
      <c r="F73" s="47" t="n">
        <f aca="false">IF(INDEX($H73:$O73,1,Scenario_Selected)="",$H73,INDEX($H73:$O73,1,Scenario_Selected))</f>
        <v>240</v>
      </c>
      <c r="H73" s="12" t="n">
        <v>240</v>
      </c>
      <c r="I73" s="12"/>
      <c r="J73" s="12"/>
      <c r="K73" s="12"/>
      <c r="L73" s="12"/>
      <c r="M73" s="12"/>
      <c r="N73" s="12"/>
      <c r="O73" s="12"/>
    </row>
    <row r="75" customFormat="false" ht="15" hidden="false" customHeight="false" outlineLevel="0" collapsed="false">
      <c r="A75" s="9" t="s">
        <v>13</v>
      </c>
      <c r="B75" s="9"/>
      <c r="C75" s="9" t="s">
        <v>290</v>
      </c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</row>
    <row r="76" customFormat="false" ht="15" hidden="false" customHeight="false" outlineLevel="0" collapsed="false">
      <c r="B76" s="0" t="s">
        <v>56</v>
      </c>
      <c r="C76" s="11" t="s">
        <v>57</v>
      </c>
      <c r="D76" s="13" t="s">
        <v>291</v>
      </c>
      <c r="F76" s="47" t="n">
        <f aca="false">IF(INDEX($H76:$O76,1,Scenario_Selected)="",$H76,INDEX($H76:$O76,1,Scenario_Selected))</f>
        <v>2460</v>
      </c>
      <c r="H76" s="12" t="n">
        <v>2460</v>
      </c>
      <c r="I76" s="12"/>
      <c r="J76" s="12"/>
      <c r="K76" s="12" t="n">
        <v>2214</v>
      </c>
      <c r="L76" s="12"/>
      <c r="M76" s="12"/>
      <c r="N76" s="12"/>
      <c r="O76" s="12"/>
    </row>
    <row r="77" customFormat="false" ht="15" hidden="false" customHeight="false" outlineLevel="0" collapsed="false">
      <c r="B77" s="0" t="s">
        <v>292</v>
      </c>
      <c r="C77" s="11" t="s">
        <v>27</v>
      </c>
      <c r="D77" s="13" t="s">
        <v>293</v>
      </c>
      <c r="F77" s="48" t="n">
        <f aca="false">IF(INDEX($H77:$O77,1,Scenario_Selected)="",$H77,INDEX($H77:$O77,1,Scenario_Selected))</f>
        <v>0.02</v>
      </c>
      <c r="H77" s="17" t="n">
        <v>0.02</v>
      </c>
      <c r="I77" s="17"/>
      <c r="J77" s="17"/>
      <c r="K77" s="17"/>
      <c r="L77" s="17"/>
      <c r="M77" s="17"/>
      <c r="N77" s="17"/>
      <c r="O77" s="17"/>
    </row>
    <row r="78" customFormat="false" ht="15" hidden="false" customHeight="false" outlineLevel="0" collapsed="false">
      <c r="B78" s="0" t="s">
        <v>294</v>
      </c>
      <c r="C78" s="11" t="s">
        <v>27</v>
      </c>
      <c r="D78" s="13" t="s">
        <v>295</v>
      </c>
      <c r="F78" s="50" t="n">
        <f aca="false">IF(INDEX($H78:$O78,1,Scenario_Selected)="",$H78,INDEX($H78:$O78,1,Scenario_Selected))</f>
        <v>0.003</v>
      </c>
      <c r="H78" s="51" t="n">
        <v>0.003</v>
      </c>
      <c r="I78" s="51"/>
      <c r="J78" s="51"/>
      <c r="K78" s="51"/>
      <c r="L78" s="51"/>
      <c r="M78" s="51"/>
      <c r="N78" s="51"/>
      <c r="O78" s="51"/>
    </row>
    <row r="79" customFormat="false" ht="15" hidden="false" customHeight="false" outlineLevel="0" collapsed="false">
      <c r="B79" s="0" t="s">
        <v>296</v>
      </c>
      <c r="C79" s="11" t="s">
        <v>24</v>
      </c>
      <c r="D79" s="13" t="s">
        <v>241</v>
      </c>
      <c r="F79" s="36" t="n">
        <f aca="false">IF(INDEX($H79:$O79,1,Scenario_Selected)="",$H79,INDEX($H79:$O79,1,Scenario_Selected))</f>
        <v>90</v>
      </c>
      <c r="H79" s="19" t="n">
        <v>90</v>
      </c>
      <c r="I79" s="19"/>
      <c r="J79" s="19"/>
      <c r="K79" s="19"/>
      <c r="L79" s="19" t="n">
        <v>81</v>
      </c>
      <c r="M79" s="19"/>
      <c r="N79" s="19"/>
      <c r="O79" s="19"/>
    </row>
    <row r="80" customFormat="false" ht="15" hidden="false" customHeight="false" outlineLevel="0" collapsed="false">
      <c r="B80" s="0" t="s">
        <v>297</v>
      </c>
      <c r="C80" s="11" t="s">
        <v>27</v>
      </c>
      <c r="D80" s="13" t="s">
        <v>298</v>
      </c>
      <c r="F80" s="48" t="n">
        <f aca="false">IF(INDEX($H80:$O80,1,Scenario_Selected)="",$H80,INDEX($H80:$O80,1,Scenario_Selected))</f>
        <v>0.01</v>
      </c>
      <c r="H80" s="17" t="n">
        <v>0.01</v>
      </c>
      <c r="I80" s="17"/>
      <c r="J80" s="17"/>
      <c r="K80" s="17"/>
      <c r="L80" s="17"/>
      <c r="M80" s="17"/>
      <c r="N80" s="17"/>
      <c r="O80" s="17"/>
    </row>
    <row r="81" customFormat="false" ht="15" hidden="false" customHeight="false" outlineLevel="0" collapsed="false">
      <c r="B81" s="0" t="s">
        <v>299</v>
      </c>
      <c r="C81" s="11" t="s">
        <v>24</v>
      </c>
      <c r="D81" s="13" t="s">
        <v>300</v>
      </c>
      <c r="F81" s="36" t="n">
        <f aca="false">IF(INDEX($H81:$O81,1,Scenario_Selected)="",$H81,INDEX($H81:$O81,1,Scenario_Selected))</f>
        <v>5</v>
      </c>
      <c r="H81" s="19" t="n">
        <v>5</v>
      </c>
      <c r="I81" s="19"/>
      <c r="J81" s="19"/>
      <c r="K81" s="19"/>
      <c r="L81" s="19"/>
      <c r="M81" s="19"/>
      <c r="N81" s="19"/>
      <c r="O81" s="19"/>
    </row>
    <row r="82" customFormat="false" ht="15" hidden="false" customHeight="false" outlineLevel="0" collapsed="false">
      <c r="B82" s="0" t="s">
        <v>301</v>
      </c>
      <c r="C82" s="11" t="s">
        <v>19</v>
      </c>
      <c r="D82" s="13" t="s">
        <v>302</v>
      </c>
      <c r="F82" s="47" t="n">
        <f aca="false">IF(INDEX($H82:$O82,1,Scenario_Selected)="",$H82,INDEX($H82:$O82,1,Scenario_Selected))</f>
        <v>22</v>
      </c>
      <c r="H82" s="12" t="n">
        <v>22</v>
      </c>
      <c r="I82" s="12"/>
      <c r="J82" s="12"/>
      <c r="K82" s="12"/>
      <c r="L82" s="12"/>
      <c r="M82" s="12"/>
      <c r="N82" s="12"/>
      <c r="O82" s="12"/>
    </row>
    <row r="83" customFormat="false" ht="15" hidden="false" customHeight="false" outlineLevel="0" collapsed="false">
      <c r="B83" s="0" t="s">
        <v>303</v>
      </c>
      <c r="C83" s="11" t="s">
        <v>19</v>
      </c>
      <c r="D83" s="13" t="s">
        <v>304</v>
      </c>
      <c r="F83" s="47" t="n">
        <f aca="false">IF(INDEX($H83:$O83,1,Scenario_Selected)="",$H83,INDEX($H83:$O83,1,Scenario_Selected))</f>
        <v>3</v>
      </c>
      <c r="H83" s="12" t="n">
        <v>3</v>
      </c>
      <c r="I83" s="12"/>
      <c r="J83" s="12"/>
      <c r="K83" s="12"/>
      <c r="L83" s="12"/>
      <c r="M83" s="12"/>
      <c r="N83" s="12"/>
      <c r="O83" s="12"/>
    </row>
    <row r="84" customFormat="false" ht="15" hidden="false" customHeight="false" outlineLevel="0" collapsed="false">
      <c r="B84" s="0" t="s">
        <v>305</v>
      </c>
      <c r="C84" s="11" t="s">
        <v>33</v>
      </c>
      <c r="D84" s="13" t="s">
        <v>306</v>
      </c>
      <c r="F84" s="47" t="n">
        <f aca="false">IF(INDEX($H84:$O84,1,Scenario_Selected)="",$H84,INDEX($H84:$O84,1,Scenario_Selected))</f>
        <v>150</v>
      </c>
      <c r="H84" s="12" t="n">
        <v>150</v>
      </c>
      <c r="I84" s="12"/>
      <c r="J84" s="12"/>
      <c r="K84" s="12"/>
      <c r="L84" s="12"/>
      <c r="M84" s="12"/>
      <c r="N84" s="12"/>
      <c r="O84" s="12"/>
    </row>
    <row r="85" customFormat="false" ht="15" hidden="false" customHeight="false" outlineLevel="0" collapsed="false">
      <c r="B85" s="0" t="s">
        <v>307</v>
      </c>
      <c r="C85" s="11" t="s">
        <v>27</v>
      </c>
      <c r="D85" s="13" t="s">
        <v>308</v>
      </c>
      <c r="F85" s="48" t="n">
        <f aca="false">IF(INDEX($H85:$O85,1,Scenario_Selected)="",$H85,INDEX($H85:$O85,1,Scenario_Selected))</f>
        <v>0.05</v>
      </c>
      <c r="H85" s="17" t="n">
        <v>0.05</v>
      </c>
      <c r="I85" s="17"/>
      <c r="J85" s="17"/>
      <c r="K85" s="17"/>
      <c r="L85" s="17"/>
      <c r="M85" s="17"/>
      <c r="N85" s="17"/>
      <c r="O85" s="17"/>
    </row>
    <row r="86" customFormat="false" ht="15" hidden="false" customHeight="false" outlineLevel="0" collapsed="false">
      <c r="B86" s="0" t="s">
        <v>309</v>
      </c>
      <c r="C86" s="11" t="s">
        <v>27</v>
      </c>
      <c r="D86" s="13" t="s">
        <v>310</v>
      </c>
      <c r="F86" s="48" t="n">
        <f aca="false">IF(INDEX($H86:$O86,1,Scenario_Selected)="",$H86,INDEX($H86:$O86,1,Scenario_Selected))</f>
        <v>0.025</v>
      </c>
      <c r="H86" s="17" t="n">
        <v>0.025</v>
      </c>
      <c r="I86" s="17"/>
      <c r="J86" s="17"/>
      <c r="K86" s="17"/>
      <c r="L86" s="17"/>
      <c r="M86" s="17"/>
      <c r="N86" s="17"/>
      <c r="O86" s="17"/>
    </row>
    <row r="87" customFormat="false" ht="15" hidden="false" customHeight="false" outlineLevel="0" collapsed="false">
      <c r="B87" s="0" t="s">
        <v>311</v>
      </c>
      <c r="C87" s="11" t="s">
        <v>27</v>
      </c>
      <c r="D87" s="13" t="s">
        <v>312</v>
      </c>
      <c r="F87" s="50" t="n">
        <f aca="false">IF(INDEX($H87:$O87,1,Scenario_Selected)="",$H87,INDEX($H87:$O87,1,Scenario_Selected))</f>
        <v>0.001</v>
      </c>
      <c r="H87" s="51" t="n">
        <v>0.001</v>
      </c>
      <c r="I87" s="51"/>
      <c r="J87" s="51"/>
      <c r="K87" s="51"/>
      <c r="L87" s="51"/>
      <c r="M87" s="51"/>
      <c r="N87" s="51"/>
      <c r="O87" s="51"/>
    </row>
    <row r="88" customFormat="false" ht="15" hidden="false" customHeight="false" outlineLevel="0" collapsed="false">
      <c r="B88" s="0" t="s">
        <v>313</v>
      </c>
      <c r="C88" s="11" t="s">
        <v>27</v>
      </c>
      <c r="D88" s="13" t="s">
        <v>314</v>
      </c>
      <c r="F88" s="48" t="n">
        <f aca="false">IF(INDEX($H88:$O88,1,Scenario_Selected)="",$H88,INDEX($H88:$O88,1,Scenario_Selected))</f>
        <v>0.02</v>
      </c>
      <c r="H88" s="17" t="n">
        <v>0.02</v>
      </c>
      <c r="I88" s="17"/>
      <c r="J88" s="17"/>
      <c r="K88" s="17"/>
      <c r="L88" s="17"/>
      <c r="M88" s="17"/>
      <c r="N88" s="17"/>
      <c r="O88" s="17"/>
    </row>
    <row r="89" customFormat="false" ht="15" hidden="false" customHeight="false" outlineLevel="0" collapsed="false">
      <c r="B89" s="0" t="s">
        <v>315</v>
      </c>
      <c r="C89" s="11" t="s">
        <v>27</v>
      </c>
      <c r="D89" s="13" t="s">
        <v>316</v>
      </c>
      <c r="F89" s="50" t="n">
        <f aca="false">IF(INDEX($H89:$O89,1,Scenario_Selected)="",$H89,INDEX($H89:$O89,1,Scenario_Selected))</f>
        <v>0.003</v>
      </c>
      <c r="H89" s="51" t="n">
        <v>0.003</v>
      </c>
      <c r="I89" s="51"/>
      <c r="J89" s="51"/>
      <c r="K89" s="51"/>
      <c r="L89" s="51"/>
      <c r="M89" s="51"/>
      <c r="N89" s="51"/>
      <c r="O89" s="51"/>
    </row>
    <row r="91" customFormat="false" ht="15" hidden="false" customHeight="false" outlineLevel="0" collapsed="false">
      <c r="A91" s="9" t="s">
        <v>13</v>
      </c>
      <c r="B91" s="9"/>
      <c r="C91" s="9" t="s">
        <v>317</v>
      </c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</row>
    <row r="92" customFormat="false" ht="15" hidden="false" customHeight="false" outlineLevel="0" collapsed="false">
      <c r="B92" s="0" t="s">
        <v>318</v>
      </c>
      <c r="C92" s="11" t="s">
        <v>27</v>
      </c>
      <c r="D92" s="13" t="s">
        <v>319</v>
      </c>
      <c r="F92" s="48" t="n">
        <f aca="false">IF(INDEX($H92:$O92,1,Scenario_Selected)="",$H92,INDEX($H92:$O92,1,Scenario_Selected))</f>
        <v>0.8</v>
      </c>
      <c r="H92" s="17" t="n">
        <v>0.8</v>
      </c>
      <c r="I92" s="17"/>
      <c r="J92" s="17"/>
      <c r="K92" s="17"/>
      <c r="L92" s="17"/>
      <c r="M92" s="17"/>
      <c r="N92" s="17"/>
      <c r="O92" s="17"/>
    </row>
    <row r="93" customFormat="false" ht="15" hidden="false" customHeight="false" outlineLevel="0" collapsed="false">
      <c r="B93" s="0" t="s">
        <v>320</v>
      </c>
      <c r="C93" s="11" t="s">
        <v>27</v>
      </c>
      <c r="D93" s="13" t="s">
        <v>321</v>
      </c>
      <c r="F93" s="48" t="n">
        <f aca="false">IF(INDEX($H93:$O93,1,Scenario_Selected)="",$H93,INDEX($H93:$O93,1,Scenario_Selected))</f>
        <v>0.7</v>
      </c>
      <c r="H93" s="17" t="n">
        <v>0.7</v>
      </c>
      <c r="I93" s="17"/>
      <c r="J93" s="17"/>
      <c r="K93" s="17"/>
      <c r="L93" s="17"/>
      <c r="M93" s="17"/>
      <c r="N93" s="17"/>
      <c r="O93" s="17"/>
    </row>
    <row r="94" customFormat="false" ht="15" hidden="false" customHeight="false" outlineLevel="0" collapsed="false">
      <c r="B94" s="0" t="s">
        <v>322</v>
      </c>
      <c r="C94" s="11" t="s">
        <v>13</v>
      </c>
      <c r="D94" s="13" t="s">
        <v>323</v>
      </c>
      <c r="F94" s="52" t="n">
        <f aca="false">IF(INDEX($H94:$O94,1,Scenario_Selected)="",$H94,INDEX($H94:$O94,1,Scenario_Selected))</f>
        <v>1.2</v>
      </c>
      <c r="H94" s="21" t="n">
        <v>1.2</v>
      </c>
      <c r="I94" s="21"/>
      <c r="J94" s="21"/>
      <c r="K94" s="21"/>
      <c r="L94" s="21"/>
      <c r="M94" s="21"/>
      <c r="N94" s="21"/>
      <c r="O94" s="21"/>
    </row>
    <row r="95" customFormat="false" ht="15" hidden="false" customHeight="false" outlineLevel="0" collapsed="false">
      <c r="B95" s="0" t="s">
        <v>65</v>
      </c>
      <c r="C95" s="11" t="s">
        <v>66</v>
      </c>
      <c r="D95" s="13" t="s">
        <v>324</v>
      </c>
      <c r="F95" s="43" t="n">
        <f aca="false">IF(INDEX($H95:$O95,1,Scenario_Selected)="",$H95,INDEX($H95:$O95,1,Scenario_Selected))</f>
        <v>18</v>
      </c>
      <c r="H95" s="46" t="n">
        <v>18</v>
      </c>
      <c r="I95" s="46"/>
      <c r="J95" s="46"/>
      <c r="K95" s="46"/>
      <c r="L95" s="46"/>
      <c r="M95" s="46"/>
      <c r="N95" s="46"/>
      <c r="O95" s="46" t="n">
        <v>10</v>
      </c>
    </row>
    <row r="96" customFormat="false" ht="15" hidden="false" customHeight="false" outlineLevel="0" collapsed="false">
      <c r="B96" s="0" t="s">
        <v>325</v>
      </c>
      <c r="C96" s="11" t="s">
        <v>27</v>
      </c>
      <c r="D96" s="13" t="s">
        <v>326</v>
      </c>
      <c r="F96" s="48" t="n">
        <f aca="false">IF(INDEX($H96:$O96,1,Scenario_Selected)="",$H96,INDEX($H96:$O96,1,Scenario_Selected))</f>
        <v>0.05</v>
      </c>
      <c r="H96" s="17" t="n">
        <v>0.05</v>
      </c>
      <c r="I96" s="17"/>
      <c r="J96" s="17"/>
      <c r="K96" s="17"/>
      <c r="L96" s="17"/>
      <c r="M96" s="17"/>
      <c r="N96" s="17" t="n">
        <v>0.06</v>
      </c>
      <c r="O96" s="17"/>
    </row>
    <row r="97" customFormat="false" ht="15" hidden="false" customHeight="false" outlineLevel="0" collapsed="false">
      <c r="B97" s="0" t="s">
        <v>327</v>
      </c>
      <c r="C97" s="11" t="s">
        <v>27</v>
      </c>
      <c r="D97" s="13" t="s">
        <v>328</v>
      </c>
      <c r="F97" s="50" t="n">
        <f aca="false">IF(INDEX($H97:$O97,1,Scenario_Selected)="",$H97,INDEX($H97:$O97,1,Scenario_Selected))</f>
        <v>0.0175</v>
      </c>
      <c r="H97" s="51" t="n">
        <v>0.0175</v>
      </c>
      <c r="I97" s="51"/>
      <c r="J97" s="51"/>
      <c r="K97" s="51"/>
      <c r="L97" s="51"/>
      <c r="M97" s="51"/>
      <c r="N97" s="51"/>
      <c r="O97" s="51"/>
    </row>
    <row r="98" customFormat="false" ht="15" hidden="false" customHeight="false" outlineLevel="0" collapsed="false">
      <c r="B98" s="0" t="s">
        <v>329</v>
      </c>
      <c r="C98" s="11" t="s">
        <v>27</v>
      </c>
      <c r="D98" s="13" t="s">
        <v>330</v>
      </c>
      <c r="F98" s="50" t="n">
        <f aca="false">IF(INDEX($H98:$O98,1,Scenario_Selected)="",$H98,INDEX($H98:$O98,1,Scenario_Selected))</f>
        <v>0.009</v>
      </c>
      <c r="H98" s="51" t="n">
        <v>0.009</v>
      </c>
      <c r="I98" s="51"/>
      <c r="J98" s="51"/>
      <c r="K98" s="51"/>
      <c r="L98" s="51"/>
      <c r="M98" s="51"/>
      <c r="N98" s="51"/>
      <c r="O98" s="51"/>
    </row>
    <row r="99" customFormat="false" ht="15" hidden="false" customHeight="false" outlineLevel="0" collapsed="false">
      <c r="B99" s="0" t="s">
        <v>331</v>
      </c>
      <c r="C99" s="11" t="s">
        <v>179</v>
      </c>
      <c r="D99" s="13" t="s">
        <v>332</v>
      </c>
      <c r="F99" s="43" t="n">
        <f aca="false">IF(INDEX($H99:$O99,1,Scenario_Selected)="",$H99,INDEX($H99:$O99,1,Scenario_Selected))</f>
        <v>6</v>
      </c>
      <c r="H99" s="46" t="n">
        <v>6</v>
      </c>
      <c r="I99" s="46"/>
      <c r="J99" s="46"/>
      <c r="K99" s="46"/>
      <c r="L99" s="46"/>
      <c r="M99" s="46"/>
      <c r="N99" s="46"/>
      <c r="O99" s="46"/>
    </row>
    <row r="101" customFormat="false" ht="15" hidden="false" customHeight="false" outlineLevel="0" collapsed="false">
      <c r="A101" s="9" t="s">
        <v>13</v>
      </c>
      <c r="B101" s="9"/>
      <c r="C101" s="9" t="s">
        <v>333</v>
      </c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</row>
    <row r="102" customFormat="false" ht="15" hidden="false" customHeight="false" outlineLevel="0" collapsed="false">
      <c r="B102" s="0" t="s">
        <v>334</v>
      </c>
      <c r="C102" s="11" t="s">
        <v>21</v>
      </c>
      <c r="D102" s="13" t="s">
        <v>335</v>
      </c>
      <c r="F102" s="3" t="s">
        <v>336</v>
      </c>
    </row>
    <row r="103" customFormat="false" ht="15" hidden="false" customHeight="false" outlineLevel="0" collapsed="false">
      <c r="B103" s="0" t="s">
        <v>337</v>
      </c>
      <c r="C103" s="11" t="s">
        <v>21</v>
      </c>
      <c r="D103" s="13" t="s">
        <v>338</v>
      </c>
      <c r="F103" s="3"/>
    </row>
    <row r="105" customFormat="false" ht="15" hidden="false" customHeight="false" outlineLevel="0" collapsed="false">
      <c r="C105" s="41" t="s">
        <v>158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O2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3" topLeftCell="J4" activePane="bottomRight" state="frozen"/>
      <selection pane="topLeft" activeCell="A1" activeCellId="0" sqref="A1"/>
      <selection pane="topRight" activeCell="J1" activeCellId="0" sqref="J1"/>
      <selection pane="bottomLeft" activeCell="A4" activeCellId="0" sqref="A4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2" customFormat="false" ht="15" hidden="false" customHeight="false" outlineLevel="0" collapsed="false">
      <c r="A2" s="1"/>
      <c r="B2" s="1" t="str">
        <f aca="false">Dashboard!$C$3&amp;" – Time-series inputs"</f>
        <v>Project Bana – Time-series inputs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5" customFormat="false" ht="15" hidden="false" customHeight="false" outlineLevel="0" collapsed="false">
      <c r="A5" s="9" t="s">
        <v>13</v>
      </c>
      <c r="B5" s="9"/>
      <c r="C5" s="9" t="s">
        <v>339</v>
      </c>
      <c r="D5" s="9"/>
      <c r="E5" s="9" t="s">
        <v>340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</row>
    <row r="6" customFormat="false" ht="15" hidden="false" customHeight="false" outlineLevel="0" collapsed="false">
      <c r="E6" s="8" t="s">
        <v>341</v>
      </c>
      <c r="F6" s="8" t="s">
        <v>342</v>
      </c>
      <c r="J6" s="8" t="s">
        <v>343</v>
      </c>
    </row>
    <row r="7" customFormat="false" ht="15" hidden="false" customHeight="false" outlineLevel="0" collapsed="false">
      <c r="C7" s="0" t="s">
        <v>344</v>
      </c>
      <c r="D7" s="11" t="s">
        <v>19</v>
      </c>
      <c r="E7" s="44" t="n">
        <v>10</v>
      </c>
      <c r="F7" s="44" t="n">
        <v>50</v>
      </c>
      <c r="J7" s="44" t="n">
        <v>10</v>
      </c>
      <c r="K7" s="44" t="n">
        <v>15</v>
      </c>
      <c r="L7" s="44" t="n">
        <v>20</v>
      </c>
      <c r="M7" s="44" t="n">
        <v>25</v>
      </c>
      <c r="N7" s="44" t="n">
        <v>30</v>
      </c>
      <c r="O7" s="44" t="n">
        <v>35</v>
      </c>
      <c r="P7" s="44" t="n">
        <v>40</v>
      </c>
      <c r="Q7" s="44" t="n">
        <v>45</v>
      </c>
      <c r="R7" s="44" t="n">
        <v>50</v>
      </c>
    </row>
    <row r="8" customFormat="false" ht="15" hidden="false" customHeight="false" outlineLevel="0" collapsed="false">
      <c r="C8" s="0" t="s">
        <v>345</v>
      </c>
      <c r="D8" s="11" t="s">
        <v>43</v>
      </c>
      <c r="J8" s="23" t="n">
        <v>0</v>
      </c>
      <c r="K8" s="23" t="n">
        <v>0</v>
      </c>
      <c r="L8" s="23" t="n">
        <v>0</v>
      </c>
      <c r="M8" s="23" t="n">
        <v>0</v>
      </c>
      <c r="N8" s="23" t="n">
        <v>0</v>
      </c>
      <c r="O8" s="23" t="n">
        <v>0</v>
      </c>
      <c r="P8" s="23" t="n">
        <v>0</v>
      </c>
      <c r="Q8" s="23" t="n">
        <v>0</v>
      </c>
      <c r="R8" s="23" t="n">
        <v>1</v>
      </c>
    </row>
    <row r="9" customFormat="false" ht="15" hidden="false" customHeight="false" outlineLevel="0" collapsed="false">
      <c r="C9" s="0" t="s">
        <v>346</v>
      </c>
      <c r="D9" s="11" t="s">
        <v>53</v>
      </c>
      <c r="E9" s="17" t="n">
        <v>0.2</v>
      </c>
      <c r="J9" s="46" t="n">
        <v>0</v>
      </c>
      <c r="K9" s="46" t="n">
        <v>10</v>
      </c>
      <c r="L9" s="46" t="n">
        <v>20</v>
      </c>
      <c r="M9" s="46" t="n">
        <v>30</v>
      </c>
      <c r="N9" s="46" t="n">
        <v>40</v>
      </c>
      <c r="O9" s="46" t="n">
        <v>55</v>
      </c>
      <c r="P9" s="46" t="n">
        <v>70</v>
      </c>
      <c r="Q9" s="46" t="n">
        <v>80</v>
      </c>
      <c r="R9" s="46" t="n">
        <v>90</v>
      </c>
      <c r="S9" s="46" t="n">
        <v>100</v>
      </c>
    </row>
    <row r="10" customFormat="false" ht="15" hidden="false" customHeight="false" outlineLevel="0" collapsed="false">
      <c r="C10" s="0" t="s">
        <v>347</v>
      </c>
      <c r="D10" s="11" t="s">
        <v>24</v>
      </c>
      <c r="E10" s="44" t="n">
        <v>2</v>
      </c>
      <c r="F10" s="44" t="n">
        <v>3</v>
      </c>
      <c r="J10" s="44" t="n">
        <v>2</v>
      </c>
      <c r="K10" s="44" t="n">
        <v>2.1</v>
      </c>
      <c r="L10" s="44" t="n">
        <v>2.2</v>
      </c>
      <c r="M10" s="44" t="n">
        <v>2.3</v>
      </c>
      <c r="N10" s="44" t="n">
        <v>2.4</v>
      </c>
      <c r="O10" s="44" t="n">
        <v>2.5</v>
      </c>
      <c r="P10" s="44" t="n">
        <v>2.6</v>
      </c>
      <c r="Q10" s="44" t="n">
        <v>2.7</v>
      </c>
      <c r="R10" s="44" t="n">
        <v>2.8</v>
      </c>
      <c r="S10" s="44" t="n">
        <v>2.9</v>
      </c>
      <c r="T10" s="44" t="n">
        <v>3</v>
      </c>
    </row>
    <row r="11" customFormat="false" ht="15" hidden="false" customHeight="false" outlineLevel="0" collapsed="false">
      <c r="C11" s="0" t="s">
        <v>348</v>
      </c>
      <c r="D11" s="11" t="s">
        <v>43</v>
      </c>
      <c r="J11" s="23" t="n">
        <v>0</v>
      </c>
      <c r="K11" s="23" t="n">
        <v>0</v>
      </c>
      <c r="L11" s="23" t="n">
        <v>0</v>
      </c>
      <c r="M11" s="23" t="n">
        <v>0</v>
      </c>
      <c r="N11" s="23" t="n">
        <v>0</v>
      </c>
      <c r="O11" s="23" t="n">
        <v>0</v>
      </c>
      <c r="P11" s="23" t="n">
        <v>0</v>
      </c>
      <c r="Q11" s="23" t="n">
        <v>0</v>
      </c>
      <c r="R11" s="23" t="n">
        <v>0</v>
      </c>
      <c r="S11" s="23" t="n">
        <v>0</v>
      </c>
      <c r="T11" s="23" t="n">
        <v>1</v>
      </c>
    </row>
    <row r="12" customFormat="false" ht="15" hidden="false" customHeight="false" outlineLevel="0" collapsed="false">
      <c r="C12" s="0" t="s">
        <v>349</v>
      </c>
      <c r="D12" s="11" t="s">
        <v>53</v>
      </c>
      <c r="E12" s="17" t="n">
        <v>0.15</v>
      </c>
      <c r="J12" s="46" t="n">
        <v>0</v>
      </c>
      <c r="K12" s="46" t="n">
        <v>5</v>
      </c>
      <c r="L12" s="46" t="n">
        <v>10</v>
      </c>
      <c r="M12" s="46" t="n">
        <v>20</v>
      </c>
      <c r="N12" s="46" t="n">
        <v>30</v>
      </c>
      <c r="O12" s="46" t="n">
        <v>40</v>
      </c>
      <c r="P12" s="46" t="n">
        <v>50</v>
      </c>
      <c r="Q12" s="46" t="n">
        <v>60</v>
      </c>
      <c r="R12" s="46" t="n">
        <v>70</v>
      </c>
      <c r="S12" s="46" t="n">
        <v>80</v>
      </c>
      <c r="T12" s="46" t="n">
        <v>90</v>
      </c>
      <c r="U12" s="46" t="n">
        <v>100</v>
      </c>
    </row>
    <row r="13" customFormat="false" ht="15" hidden="false" customHeight="false" outlineLevel="0" collapsed="false">
      <c r="C13" s="0" t="s">
        <v>350</v>
      </c>
      <c r="D13" s="11" t="s">
        <v>27</v>
      </c>
      <c r="E13" s="44" t="n">
        <v>0.05</v>
      </c>
      <c r="J13" s="44" t="n">
        <v>0.02</v>
      </c>
      <c r="K13" s="44" t="n">
        <v>0.05</v>
      </c>
      <c r="L13" s="44" t="n">
        <v>0.1</v>
      </c>
      <c r="M13" s="44" t="n">
        <v>0.15</v>
      </c>
      <c r="N13" s="44" t="n">
        <v>0.2</v>
      </c>
      <c r="O13" s="44" t="n">
        <v>0.25</v>
      </c>
      <c r="P13" s="44" t="n">
        <v>0.3</v>
      </c>
      <c r="Q13" s="44" t="n">
        <v>0.35</v>
      </c>
      <c r="R13" s="44" t="n">
        <v>0.4</v>
      </c>
      <c r="S13" s="44" t="n">
        <v>0.5</v>
      </c>
    </row>
    <row r="14" customFormat="false" ht="15" hidden="false" customHeight="false" outlineLevel="0" collapsed="false">
      <c r="C14" s="0" t="s">
        <v>351</v>
      </c>
      <c r="D14" s="11" t="s">
        <v>43</v>
      </c>
      <c r="J14" s="23" t="n">
        <v>0</v>
      </c>
      <c r="K14" s="23" t="n">
        <v>1</v>
      </c>
      <c r="L14" s="23" t="n">
        <v>1</v>
      </c>
      <c r="M14" s="23" t="n">
        <v>1</v>
      </c>
      <c r="N14" s="23" t="n">
        <v>1</v>
      </c>
      <c r="O14" s="23" t="n">
        <v>1</v>
      </c>
      <c r="P14" s="23" t="n">
        <v>1</v>
      </c>
      <c r="Q14" s="23" t="n">
        <v>1</v>
      </c>
      <c r="R14" s="23" t="n">
        <v>1</v>
      </c>
      <c r="S14" s="23" t="n">
        <v>0</v>
      </c>
    </row>
    <row r="15" customFormat="false" ht="15" hidden="false" customHeight="false" outlineLevel="0" collapsed="false">
      <c r="C15" s="0" t="s">
        <v>352</v>
      </c>
      <c r="D15" s="11" t="s">
        <v>53</v>
      </c>
      <c r="E15" s="17" t="n">
        <v>0.15</v>
      </c>
      <c r="J15" s="46" t="n">
        <v>0</v>
      </c>
      <c r="K15" s="46" t="n">
        <v>10</v>
      </c>
      <c r="L15" s="46" t="n">
        <v>20</v>
      </c>
      <c r="M15" s="46" t="n">
        <v>30</v>
      </c>
      <c r="N15" s="46" t="n">
        <v>40</v>
      </c>
      <c r="O15" s="46" t="n">
        <v>50</v>
      </c>
      <c r="P15" s="46" t="n">
        <v>60</v>
      </c>
      <c r="Q15" s="46" t="n">
        <v>70</v>
      </c>
      <c r="R15" s="46" t="n">
        <v>80</v>
      </c>
      <c r="S15" s="46" t="n">
        <v>90</v>
      </c>
      <c r="T15" s="46" t="n">
        <v>100</v>
      </c>
    </row>
    <row r="16" customFormat="false" ht="15" hidden="false" customHeight="false" outlineLevel="0" collapsed="false">
      <c r="C16" s="0" t="s">
        <v>353</v>
      </c>
      <c r="D16" s="11" t="s">
        <v>27</v>
      </c>
      <c r="J16" s="44" t="n">
        <v>0.02</v>
      </c>
      <c r="K16" s="44" t="n">
        <v>0.05</v>
      </c>
      <c r="L16" s="44" t="n">
        <v>0.1</v>
      </c>
      <c r="M16" s="44" t="n">
        <v>0.15</v>
      </c>
      <c r="N16" s="44" t="n">
        <v>0.2</v>
      </c>
      <c r="O16" s="44" t="n">
        <v>0.25</v>
      </c>
      <c r="P16" s="44" t="n">
        <v>0.3</v>
      </c>
      <c r="Q16" s="44" t="n">
        <v>0.35</v>
      </c>
      <c r="R16" s="44" t="n">
        <v>0.4</v>
      </c>
      <c r="S16" s="44" t="n">
        <v>0.5</v>
      </c>
    </row>
    <row r="17" customFormat="false" ht="15" hidden="false" customHeight="false" outlineLevel="0" collapsed="false">
      <c r="C17" s="0" t="s">
        <v>354</v>
      </c>
      <c r="D17" s="11" t="s">
        <v>43</v>
      </c>
      <c r="J17" s="23" t="n">
        <v>0</v>
      </c>
      <c r="K17" s="23" t="n">
        <v>1</v>
      </c>
      <c r="L17" s="23" t="n">
        <v>1</v>
      </c>
      <c r="M17" s="23" t="n">
        <v>1</v>
      </c>
      <c r="N17" s="23" t="n">
        <v>1</v>
      </c>
      <c r="O17" s="23" t="n">
        <v>1</v>
      </c>
      <c r="P17" s="23" t="n">
        <v>1</v>
      </c>
      <c r="Q17" s="23" t="n">
        <v>1</v>
      </c>
      <c r="R17" s="23" t="n">
        <v>1</v>
      </c>
      <c r="S17" s="23" t="n">
        <v>0</v>
      </c>
    </row>
    <row r="18" customFormat="false" ht="15" hidden="false" customHeight="false" outlineLevel="0" collapsed="false">
      <c r="C18" s="0" t="s">
        <v>355</v>
      </c>
      <c r="D18" s="11" t="s">
        <v>53</v>
      </c>
      <c r="E18" s="17" t="n">
        <v>0.1</v>
      </c>
      <c r="J18" s="46" t="n">
        <v>0</v>
      </c>
      <c r="K18" s="46" t="n">
        <v>10</v>
      </c>
      <c r="L18" s="46" t="n">
        <v>20</v>
      </c>
      <c r="M18" s="46" t="n">
        <v>30</v>
      </c>
      <c r="N18" s="46" t="n">
        <v>40</v>
      </c>
      <c r="O18" s="46" t="n">
        <v>50</v>
      </c>
      <c r="P18" s="46" t="n">
        <v>60</v>
      </c>
      <c r="Q18" s="46" t="n">
        <v>70</v>
      </c>
      <c r="R18" s="46" t="n">
        <v>80</v>
      </c>
      <c r="S18" s="46" t="n">
        <v>90</v>
      </c>
      <c r="T18" s="46" t="n">
        <v>100</v>
      </c>
    </row>
    <row r="19" customFormat="false" ht="15" hidden="false" customHeight="false" outlineLevel="0" collapsed="false">
      <c r="C19" s="0" t="s">
        <v>356</v>
      </c>
      <c r="D19" s="11" t="s">
        <v>13</v>
      </c>
      <c r="J19" s="44" t="n">
        <v>1</v>
      </c>
      <c r="K19" s="44" t="n">
        <v>1.2</v>
      </c>
      <c r="L19" s="44" t="n">
        <v>1.3</v>
      </c>
      <c r="M19" s="44" t="n">
        <v>1.4</v>
      </c>
      <c r="N19" s="44" t="n">
        <v>1.5</v>
      </c>
      <c r="O19" s="44" t="n">
        <v>1.6</v>
      </c>
      <c r="P19" s="44" t="n">
        <v>1.7</v>
      </c>
      <c r="Q19" s="44" t="n">
        <v>1.8</v>
      </c>
      <c r="R19" s="44" t="n">
        <v>1.9</v>
      </c>
      <c r="S19" s="44" t="n">
        <v>2</v>
      </c>
    </row>
    <row r="20" customFormat="false" ht="15" hidden="false" customHeight="false" outlineLevel="0" collapsed="false">
      <c r="C20" s="0" t="s">
        <v>357</v>
      </c>
      <c r="D20" s="11" t="s">
        <v>43</v>
      </c>
      <c r="J20" s="23" t="n">
        <v>0</v>
      </c>
      <c r="K20" s="23" t="n">
        <v>1</v>
      </c>
      <c r="L20" s="23" t="n">
        <v>1</v>
      </c>
      <c r="M20" s="23" t="n">
        <v>1</v>
      </c>
      <c r="N20" s="23" t="n">
        <v>1</v>
      </c>
      <c r="O20" s="23" t="n">
        <v>1</v>
      </c>
      <c r="P20" s="23" t="n">
        <v>1</v>
      </c>
      <c r="Q20" s="23" t="n">
        <v>1</v>
      </c>
      <c r="R20" s="23" t="n">
        <v>1</v>
      </c>
      <c r="S20" s="23" t="n">
        <v>1</v>
      </c>
    </row>
    <row r="21" customFormat="false" ht="15" hidden="false" customHeight="false" outlineLevel="0" collapsed="false">
      <c r="C21" s="0" t="s">
        <v>358</v>
      </c>
      <c r="D21" s="11" t="s">
        <v>53</v>
      </c>
      <c r="E21" s="17" t="n">
        <v>0.05</v>
      </c>
      <c r="J21" s="46" t="n">
        <v>0</v>
      </c>
      <c r="K21" s="46" t="n">
        <v>10</v>
      </c>
      <c r="L21" s="46" t="n">
        <v>20</v>
      </c>
      <c r="M21" s="46" t="n">
        <v>30</v>
      </c>
      <c r="N21" s="46" t="n">
        <v>40</v>
      </c>
      <c r="O21" s="46" t="n">
        <v>50</v>
      </c>
      <c r="P21" s="46" t="n">
        <v>60</v>
      </c>
      <c r="Q21" s="46" t="n">
        <v>70</v>
      </c>
      <c r="R21" s="46" t="n">
        <v>80</v>
      </c>
      <c r="S21" s="46" t="n">
        <v>90</v>
      </c>
      <c r="T21" s="46" t="n">
        <v>100</v>
      </c>
    </row>
    <row r="22" customFormat="false" ht="15" hidden="false" customHeight="false" outlineLevel="0" collapsed="false">
      <c r="C22" s="0" t="s">
        <v>359</v>
      </c>
      <c r="D22" s="11" t="s">
        <v>53</v>
      </c>
      <c r="E22" s="17" t="n">
        <v>0.05</v>
      </c>
      <c r="J22" s="46" t="n">
        <v>100</v>
      </c>
    </row>
    <row r="23" customFormat="false" ht="15" hidden="false" customHeight="false" outlineLevel="0" collapsed="false">
      <c r="C23" s="0" t="s">
        <v>360</v>
      </c>
      <c r="D23" s="11" t="s">
        <v>53</v>
      </c>
      <c r="E23" s="17" t="n">
        <v>0.05</v>
      </c>
      <c r="J23" s="46" t="n">
        <v>100</v>
      </c>
    </row>
    <row r="24" customFormat="false" ht="15" hidden="false" customHeight="false" outlineLevel="0" collapsed="false">
      <c r="C24" s="0" t="s">
        <v>361</v>
      </c>
      <c r="D24" s="11" t="s">
        <v>53</v>
      </c>
      <c r="E24" s="17" t="n">
        <v>0.15</v>
      </c>
      <c r="J24" s="46" t="n">
        <v>80</v>
      </c>
    </row>
    <row r="25" customFormat="false" ht="15" hidden="false" customHeight="false" outlineLevel="0" collapsed="false">
      <c r="C25" s="0" t="s">
        <v>362</v>
      </c>
      <c r="D25" s="11" t="s">
        <v>53</v>
      </c>
      <c r="J25" s="46" t="n">
        <v>20</v>
      </c>
    </row>
    <row r="27" customFormat="false" ht="15" hidden="false" customHeight="false" outlineLevel="0" collapsed="false">
      <c r="C27" s="41" t="s">
        <v>158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O142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1" customFormat="false" ht="15" hidden="false" customHeight="false" outlineLevel="0" collapsed="false">
      <c r="A1" s="46" t="n">
        <v>1</v>
      </c>
      <c r="C1" s="13" t="s">
        <v>363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Bana – Calculations – European turbine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3" customFormat="false" ht="15" hidden="false" customHeight="false" outlineLevel="0" collapsed="false">
      <c r="C3" s="0" t="s">
        <v>364</v>
      </c>
      <c r="D3" s="11" t="s">
        <v>38</v>
      </c>
      <c r="J3" s="45" t="n">
        <f aca="false">I$4+1</f>
        <v>46296</v>
      </c>
      <c r="K3" s="45" t="n">
        <f aca="false">J$4+1</f>
        <v>46388</v>
      </c>
      <c r="L3" s="45" t="n">
        <f aca="false">K$4+1</f>
        <v>46478</v>
      </c>
      <c r="M3" s="45" t="n">
        <f aca="false">L$4+1</f>
        <v>46569</v>
      </c>
      <c r="N3" s="45" t="n">
        <f aca="false">M$4+1</f>
        <v>46661</v>
      </c>
      <c r="O3" s="45" t="n">
        <f aca="false">N$4+1</f>
        <v>46753</v>
      </c>
      <c r="P3" s="45" t="n">
        <f aca="false">O$4+1</f>
        <v>46844</v>
      </c>
      <c r="Q3" s="45" t="n">
        <f aca="false">P$4+1</f>
        <v>46935</v>
      </c>
      <c r="R3" s="45" t="n">
        <f aca="false">Q$4+1</f>
        <v>47027</v>
      </c>
      <c r="S3" s="45" t="n">
        <f aca="false">R$4+1</f>
        <v>47119</v>
      </c>
      <c r="T3" s="45" t="n">
        <f aca="false">S$4+1</f>
        <v>47209</v>
      </c>
      <c r="U3" s="45" t="n">
        <f aca="false">T$4+1</f>
        <v>47300</v>
      </c>
      <c r="V3" s="45" t="n">
        <f aca="false">U$4+1</f>
        <v>47392</v>
      </c>
      <c r="W3" s="45" t="n">
        <f aca="false">V$4+1</f>
        <v>47484</v>
      </c>
      <c r="X3" s="45" t="n">
        <f aca="false">W$4+1</f>
        <v>47574</v>
      </c>
      <c r="Y3" s="45" t="n">
        <f aca="false">X$4+1</f>
        <v>47665</v>
      </c>
      <c r="Z3" s="45" t="n">
        <f aca="false">Y$4+1</f>
        <v>47757</v>
      </c>
      <c r="AA3" s="45" t="n">
        <f aca="false">Z$4+1</f>
        <v>47849</v>
      </c>
      <c r="AB3" s="45" t="n">
        <f aca="false">AA$4+1</f>
        <v>47939</v>
      </c>
      <c r="AC3" s="45" t="n">
        <f aca="false">AB$4+1</f>
        <v>48030</v>
      </c>
      <c r="AD3" s="45" t="n">
        <f aca="false">AC$4+1</f>
        <v>48122</v>
      </c>
      <c r="AE3" s="45" t="n">
        <f aca="false">AD$4+1</f>
        <v>48214</v>
      </c>
      <c r="AF3" s="45" t="n">
        <f aca="false">AE$4+1</f>
        <v>48305</v>
      </c>
      <c r="AG3" s="45" t="n">
        <f aca="false">AF$4+1</f>
        <v>48396</v>
      </c>
      <c r="AH3" s="45" t="n">
        <f aca="false">AG$4+1</f>
        <v>48488</v>
      </c>
      <c r="AI3" s="45" t="n">
        <f aca="false">AH$4+1</f>
        <v>48580</v>
      </c>
      <c r="AJ3" s="45" t="n">
        <f aca="false">AI$4+1</f>
        <v>48670</v>
      </c>
      <c r="AK3" s="45" t="n">
        <f aca="false">AJ$4+1</f>
        <v>48761</v>
      </c>
      <c r="AL3" s="45" t="n">
        <f aca="false">AK$4+1</f>
        <v>48853</v>
      </c>
      <c r="AM3" s="45" t="n">
        <f aca="false">AL$4+1</f>
        <v>48945</v>
      </c>
      <c r="AN3" s="45" t="n">
        <f aca="false">AM$4+1</f>
        <v>49035</v>
      </c>
      <c r="AO3" s="45" t="n">
        <f aca="false">AN$4+1</f>
        <v>49126</v>
      </c>
      <c r="AP3" s="45" t="n">
        <f aca="false">AO$4+1</f>
        <v>49218</v>
      </c>
      <c r="AQ3" s="45" t="n">
        <f aca="false">AP$4+1</f>
        <v>49310</v>
      </c>
      <c r="AR3" s="45" t="n">
        <f aca="false">AQ$4+1</f>
        <v>49400</v>
      </c>
      <c r="AS3" s="45" t="n">
        <f aca="false">AR$4+1</f>
        <v>49491</v>
      </c>
      <c r="AT3" s="45" t="n">
        <f aca="false">AS$4+1</f>
        <v>49583</v>
      </c>
      <c r="AU3" s="45" t="n">
        <f aca="false">AT$4+1</f>
        <v>49675</v>
      </c>
      <c r="AV3" s="45" t="n">
        <f aca="false">AU$4+1</f>
        <v>49766</v>
      </c>
      <c r="AW3" s="45" t="n">
        <f aca="false">AV$4+1</f>
        <v>49857</v>
      </c>
      <c r="AX3" s="45" t="n">
        <f aca="false">AW$4+1</f>
        <v>49949</v>
      </c>
      <c r="AY3" s="45" t="n">
        <f aca="false">AX$4+1</f>
        <v>50041</v>
      </c>
      <c r="AZ3" s="45" t="n">
        <f aca="false">AY$4+1</f>
        <v>50131</v>
      </c>
      <c r="BA3" s="45" t="n">
        <f aca="false">AZ$4+1</f>
        <v>50222</v>
      </c>
      <c r="BB3" s="45" t="n">
        <f aca="false">BA$4+1</f>
        <v>50314</v>
      </c>
      <c r="BC3" s="45" t="n">
        <f aca="false">BB$4+1</f>
        <v>50406</v>
      </c>
      <c r="BD3" s="45" t="n">
        <f aca="false">BC$4+1</f>
        <v>50496</v>
      </c>
      <c r="BE3" s="45" t="n">
        <f aca="false">BD$4+1</f>
        <v>50587</v>
      </c>
      <c r="BF3" s="45" t="n">
        <f aca="false">BE$4+1</f>
        <v>50679</v>
      </c>
      <c r="BG3" s="45" t="n">
        <f aca="false">BF$4+1</f>
        <v>50771</v>
      </c>
      <c r="BH3" s="45" t="n">
        <f aca="false">BG$4+1</f>
        <v>50861</v>
      </c>
      <c r="BI3" s="45" t="n">
        <f aca="false">BH$4+1</f>
        <v>50952</v>
      </c>
      <c r="BJ3" s="45" t="n">
        <f aca="false">BI$4+1</f>
        <v>51044</v>
      </c>
      <c r="BK3" s="45" t="n">
        <f aca="false">BJ$4+1</f>
        <v>51136</v>
      </c>
      <c r="BL3" s="45" t="n">
        <f aca="false">BK$4+1</f>
        <v>51227</v>
      </c>
      <c r="BM3" s="45" t="n">
        <f aca="false">BL$4+1</f>
        <v>51318</v>
      </c>
      <c r="BN3" s="45" t="n">
        <f aca="false">BM$4+1</f>
        <v>51410</v>
      </c>
      <c r="BO3" s="45" t="n">
        <f aca="false">BN$4+1</f>
        <v>51502</v>
      </c>
      <c r="BP3" s="45" t="n">
        <f aca="false">BO$4+1</f>
        <v>51592</v>
      </c>
      <c r="BQ3" s="45" t="n">
        <f aca="false">BP$4+1</f>
        <v>51683</v>
      </c>
      <c r="BR3" s="45" t="n">
        <f aca="false">BQ$4+1</f>
        <v>51775</v>
      </c>
      <c r="BS3" s="45" t="n">
        <f aca="false">BR$4+1</f>
        <v>51867</v>
      </c>
      <c r="BT3" s="45" t="n">
        <f aca="false">BS$4+1</f>
        <v>51957</v>
      </c>
      <c r="BU3" s="45" t="n">
        <f aca="false">BT$4+1</f>
        <v>52048</v>
      </c>
      <c r="BV3" s="45" t="n">
        <f aca="false">BU$4+1</f>
        <v>52140</v>
      </c>
      <c r="BW3" s="45" t="n">
        <f aca="false">BV$4+1</f>
        <v>52232</v>
      </c>
      <c r="BX3" s="45" t="n">
        <f aca="false">BW$4+1</f>
        <v>52322</v>
      </c>
      <c r="BY3" s="45" t="n">
        <f aca="false">BX$4+1</f>
        <v>52413</v>
      </c>
      <c r="BZ3" s="45" t="n">
        <f aca="false">BY$4+1</f>
        <v>52505</v>
      </c>
      <c r="CA3" s="45" t="n">
        <f aca="false">BZ$4+1</f>
        <v>52597</v>
      </c>
      <c r="CB3" s="45" t="n">
        <f aca="false">CA$4+1</f>
        <v>52688</v>
      </c>
      <c r="CC3" s="45" t="n">
        <f aca="false">CB$4+1</f>
        <v>52779</v>
      </c>
      <c r="CD3" s="45" t="n">
        <f aca="false">CC$4+1</f>
        <v>52871</v>
      </c>
      <c r="CE3" s="45" t="n">
        <f aca="false">CD$4+1</f>
        <v>52963</v>
      </c>
      <c r="CF3" s="45" t="n">
        <f aca="false">CE$4+1</f>
        <v>53053</v>
      </c>
      <c r="CG3" s="45" t="n">
        <f aca="false">CF$4+1</f>
        <v>53144</v>
      </c>
      <c r="CH3" s="45" t="n">
        <f aca="false">CG$4+1</f>
        <v>53236</v>
      </c>
      <c r="CI3" s="45" t="n">
        <f aca="false">CH$4+1</f>
        <v>53328</v>
      </c>
      <c r="CJ3" s="45" t="n">
        <f aca="false">CI$4+1</f>
        <v>53418</v>
      </c>
      <c r="CK3" s="45" t="n">
        <f aca="false">CJ$4+1</f>
        <v>53509</v>
      </c>
      <c r="CL3" s="45" t="n">
        <f aca="false">CK$4+1</f>
        <v>53601</v>
      </c>
      <c r="CM3" s="45" t="n">
        <f aca="false">CL$4+1</f>
        <v>53693</v>
      </c>
      <c r="CN3" s="45" t="n">
        <f aca="false">CM$4+1</f>
        <v>53783</v>
      </c>
      <c r="CO3" s="45" t="n">
        <f aca="false">CN$4+1</f>
        <v>53874</v>
      </c>
      <c r="CP3" s="45" t="n">
        <f aca="false">CO$4+1</f>
        <v>53966</v>
      </c>
      <c r="CQ3" s="45" t="n">
        <f aca="false">CP$4+1</f>
        <v>54058</v>
      </c>
      <c r="CR3" s="45" t="n">
        <f aca="false">CQ$4+1</f>
        <v>54149</v>
      </c>
      <c r="CS3" s="45" t="n">
        <f aca="false">CR$4+1</f>
        <v>54240</v>
      </c>
      <c r="CT3" s="45" t="n">
        <f aca="false">CS$4+1</f>
        <v>54332</v>
      </c>
      <c r="CU3" s="45" t="n">
        <f aca="false">CT$4+1</f>
        <v>54424</v>
      </c>
      <c r="CV3" s="45" t="n">
        <f aca="false">CU$4+1</f>
        <v>54514</v>
      </c>
      <c r="CW3" s="45" t="n">
        <f aca="false">CV$4+1</f>
        <v>54605</v>
      </c>
      <c r="CX3" s="45" t="n">
        <f aca="false">CW$4+1</f>
        <v>54697</v>
      </c>
      <c r="CY3" s="45" t="n">
        <f aca="false">CX$4+1</f>
        <v>54789</v>
      </c>
      <c r="CZ3" s="45" t="n">
        <f aca="false">CY$4+1</f>
        <v>54879</v>
      </c>
      <c r="DA3" s="45" t="n">
        <f aca="false">CZ$4+1</f>
        <v>54970</v>
      </c>
      <c r="DB3" s="45" t="n">
        <f aca="false">DA$4+1</f>
        <v>55062</v>
      </c>
      <c r="DC3" s="45" t="n">
        <f aca="false">DB$4+1</f>
        <v>55154</v>
      </c>
      <c r="DD3" s="45" t="n">
        <f aca="false">DC$4+1</f>
        <v>55244</v>
      </c>
      <c r="DE3" s="45" t="n">
        <f aca="false">DD$4+1</f>
        <v>55335</v>
      </c>
      <c r="DF3" s="45" t="n">
        <f aca="false">DE$4+1</f>
        <v>55427</v>
      </c>
      <c r="DG3" s="45" t="n">
        <f aca="false">DF$4+1</f>
        <v>55519</v>
      </c>
      <c r="DH3" s="45" t="n">
        <f aca="false">DG$4+1</f>
        <v>55610</v>
      </c>
      <c r="DI3" s="45" t="n">
        <f aca="false">DH$4+1</f>
        <v>55701</v>
      </c>
      <c r="DJ3" s="45" t="n">
        <f aca="false">DI$4+1</f>
        <v>55793</v>
      </c>
      <c r="DK3" s="45" t="n">
        <f aca="false">DJ$4+1</f>
        <v>55885</v>
      </c>
      <c r="DL3" s="45" t="n">
        <f aca="false">DK$4+1</f>
        <v>55975</v>
      </c>
      <c r="DM3" s="45" t="n">
        <f aca="false">DL$4+1</f>
        <v>56066</v>
      </c>
      <c r="DN3" s="45" t="n">
        <f aca="false">DM$4+1</f>
        <v>56158</v>
      </c>
      <c r="DO3" s="45" t="n">
        <f aca="false">DN$4+1</f>
        <v>56250</v>
      </c>
      <c r="DP3" s="45" t="n">
        <f aca="false">DO$4+1</f>
        <v>56340</v>
      </c>
      <c r="DQ3" s="45" t="n">
        <f aca="false">DP$4+1</f>
        <v>56431</v>
      </c>
      <c r="DR3" s="45" t="n">
        <f aca="false">DQ$4+1</f>
        <v>56523</v>
      </c>
      <c r="DS3" s="45" t="n">
        <f aca="false">DR$4+1</f>
        <v>56615</v>
      </c>
      <c r="DT3" s="45" t="n">
        <f aca="false">DS$4+1</f>
        <v>56705</v>
      </c>
      <c r="DU3" s="45" t="n">
        <f aca="false">DT$4+1</f>
        <v>56796</v>
      </c>
      <c r="DV3" s="45" t="n">
        <f aca="false">DU$4+1</f>
        <v>56888</v>
      </c>
      <c r="DW3" s="45" t="n">
        <f aca="false">DV$4+1</f>
        <v>56980</v>
      </c>
      <c r="DX3" s="45" t="n">
        <f aca="false">DW$4+1</f>
        <v>57071</v>
      </c>
      <c r="DY3" s="45" t="n">
        <f aca="false">DX$4+1</f>
        <v>57162</v>
      </c>
      <c r="DZ3" s="45" t="n">
        <f aca="false">DY$4+1</f>
        <v>57254</v>
      </c>
      <c r="EA3" s="45" t="n">
        <f aca="false">DZ$4+1</f>
        <v>57346</v>
      </c>
      <c r="EB3" s="45" t="n">
        <f aca="false">EA$4+1</f>
        <v>57436</v>
      </c>
      <c r="EC3" s="45" t="n">
        <f aca="false">EB$4+1</f>
        <v>57527</v>
      </c>
      <c r="ED3" s="45" t="n">
        <f aca="false">EC$4+1</f>
        <v>57619</v>
      </c>
      <c r="EE3" s="45" t="n">
        <f aca="false">ED$4+1</f>
        <v>57711</v>
      </c>
      <c r="EF3" s="45" t="n">
        <f aca="false">EE$4+1</f>
        <v>57801</v>
      </c>
      <c r="EG3" s="45" t="n">
        <f aca="false">EF$4+1</f>
        <v>57892</v>
      </c>
      <c r="EH3" s="45" t="n">
        <f aca="false">EG$4+1</f>
        <v>57984</v>
      </c>
      <c r="EI3" s="45" t="n">
        <f aca="false">EH$4+1</f>
        <v>58076</v>
      </c>
      <c r="EJ3" s="45" t="n">
        <f aca="false">EI$4+1</f>
        <v>58166</v>
      </c>
      <c r="EK3" s="45" t="n">
        <f aca="false">EJ$4+1</f>
        <v>58257</v>
      </c>
      <c r="EL3" s="45" t="n">
        <f aca="false">EK$4+1</f>
        <v>58349</v>
      </c>
      <c r="EM3" s="45" t="n">
        <f aca="false">EL$4+1</f>
        <v>58441</v>
      </c>
      <c r="EN3" s="45" t="n">
        <f aca="false">EM$4+1</f>
        <v>58532</v>
      </c>
      <c r="EO3" s="45" t="n">
        <f aca="false">EN$4+1</f>
        <v>58623</v>
      </c>
    </row>
    <row r="4" customFormat="false" ht="15" hidden="false" customHeight="false" outlineLevel="0" collapsed="false">
      <c r="C4" s="0" t="s">
        <v>365</v>
      </c>
      <c r="D4" s="11" t="s">
        <v>38</v>
      </c>
      <c r="I4" s="45" t="n">
        <f aca="false">In_Model_Start-1</f>
        <v>46295</v>
      </c>
      <c r="J4" s="53" t="n">
        <f aca="false">EOMONTH(J$3,Months_Per_Period-1)</f>
        <v>46387</v>
      </c>
      <c r="K4" s="53" t="n">
        <f aca="false">EOMONTH(K$3,Months_Per_Period-1)</f>
        <v>46477</v>
      </c>
      <c r="L4" s="53" t="n">
        <f aca="false">EOMONTH(L$3,Months_Per_Period-1)</f>
        <v>46568</v>
      </c>
      <c r="M4" s="53" t="n">
        <f aca="false">EOMONTH(M$3,Months_Per_Period-1)</f>
        <v>46660</v>
      </c>
      <c r="N4" s="53" t="n">
        <f aca="false">EOMONTH(N$3,Months_Per_Period-1)</f>
        <v>46752</v>
      </c>
      <c r="O4" s="53" t="n">
        <f aca="false">EOMONTH(O$3,Months_Per_Period-1)</f>
        <v>46843</v>
      </c>
      <c r="P4" s="53" t="n">
        <f aca="false">EOMONTH(P$3,Months_Per_Period-1)</f>
        <v>46934</v>
      </c>
      <c r="Q4" s="53" t="n">
        <f aca="false">EOMONTH(Q$3,Months_Per_Period-1)</f>
        <v>47026</v>
      </c>
      <c r="R4" s="53" t="n">
        <f aca="false">EOMONTH(R$3,Months_Per_Period-1)</f>
        <v>47118</v>
      </c>
      <c r="S4" s="53" t="n">
        <f aca="false">EOMONTH(S$3,Months_Per_Period-1)</f>
        <v>47208</v>
      </c>
      <c r="T4" s="53" t="n">
        <f aca="false">EOMONTH(T$3,Months_Per_Period-1)</f>
        <v>47299</v>
      </c>
      <c r="U4" s="53" t="n">
        <f aca="false">EOMONTH(U$3,Months_Per_Period-1)</f>
        <v>47391</v>
      </c>
      <c r="V4" s="53" t="n">
        <f aca="false">EOMONTH(V$3,Months_Per_Period-1)</f>
        <v>47483</v>
      </c>
      <c r="W4" s="53" t="n">
        <f aca="false">EOMONTH(W$3,Months_Per_Period-1)</f>
        <v>47573</v>
      </c>
      <c r="X4" s="53" t="n">
        <f aca="false">EOMONTH(X$3,Months_Per_Period-1)</f>
        <v>47664</v>
      </c>
      <c r="Y4" s="53" t="n">
        <f aca="false">EOMONTH(Y$3,Months_Per_Period-1)</f>
        <v>47756</v>
      </c>
      <c r="Z4" s="53" t="n">
        <f aca="false">EOMONTH(Z$3,Months_Per_Period-1)</f>
        <v>47848</v>
      </c>
      <c r="AA4" s="53" t="n">
        <f aca="false">EOMONTH(AA$3,Months_Per_Period-1)</f>
        <v>47938</v>
      </c>
      <c r="AB4" s="53" t="n">
        <f aca="false">EOMONTH(AB$3,Months_Per_Period-1)</f>
        <v>48029</v>
      </c>
      <c r="AC4" s="53" t="n">
        <f aca="false">EOMONTH(AC$3,Months_Per_Period-1)</f>
        <v>48121</v>
      </c>
      <c r="AD4" s="53" t="n">
        <f aca="false">EOMONTH(AD$3,Months_Per_Period-1)</f>
        <v>48213</v>
      </c>
      <c r="AE4" s="53" t="n">
        <f aca="false">EOMONTH(AE$3,Months_Per_Period-1)</f>
        <v>48304</v>
      </c>
      <c r="AF4" s="53" t="n">
        <f aca="false">EOMONTH(AF$3,Months_Per_Period-1)</f>
        <v>48395</v>
      </c>
      <c r="AG4" s="53" t="n">
        <f aca="false">EOMONTH(AG$3,Months_Per_Period-1)</f>
        <v>48487</v>
      </c>
      <c r="AH4" s="53" t="n">
        <f aca="false">EOMONTH(AH$3,Months_Per_Period-1)</f>
        <v>48579</v>
      </c>
      <c r="AI4" s="53" t="n">
        <f aca="false">EOMONTH(AI$3,Months_Per_Period-1)</f>
        <v>48669</v>
      </c>
      <c r="AJ4" s="53" t="n">
        <f aca="false">EOMONTH(AJ$3,Months_Per_Period-1)</f>
        <v>48760</v>
      </c>
      <c r="AK4" s="53" t="n">
        <f aca="false">EOMONTH(AK$3,Months_Per_Period-1)</f>
        <v>48852</v>
      </c>
      <c r="AL4" s="53" t="n">
        <f aca="false">EOMONTH(AL$3,Months_Per_Period-1)</f>
        <v>48944</v>
      </c>
      <c r="AM4" s="53" t="n">
        <f aca="false">EOMONTH(AM$3,Months_Per_Period-1)</f>
        <v>49034</v>
      </c>
      <c r="AN4" s="53" t="n">
        <f aca="false">EOMONTH(AN$3,Months_Per_Period-1)</f>
        <v>49125</v>
      </c>
      <c r="AO4" s="53" t="n">
        <f aca="false">EOMONTH(AO$3,Months_Per_Period-1)</f>
        <v>49217</v>
      </c>
      <c r="AP4" s="53" t="n">
        <f aca="false">EOMONTH(AP$3,Months_Per_Period-1)</f>
        <v>49309</v>
      </c>
      <c r="AQ4" s="53" t="n">
        <f aca="false">EOMONTH(AQ$3,Months_Per_Period-1)</f>
        <v>49399</v>
      </c>
      <c r="AR4" s="53" t="n">
        <f aca="false">EOMONTH(AR$3,Months_Per_Period-1)</f>
        <v>49490</v>
      </c>
      <c r="AS4" s="53" t="n">
        <f aca="false">EOMONTH(AS$3,Months_Per_Period-1)</f>
        <v>49582</v>
      </c>
      <c r="AT4" s="53" t="n">
        <f aca="false">EOMONTH(AT$3,Months_Per_Period-1)</f>
        <v>49674</v>
      </c>
      <c r="AU4" s="53" t="n">
        <f aca="false">EOMONTH(AU$3,Months_Per_Period-1)</f>
        <v>49765</v>
      </c>
      <c r="AV4" s="53" t="n">
        <f aca="false">EOMONTH(AV$3,Months_Per_Period-1)</f>
        <v>49856</v>
      </c>
      <c r="AW4" s="53" t="n">
        <f aca="false">EOMONTH(AW$3,Months_Per_Period-1)</f>
        <v>49948</v>
      </c>
      <c r="AX4" s="53" t="n">
        <f aca="false">EOMONTH(AX$3,Months_Per_Period-1)</f>
        <v>50040</v>
      </c>
      <c r="AY4" s="53" t="n">
        <f aca="false">EOMONTH(AY$3,Months_Per_Period-1)</f>
        <v>50130</v>
      </c>
      <c r="AZ4" s="53" t="n">
        <f aca="false">EOMONTH(AZ$3,Months_Per_Period-1)</f>
        <v>50221</v>
      </c>
      <c r="BA4" s="53" t="n">
        <f aca="false">EOMONTH(BA$3,Months_Per_Period-1)</f>
        <v>50313</v>
      </c>
      <c r="BB4" s="53" t="n">
        <f aca="false">EOMONTH(BB$3,Months_Per_Period-1)</f>
        <v>50405</v>
      </c>
      <c r="BC4" s="53" t="n">
        <f aca="false">EOMONTH(BC$3,Months_Per_Period-1)</f>
        <v>50495</v>
      </c>
      <c r="BD4" s="53" t="n">
        <f aca="false">EOMONTH(BD$3,Months_Per_Period-1)</f>
        <v>50586</v>
      </c>
      <c r="BE4" s="53" t="n">
        <f aca="false">EOMONTH(BE$3,Months_Per_Period-1)</f>
        <v>50678</v>
      </c>
      <c r="BF4" s="53" t="n">
        <f aca="false">EOMONTH(BF$3,Months_Per_Period-1)</f>
        <v>50770</v>
      </c>
      <c r="BG4" s="53" t="n">
        <f aca="false">EOMONTH(BG$3,Months_Per_Period-1)</f>
        <v>50860</v>
      </c>
      <c r="BH4" s="53" t="n">
        <f aca="false">EOMONTH(BH$3,Months_Per_Period-1)</f>
        <v>50951</v>
      </c>
      <c r="BI4" s="53" t="n">
        <f aca="false">EOMONTH(BI$3,Months_Per_Period-1)</f>
        <v>51043</v>
      </c>
      <c r="BJ4" s="53" t="n">
        <f aca="false">EOMONTH(BJ$3,Months_Per_Period-1)</f>
        <v>51135</v>
      </c>
      <c r="BK4" s="53" t="n">
        <f aca="false">EOMONTH(BK$3,Months_Per_Period-1)</f>
        <v>51226</v>
      </c>
      <c r="BL4" s="53" t="n">
        <f aca="false">EOMONTH(BL$3,Months_Per_Period-1)</f>
        <v>51317</v>
      </c>
      <c r="BM4" s="53" t="n">
        <f aca="false">EOMONTH(BM$3,Months_Per_Period-1)</f>
        <v>51409</v>
      </c>
      <c r="BN4" s="53" t="n">
        <f aca="false">EOMONTH(BN$3,Months_Per_Period-1)</f>
        <v>51501</v>
      </c>
      <c r="BO4" s="53" t="n">
        <f aca="false">EOMONTH(BO$3,Months_Per_Period-1)</f>
        <v>51591</v>
      </c>
      <c r="BP4" s="53" t="n">
        <f aca="false">EOMONTH(BP$3,Months_Per_Period-1)</f>
        <v>51682</v>
      </c>
      <c r="BQ4" s="53" t="n">
        <f aca="false">EOMONTH(BQ$3,Months_Per_Period-1)</f>
        <v>51774</v>
      </c>
      <c r="BR4" s="53" t="n">
        <f aca="false">EOMONTH(BR$3,Months_Per_Period-1)</f>
        <v>51866</v>
      </c>
      <c r="BS4" s="53" t="n">
        <f aca="false">EOMONTH(BS$3,Months_Per_Period-1)</f>
        <v>51956</v>
      </c>
      <c r="BT4" s="53" t="n">
        <f aca="false">EOMONTH(BT$3,Months_Per_Period-1)</f>
        <v>52047</v>
      </c>
      <c r="BU4" s="53" t="n">
        <f aca="false">EOMONTH(BU$3,Months_Per_Period-1)</f>
        <v>52139</v>
      </c>
      <c r="BV4" s="53" t="n">
        <f aca="false">EOMONTH(BV$3,Months_Per_Period-1)</f>
        <v>52231</v>
      </c>
      <c r="BW4" s="53" t="n">
        <f aca="false">EOMONTH(BW$3,Months_Per_Period-1)</f>
        <v>52321</v>
      </c>
      <c r="BX4" s="53" t="n">
        <f aca="false">EOMONTH(BX$3,Months_Per_Period-1)</f>
        <v>52412</v>
      </c>
      <c r="BY4" s="53" t="n">
        <f aca="false">EOMONTH(BY$3,Months_Per_Period-1)</f>
        <v>52504</v>
      </c>
      <c r="BZ4" s="53" t="n">
        <f aca="false">EOMONTH(BZ$3,Months_Per_Period-1)</f>
        <v>52596</v>
      </c>
      <c r="CA4" s="53" t="n">
        <f aca="false">EOMONTH(CA$3,Months_Per_Period-1)</f>
        <v>52687</v>
      </c>
      <c r="CB4" s="53" t="n">
        <f aca="false">EOMONTH(CB$3,Months_Per_Period-1)</f>
        <v>52778</v>
      </c>
      <c r="CC4" s="53" t="n">
        <f aca="false">EOMONTH(CC$3,Months_Per_Period-1)</f>
        <v>52870</v>
      </c>
      <c r="CD4" s="53" t="n">
        <f aca="false">EOMONTH(CD$3,Months_Per_Period-1)</f>
        <v>52962</v>
      </c>
      <c r="CE4" s="53" t="n">
        <f aca="false">EOMONTH(CE$3,Months_Per_Period-1)</f>
        <v>53052</v>
      </c>
      <c r="CF4" s="53" t="n">
        <f aca="false">EOMONTH(CF$3,Months_Per_Period-1)</f>
        <v>53143</v>
      </c>
      <c r="CG4" s="53" t="n">
        <f aca="false">EOMONTH(CG$3,Months_Per_Period-1)</f>
        <v>53235</v>
      </c>
      <c r="CH4" s="53" t="n">
        <f aca="false">EOMONTH(CH$3,Months_Per_Period-1)</f>
        <v>53327</v>
      </c>
      <c r="CI4" s="53" t="n">
        <f aca="false">EOMONTH(CI$3,Months_Per_Period-1)</f>
        <v>53417</v>
      </c>
      <c r="CJ4" s="53" t="n">
        <f aca="false">EOMONTH(CJ$3,Months_Per_Period-1)</f>
        <v>53508</v>
      </c>
      <c r="CK4" s="53" t="n">
        <f aca="false">EOMONTH(CK$3,Months_Per_Period-1)</f>
        <v>53600</v>
      </c>
      <c r="CL4" s="53" t="n">
        <f aca="false">EOMONTH(CL$3,Months_Per_Period-1)</f>
        <v>53692</v>
      </c>
      <c r="CM4" s="53" t="n">
        <f aca="false">EOMONTH(CM$3,Months_Per_Period-1)</f>
        <v>53782</v>
      </c>
      <c r="CN4" s="53" t="n">
        <f aca="false">EOMONTH(CN$3,Months_Per_Period-1)</f>
        <v>53873</v>
      </c>
      <c r="CO4" s="53" t="n">
        <f aca="false">EOMONTH(CO$3,Months_Per_Period-1)</f>
        <v>53965</v>
      </c>
      <c r="CP4" s="53" t="n">
        <f aca="false">EOMONTH(CP$3,Months_Per_Period-1)</f>
        <v>54057</v>
      </c>
      <c r="CQ4" s="53" t="n">
        <f aca="false">EOMONTH(CQ$3,Months_Per_Period-1)</f>
        <v>54148</v>
      </c>
      <c r="CR4" s="53" t="n">
        <f aca="false">EOMONTH(CR$3,Months_Per_Period-1)</f>
        <v>54239</v>
      </c>
      <c r="CS4" s="53" t="n">
        <f aca="false">EOMONTH(CS$3,Months_Per_Period-1)</f>
        <v>54331</v>
      </c>
      <c r="CT4" s="53" t="n">
        <f aca="false">EOMONTH(CT$3,Months_Per_Period-1)</f>
        <v>54423</v>
      </c>
      <c r="CU4" s="53" t="n">
        <f aca="false">EOMONTH(CU$3,Months_Per_Period-1)</f>
        <v>54513</v>
      </c>
      <c r="CV4" s="53" t="n">
        <f aca="false">EOMONTH(CV$3,Months_Per_Period-1)</f>
        <v>54604</v>
      </c>
      <c r="CW4" s="53" t="n">
        <f aca="false">EOMONTH(CW$3,Months_Per_Period-1)</f>
        <v>54696</v>
      </c>
      <c r="CX4" s="53" t="n">
        <f aca="false">EOMONTH(CX$3,Months_Per_Period-1)</f>
        <v>54788</v>
      </c>
      <c r="CY4" s="53" t="n">
        <f aca="false">EOMONTH(CY$3,Months_Per_Period-1)</f>
        <v>54878</v>
      </c>
      <c r="CZ4" s="53" t="n">
        <f aca="false">EOMONTH(CZ$3,Months_Per_Period-1)</f>
        <v>54969</v>
      </c>
      <c r="DA4" s="53" t="n">
        <f aca="false">EOMONTH(DA$3,Months_Per_Period-1)</f>
        <v>55061</v>
      </c>
      <c r="DB4" s="53" t="n">
        <f aca="false">EOMONTH(DB$3,Months_Per_Period-1)</f>
        <v>55153</v>
      </c>
      <c r="DC4" s="53" t="n">
        <f aca="false">EOMONTH(DC$3,Months_Per_Period-1)</f>
        <v>55243</v>
      </c>
      <c r="DD4" s="53" t="n">
        <f aca="false">EOMONTH(DD$3,Months_Per_Period-1)</f>
        <v>55334</v>
      </c>
      <c r="DE4" s="53" t="n">
        <f aca="false">EOMONTH(DE$3,Months_Per_Period-1)</f>
        <v>55426</v>
      </c>
      <c r="DF4" s="53" t="n">
        <f aca="false">EOMONTH(DF$3,Months_Per_Period-1)</f>
        <v>55518</v>
      </c>
      <c r="DG4" s="53" t="n">
        <f aca="false">EOMONTH(DG$3,Months_Per_Period-1)</f>
        <v>55609</v>
      </c>
      <c r="DH4" s="53" t="n">
        <f aca="false">EOMONTH(DH$3,Months_Per_Period-1)</f>
        <v>55700</v>
      </c>
      <c r="DI4" s="53" t="n">
        <f aca="false">EOMONTH(DI$3,Months_Per_Period-1)</f>
        <v>55792</v>
      </c>
      <c r="DJ4" s="53" t="n">
        <f aca="false">EOMONTH(DJ$3,Months_Per_Period-1)</f>
        <v>55884</v>
      </c>
      <c r="DK4" s="53" t="n">
        <f aca="false">EOMONTH(DK$3,Months_Per_Period-1)</f>
        <v>55974</v>
      </c>
      <c r="DL4" s="53" t="n">
        <f aca="false">EOMONTH(DL$3,Months_Per_Period-1)</f>
        <v>56065</v>
      </c>
      <c r="DM4" s="53" t="n">
        <f aca="false">EOMONTH(DM$3,Months_Per_Period-1)</f>
        <v>56157</v>
      </c>
      <c r="DN4" s="53" t="n">
        <f aca="false">EOMONTH(DN$3,Months_Per_Period-1)</f>
        <v>56249</v>
      </c>
      <c r="DO4" s="53" t="n">
        <f aca="false">EOMONTH(DO$3,Months_Per_Period-1)</f>
        <v>56339</v>
      </c>
      <c r="DP4" s="53" t="n">
        <f aca="false">EOMONTH(DP$3,Months_Per_Period-1)</f>
        <v>56430</v>
      </c>
      <c r="DQ4" s="53" t="n">
        <f aca="false">EOMONTH(DQ$3,Months_Per_Period-1)</f>
        <v>56522</v>
      </c>
      <c r="DR4" s="53" t="n">
        <f aca="false">EOMONTH(DR$3,Months_Per_Period-1)</f>
        <v>56614</v>
      </c>
      <c r="DS4" s="53" t="n">
        <f aca="false">EOMONTH(DS$3,Months_Per_Period-1)</f>
        <v>56704</v>
      </c>
      <c r="DT4" s="53" t="n">
        <f aca="false">EOMONTH(DT$3,Months_Per_Period-1)</f>
        <v>56795</v>
      </c>
      <c r="DU4" s="53" t="n">
        <f aca="false">EOMONTH(DU$3,Months_Per_Period-1)</f>
        <v>56887</v>
      </c>
      <c r="DV4" s="53" t="n">
        <f aca="false">EOMONTH(DV$3,Months_Per_Period-1)</f>
        <v>56979</v>
      </c>
      <c r="DW4" s="53" t="n">
        <f aca="false">EOMONTH(DW$3,Months_Per_Period-1)</f>
        <v>57070</v>
      </c>
      <c r="DX4" s="53" t="n">
        <f aca="false">EOMONTH(DX$3,Months_Per_Period-1)</f>
        <v>57161</v>
      </c>
      <c r="DY4" s="53" t="n">
        <f aca="false">EOMONTH(DY$3,Months_Per_Period-1)</f>
        <v>57253</v>
      </c>
      <c r="DZ4" s="53" t="n">
        <f aca="false">EOMONTH(DZ$3,Months_Per_Period-1)</f>
        <v>57345</v>
      </c>
      <c r="EA4" s="53" t="n">
        <f aca="false">EOMONTH(EA$3,Months_Per_Period-1)</f>
        <v>57435</v>
      </c>
      <c r="EB4" s="53" t="n">
        <f aca="false">EOMONTH(EB$3,Months_Per_Period-1)</f>
        <v>57526</v>
      </c>
      <c r="EC4" s="53" t="n">
        <f aca="false">EOMONTH(EC$3,Months_Per_Period-1)</f>
        <v>57618</v>
      </c>
      <c r="ED4" s="53" t="n">
        <f aca="false">EOMONTH(ED$3,Months_Per_Period-1)</f>
        <v>57710</v>
      </c>
      <c r="EE4" s="53" t="n">
        <f aca="false">EOMONTH(EE$3,Months_Per_Period-1)</f>
        <v>57800</v>
      </c>
      <c r="EF4" s="53" t="n">
        <f aca="false">EOMONTH(EF$3,Months_Per_Period-1)</f>
        <v>57891</v>
      </c>
      <c r="EG4" s="53" t="n">
        <f aca="false">EOMONTH(EG$3,Months_Per_Period-1)</f>
        <v>57983</v>
      </c>
      <c r="EH4" s="53" t="n">
        <f aca="false">EOMONTH(EH$3,Months_Per_Period-1)</f>
        <v>58075</v>
      </c>
      <c r="EI4" s="53" t="n">
        <f aca="false">EOMONTH(EI$3,Months_Per_Period-1)</f>
        <v>58165</v>
      </c>
      <c r="EJ4" s="53" t="n">
        <f aca="false">EOMONTH(EJ$3,Months_Per_Period-1)</f>
        <v>58256</v>
      </c>
      <c r="EK4" s="53" t="n">
        <f aca="false">EOMONTH(EK$3,Months_Per_Period-1)</f>
        <v>58348</v>
      </c>
      <c r="EL4" s="53" t="n">
        <f aca="false">EOMONTH(EL$3,Months_Per_Period-1)</f>
        <v>58440</v>
      </c>
      <c r="EM4" s="53" t="n">
        <f aca="false">EOMONTH(EM$3,Months_Per_Period-1)</f>
        <v>58531</v>
      </c>
      <c r="EN4" s="53" t="n">
        <f aca="false">EOMONTH(EN$3,Months_Per_Period-1)</f>
        <v>58622</v>
      </c>
      <c r="EO4" s="53" t="n">
        <f aca="false">EOMONTH(EO$3,Months_Per_Period-1)</f>
        <v>58714</v>
      </c>
    </row>
    <row r="5" customFormat="false" ht="15" hidden="false" customHeight="false" outlineLevel="0" collapsed="false">
      <c r="C5" s="0" t="s">
        <v>366</v>
      </c>
      <c r="D5" s="11" t="s">
        <v>176</v>
      </c>
      <c r="J5" s="43" t="n">
        <f aca="false">J$4-J$3+1</f>
        <v>92</v>
      </c>
      <c r="K5" s="43" t="n">
        <f aca="false">K$4-K$3+1</f>
        <v>90</v>
      </c>
      <c r="L5" s="43" t="n">
        <f aca="false">L$4-L$3+1</f>
        <v>91</v>
      </c>
      <c r="M5" s="43" t="n">
        <f aca="false">M$4-M$3+1</f>
        <v>92</v>
      </c>
      <c r="N5" s="43" t="n">
        <f aca="false">N$4-N$3+1</f>
        <v>92</v>
      </c>
      <c r="O5" s="43" t="n">
        <f aca="false">O$4-O$3+1</f>
        <v>91</v>
      </c>
      <c r="P5" s="43" t="n">
        <f aca="false">P$4-P$3+1</f>
        <v>91</v>
      </c>
      <c r="Q5" s="43" t="n">
        <f aca="false">Q$4-Q$3+1</f>
        <v>92</v>
      </c>
      <c r="R5" s="43" t="n">
        <f aca="false">R$4-R$3+1</f>
        <v>92</v>
      </c>
      <c r="S5" s="43" t="n">
        <f aca="false">S$4-S$3+1</f>
        <v>90</v>
      </c>
      <c r="T5" s="43" t="n">
        <f aca="false">T$4-T$3+1</f>
        <v>91</v>
      </c>
      <c r="U5" s="43" t="n">
        <f aca="false">U$4-U$3+1</f>
        <v>92</v>
      </c>
      <c r="V5" s="43" t="n">
        <f aca="false">V$4-V$3+1</f>
        <v>92</v>
      </c>
      <c r="W5" s="43" t="n">
        <f aca="false">W$4-W$3+1</f>
        <v>90</v>
      </c>
      <c r="X5" s="43" t="n">
        <f aca="false">X$4-X$3+1</f>
        <v>91</v>
      </c>
      <c r="Y5" s="43" t="n">
        <f aca="false">Y$4-Y$3+1</f>
        <v>92</v>
      </c>
      <c r="Z5" s="43" t="n">
        <f aca="false">Z$4-Z$3+1</f>
        <v>92</v>
      </c>
      <c r="AA5" s="43" t="n">
        <f aca="false">AA$4-AA$3+1</f>
        <v>90</v>
      </c>
      <c r="AB5" s="43" t="n">
        <f aca="false">AB$4-AB$3+1</f>
        <v>91</v>
      </c>
      <c r="AC5" s="43" t="n">
        <f aca="false">AC$4-AC$3+1</f>
        <v>92</v>
      </c>
      <c r="AD5" s="43" t="n">
        <f aca="false">AD$4-AD$3+1</f>
        <v>92</v>
      </c>
      <c r="AE5" s="43" t="n">
        <f aca="false">AE$4-AE$3+1</f>
        <v>91</v>
      </c>
      <c r="AF5" s="43" t="n">
        <f aca="false">AF$4-AF$3+1</f>
        <v>91</v>
      </c>
      <c r="AG5" s="43" t="n">
        <f aca="false">AG$4-AG$3+1</f>
        <v>92</v>
      </c>
      <c r="AH5" s="43" t="n">
        <f aca="false">AH$4-AH$3+1</f>
        <v>92</v>
      </c>
      <c r="AI5" s="43" t="n">
        <f aca="false">AI$4-AI$3+1</f>
        <v>90</v>
      </c>
      <c r="AJ5" s="43" t="n">
        <f aca="false">AJ$4-AJ$3+1</f>
        <v>91</v>
      </c>
      <c r="AK5" s="43" t="n">
        <f aca="false">AK$4-AK$3+1</f>
        <v>92</v>
      </c>
      <c r="AL5" s="43" t="n">
        <f aca="false">AL$4-AL$3+1</f>
        <v>92</v>
      </c>
      <c r="AM5" s="43" t="n">
        <f aca="false">AM$4-AM$3+1</f>
        <v>90</v>
      </c>
      <c r="AN5" s="43" t="n">
        <f aca="false">AN$4-AN$3+1</f>
        <v>91</v>
      </c>
      <c r="AO5" s="43" t="n">
        <f aca="false">AO$4-AO$3+1</f>
        <v>92</v>
      </c>
      <c r="AP5" s="43" t="n">
        <f aca="false">AP$4-AP$3+1</f>
        <v>92</v>
      </c>
      <c r="AQ5" s="43" t="n">
        <f aca="false">AQ$4-AQ$3+1</f>
        <v>90</v>
      </c>
      <c r="AR5" s="43" t="n">
        <f aca="false">AR$4-AR$3+1</f>
        <v>91</v>
      </c>
      <c r="AS5" s="43" t="n">
        <f aca="false">AS$4-AS$3+1</f>
        <v>92</v>
      </c>
      <c r="AT5" s="43" t="n">
        <f aca="false">AT$4-AT$3+1</f>
        <v>92</v>
      </c>
      <c r="AU5" s="43" t="n">
        <f aca="false">AU$4-AU$3+1</f>
        <v>91</v>
      </c>
      <c r="AV5" s="43" t="n">
        <f aca="false">AV$4-AV$3+1</f>
        <v>91</v>
      </c>
      <c r="AW5" s="43" t="n">
        <f aca="false">AW$4-AW$3+1</f>
        <v>92</v>
      </c>
      <c r="AX5" s="43" t="n">
        <f aca="false">AX$4-AX$3+1</f>
        <v>92</v>
      </c>
      <c r="AY5" s="43" t="n">
        <f aca="false">AY$4-AY$3+1</f>
        <v>90</v>
      </c>
      <c r="AZ5" s="43" t="n">
        <f aca="false">AZ$4-AZ$3+1</f>
        <v>91</v>
      </c>
      <c r="BA5" s="43" t="n">
        <f aca="false">BA$4-BA$3+1</f>
        <v>92</v>
      </c>
      <c r="BB5" s="43" t="n">
        <f aca="false">BB$4-BB$3+1</f>
        <v>92</v>
      </c>
      <c r="BC5" s="43" t="n">
        <f aca="false">BC$4-BC$3+1</f>
        <v>90</v>
      </c>
      <c r="BD5" s="43" t="n">
        <f aca="false">BD$4-BD$3+1</f>
        <v>91</v>
      </c>
      <c r="BE5" s="43" t="n">
        <f aca="false">BE$4-BE$3+1</f>
        <v>92</v>
      </c>
      <c r="BF5" s="43" t="n">
        <f aca="false">BF$4-BF$3+1</f>
        <v>92</v>
      </c>
      <c r="BG5" s="43" t="n">
        <f aca="false">BG$4-BG$3+1</f>
        <v>90</v>
      </c>
      <c r="BH5" s="43" t="n">
        <f aca="false">BH$4-BH$3+1</f>
        <v>91</v>
      </c>
      <c r="BI5" s="43" t="n">
        <f aca="false">BI$4-BI$3+1</f>
        <v>92</v>
      </c>
      <c r="BJ5" s="43" t="n">
        <f aca="false">BJ$4-BJ$3+1</f>
        <v>92</v>
      </c>
      <c r="BK5" s="43" t="n">
        <f aca="false">BK$4-BK$3+1</f>
        <v>91</v>
      </c>
      <c r="BL5" s="43" t="n">
        <f aca="false">BL$4-BL$3+1</f>
        <v>91</v>
      </c>
      <c r="BM5" s="43" t="n">
        <f aca="false">BM$4-BM$3+1</f>
        <v>92</v>
      </c>
      <c r="BN5" s="43" t="n">
        <f aca="false">BN$4-BN$3+1</f>
        <v>92</v>
      </c>
      <c r="BO5" s="43" t="n">
        <f aca="false">BO$4-BO$3+1</f>
        <v>90</v>
      </c>
      <c r="BP5" s="43" t="n">
        <f aca="false">BP$4-BP$3+1</f>
        <v>91</v>
      </c>
      <c r="BQ5" s="43" t="n">
        <f aca="false">BQ$4-BQ$3+1</f>
        <v>92</v>
      </c>
      <c r="BR5" s="43" t="n">
        <f aca="false">BR$4-BR$3+1</f>
        <v>92</v>
      </c>
      <c r="BS5" s="43" t="n">
        <f aca="false">BS$4-BS$3+1</f>
        <v>90</v>
      </c>
      <c r="BT5" s="43" t="n">
        <f aca="false">BT$4-BT$3+1</f>
        <v>91</v>
      </c>
      <c r="BU5" s="43" t="n">
        <f aca="false">BU$4-BU$3+1</f>
        <v>92</v>
      </c>
      <c r="BV5" s="43" t="n">
        <f aca="false">BV$4-BV$3+1</f>
        <v>92</v>
      </c>
      <c r="BW5" s="43" t="n">
        <f aca="false">BW$4-BW$3+1</f>
        <v>90</v>
      </c>
      <c r="BX5" s="43" t="n">
        <f aca="false">BX$4-BX$3+1</f>
        <v>91</v>
      </c>
      <c r="BY5" s="43" t="n">
        <f aca="false">BY$4-BY$3+1</f>
        <v>92</v>
      </c>
      <c r="BZ5" s="43" t="n">
        <f aca="false">BZ$4-BZ$3+1</f>
        <v>92</v>
      </c>
      <c r="CA5" s="43" t="n">
        <f aca="false">CA$4-CA$3+1</f>
        <v>91</v>
      </c>
      <c r="CB5" s="43" t="n">
        <f aca="false">CB$4-CB$3+1</f>
        <v>91</v>
      </c>
      <c r="CC5" s="43" t="n">
        <f aca="false">CC$4-CC$3+1</f>
        <v>92</v>
      </c>
      <c r="CD5" s="43" t="n">
        <f aca="false">CD$4-CD$3+1</f>
        <v>92</v>
      </c>
      <c r="CE5" s="43" t="n">
        <f aca="false">CE$4-CE$3+1</f>
        <v>90</v>
      </c>
      <c r="CF5" s="43" t="n">
        <f aca="false">CF$4-CF$3+1</f>
        <v>91</v>
      </c>
      <c r="CG5" s="43" t="n">
        <f aca="false">CG$4-CG$3+1</f>
        <v>92</v>
      </c>
      <c r="CH5" s="43" t="n">
        <f aca="false">CH$4-CH$3+1</f>
        <v>92</v>
      </c>
      <c r="CI5" s="43" t="n">
        <f aca="false">CI$4-CI$3+1</f>
        <v>90</v>
      </c>
      <c r="CJ5" s="43" t="n">
        <f aca="false">CJ$4-CJ$3+1</f>
        <v>91</v>
      </c>
      <c r="CK5" s="43" t="n">
        <f aca="false">CK$4-CK$3+1</f>
        <v>92</v>
      </c>
      <c r="CL5" s="43" t="n">
        <f aca="false">CL$4-CL$3+1</f>
        <v>92</v>
      </c>
      <c r="CM5" s="43" t="n">
        <f aca="false">CM$4-CM$3+1</f>
        <v>90</v>
      </c>
      <c r="CN5" s="43" t="n">
        <f aca="false">CN$4-CN$3+1</f>
        <v>91</v>
      </c>
      <c r="CO5" s="43" t="n">
        <f aca="false">CO$4-CO$3+1</f>
        <v>92</v>
      </c>
      <c r="CP5" s="43" t="n">
        <f aca="false">CP$4-CP$3+1</f>
        <v>92</v>
      </c>
      <c r="CQ5" s="43" t="n">
        <f aca="false">CQ$4-CQ$3+1</f>
        <v>91</v>
      </c>
      <c r="CR5" s="43" t="n">
        <f aca="false">CR$4-CR$3+1</f>
        <v>91</v>
      </c>
      <c r="CS5" s="43" t="n">
        <f aca="false">CS$4-CS$3+1</f>
        <v>92</v>
      </c>
      <c r="CT5" s="43" t="n">
        <f aca="false">CT$4-CT$3+1</f>
        <v>92</v>
      </c>
      <c r="CU5" s="43" t="n">
        <f aca="false">CU$4-CU$3+1</f>
        <v>90</v>
      </c>
      <c r="CV5" s="43" t="n">
        <f aca="false">CV$4-CV$3+1</f>
        <v>91</v>
      </c>
      <c r="CW5" s="43" t="n">
        <f aca="false">CW$4-CW$3+1</f>
        <v>92</v>
      </c>
      <c r="CX5" s="43" t="n">
        <f aca="false">CX$4-CX$3+1</f>
        <v>92</v>
      </c>
      <c r="CY5" s="43" t="n">
        <f aca="false">CY$4-CY$3+1</f>
        <v>90</v>
      </c>
      <c r="CZ5" s="43" t="n">
        <f aca="false">CZ$4-CZ$3+1</f>
        <v>91</v>
      </c>
      <c r="DA5" s="43" t="n">
        <f aca="false">DA$4-DA$3+1</f>
        <v>92</v>
      </c>
      <c r="DB5" s="43" t="n">
        <f aca="false">DB$4-DB$3+1</f>
        <v>92</v>
      </c>
      <c r="DC5" s="43" t="n">
        <f aca="false">DC$4-DC$3+1</f>
        <v>90</v>
      </c>
      <c r="DD5" s="43" t="n">
        <f aca="false">DD$4-DD$3+1</f>
        <v>91</v>
      </c>
      <c r="DE5" s="43" t="n">
        <f aca="false">DE$4-DE$3+1</f>
        <v>92</v>
      </c>
      <c r="DF5" s="43" t="n">
        <f aca="false">DF$4-DF$3+1</f>
        <v>92</v>
      </c>
      <c r="DG5" s="43" t="n">
        <f aca="false">DG$4-DG$3+1</f>
        <v>91</v>
      </c>
      <c r="DH5" s="43" t="n">
        <f aca="false">DH$4-DH$3+1</f>
        <v>91</v>
      </c>
      <c r="DI5" s="43" t="n">
        <f aca="false">DI$4-DI$3+1</f>
        <v>92</v>
      </c>
      <c r="DJ5" s="43" t="n">
        <f aca="false">DJ$4-DJ$3+1</f>
        <v>92</v>
      </c>
      <c r="DK5" s="43" t="n">
        <f aca="false">DK$4-DK$3+1</f>
        <v>90</v>
      </c>
      <c r="DL5" s="43" t="n">
        <f aca="false">DL$4-DL$3+1</f>
        <v>91</v>
      </c>
      <c r="DM5" s="43" t="n">
        <f aca="false">DM$4-DM$3+1</f>
        <v>92</v>
      </c>
      <c r="DN5" s="43" t="n">
        <f aca="false">DN$4-DN$3+1</f>
        <v>92</v>
      </c>
      <c r="DO5" s="43" t="n">
        <f aca="false">DO$4-DO$3+1</f>
        <v>90</v>
      </c>
      <c r="DP5" s="43" t="n">
        <f aca="false">DP$4-DP$3+1</f>
        <v>91</v>
      </c>
      <c r="DQ5" s="43" t="n">
        <f aca="false">DQ$4-DQ$3+1</f>
        <v>92</v>
      </c>
      <c r="DR5" s="43" t="n">
        <f aca="false">DR$4-DR$3+1</f>
        <v>92</v>
      </c>
      <c r="DS5" s="43" t="n">
        <f aca="false">DS$4-DS$3+1</f>
        <v>90</v>
      </c>
      <c r="DT5" s="43" t="n">
        <f aca="false">DT$4-DT$3+1</f>
        <v>91</v>
      </c>
      <c r="DU5" s="43" t="n">
        <f aca="false">DU$4-DU$3+1</f>
        <v>92</v>
      </c>
      <c r="DV5" s="43" t="n">
        <f aca="false">DV$4-DV$3+1</f>
        <v>92</v>
      </c>
      <c r="DW5" s="43" t="n">
        <f aca="false">DW$4-DW$3+1</f>
        <v>91</v>
      </c>
      <c r="DX5" s="43" t="n">
        <f aca="false">DX$4-DX$3+1</f>
        <v>91</v>
      </c>
      <c r="DY5" s="43" t="n">
        <f aca="false">DY$4-DY$3+1</f>
        <v>92</v>
      </c>
      <c r="DZ5" s="43" t="n">
        <f aca="false">DZ$4-DZ$3+1</f>
        <v>92</v>
      </c>
      <c r="EA5" s="43" t="n">
        <f aca="false">EA$4-EA$3+1</f>
        <v>90</v>
      </c>
      <c r="EB5" s="43" t="n">
        <f aca="false">EB$4-EB$3+1</f>
        <v>91</v>
      </c>
      <c r="EC5" s="43" t="n">
        <f aca="false">EC$4-EC$3+1</f>
        <v>92</v>
      </c>
      <c r="ED5" s="43" t="n">
        <f aca="false">ED$4-ED$3+1</f>
        <v>92</v>
      </c>
      <c r="EE5" s="43" t="n">
        <f aca="false">EE$4-EE$3+1</f>
        <v>90</v>
      </c>
      <c r="EF5" s="43" t="n">
        <f aca="false">EF$4-EF$3+1</f>
        <v>91</v>
      </c>
      <c r="EG5" s="43" t="n">
        <f aca="false">EG$4-EG$3+1</f>
        <v>92</v>
      </c>
      <c r="EH5" s="43" t="n">
        <f aca="false">EH$4-EH$3+1</f>
        <v>92</v>
      </c>
      <c r="EI5" s="43" t="n">
        <f aca="false">EI$4-EI$3+1</f>
        <v>90</v>
      </c>
      <c r="EJ5" s="43" t="n">
        <f aca="false">EJ$4-EJ$3+1</f>
        <v>91</v>
      </c>
      <c r="EK5" s="43" t="n">
        <f aca="false">EK$4-EK$3+1</f>
        <v>92</v>
      </c>
      <c r="EL5" s="43" t="n">
        <f aca="false">EL$4-EL$3+1</f>
        <v>92</v>
      </c>
      <c r="EM5" s="43" t="n">
        <f aca="false">EM$4-EM$3+1</f>
        <v>91</v>
      </c>
      <c r="EN5" s="43" t="n">
        <f aca="false">EN$4-EN$3+1</f>
        <v>91</v>
      </c>
      <c r="EO5" s="43" t="n">
        <f aca="false">EO$4-EO$3+1</f>
        <v>92</v>
      </c>
    </row>
    <row r="6" customFormat="false" ht="15" hidden="false" customHeight="false" outlineLevel="0" collapsed="false">
      <c r="C6" s="0" t="s">
        <v>367</v>
      </c>
      <c r="D6" s="11" t="s">
        <v>368</v>
      </c>
      <c r="J6" s="54" t="n">
        <f aca="false">J$5/Days_In_Year</f>
        <v>0.252054794520548</v>
      </c>
      <c r="K6" s="54" t="n">
        <f aca="false">K$5/Days_In_Year</f>
        <v>0.246575342465753</v>
      </c>
      <c r="L6" s="54" t="n">
        <f aca="false">L$5/Days_In_Year</f>
        <v>0.249315068493151</v>
      </c>
      <c r="M6" s="54" t="n">
        <f aca="false">M$5/Days_In_Year</f>
        <v>0.252054794520548</v>
      </c>
      <c r="N6" s="54" t="n">
        <f aca="false">N$5/Days_In_Year</f>
        <v>0.252054794520548</v>
      </c>
      <c r="O6" s="54" t="n">
        <f aca="false">O$5/Days_In_Year</f>
        <v>0.249315068493151</v>
      </c>
      <c r="P6" s="54" t="n">
        <f aca="false">P$5/Days_In_Year</f>
        <v>0.249315068493151</v>
      </c>
      <c r="Q6" s="54" t="n">
        <f aca="false">Q$5/Days_In_Year</f>
        <v>0.252054794520548</v>
      </c>
      <c r="R6" s="54" t="n">
        <f aca="false">R$5/Days_In_Year</f>
        <v>0.252054794520548</v>
      </c>
      <c r="S6" s="54" t="n">
        <f aca="false">S$5/Days_In_Year</f>
        <v>0.246575342465753</v>
      </c>
      <c r="T6" s="54" t="n">
        <f aca="false">T$5/Days_In_Year</f>
        <v>0.249315068493151</v>
      </c>
      <c r="U6" s="54" t="n">
        <f aca="false">U$5/Days_In_Year</f>
        <v>0.252054794520548</v>
      </c>
      <c r="V6" s="54" t="n">
        <f aca="false">V$5/Days_In_Year</f>
        <v>0.252054794520548</v>
      </c>
      <c r="W6" s="54" t="n">
        <f aca="false">W$5/Days_In_Year</f>
        <v>0.246575342465753</v>
      </c>
      <c r="X6" s="54" t="n">
        <f aca="false">X$5/Days_In_Year</f>
        <v>0.249315068493151</v>
      </c>
      <c r="Y6" s="54" t="n">
        <f aca="false">Y$5/Days_In_Year</f>
        <v>0.252054794520548</v>
      </c>
      <c r="Z6" s="54" t="n">
        <f aca="false">Z$5/Days_In_Year</f>
        <v>0.252054794520548</v>
      </c>
      <c r="AA6" s="54" t="n">
        <f aca="false">AA$5/Days_In_Year</f>
        <v>0.246575342465753</v>
      </c>
      <c r="AB6" s="54" t="n">
        <f aca="false">AB$5/Days_In_Year</f>
        <v>0.249315068493151</v>
      </c>
      <c r="AC6" s="54" t="n">
        <f aca="false">AC$5/Days_In_Year</f>
        <v>0.252054794520548</v>
      </c>
      <c r="AD6" s="54" t="n">
        <f aca="false">AD$5/Days_In_Year</f>
        <v>0.252054794520548</v>
      </c>
      <c r="AE6" s="54" t="n">
        <f aca="false">AE$5/Days_In_Year</f>
        <v>0.249315068493151</v>
      </c>
      <c r="AF6" s="54" t="n">
        <f aca="false">AF$5/Days_In_Year</f>
        <v>0.249315068493151</v>
      </c>
      <c r="AG6" s="54" t="n">
        <f aca="false">AG$5/Days_In_Year</f>
        <v>0.252054794520548</v>
      </c>
      <c r="AH6" s="54" t="n">
        <f aca="false">AH$5/Days_In_Year</f>
        <v>0.252054794520548</v>
      </c>
      <c r="AI6" s="54" t="n">
        <f aca="false">AI$5/Days_In_Year</f>
        <v>0.246575342465753</v>
      </c>
      <c r="AJ6" s="54" t="n">
        <f aca="false">AJ$5/Days_In_Year</f>
        <v>0.249315068493151</v>
      </c>
      <c r="AK6" s="54" t="n">
        <f aca="false">AK$5/Days_In_Year</f>
        <v>0.252054794520548</v>
      </c>
      <c r="AL6" s="54" t="n">
        <f aca="false">AL$5/Days_In_Year</f>
        <v>0.252054794520548</v>
      </c>
      <c r="AM6" s="54" t="n">
        <f aca="false">AM$5/Days_In_Year</f>
        <v>0.246575342465753</v>
      </c>
      <c r="AN6" s="54" t="n">
        <f aca="false">AN$5/Days_In_Year</f>
        <v>0.249315068493151</v>
      </c>
      <c r="AO6" s="54" t="n">
        <f aca="false">AO$5/Days_In_Year</f>
        <v>0.252054794520548</v>
      </c>
      <c r="AP6" s="54" t="n">
        <f aca="false">AP$5/Days_In_Year</f>
        <v>0.252054794520548</v>
      </c>
      <c r="AQ6" s="54" t="n">
        <f aca="false">AQ$5/Days_In_Year</f>
        <v>0.246575342465753</v>
      </c>
      <c r="AR6" s="54" t="n">
        <f aca="false">AR$5/Days_In_Year</f>
        <v>0.249315068493151</v>
      </c>
      <c r="AS6" s="54" t="n">
        <f aca="false">AS$5/Days_In_Year</f>
        <v>0.252054794520548</v>
      </c>
      <c r="AT6" s="54" t="n">
        <f aca="false">AT$5/Days_In_Year</f>
        <v>0.252054794520548</v>
      </c>
      <c r="AU6" s="54" t="n">
        <f aca="false">AU$5/Days_In_Year</f>
        <v>0.249315068493151</v>
      </c>
      <c r="AV6" s="54" t="n">
        <f aca="false">AV$5/Days_In_Year</f>
        <v>0.249315068493151</v>
      </c>
      <c r="AW6" s="54" t="n">
        <f aca="false">AW$5/Days_In_Year</f>
        <v>0.252054794520548</v>
      </c>
      <c r="AX6" s="54" t="n">
        <f aca="false">AX$5/Days_In_Year</f>
        <v>0.252054794520548</v>
      </c>
      <c r="AY6" s="54" t="n">
        <f aca="false">AY$5/Days_In_Year</f>
        <v>0.246575342465753</v>
      </c>
      <c r="AZ6" s="54" t="n">
        <f aca="false">AZ$5/Days_In_Year</f>
        <v>0.249315068493151</v>
      </c>
      <c r="BA6" s="54" t="n">
        <f aca="false">BA$5/Days_In_Year</f>
        <v>0.252054794520548</v>
      </c>
      <c r="BB6" s="54" t="n">
        <f aca="false">BB$5/Days_In_Year</f>
        <v>0.252054794520548</v>
      </c>
      <c r="BC6" s="54" t="n">
        <f aca="false">BC$5/Days_In_Year</f>
        <v>0.246575342465753</v>
      </c>
      <c r="BD6" s="54" t="n">
        <f aca="false">BD$5/Days_In_Year</f>
        <v>0.249315068493151</v>
      </c>
      <c r="BE6" s="54" t="n">
        <f aca="false">BE$5/Days_In_Year</f>
        <v>0.252054794520548</v>
      </c>
      <c r="BF6" s="54" t="n">
        <f aca="false">BF$5/Days_In_Year</f>
        <v>0.252054794520548</v>
      </c>
      <c r="BG6" s="54" t="n">
        <f aca="false">BG$5/Days_In_Year</f>
        <v>0.246575342465753</v>
      </c>
      <c r="BH6" s="54" t="n">
        <f aca="false">BH$5/Days_In_Year</f>
        <v>0.249315068493151</v>
      </c>
      <c r="BI6" s="54" t="n">
        <f aca="false">BI$5/Days_In_Year</f>
        <v>0.252054794520548</v>
      </c>
      <c r="BJ6" s="54" t="n">
        <f aca="false">BJ$5/Days_In_Year</f>
        <v>0.252054794520548</v>
      </c>
      <c r="BK6" s="54" t="n">
        <f aca="false">BK$5/Days_In_Year</f>
        <v>0.249315068493151</v>
      </c>
      <c r="BL6" s="54" t="n">
        <f aca="false">BL$5/Days_In_Year</f>
        <v>0.249315068493151</v>
      </c>
      <c r="BM6" s="54" t="n">
        <f aca="false">BM$5/Days_In_Year</f>
        <v>0.252054794520548</v>
      </c>
      <c r="BN6" s="54" t="n">
        <f aca="false">BN$5/Days_In_Year</f>
        <v>0.252054794520548</v>
      </c>
      <c r="BO6" s="54" t="n">
        <f aca="false">BO$5/Days_In_Year</f>
        <v>0.246575342465753</v>
      </c>
      <c r="BP6" s="54" t="n">
        <f aca="false">BP$5/Days_In_Year</f>
        <v>0.249315068493151</v>
      </c>
      <c r="BQ6" s="54" t="n">
        <f aca="false">BQ$5/Days_In_Year</f>
        <v>0.252054794520548</v>
      </c>
      <c r="BR6" s="54" t="n">
        <f aca="false">BR$5/Days_In_Year</f>
        <v>0.252054794520548</v>
      </c>
      <c r="BS6" s="54" t="n">
        <f aca="false">BS$5/Days_In_Year</f>
        <v>0.246575342465753</v>
      </c>
      <c r="BT6" s="54" t="n">
        <f aca="false">BT$5/Days_In_Year</f>
        <v>0.249315068493151</v>
      </c>
      <c r="BU6" s="54" t="n">
        <f aca="false">BU$5/Days_In_Year</f>
        <v>0.252054794520548</v>
      </c>
      <c r="BV6" s="54" t="n">
        <f aca="false">BV$5/Days_In_Year</f>
        <v>0.252054794520548</v>
      </c>
      <c r="BW6" s="54" t="n">
        <f aca="false">BW$5/Days_In_Year</f>
        <v>0.246575342465753</v>
      </c>
      <c r="BX6" s="54" t="n">
        <f aca="false">BX$5/Days_In_Year</f>
        <v>0.249315068493151</v>
      </c>
      <c r="BY6" s="54" t="n">
        <f aca="false">BY$5/Days_In_Year</f>
        <v>0.252054794520548</v>
      </c>
      <c r="BZ6" s="54" t="n">
        <f aca="false">BZ$5/Days_In_Year</f>
        <v>0.252054794520548</v>
      </c>
      <c r="CA6" s="54" t="n">
        <f aca="false">CA$5/Days_In_Year</f>
        <v>0.249315068493151</v>
      </c>
      <c r="CB6" s="54" t="n">
        <f aca="false">CB$5/Days_In_Year</f>
        <v>0.249315068493151</v>
      </c>
      <c r="CC6" s="54" t="n">
        <f aca="false">CC$5/Days_In_Year</f>
        <v>0.252054794520548</v>
      </c>
      <c r="CD6" s="54" t="n">
        <f aca="false">CD$5/Days_In_Year</f>
        <v>0.252054794520548</v>
      </c>
      <c r="CE6" s="54" t="n">
        <f aca="false">CE$5/Days_In_Year</f>
        <v>0.246575342465753</v>
      </c>
      <c r="CF6" s="54" t="n">
        <f aca="false">CF$5/Days_In_Year</f>
        <v>0.249315068493151</v>
      </c>
      <c r="CG6" s="54" t="n">
        <f aca="false">CG$5/Days_In_Year</f>
        <v>0.252054794520548</v>
      </c>
      <c r="CH6" s="54" t="n">
        <f aca="false">CH$5/Days_In_Year</f>
        <v>0.252054794520548</v>
      </c>
      <c r="CI6" s="54" t="n">
        <f aca="false">CI$5/Days_In_Year</f>
        <v>0.246575342465753</v>
      </c>
      <c r="CJ6" s="54" t="n">
        <f aca="false">CJ$5/Days_In_Year</f>
        <v>0.249315068493151</v>
      </c>
      <c r="CK6" s="54" t="n">
        <f aca="false">CK$5/Days_In_Year</f>
        <v>0.252054794520548</v>
      </c>
      <c r="CL6" s="54" t="n">
        <f aca="false">CL$5/Days_In_Year</f>
        <v>0.252054794520548</v>
      </c>
      <c r="CM6" s="54" t="n">
        <f aca="false">CM$5/Days_In_Year</f>
        <v>0.246575342465753</v>
      </c>
      <c r="CN6" s="54" t="n">
        <f aca="false">CN$5/Days_In_Year</f>
        <v>0.249315068493151</v>
      </c>
      <c r="CO6" s="54" t="n">
        <f aca="false">CO$5/Days_In_Year</f>
        <v>0.252054794520548</v>
      </c>
      <c r="CP6" s="54" t="n">
        <f aca="false">CP$5/Days_In_Year</f>
        <v>0.252054794520548</v>
      </c>
      <c r="CQ6" s="54" t="n">
        <f aca="false">CQ$5/Days_In_Year</f>
        <v>0.249315068493151</v>
      </c>
      <c r="CR6" s="54" t="n">
        <f aca="false">CR$5/Days_In_Year</f>
        <v>0.249315068493151</v>
      </c>
      <c r="CS6" s="54" t="n">
        <f aca="false">CS$5/Days_In_Year</f>
        <v>0.252054794520548</v>
      </c>
      <c r="CT6" s="54" t="n">
        <f aca="false">CT$5/Days_In_Year</f>
        <v>0.252054794520548</v>
      </c>
      <c r="CU6" s="54" t="n">
        <f aca="false">CU$5/Days_In_Year</f>
        <v>0.246575342465753</v>
      </c>
      <c r="CV6" s="54" t="n">
        <f aca="false">CV$5/Days_In_Year</f>
        <v>0.249315068493151</v>
      </c>
      <c r="CW6" s="54" t="n">
        <f aca="false">CW$5/Days_In_Year</f>
        <v>0.252054794520548</v>
      </c>
      <c r="CX6" s="54" t="n">
        <f aca="false">CX$5/Days_In_Year</f>
        <v>0.252054794520548</v>
      </c>
      <c r="CY6" s="54" t="n">
        <f aca="false">CY$5/Days_In_Year</f>
        <v>0.246575342465753</v>
      </c>
      <c r="CZ6" s="54" t="n">
        <f aca="false">CZ$5/Days_In_Year</f>
        <v>0.249315068493151</v>
      </c>
      <c r="DA6" s="54" t="n">
        <f aca="false">DA$5/Days_In_Year</f>
        <v>0.252054794520548</v>
      </c>
      <c r="DB6" s="54" t="n">
        <f aca="false">DB$5/Days_In_Year</f>
        <v>0.252054794520548</v>
      </c>
      <c r="DC6" s="54" t="n">
        <f aca="false">DC$5/Days_In_Year</f>
        <v>0.246575342465753</v>
      </c>
      <c r="DD6" s="54" t="n">
        <f aca="false">DD$5/Days_In_Year</f>
        <v>0.249315068493151</v>
      </c>
      <c r="DE6" s="54" t="n">
        <f aca="false">DE$5/Days_In_Year</f>
        <v>0.252054794520548</v>
      </c>
      <c r="DF6" s="54" t="n">
        <f aca="false">DF$5/Days_In_Year</f>
        <v>0.252054794520548</v>
      </c>
      <c r="DG6" s="54" t="n">
        <f aca="false">DG$5/Days_In_Year</f>
        <v>0.249315068493151</v>
      </c>
      <c r="DH6" s="54" t="n">
        <f aca="false">DH$5/Days_In_Year</f>
        <v>0.249315068493151</v>
      </c>
      <c r="DI6" s="54" t="n">
        <f aca="false">DI$5/Days_In_Year</f>
        <v>0.252054794520548</v>
      </c>
      <c r="DJ6" s="54" t="n">
        <f aca="false">DJ$5/Days_In_Year</f>
        <v>0.252054794520548</v>
      </c>
      <c r="DK6" s="54" t="n">
        <f aca="false">DK$5/Days_In_Year</f>
        <v>0.246575342465753</v>
      </c>
      <c r="DL6" s="54" t="n">
        <f aca="false">DL$5/Days_In_Year</f>
        <v>0.249315068493151</v>
      </c>
      <c r="DM6" s="54" t="n">
        <f aca="false">DM$5/Days_In_Year</f>
        <v>0.252054794520548</v>
      </c>
      <c r="DN6" s="54" t="n">
        <f aca="false">DN$5/Days_In_Year</f>
        <v>0.252054794520548</v>
      </c>
      <c r="DO6" s="54" t="n">
        <f aca="false">DO$5/Days_In_Year</f>
        <v>0.246575342465753</v>
      </c>
      <c r="DP6" s="54" t="n">
        <f aca="false">DP$5/Days_In_Year</f>
        <v>0.249315068493151</v>
      </c>
      <c r="DQ6" s="54" t="n">
        <f aca="false">DQ$5/Days_In_Year</f>
        <v>0.252054794520548</v>
      </c>
      <c r="DR6" s="54" t="n">
        <f aca="false">DR$5/Days_In_Year</f>
        <v>0.252054794520548</v>
      </c>
      <c r="DS6" s="54" t="n">
        <f aca="false">DS$5/Days_In_Year</f>
        <v>0.246575342465753</v>
      </c>
      <c r="DT6" s="54" t="n">
        <f aca="false">DT$5/Days_In_Year</f>
        <v>0.249315068493151</v>
      </c>
      <c r="DU6" s="54" t="n">
        <f aca="false">DU$5/Days_In_Year</f>
        <v>0.252054794520548</v>
      </c>
      <c r="DV6" s="54" t="n">
        <f aca="false">DV$5/Days_In_Year</f>
        <v>0.252054794520548</v>
      </c>
      <c r="DW6" s="54" t="n">
        <f aca="false">DW$5/Days_In_Year</f>
        <v>0.249315068493151</v>
      </c>
      <c r="DX6" s="54" t="n">
        <f aca="false">DX$5/Days_In_Year</f>
        <v>0.249315068493151</v>
      </c>
      <c r="DY6" s="54" t="n">
        <f aca="false">DY$5/Days_In_Year</f>
        <v>0.252054794520548</v>
      </c>
      <c r="DZ6" s="54" t="n">
        <f aca="false">DZ$5/Days_In_Year</f>
        <v>0.252054794520548</v>
      </c>
      <c r="EA6" s="54" t="n">
        <f aca="false">EA$5/Days_In_Year</f>
        <v>0.246575342465753</v>
      </c>
      <c r="EB6" s="54" t="n">
        <f aca="false">EB$5/Days_In_Year</f>
        <v>0.249315068493151</v>
      </c>
      <c r="EC6" s="54" t="n">
        <f aca="false">EC$5/Days_In_Year</f>
        <v>0.252054794520548</v>
      </c>
      <c r="ED6" s="54" t="n">
        <f aca="false">ED$5/Days_In_Year</f>
        <v>0.252054794520548</v>
      </c>
      <c r="EE6" s="54" t="n">
        <f aca="false">EE$5/Days_In_Year</f>
        <v>0.246575342465753</v>
      </c>
      <c r="EF6" s="54" t="n">
        <f aca="false">EF$5/Days_In_Year</f>
        <v>0.249315068493151</v>
      </c>
      <c r="EG6" s="54" t="n">
        <f aca="false">EG$5/Days_In_Year</f>
        <v>0.252054794520548</v>
      </c>
      <c r="EH6" s="54" t="n">
        <f aca="false">EH$5/Days_In_Year</f>
        <v>0.252054794520548</v>
      </c>
      <c r="EI6" s="54" t="n">
        <f aca="false">EI$5/Days_In_Year</f>
        <v>0.246575342465753</v>
      </c>
      <c r="EJ6" s="54" t="n">
        <f aca="false">EJ$5/Days_In_Year</f>
        <v>0.249315068493151</v>
      </c>
      <c r="EK6" s="54" t="n">
        <f aca="false">EK$5/Days_In_Year</f>
        <v>0.252054794520548</v>
      </c>
      <c r="EL6" s="54" t="n">
        <f aca="false">EL$5/Days_In_Year</f>
        <v>0.252054794520548</v>
      </c>
      <c r="EM6" s="54" t="n">
        <f aca="false">EM$5/Days_In_Year</f>
        <v>0.249315068493151</v>
      </c>
      <c r="EN6" s="54" t="n">
        <f aca="false">EN$5/Days_In_Year</f>
        <v>0.249315068493151</v>
      </c>
      <c r="EO6" s="54" t="n">
        <f aca="false">EO$5/Days_In_Year</f>
        <v>0.252054794520548</v>
      </c>
    </row>
    <row r="7" customFormat="false" ht="15" hidden="false" customHeight="false" outlineLevel="0" collapsed="false">
      <c r="C7" s="0" t="s">
        <v>369</v>
      </c>
      <c r="D7" s="11" t="s">
        <v>370</v>
      </c>
      <c r="J7" s="43" t="n">
        <f aca="false">YEAR(J$4)</f>
        <v>2026</v>
      </c>
      <c r="K7" s="43" t="n">
        <f aca="false">YEAR(K$4)</f>
        <v>2027</v>
      </c>
      <c r="L7" s="43" t="n">
        <f aca="false">YEAR(L$4)</f>
        <v>2027</v>
      </c>
      <c r="M7" s="43" t="n">
        <f aca="false">YEAR(M$4)</f>
        <v>2027</v>
      </c>
      <c r="N7" s="43" t="n">
        <f aca="false">YEAR(N$4)</f>
        <v>2027</v>
      </c>
      <c r="O7" s="43" t="n">
        <f aca="false">YEAR(O$4)</f>
        <v>2028</v>
      </c>
      <c r="P7" s="43" t="n">
        <f aca="false">YEAR(P$4)</f>
        <v>2028</v>
      </c>
      <c r="Q7" s="43" t="n">
        <f aca="false">YEAR(Q$4)</f>
        <v>2028</v>
      </c>
      <c r="R7" s="43" t="n">
        <f aca="false">YEAR(R$4)</f>
        <v>2028</v>
      </c>
      <c r="S7" s="43" t="n">
        <f aca="false">YEAR(S$4)</f>
        <v>2029</v>
      </c>
      <c r="T7" s="43" t="n">
        <f aca="false">YEAR(T$4)</f>
        <v>2029</v>
      </c>
      <c r="U7" s="43" t="n">
        <f aca="false">YEAR(U$4)</f>
        <v>2029</v>
      </c>
      <c r="V7" s="43" t="n">
        <f aca="false">YEAR(V$4)</f>
        <v>2029</v>
      </c>
      <c r="W7" s="43" t="n">
        <f aca="false">YEAR(W$4)</f>
        <v>2030</v>
      </c>
      <c r="X7" s="43" t="n">
        <f aca="false">YEAR(X$4)</f>
        <v>2030</v>
      </c>
      <c r="Y7" s="43" t="n">
        <f aca="false">YEAR(Y$4)</f>
        <v>2030</v>
      </c>
      <c r="Z7" s="43" t="n">
        <f aca="false">YEAR(Z$4)</f>
        <v>2030</v>
      </c>
      <c r="AA7" s="43" t="n">
        <f aca="false">YEAR(AA$4)</f>
        <v>2031</v>
      </c>
      <c r="AB7" s="43" t="n">
        <f aca="false">YEAR(AB$4)</f>
        <v>2031</v>
      </c>
      <c r="AC7" s="43" t="n">
        <f aca="false">YEAR(AC$4)</f>
        <v>2031</v>
      </c>
      <c r="AD7" s="43" t="n">
        <f aca="false">YEAR(AD$4)</f>
        <v>2031</v>
      </c>
      <c r="AE7" s="43" t="n">
        <f aca="false">YEAR(AE$4)</f>
        <v>2032</v>
      </c>
      <c r="AF7" s="43" t="n">
        <f aca="false">YEAR(AF$4)</f>
        <v>2032</v>
      </c>
      <c r="AG7" s="43" t="n">
        <f aca="false">YEAR(AG$4)</f>
        <v>2032</v>
      </c>
      <c r="AH7" s="43" t="n">
        <f aca="false">YEAR(AH$4)</f>
        <v>2032</v>
      </c>
      <c r="AI7" s="43" t="n">
        <f aca="false">YEAR(AI$4)</f>
        <v>2033</v>
      </c>
      <c r="AJ7" s="43" t="n">
        <f aca="false">YEAR(AJ$4)</f>
        <v>2033</v>
      </c>
      <c r="AK7" s="43" t="n">
        <f aca="false">YEAR(AK$4)</f>
        <v>2033</v>
      </c>
      <c r="AL7" s="43" t="n">
        <f aca="false">YEAR(AL$4)</f>
        <v>2033</v>
      </c>
      <c r="AM7" s="43" t="n">
        <f aca="false">YEAR(AM$4)</f>
        <v>2034</v>
      </c>
      <c r="AN7" s="43" t="n">
        <f aca="false">YEAR(AN$4)</f>
        <v>2034</v>
      </c>
      <c r="AO7" s="43" t="n">
        <f aca="false">YEAR(AO$4)</f>
        <v>2034</v>
      </c>
      <c r="AP7" s="43" t="n">
        <f aca="false">YEAR(AP$4)</f>
        <v>2034</v>
      </c>
      <c r="AQ7" s="43" t="n">
        <f aca="false">YEAR(AQ$4)</f>
        <v>2035</v>
      </c>
      <c r="AR7" s="43" t="n">
        <f aca="false">YEAR(AR$4)</f>
        <v>2035</v>
      </c>
      <c r="AS7" s="43" t="n">
        <f aca="false">YEAR(AS$4)</f>
        <v>2035</v>
      </c>
      <c r="AT7" s="43" t="n">
        <f aca="false">YEAR(AT$4)</f>
        <v>2035</v>
      </c>
      <c r="AU7" s="43" t="n">
        <f aca="false">YEAR(AU$4)</f>
        <v>2036</v>
      </c>
      <c r="AV7" s="43" t="n">
        <f aca="false">YEAR(AV$4)</f>
        <v>2036</v>
      </c>
      <c r="AW7" s="43" t="n">
        <f aca="false">YEAR(AW$4)</f>
        <v>2036</v>
      </c>
      <c r="AX7" s="43" t="n">
        <f aca="false">YEAR(AX$4)</f>
        <v>2036</v>
      </c>
      <c r="AY7" s="43" t="n">
        <f aca="false">YEAR(AY$4)</f>
        <v>2037</v>
      </c>
      <c r="AZ7" s="43" t="n">
        <f aca="false">YEAR(AZ$4)</f>
        <v>2037</v>
      </c>
      <c r="BA7" s="43" t="n">
        <f aca="false">YEAR(BA$4)</f>
        <v>2037</v>
      </c>
      <c r="BB7" s="43" t="n">
        <f aca="false">YEAR(BB$4)</f>
        <v>2037</v>
      </c>
      <c r="BC7" s="43" t="n">
        <f aca="false">YEAR(BC$4)</f>
        <v>2038</v>
      </c>
      <c r="BD7" s="43" t="n">
        <f aca="false">YEAR(BD$4)</f>
        <v>2038</v>
      </c>
      <c r="BE7" s="43" t="n">
        <f aca="false">YEAR(BE$4)</f>
        <v>2038</v>
      </c>
      <c r="BF7" s="43" t="n">
        <f aca="false">YEAR(BF$4)</f>
        <v>2038</v>
      </c>
      <c r="BG7" s="43" t="n">
        <f aca="false">YEAR(BG$4)</f>
        <v>2039</v>
      </c>
      <c r="BH7" s="43" t="n">
        <f aca="false">YEAR(BH$4)</f>
        <v>2039</v>
      </c>
      <c r="BI7" s="43" t="n">
        <f aca="false">YEAR(BI$4)</f>
        <v>2039</v>
      </c>
      <c r="BJ7" s="43" t="n">
        <f aca="false">YEAR(BJ$4)</f>
        <v>2039</v>
      </c>
      <c r="BK7" s="43" t="n">
        <f aca="false">YEAR(BK$4)</f>
        <v>2040</v>
      </c>
      <c r="BL7" s="43" t="n">
        <f aca="false">YEAR(BL$4)</f>
        <v>2040</v>
      </c>
      <c r="BM7" s="43" t="n">
        <f aca="false">YEAR(BM$4)</f>
        <v>2040</v>
      </c>
      <c r="BN7" s="43" t="n">
        <f aca="false">YEAR(BN$4)</f>
        <v>2040</v>
      </c>
      <c r="BO7" s="43" t="n">
        <f aca="false">YEAR(BO$4)</f>
        <v>2041</v>
      </c>
      <c r="BP7" s="43" t="n">
        <f aca="false">YEAR(BP$4)</f>
        <v>2041</v>
      </c>
      <c r="BQ7" s="43" t="n">
        <f aca="false">YEAR(BQ$4)</f>
        <v>2041</v>
      </c>
      <c r="BR7" s="43" t="n">
        <f aca="false">YEAR(BR$4)</f>
        <v>2041</v>
      </c>
      <c r="BS7" s="43" t="n">
        <f aca="false">YEAR(BS$4)</f>
        <v>2042</v>
      </c>
      <c r="BT7" s="43" t="n">
        <f aca="false">YEAR(BT$4)</f>
        <v>2042</v>
      </c>
      <c r="BU7" s="43" t="n">
        <f aca="false">YEAR(BU$4)</f>
        <v>2042</v>
      </c>
      <c r="BV7" s="43" t="n">
        <f aca="false">YEAR(BV$4)</f>
        <v>2042</v>
      </c>
      <c r="BW7" s="43" t="n">
        <f aca="false">YEAR(BW$4)</f>
        <v>2043</v>
      </c>
      <c r="BX7" s="43" t="n">
        <f aca="false">YEAR(BX$4)</f>
        <v>2043</v>
      </c>
      <c r="BY7" s="43" t="n">
        <f aca="false">YEAR(BY$4)</f>
        <v>2043</v>
      </c>
      <c r="BZ7" s="43" t="n">
        <f aca="false">YEAR(BZ$4)</f>
        <v>2043</v>
      </c>
      <c r="CA7" s="43" t="n">
        <f aca="false">YEAR(CA$4)</f>
        <v>2044</v>
      </c>
      <c r="CB7" s="43" t="n">
        <f aca="false">YEAR(CB$4)</f>
        <v>2044</v>
      </c>
      <c r="CC7" s="43" t="n">
        <f aca="false">YEAR(CC$4)</f>
        <v>2044</v>
      </c>
      <c r="CD7" s="43" t="n">
        <f aca="false">YEAR(CD$4)</f>
        <v>2044</v>
      </c>
      <c r="CE7" s="43" t="n">
        <f aca="false">YEAR(CE$4)</f>
        <v>2045</v>
      </c>
      <c r="CF7" s="43" t="n">
        <f aca="false">YEAR(CF$4)</f>
        <v>2045</v>
      </c>
      <c r="CG7" s="43" t="n">
        <f aca="false">YEAR(CG$4)</f>
        <v>2045</v>
      </c>
      <c r="CH7" s="43" t="n">
        <f aca="false">YEAR(CH$4)</f>
        <v>2045</v>
      </c>
      <c r="CI7" s="43" t="n">
        <f aca="false">YEAR(CI$4)</f>
        <v>2046</v>
      </c>
      <c r="CJ7" s="43" t="n">
        <f aca="false">YEAR(CJ$4)</f>
        <v>2046</v>
      </c>
      <c r="CK7" s="43" t="n">
        <f aca="false">YEAR(CK$4)</f>
        <v>2046</v>
      </c>
      <c r="CL7" s="43" t="n">
        <f aca="false">YEAR(CL$4)</f>
        <v>2046</v>
      </c>
      <c r="CM7" s="43" t="n">
        <f aca="false">YEAR(CM$4)</f>
        <v>2047</v>
      </c>
      <c r="CN7" s="43" t="n">
        <f aca="false">YEAR(CN$4)</f>
        <v>2047</v>
      </c>
      <c r="CO7" s="43" t="n">
        <f aca="false">YEAR(CO$4)</f>
        <v>2047</v>
      </c>
      <c r="CP7" s="43" t="n">
        <f aca="false">YEAR(CP$4)</f>
        <v>2047</v>
      </c>
      <c r="CQ7" s="43" t="n">
        <f aca="false">YEAR(CQ$4)</f>
        <v>2048</v>
      </c>
      <c r="CR7" s="43" t="n">
        <f aca="false">YEAR(CR$4)</f>
        <v>2048</v>
      </c>
      <c r="CS7" s="43" t="n">
        <f aca="false">YEAR(CS$4)</f>
        <v>2048</v>
      </c>
      <c r="CT7" s="43" t="n">
        <f aca="false">YEAR(CT$4)</f>
        <v>2048</v>
      </c>
      <c r="CU7" s="43" t="n">
        <f aca="false">YEAR(CU$4)</f>
        <v>2049</v>
      </c>
      <c r="CV7" s="43" t="n">
        <f aca="false">YEAR(CV$4)</f>
        <v>2049</v>
      </c>
      <c r="CW7" s="43" t="n">
        <f aca="false">YEAR(CW$4)</f>
        <v>2049</v>
      </c>
      <c r="CX7" s="43" t="n">
        <f aca="false">YEAR(CX$4)</f>
        <v>2049</v>
      </c>
      <c r="CY7" s="43" t="n">
        <f aca="false">YEAR(CY$4)</f>
        <v>2050</v>
      </c>
      <c r="CZ7" s="43" t="n">
        <f aca="false">YEAR(CZ$4)</f>
        <v>2050</v>
      </c>
      <c r="DA7" s="43" t="n">
        <f aca="false">YEAR(DA$4)</f>
        <v>2050</v>
      </c>
      <c r="DB7" s="43" t="n">
        <f aca="false">YEAR(DB$4)</f>
        <v>2050</v>
      </c>
      <c r="DC7" s="43" t="n">
        <f aca="false">YEAR(DC$4)</f>
        <v>2051</v>
      </c>
      <c r="DD7" s="43" t="n">
        <f aca="false">YEAR(DD$4)</f>
        <v>2051</v>
      </c>
      <c r="DE7" s="43" t="n">
        <f aca="false">YEAR(DE$4)</f>
        <v>2051</v>
      </c>
      <c r="DF7" s="43" t="n">
        <f aca="false">YEAR(DF$4)</f>
        <v>2051</v>
      </c>
      <c r="DG7" s="43" t="n">
        <f aca="false">YEAR(DG$4)</f>
        <v>2052</v>
      </c>
      <c r="DH7" s="43" t="n">
        <f aca="false">YEAR(DH$4)</f>
        <v>2052</v>
      </c>
      <c r="DI7" s="43" t="n">
        <f aca="false">YEAR(DI$4)</f>
        <v>2052</v>
      </c>
      <c r="DJ7" s="43" t="n">
        <f aca="false">YEAR(DJ$4)</f>
        <v>2052</v>
      </c>
      <c r="DK7" s="43" t="n">
        <f aca="false">YEAR(DK$4)</f>
        <v>2053</v>
      </c>
      <c r="DL7" s="43" t="n">
        <f aca="false">YEAR(DL$4)</f>
        <v>2053</v>
      </c>
      <c r="DM7" s="43" t="n">
        <f aca="false">YEAR(DM$4)</f>
        <v>2053</v>
      </c>
      <c r="DN7" s="43" t="n">
        <f aca="false">YEAR(DN$4)</f>
        <v>2053</v>
      </c>
      <c r="DO7" s="43" t="n">
        <f aca="false">YEAR(DO$4)</f>
        <v>2054</v>
      </c>
      <c r="DP7" s="43" t="n">
        <f aca="false">YEAR(DP$4)</f>
        <v>2054</v>
      </c>
      <c r="DQ7" s="43" t="n">
        <f aca="false">YEAR(DQ$4)</f>
        <v>2054</v>
      </c>
      <c r="DR7" s="43" t="n">
        <f aca="false">YEAR(DR$4)</f>
        <v>2054</v>
      </c>
      <c r="DS7" s="43" t="n">
        <f aca="false">YEAR(DS$4)</f>
        <v>2055</v>
      </c>
      <c r="DT7" s="43" t="n">
        <f aca="false">YEAR(DT$4)</f>
        <v>2055</v>
      </c>
      <c r="DU7" s="43" t="n">
        <f aca="false">YEAR(DU$4)</f>
        <v>2055</v>
      </c>
      <c r="DV7" s="43" t="n">
        <f aca="false">YEAR(DV$4)</f>
        <v>2055</v>
      </c>
      <c r="DW7" s="43" t="n">
        <f aca="false">YEAR(DW$4)</f>
        <v>2056</v>
      </c>
      <c r="DX7" s="43" t="n">
        <f aca="false">YEAR(DX$4)</f>
        <v>2056</v>
      </c>
      <c r="DY7" s="43" t="n">
        <f aca="false">YEAR(DY$4)</f>
        <v>2056</v>
      </c>
      <c r="DZ7" s="43" t="n">
        <f aca="false">YEAR(DZ$4)</f>
        <v>2056</v>
      </c>
      <c r="EA7" s="43" t="n">
        <f aca="false">YEAR(EA$4)</f>
        <v>2057</v>
      </c>
      <c r="EB7" s="43" t="n">
        <f aca="false">YEAR(EB$4)</f>
        <v>2057</v>
      </c>
      <c r="EC7" s="43" t="n">
        <f aca="false">YEAR(EC$4)</f>
        <v>2057</v>
      </c>
      <c r="ED7" s="43" t="n">
        <f aca="false">YEAR(ED$4)</f>
        <v>2057</v>
      </c>
      <c r="EE7" s="43" t="n">
        <f aca="false">YEAR(EE$4)</f>
        <v>2058</v>
      </c>
      <c r="EF7" s="43" t="n">
        <f aca="false">YEAR(EF$4)</f>
        <v>2058</v>
      </c>
      <c r="EG7" s="43" t="n">
        <f aca="false">YEAR(EG$4)</f>
        <v>2058</v>
      </c>
      <c r="EH7" s="43" t="n">
        <f aca="false">YEAR(EH$4)</f>
        <v>2058</v>
      </c>
      <c r="EI7" s="43" t="n">
        <f aca="false">YEAR(EI$4)</f>
        <v>2059</v>
      </c>
      <c r="EJ7" s="43" t="n">
        <f aca="false">YEAR(EJ$4)</f>
        <v>2059</v>
      </c>
      <c r="EK7" s="43" t="n">
        <f aca="false">YEAR(EK$4)</f>
        <v>2059</v>
      </c>
      <c r="EL7" s="43" t="n">
        <f aca="false">YEAR(EL$4)</f>
        <v>2059</v>
      </c>
      <c r="EM7" s="43" t="n">
        <f aca="false">YEAR(EM$4)</f>
        <v>2060</v>
      </c>
      <c r="EN7" s="43" t="n">
        <f aca="false">YEAR(EN$4)</f>
        <v>2060</v>
      </c>
      <c r="EO7" s="43" t="n">
        <f aca="false">YEAR(EO$4)</f>
        <v>2060</v>
      </c>
    </row>
    <row r="8" customFormat="false" ht="15" hidden="false" customHeight="false" outlineLevel="0" collapsed="false">
      <c r="C8" s="0" t="s">
        <v>371</v>
      </c>
      <c r="D8" s="11" t="s">
        <v>140</v>
      </c>
      <c r="J8" s="43" t="n">
        <f aca="false">I$8+1</f>
        <v>1</v>
      </c>
      <c r="K8" s="43" t="n">
        <f aca="false">J$8+1</f>
        <v>2</v>
      </c>
      <c r="L8" s="43" t="n">
        <f aca="false">K$8+1</f>
        <v>3</v>
      </c>
      <c r="M8" s="43" t="n">
        <f aca="false">L$8+1</f>
        <v>4</v>
      </c>
      <c r="N8" s="43" t="n">
        <f aca="false">M$8+1</f>
        <v>5</v>
      </c>
      <c r="O8" s="43" t="n">
        <f aca="false">N$8+1</f>
        <v>6</v>
      </c>
      <c r="P8" s="43" t="n">
        <f aca="false">O$8+1</f>
        <v>7</v>
      </c>
      <c r="Q8" s="43" t="n">
        <f aca="false">P$8+1</f>
        <v>8</v>
      </c>
      <c r="R8" s="43" t="n">
        <f aca="false">Q$8+1</f>
        <v>9</v>
      </c>
      <c r="S8" s="43" t="n">
        <f aca="false">R$8+1</f>
        <v>10</v>
      </c>
      <c r="T8" s="43" t="n">
        <f aca="false">S$8+1</f>
        <v>11</v>
      </c>
      <c r="U8" s="43" t="n">
        <f aca="false">T$8+1</f>
        <v>12</v>
      </c>
      <c r="V8" s="43" t="n">
        <f aca="false">U$8+1</f>
        <v>13</v>
      </c>
      <c r="W8" s="43" t="n">
        <f aca="false">V$8+1</f>
        <v>14</v>
      </c>
      <c r="X8" s="43" t="n">
        <f aca="false">W$8+1</f>
        <v>15</v>
      </c>
      <c r="Y8" s="43" t="n">
        <f aca="false">X$8+1</f>
        <v>16</v>
      </c>
      <c r="Z8" s="43" t="n">
        <f aca="false">Y$8+1</f>
        <v>17</v>
      </c>
      <c r="AA8" s="43" t="n">
        <f aca="false">Z$8+1</f>
        <v>18</v>
      </c>
      <c r="AB8" s="43" t="n">
        <f aca="false">AA$8+1</f>
        <v>19</v>
      </c>
      <c r="AC8" s="43" t="n">
        <f aca="false">AB$8+1</f>
        <v>20</v>
      </c>
      <c r="AD8" s="43" t="n">
        <f aca="false">AC$8+1</f>
        <v>21</v>
      </c>
      <c r="AE8" s="43" t="n">
        <f aca="false">AD$8+1</f>
        <v>22</v>
      </c>
      <c r="AF8" s="43" t="n">
        <f aca="false">AE$8+1</f>
        <v>23</v>
      </c>
      <c r="AG8" s="43" t="n">
        <f aca="false">AF$8+1</f>
        <v>24</v>
      </c>
      <c r="AH8" s="43" t="n">
        <f aca="false">AG$8+1</f>
        <v>25</v>
      </c>
      <c r="AI8" s="43" t="n">
        <f aca="false">AH$8+1</f>
        <v>26</v>
      </c>
      <c r="AJ8" s="43" t="n">
        <f aca="false">AI$8+1</f>
        <v>27</v>
      </c>
      <c r="AK8" s="43" t="n">
        <f aca="false">AJ$8+1</f>
        <v>28</v>
      </c>
      <c r="AL8" s="43" t="n">
        <f aca="false">AK$8+1</f>
        <v>29</v>
      </c>
      <c r="AM8" s="43" t="n">
        <f aca="false">AL$8+1</f>
        <v>30</v>
      </c>
      <c r="AN8" s="43" t="n">
        <f aca="false">AM$8+1</f>
        <v>31</v>
      </c>
      <c r="AO8" s="43" t="n">
        <f aca="false">AN$8+1</f>
        <v>32</v>
      </c>
      <c r="AP8" s="43" t="n">
        <f aca="false">AO$8+1</f>
        <v>33</v>
      </c>
      <c r="AQ8" s="43" t="n">
        <f aca="false">AP$8+1</f>
        <v>34</v>
      </c>
      <c r="AR8" s="43" t="n">
        <f aca="false">AQ$8+1</f>
        <v>35</v>
      </c>
      <c r="AS8" s="43" t="n">
        <f aca="false">AR$8+1</f>
        <v>36</v>
      </c>
      <c r="AT8" s="43" t="n">
        <f aca="false">AS$8+1</f>
        <v>37</v>
      </c>
      <c r="AU8" s="43" t="n">
        <f aca="false">AT$8+1</f>
        <v>38</v>
      </c>
      <c r="AV8" s="43" t="n">
        <f aca="false">AU$8+1</f>
        <v>39</v>
      </c>
      <c r="AW8" s="43" t="n">
        <f aca="false">AV$8+1</f>
        <v>40</v>
      </c>
      <c r="AX8" s="43" t="n">
        <f aca="false">AW$8+1</f>
        <v>41</v>
      </c>
      <c r="AY8" s="43" t="n">
        <f aca="false">AX$8+1</f>
        <v>42</v>
      </c>
      <c r="AZ8" s="43" t="n">
        <f aca="false">AY$8+1</f>
        <v>43</v>
      </c>
      <c r="BA8" s="43" t="n">
        <f aca="false">AZ$8+1</f>
        <v>44</v>
      </c>
      <c r="BB8" s="43" t="n">
        <f aca="false">BA$8+1</f>
        <v>45</v>
      </c>
      <c r="BC8" s="43" t="n">
        <f aca="false">BB$8+1</f>
        <v>46</v>
      </c>
      <c r="BD8" s="43" t="n">
        <f aca="false">BC$8+1</f>
        <v>47</v>
      </c>
      <c r="BE8" s="43" t="n">
        <f aca="false">BD$8+1</f>
        <v>48</v>
      </c>
      <c r="BF8" s="43" t="n">
        <f aca="false">BE$8+1</f>
        <v>49</v>
      </c>
      <c r="BG8" s="43" t="n">
        <f aca="false">BF$8+1</f>
        <v>50</v>
      </c>
      <c r="BH8" s="43" t="n">
        <f aca="false">BG$8+1</f>
        <v>51</v>
      </c>
      <c r="BI8" s="43" t="n">
        <f aca="false">BH$8+1</f>
        <v>52</v>
      </c>
      <c r="BJ8" s="43" t="n">
        <f aca="false">BI$8+1</f>
        <v>53</v>
      </c>
      <c r="BK8" s="43" t="n">
        <f aca="false">BJ$8+1</f>
        <v>54</v>
      </c>
      <c r="BL8" s="43" t="n">
        <f aca="false">BK$8+1</f>
        <v>55</v>
      </c>
      <c r="BM8" s="43" t="n">
        <f aca="false">BL$8+1</f>
        <v>56</v>
      </c>
      <c r="BN8" s="43" t="n">
        <f aca="false">BM$8+1</f>
        <v>57</v>
      </c>
      <c r="BO8" s="43" t="n">
        <f aca="false">BN$8+1</f>
        <v>58</v>
      </c>
      <c r="BP8" s="43" t="n">
        <f aca="false">BO$8+1</f>
        <v>59</v>
      </c>
      <c r="BQ8" s="43" t="n">
        <f aca="false">BP$8+1</f>
        <v>60</v>
      </c>
      <c r="BR8" s="43" t="n">
        <f aca="false">BQ$8+1</f>
        <v>61</v>
      </c>
      <c r="BS8" s="43" t="n">
        <f aca="false">BR$8+1</f>
        <v>62</v>
      </c>
      <c r="BT8" s="43" t="n">
        <f aca="false">BS$8+1</f>
        <v>63</v>
      </c>
      <c r="BU8" s="43" t="n">
        <f aca="false">BT$8+1</f>
        <v>64</v>
      </c>
      <c r="BV8" s="43" t="n">
        <f aca="false">BU$8+1</f>
        <v>65</v>
      </c>
      <c r="BW8" s="43" t="n">
        <f aca="false">BV$8+1</f>
        <v>66</v>
      </c>
      <c r="BX8" s="43" t="n">
        <f aca="false">BW$8+1</f>
        <v>67</v>
      </c>
      <c r="BY8" s="43" t="n">
        <f aca="false">BX$8+1</f>
        <v>68</v>
      </c>
      <c r="BZ8" s="43" t="n">
        <f aca="false">BY$8+1</f>
        <v>69</v>
      </c>
      <c r="CA8" s="43" t="n">
        <f aca="false">BZ$8+1</f>
        <v>70</v>
      </c>
      <c r="CB8" s="43" t="n">
        <f aca="false">CA$8+1</f>
        <v>71</v>
      </c>
      <c r="CC8" s="43" t="n">
        <f aca="false">CB$8+1</f>
        <v>72</v>
      </c>
      <c r="CD8" s="43" t="n">
        <f aca="false">CC$8+1</f>
        <v>73</v>
      </c>
      <c r="CE8" s="43" t="n">
        <f aca="false">CD$8+1</f>
        <v>74</v>
      </c>
      <c r="CF8" s="43" t="n">
        <f aca="false">CE$8+1</f>
        <v>75</v>
      </c>
      <c r="CG8" s="43" t="n">
        <f aca="false">CF$8+1</f>
        <v>76</v>
      </c>
      <c r="CH8" s="43" t="n">
        <f aca="false">CG$8+1</f>
        <v>77</v>
      </c>
      <c r="CI8" s="43" t="n">
        <f aca="false">CH$8+1</f>
        <v>78</v>
      </c>
      <c r="CJ8" s="43" t="n">
        <f aca="false">CI$8+1</f>
        <v>79</v>
      </c>
      <c r="CK8" s="43" t="n">
        <f aca="false">CJ$8+1</f>
        <v>80</v>
      </c>
      <c r="CL8" s="43" t="n">
        <f aca="false">CK$8+1</f>
        <v>81</v>
      </c>
      <c r="CM8" s="43" t="n">
        <f aca="false">CL$8+1</f>
        <v>82</v>
      </c>
      <c r="CN8" s="43" t="n">
        <f aca="false">CM$8+1</f>
        <v>83</v>
      </c>
      <c r="CO8" s="43" t="n">
        <f aca="false">CN$8+1</f>
        <v>84</v>
      </c>
      <c r="CP8" s="43" t="n">
        <f aca="false">CO$8+1</f>
        <v>85</v>
      </c>
      <c r="CQ8" s="43" t="n">
        <f aca="false">CP$8+1</f>
        <v>86</v>
      </c>
      <c r="CR8" s="43" t="n">
        <f aca="false">CQ$8+1</f>
        <v>87</v>
      </c>
      <c r="CS8" s="43" t="n">
        <f aca="false">CR$8+1</f>
        <v>88</v>
      </c>
      <c r="CT8" s="43" t="n">
        <f aca="false">CS$8+1</f>
        <v>89</v>
      </c>
      <c r="CU8" s="43" t="n">
        <f aca="false">CT$8+1</f>
        <v>90</v>
      </c>
      <c r="CV8" s="43" t="n">
        <f aca="false">CU$8+1</f>
        <v>91</v>
      </c>
      <c r="CW8" s="43" t="n">
        <f aca="false">CV$8+1</f>
        <v>92</v>
      </c>
      <c r="CX8" s="43" t="n">
        <f aca="false">CW$8+1</f>
        <v>93</v>
      </c>
      <c r="CY8" s="43" t="n">
        <f aca="false">CX$8+1</f>
        <v>94</v>
      </c>
      <c r="CZ8" s="43" t="n">
        <f aca="false">CY$8+1</f>
        <v>95</v>
      </c>
      <c r="DA8" s="43" t="n">
        <f aca="false">CZ$8+1</f>
        <v>96</v>
      </c>
      <c r="DB8" s="43" t="n">
        <f aca="false">DA$8+1</f>
        <v>97</v>
      </c>
      <c r="DC8" s="43" t="n">
        <f aca="false">DB$8+1</f>
        <v>98</v>
      </c>
      <c r="DD8" s="43" t="n">
        <f aca="false">DC$8+1</f>
        <v>99</v>
      </c>
      <c r="DE8" s="43" t="n">
        <f aca="false">DD$8+1</f>
        <v>100</v>
      </c>
      <c r="DF8" s="43" t="n">
        <f aca="false">DE$8+1</f>
        <v>101</v>
      </c>
      <c r="DG8" s="43" t="n">
        <f aca="false">DF$8+1</f>
        <v>102</v>
      </c>
      <c r="DH8" s="43" t="n">
        <f aca="false">DG$8+1</f>
        <v>103</v>
      </c>
      <c r="DI8" s="43" t="n">
        <f aca="false">DH$8+1</f>
        <v>104</v>
      </c>
      <c r="DJ8" s="43" t="n">
        <f aca="false">DI$8+1</f>
        <v>105</v>
      </c>
      <c r="DK8" s="43" t="n">
        <f aca="false">DJ$8+1</f>
        <v>106</v>
      </c>
      <c r="DL8" s="43" t="n">
        <f aca="false">DK$8+1</f>
        <v>107</v>
      </c>
      <c r="DM8" s="43" t="n">
        <f aca="false">DL$8+1</f>
        <v>108</v>
      </c>
      <c r="DN8" s="43" t="n">
        <f aca="false">DM$8+1</f>
        <v>109</v>
      </c>
      <c r="DO8" s="43" t="n">
        <f aca="false">DN$8+1</f>
        <v>110</v>
      </c>
      <c r="DP8" s="43" t="n">
        <f aca="false">DO$8+1</f>
        <v>111</v>
      </c>
      <c r="DQ8" s="43" t="n">
        <f aca="false">DP$8+1</f>
        <v>112</v>
      </c>
      <c r="DR8" s="43" t="n">
        <f aca="false">DQ$8+1</f>
        <v>113</v>
      </c>
      <c r="DS8" s="43" t="n">
        <f aca="false">DR$8+1</f>
        <v>114</v>
      </c>
      <c r="DT8" s="43" t="n">
        <f aca="false">DS$8+1</f>
        <v>115</v>
      </c>
      <c r="DU8" s="43" t="n">
        <f aca="false">DT$8+1</f>
        <v>116</v>
      </c>
      <c r="DV8" s="43" t="n">
        <f aca="false">DU$8+1</f>
        <v>117</v>
      </c>
      <c r="DW8" s="43" t="n">
        <f aca="false">DV$8+1</f>
        <v>118</v>
      </c>
      <c r="DX8" s="43" t="n">
        <f aca="false">DW$8+1</f>
        <v>119</v>
      </c>
      <c r="DY8" s="43" t="n">
        <f aca="false">DX$8+1</f>
        <v>120</v>
      </c>
      <c r="DZ8" s="43" t="n">
        <f aca="false">DY$8+1</f>
        <v>121</v>
      </c>
      <c r="EA8" s="43" t="n">
        <f aca="false">DZ$8+1</f>
        <v>122</v>
      </c>
      <c r="EB8" s="43" t="n">
        <f aca="false">EA$8+1</f>
        <v>123</v>
      </c>
      <c r="EC8" s="43" t="n">
        <f aca="false">EB$8+1</f>
        <v>124</v>
      </c>
      <c r="ED8" s="43" t="n">
        <f aca="false">EC$8+1</f>
        <v>125</v>
      </c>
      <c r="EE8" s="43" t="n">
        <f aca="false">ED$8+1</f>
        <v>126</v>
      </c>
      <c r="EF8" s="43" t="n">
        <f aca="false">EE$8+1</f>
        <v>127</v>
      </c>
      <c r="EG8" s="43" t="n">
        <f aca="false">EF$8+1</f>
        <v>128</v>
      </c>
      <c r="EH8" s="43" t="n">
        <f aca="false">EG$8+1</f>
        <v>129</v>
      </c>
      <c r="EI8" s="43" t="n">
        <f aca="false">EH$8+1</f>
        <v>130</v>
      </c>
      <c r="EJ8" s="43" t="n">
        <f aca="false">EI$8+1</f>
        <v>131</v>
      </c>
      <c r="EK8" s="43" t="n">
        <f aca="false">EJ$8+1</f>
        <v>132</v>
      </c>
      <c r="EL8" s="43" t="n">
        <f aca="false">EK$8+1</f>
        <v>133</v>
      </c>
      <c r="EM8" s="43" t="n">
        <f aca="false">EL$8+1</f>
        <v>134</v>
      </c>
      <c r="EN8" s="43" t="n">
        <f aca="false">EM$8+1</f>
        <v>135</v>
      </c>
      <c r="EO8" s="43" t="n">
        <f aca="false">EN$8+1</f>
        <v>136</v>
      </c>
    </row>
    <row r="11" customFormat="false" ht="15" hidden="false" customHeight="false" outlineLevel="0" collapsed="false">
      <c r="A11" s="9" t="s">
        <v>13</v>
      </c>
      <c r="B11" s="9"/>
      <c r="C11" s="9" t="s">
        <v>372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373</v>
      </c>
      <c r="D12" s="11" t="s">
        <v>368</v>
      </c>
      <c r="E12" s="45" t="n">
        <f aca="false">In_NTP+1</f>
        <v>47027</v>
      </c>
      <c r="F12" s="20" t="n">
        <f aca="false">In_COD</f>
        <v>47756</v>
      </c>
      <c r="I12" s="54" t="n">
        <f aca="false">SUM(J12:EO12)</f>
        <v>1</v>
      </c>
      <c r="J12" s="54" t="n">
        <f aca="false">MAX(0,MIN($F12,J$4)-MAX($E12,J$3)+1)/($F12-$E12+1)</f>
        <v>0</v>
      </c>
      <c r="K12" s="54" t="n">
        <f aca="false">MAX(0,MIN($F12,K$4)-MAX($E12,K$3)+1)/($F12-$E12+1)</f>
        <v>0</v>
      </c>
      <c r="L12" s="54" t="n">
        <f aca="false">MAX(0,MIN($F12,L$4)-MAX($E12,L$3)+1)/($F12-$E12+1)</f>
        <v>0</v>
      </c>
      <c r="M12" s="54" t="n">
        <f aca="false">MAX(0,MIN($F12,M$4)-MAX($E12,M$3)+1)/($F12-$E12+1)</f>
        <v>0</v>
      </c>
      <c r="N12" s="54" t="n">
        <f aca="false">MAX(0,MIN($F12,N$4)-MAX($E12,N$3)+1)/($F12-$E12+1)</f>
        <v>0</v>
      </c>
      <c r="O12" s="54" t="n">
        <f aca="false">MAX(0,MIN($F12,O$4)-MAX($E12,O$3)+1)/($F12-$E12+1)</f>
        <v>0</v>
      </c>
      <c r="P12" s="54" t="n">
        <f aca="false">MAX(0,MIN($F12,P$4)-MAX($E12,P$3)+1)/($F12-$E12+1)</f>
        <v>0</v>
      </c>
      <c r="Q12" s="54" t="n">
        <f aca="false">MAX(0,MIN($F12,Q$4)-MAX($E12,Q$3)+1)/($F12-$E12+1)</f>
        <v>0</v>
      </c>
      <c r="R12" s="54" t="n">
        <f aca="false">MAX(0,MIN($F12,R$4)-MAX($E12,R$3)+1)/($F12-$E12+1)</f>
        <v>0.126027397260274</v>
      </c>
      <c r="S12" s="54" t="n">
        <f aca="false">MAX(0,MIN($F12,S$4)-MAX($E12,S$3)+1)/($F12-$E12+1)</f>
        <v>0.123287671232877</v>
      </c>
      <c r="T12" s="54" t="n">
        <f aca="false">MAX(0,MIN($F12,T$4)-MAX($E12,T$3)+1)/($F12-$E12+1)</f>
        <v>0.124657534246575</v>
      </c>
      <c r="U12" s="54" t="n">
        <f aca="false">MAX(0,MIN($F12,U$4)-MAX($E12,U$3)+1)/($F12-$E12+1)</f>
        <v>0.126027397260274</v>
      </c>
      <c r="V12" s="54" t="n">
        <f aca="false">MAX(0,MIN($F12,V$4)-MAX($E12,V$3)+1)/($F12-$E12+1)</f>
        <v>0.126027397260274</v>
      </c>
      <c r="W12" s="54" t="n">
        <f aca="false">MAX(0,MIN($F12,W$4)-MAX($E12,W$3)+1)/($F12-$E12+1)</f>
        <v>0.123287671232877</v>
      </c>
      <c r="X12" s="54" t="n">
        <f aca="false">MAX(0,MIN($F12,X$4)-MAX($E12,X$3)+1)/($F12-$E12+1)</f>
        <v>0.124657534246575</v>
      </c>
      <c r="Y12" s="54" t="n">
        <f aca="false">MAX(0,MIN($F12,Y$4)-MAX($E12,Y$3)+1)/($F12-$E12+1)</f>
        <v>0.126027397260274</v>
      </c>
      <c r="Z12" s="54" t="n">
        <f aca="false">MAX(0,MIN($F12,Z$4)-MAX($E12,Z$3)+1)/($F12-$E12+1)</f>
        <v>0</v>
      </c>
      <c r="AA12" s="54" t="n">
        <f aca="false">MAX(0,MIN($F12,AA$4)-MAX($E12,AA$3)+1)/($F12-$E12+1)</f>
        <v>0</v>
      </c>
      <c r="AB12" s="54" t="n">
        <f aca="false">MAX(0,MIN($F12,AB$4)-MAX($E12,AB$3)+1)/($F12-$E12+1)</f>
        <v>0</v>
      </c>
      <c r="AC12" s="54" t="n">
        <f aca="false">MAX(0,MIN($F12,AC$4)-MAX($E12,AC$3)+1)/($F12-$E12+1)</f>
        <v>0</v>
      </c>
      <c r="AD12" s="54" t="n">
        <f aca="false">MAX(0,MIN($F12,AD$4)-MAX($E12,AD$3)+1)/($F12-$E12+1)</f>
        <v>0</v>
      </c>
      <c r="AE12" s="54" t="n">
        <f aca="false">MAX(0,MIN($F12,AE$4)-MAX($E12,AE$3)+1)/($F12-$E12+1)</f>
        <v>0</v>
      </c>
      <c r="AF12" s="54" t="n">
        <f aca="false">MAX(0,MIN($F12,AF$4)-MAX($E12,AF$3)+1)/($F12-$E12+1)</f>
        <v>0</v>
      </c>
      <c r="AG12" s="54" t="n">
        <f aca="false">MAX(0,MIN($F12,AG$4)-MAX($E12,AG$3)+1)/($F12-$E12+1)</f>
        <v>0</v>
      </c>
      <c r="AH12" s="54" t="n">
        <f aca="false">MAX(0,MIN($F12,AH$4)-MAX($E12,AH$3)+1)/($F12-$E12+1)</f>
        <v>0</v>
      </c>
      <c r="AI12" s="54" t="n">
        <f aca="false">MAX(0,MIN($F12,AI$4)-MAX($E12,AI$3)+1)/($F12-$E12+1)</f>
        <v>0</v>
      </c>
      <c r="AJ12" s="54" t="n">
        <f aca="false">MAX(0,MIN($F12,AJ$4)-MAX($E12,AJ$3)+1)/($F12-$E12+1)</f>
        <v>0</v>
      </c>
      <c r="AK12" s="54" t="n">
        <f aca="false">MAX(0,MIN($F12,AK$4)-MAX($E12,AK$3)+1)/($F12-$E12+1)</f>
        <v>0</v>
      </c>
      <c r="AL12" s="54" t="n">
        <f aca="false">MAX(0,MIN($F12,AL$4)-MAX($E12,AL$3)+1)/($F12-$E12+1)</f>
        <v>0</v>
      </c>
      <c r="AM12" s="54" t="n">
        <f aca="false">MAX(0,MIN($F12,AM$4)-MAX($E12,AM$3)+1)/($F12-$E12+1)</f>
        <v>0</v>
      </c>
      <c r="AN12" s="54" t="n">
        <f aca="false">MAX(0,MIN($F12,AN$4)-MAX($E12,AN$3)+1)/($F12-$E12+1)</f>
        <v>0</v>
      </c>
      <c r="AO12" s="54" t="n">
        <f aca="false">MAX(0,MIN($F12,AO$4)-MAX($E12,AO$3)+1)/($F12-$E12+1)</f>
        <v>0</v>
      </c>
      <c r="AP12" s="54" t="n">
        <f aca="false">MAX(0,MIN($F12,AP$4)-MAX($E12,AP$3)+1)/($F12-$E12+1)</f>
        <v>0</v>
      </c>
      <c r="AQ12" s="54" t="n">
        <f aca="false">MAX(0,MIN($F12,AQ$4)-MAX($E12,AQ$3)+1)/($F12-$E12+1)</f>
        <v>0</v>
      </c>
      <c r="AR12" s="54" t="n">
        <f aca="false">MAX(0,MIN($F12,AR$4)-MAX($E12,AR$3)+1)/($F12-$E12+1)</f>
        <v>0</v>
      </c>
      <c r="AS12" s="54" t="n">
        <f aca="false">MAX(0,MIN($F12,AS$4)-MAX($E12,AS$3)+1)/($F12-$E12+1)</f>
        <v>0</v>
      </c>
      <c r="AT12" s="54" t="n">
        <f aca="false">MAX(0,MIN($F12,AT$4)-MAX($E12,AT$3)+1)/($F12-$E12+1)</f>
        <v>0</v>
      </c>
      <c r="AU12" s="54" t="n">
        <f aca="false">MAX(0,MIN($F12,AU$4)-MAX($E12,AU$3)+1)/($F12-$E12+1)</f>
        <v>0</v>
      </c>
      <c r="AV12" s="54" t="n">
        <f aca="false">MAX(0,MIN($F12,AV$4)-MAX($E12,AV$3)+1)/($F12-$E12+1)</f>
        <v>0</v>
      </c>
      <c r="AW12" s="54" t="n">
        <f aca="false">MAX(0,MIN($F12,AW$4)-MAX($E12,AW$3)+1)/($F12-$E12+1)</f>
        <v>0</v>
      </c>
      <c r="AX12" s="54" t="n">
        <f aca="false">MAX(0,MIN($F12,AX$4)-MAX($E12,AX$3)+1)/($F12-$E12+1)</f>
        <v>0</v>
      </c>
      <c r="AY12" s="54" t="n">
        <f aca="false">MAX(0,MIN($F12,AY$4)-MAX($E12,AY$3)+1)/($F12-$E12+1)</f>
        <v>0</v>
      </c>
      <c r="AZ12" s="54" t="n">
        <f aca="false">MAX(0,MIN($F12,AZ$4)-MAX($E12,AZ$3)+1)/($F12-$E12+1)</f>
        <v>0</v>
      </c>
      <c r="BA12" s="54" t="n">
        <f aca="false">MAX(0,MIN($F12,BA$4)-MAX($E12,BA$3)+1)/($F12-$E12+1)</f>
        <v>0</v>
      </c>
      <c r="BB12" s="54" t="n">
        <f aca="false">MAX(0,MIN($F12,BB$4)-MAX($E12,BB$3)+1)/($F12-$E12+1)</f>
        <v>0</v>
      </c>
      <c r="BC12" s="54" t="n">
        <f aca="false">MAX(0,MIN($F12,BC$4)-MAX($E12,BC$3)+1)/($F12-$E12+1)</f>
        <v>0</v>
      </c>
      <c r="BD12" s="54" t="n">
        <f aca="false">MAX(0,MIN($F12,BD$4)-MAX($E12,BD$3)+1)/($F12-$E12+1)</f>
        <v>0</v>
      </c>
      <c r="BE12" s="54" t="n">
        <f aca="false">MAX(0,MIN($F12,BE$4)-MAX($E12,BE$3)+1)/($F12-$E12+1)</f>
        <v>0</v>
      </c>
      <c r="BF12" s="54" t="n">
        <f aca="false">MAX(0,MIN($F12,BF$4)-MAX($E12,BF$3)+1)/($F12-$E12+1)</f>
        <v>0</v>
      </c>
      <c r="BG12" s="54" t="n">
        <f aca="false">MAX(0,MIN($F12,BG$4)-MAX($E12,BG$3)+1)/($F12-$E12+1)</f>
        <v>0</v>
      </c>
      <c r="BH12" s="54" t="n">
        <f aca="false">MAX(0,MIN($F12,BH$4)-MAX($E12,BH$3)+1)/($F12-$E12+1)</f>
        <v>0</v>
      </c>
      <c r="BI12" s="54" t="n">
        <f aca="false">MAX(0,MIN($F12,BI$4)-MAX($E12,BI$3)+1)/($F12-$E12+1)</f>
        <v>0</v>
      </c>
      <c r="BJ12" s="54" t="n">
        <f aca="false">MAX(0,MIN($F12,BJ$4)-MAX($E12,BJ$3)+1)/($F12-$E12+1)</f>
        <v>0</v>
      </c>
      <c r="BK12" s="54" t="n">
        <f aca="false">MAX(0,MIN($F12,BK$4)-MAX($E12,BK$3)+1)/($F12-$E12+1)</f>
        <v>0</v>
      </c>
      <c r="BL12" s="54" t="n">
        <f aca="false">MAX(0,MIN($F12,BL$4)-MAX($E12,BL$3)+1)/($F12-$E12+1)</f>
        <v>0</v>
      </c>
      <c r="BM12" s="54" t="n">
        <f aca="false">MAX(0,MIN($F12,BM$4)-MAX($E12,BM$3)+1)/($F12-$E12+1)</f>
        <v>0</v>
      </c>
      <c r="BN12" s="54" t="n">
        <f aca="false">MAX(0,MIN($F12,BN$4)-MAX($E12,BN$3)+1)/($F12-$E12+1)</f>
        <v>0</v>
      </c>
      <c r="BO12" s="54" t="n">
        <f aca="false">MAX(0,MIN($F12,BO$4)-MAX($E12,BO$3)+1)/($F12-$E12+1)</f>
        <v>0</v>
      </c>
      <c r="BP12" s="54" t="n">
        <f aca="false">MAX(0,MIN($F12,BP$4)-MAX($E12,BP$3)+1)/($F12-$E12+1)</f>
        <v>0</v>
      </c>
      <c r="BQ12" s="54" t="n">
        <f aca="false">MAX(0,MIN($F12,BQ$4)-MAX($E12,BQ$3)+1)/($F12-$E12+1)</f>
        <v>0</v>
      </c>
      <c r="BR12" s="54" t="n">
        <f aca="false">MAX(0,MIN($F12,BR$4)-MAX($E12,BR$3)+1)/($F12-$E12+1)</f>
        <v>0</v>
      </c>
      <c r="BS12" s="54" t="n">
        <f aca="false">MAX(0,MIN($F12,BS$4)-MAX($E12,BS$3)+1)/($F12-$E12+1)</f>
        <v>0</v>
      </c>
      <c r="BT12" s="54" t="n">
        <f aca="false">MAX(0,MIN($F12,BT$4)-MAX($E12,BT$3)+1)/($F12-$E12+1)</f>
        <v>0</v>
      </c>
      <c r="BU12" s="54" t="n">
        <f aca="false">MAX(0,MIN($F12,BU$4)-MAX($E12,BU$3)+1)/($F12-$E12+1)</f>
        <v>0</v>
      </c>
      <c r="BV12" s="54" t="n">
        <f aca="false">MAX(0,MIN($F12,BV$4)-MAX($E12,BV$3)+1)/($F12-$E12+1)</f>
        <v>0</v>
      </c>
      <c r="BW12" s="54" t="n">
        <f aca="false">MAX(0,MIN($F12,BW$4)-MAX($E12,BW$3)+1)/($F12-$E12+1)</f>
        <v>0</v>
      </c>
      <c r="BX12" s="54" t="n">
        <f aca="false">MAX(0,MIN($F12,BX$4)-MAX($E12,BX$3)+1)/($F12-$E12+1)</f>
        <v>0</v>
      </c>
      <c r="BY12" s="54" t="n">
        <f aca="false">MAX(0,MIN($F12,BY$4)-MAX($E12,BY$3)+1)/($F12-$E12+1)</f>
        <v>0</v>
      </c>
      <c r="BZ12" s="54" t="n">
        <f aca="false">MAX(0,MIN($F12,BZ$4)-MAX($E12,BZ$3)+1)/($F12-$E12+1)</f>
        <v>0</v>
      </c>
      <c r="CA12" s="54" t="n">
        <f aca="false">MAX(0,MIN($F12,CA$4)-MAX($E12,CA$3)+1)/($F12-$E12+1)</f>
        <v>0</v>
      </c>
      <c r="CB12" s="54" t="n">
        <f aca="false">MAX(0,MIN($F12,CB$4)-MAX($E12,CB$3)+1)/($F12-$E12+1)</f>
        <v>0</v>
      </c>
      <c r="CC12" s="54" t="n">
        <f aca="false">MAX(0,MIN($F12,CC$4)-MAX($E12,CC$3)+1)/($F12-$E12+1)</f>
        <v>0</v>
      </c>
      <c r="CD12" s="54" t="n">
        <f aca="false">MAX(0,MIN($F12,CD$4)-MAX($E12,CD$3)+1)/($F12-$E12+1)</f>
        <v>0</v>
      </c>
      <c r="CE12" s="54" t="n">
        <f aca="false">MAX(0,MIN($F12,CE$4)-MAX($E12,CE$3)+1)/($F12-$E12+1)</f>
        <v>0</v>
      </c>
      <c r="CF12" s="54" t="n">
        <f aca="false">MAX(0,MIN($F12,CF$4)-MAX($E12,CF$3)+1)/($F12-$E12+1)</f>
        <v>0</v>
      </c>
      <c r="CG12" s="54" t="n">
        <f aca="false">MAX(0,MIN($F12,CG$4)-MAX($E12,CG$3)+1)/($F12-$E12+1)</f>
        <v>0</v>
      </c>
      <c r="CH12" s="54" t="n">
        <f aca="false">MAX(0,MIN($F12,CH$4)-MAX($E12,CH$3)+1)/($F12-$E12+1)</f>
        <v>0</v>
      </c>
      <c r="CI12" s="54" t="n">
        <f aca="false">MAX(0,MIN($F12,CI$4)-MAX($E12,CI$3)+1)/($F12-$E12+1)</f>
        <v>0</v>
      </c>
      <c r="CJ12" s="54" t="n">
        <f aca="false">MAX(0,MIN($F12,CJ$4)-MAX($E12,CJ$3)+1)/($F12-$E12+1)</f>
        <v>0</v>
      </c>
      <c r="CK12" s="54" t="n">
        <f aca="false">MAX(0,MIN($F12,CK$4)-MAX($E12,CK$3)+1)/($F12-$E12+1)</f>
        <v>0</v>
      </c>
      <c r="CL12" s="54" t="n">
        <f aca="false">MAX(0,MIN($F12,CL$4)-MAX($E12,CL$3)+1)/($F12-$E12+1)</f>
        <v>0</v>
      </c>
      <c r="CM12" s="54" t="n">
        <f aca="false">MAX(0,MIN($F12,CM$4)-MAX($E12,CM$3)+1)/($F12-$E12+1)</f>
        <v>0</v>
      </c>
      <c r="CN12" s="54" t="n">
        <f aca="false">MAX(0,MIN($F12,CN$4)-MAX($E12,CN$3)+1)/($F12-$E12+1)</f>
        <v>0</v>
      </c>
      <c r="CO12" s="54" t="n">
        <f aca="false">MAX(0,MIN($F12,CO$4)-MAX($E12,CO$3)+1)/($F12-$E12+1)</f>
        <v>0</v>
      </c>
      <c r="CP12" s="54" t="n">
        <f aca="false">MAX(0,MIN($F12,CP$4)-MAX($E12,CP$3)+1)/($F12-$E12+1)</f>
        <v>0</v>
      </c>
      <c r="CQ12" s="54" t="n">
        <f aca="false">MAX(0,MIN($F12,CQ$4)-MAX($E12,CQ$3)+1)/($F12-$E12+1)</f>
        <v>0</v>
      </c>
      <c r="CR12" s="54" t="n">
        <f aca="false">MAX(0,MIN($F12,CR$4)-MAX($E12,CR$3)+1)/($F12-$E12+1)</f>
        <v>0</v>
      </c>
      <c r="CS12" s="54" t="n">
        <f aca="false">MAX(0,MIN($F12,CS$4)-MAX($E12,CS$3)+1)/($F12-$E12+1)</f>
        <v>0</v>
      </c>
      <c r="CT12" s="54" t="n">
        <f aca="false">MAX(0,MIN($F12,CT$4)-MAX($E12,CT$3)+1)/($F12-$E12+1)</f>
        <v>0</v>
      </c>
      <c r="CU12" s="54" t="n">
        <f aca="false">MAX(0,MIN($F12,CU$4)-MAX($E12,CU$3)+1)/($F12-$E12+1)</f>
        <v>0</v>
      </c>
      <c r="CV12" s="54" t="n">
        <f aca="false">MAX(0,MIN($F12,CV$4)-MAX($E12,CV$3)+1)/($F12-$E12+1)</f>
        <v>0</v>
      </c>
      <c r="CW12" s="54" t="n">
        <f aca="false">MAX(0,MIN($F12,CW$4)-MAX($E12,CW$3)+1)/($F12-$E12+1)</f>
        <v>0</v>
      </c>
      <c r="CX12" s="54" t="n">
        <f aca="false">MAX(0,MIN($F12,CX$4)-MAX($E12,CX$3)+1)/($F12-$E12+1)</f>
        <v>0</v>
      </c>
      <c r="CY12" s="54" t="n">
        <f aca="false">MAX(0,MIN($F12,CY$4)-MAX($E12,CY$3)+1)/($F12-$E12+1)</f>
        <v>0</v>
      </c>
      <c r="CZ12" s="54" t="n">
        <f aca="false">MAX(0,MIN($F12,CZ$4)-MAX($E12,CZ$3)+1)/($F12-$E12+1)</f>
        <v>0</v>
      </c>
      <c r="DA12" s="54" t="n">
        <f aca="false">MAX(0,MIN($F12,DA$4)-MAX($E12,DA$3)+1)/($F12-$E12+1)</f>
        <v>0</v>
      </c>
      <c r="DB12" s="54" t="n">
        <f aca="false">MAX(0,MIN($F12,DB$4)-MAX($E12,DB$3)+1)/($F12-$E12+1)</f>
        <v>0</v>
      </c>
      <c r="DC12" s="54" t="n">
        <f aca="false">MAX(0,MIN($F12,DC$4)-MAX($E12,DC$3)+1)/($F12-$E12+1)</f>
        <v>0</v>
      </c>
      <c r="DD12" s="54" t="n">
        <f aca="false">MAX(0,MIN($F12,DD$4)-MAX($E12,DD$3)+1)/($F12-$E12+1)</f>
        <v>0</v>
      </c>
      <c r="DE12" s="54" t="n">
        <f aca="false">MAX(0,MIN($F12,DE$4)-MAX($E12,DE$3)+1)/($F12-$E12+1)</f>
        <v>0</v>
      </c>
      <c r="DF12" s="54" t="n">
        <f aca="false">MAX(0,MIN($F12,DF$4)-MAX($E12,DF$3)+1)/($F12-$E12+1)</f>
        <v>0</v>
      </c>
      <c r="DG12" s="54" t="n">
        <f aca="false">MAX(0,MIN($F12,DG$4)-MAX($E12,DG$3)+1)/($F12-$E12+1)</f>
        <v>0</v>
      </c>
      <c r="DH12" s="54" t="n">
        <f aca="false">MAX(0,MIN($F12,DH$4)-MAX($E12,DH$3)+1)/($F12-$E12+1)</f>
        <v>0</v>
      </c>
      <c r="DI12" s="54" t="n">
        <f aca="false">MAX(0,MIN($F12,DI$4)-MAX($E12,DI$3)+1)/($F12-$E12+1)</f>
        <v>0</v>
      </c>
      <c r="DJ12" s="54" t="n">
        <f aca="false">MAX(0,MIN($F12,DJ$4)-MAX($E12,DJ$3)+1)/($F12-$E12+1)</f>
        <v>0</v>
      </c>
      <c r="DK12" s="54" t="n">
        <f aca="false">MAX(0,MIN($F12,DK$4)-MAX($E12,DK$3)+1)/($F12-$E12+1)</f>
        <v>0</v>
      </c>
      <c r="DL12" s="54" t="n">
        <f aca="false">MAX(0,MIN($F12,DL$4)-MAX($E12,DL$3)+1)/($F12-$E12+1)</f>
        <v>0</v>
      </c>
      <c r="DM12" s="54" t="n">
        <f aca="false">MAX(0,MIN($F12,DM$4)-MAX($E12,DM$3)+1)/($F12-$E12+1)</f>
        <v>0</v>
      </c>
      <c r="DN12" s="54" t="n">
        <f aca="false">MAX(0,MIN($F12,DN$4)-MAX($E12,DN$3)+1)/($F12-$E12+1)</f>
        <v>0</v>
      </c>
      <c r="DO12" s="54" t="n">
        <f aca="false">MAX(0,MIN($F12,DO$4)-MAX($E12,DO$3)+1)/($F12-$E12+1)</f>
        <v>0</v>
      </c>
      <c r="DP12" s="54" t="n">
        <f aca="false">MAX(0,MIN($F12,DP$4)-MAX($E12,DP$3)+1)/($F12-$E12+1)</f>
        <v>0</v>
      </c>
      <c r="DQ12" s="54" t="n">
        <f aca="false">MAX(0,MIN($F12,DQ$4)-MAX($E12,DQ$3)+1)/($F12-$E12+1)</f>
        <v>0</v>
      </c>
      <c r="DR12" s="54" t="n">
        <f aca="false">MAX(0,MIN($F12,DR$4)-MAX($E12,DR$3)+1)/($F12-$E12+1)</f>
        <v>0</v>
      </c>
      <c r="DS12" s="54" t="n">
        <f aca="false">MAX(0,MIN($F12,DS$4)-MAX($E12,DS$3)+1)/($F12-$E12+1)</f>
        <v>0</v>
      </c>
      <c r="DT12" s="54" t="n">
        <f aca="false">MAX(0,MIN($F12,DT$4)-MAX($E12,DT$3)+1)/($F12-$E12+1)</f>
        <v>0</v>
      </c>
      <c r="DU12" s="54" t="n">
        <f aca="false">MAX(0,MIN($F12,DU$4)-MAX($E12,DU$3)+1)/($F12-$E12+1)</f>
        <v>0</v>
      </c>
      <c r="DV12" s="54" t="n">
        <f aca="false">MAX(0,MIN($F12,DV$4)-MAX($E12,DV$3)+1)/($F12-$E12+1)</f>
        <v>0</v>
      </c>
      <c r="DW12" s="54" t="n">
        <f aca="false">MAX(0,MIN($F12,DW$4)-MAX($E12,DW$3)+1)/($F12-$E12+1)</f>
        <v>0</v>
      </c>
      <c r="DX12" s="54" t="n">
        <f aca="false">MAX(0,MIN($F12,DX$4)-MAX($E12,DX$3)+1)/($F12-$E12+1)</f>
        <v>0</v>
      </c>
      <c r="DY12" s="54" t="n">
        <f aca="false">MAX(0,MIN($F12,DY$4)-MAX($E12,DY$3)+1)/($F12-$E12+1)</f>
        <v>0</v>
      </c>
      <c r="DZ12" s="54" t="n">
        <f aca="false">MAX(0,MIN($F12,DZ$4)-MAX($E12,DZ$3)+1)/($F12-$E12+1)</f>
        <v>0</v>
      </c>
      <c r="EA12" s="54" t="n">
        <f aca="false">MAX(0,MIN($F12,EA$4)-MAX($E12,EA$3)+1)/($F12-$E12+1)</f>
        <v>0</v>
      </c>
      <c r="EB12" s="54" t="n">
        <f aca="false">MAX(0,MIN($F12,EB$4)-MAX($E12,EB$3)+1)/($F12-$E12+1)</f>
        <v>0</v>
      </c>
      <c r="EC12" s="54" t="n">
        <f aca="false">MAX(0,MIN($F12,EC$4)-MAX($E12,EC$3)+1)/($F12-$E12+1)</f>
        <v>0</v>
      </c>
      <c r="ED12" s="54" t="n">
        <f aca="false">MAX(0,MIN($F12,ED$4)-MAX($E12,ED$3)+1)/($F12-$E12+1)</f>
        <v>0</v>
      </c>
      <c r="EE12" s="54" t="n">
        <f aca="false">MAX(0,MIN($F12,EE$4)-MAX($E12,EE$3)+1)/($F12-$E12+1)</f>
        <v>0</v>
      </c>
      <c r="EF12" s="54" t="n">
        <f aca="false">MAX(0,MIN($F12,EF$4)-MAX($E12,EF$3)+1)/($F12-$E12+1)</f>
        <v>0</v>
      </c>
      <c r="EG12" s="54" t="n">
        <f aca="false">MAX(0,MIN($F12,EG$4)-MAX($E12,EG$3)+1)/($F12-$E12+1)</f>
        <v>0</v>
      </c>
      <c r="EH12" s="54" t="n">
        <f aca="false">MAX(0,MIN($F12,EH$4)-MAX($E12,EH$3)+1)/($F12-$E12+1)</f>
        <v>0</v>
      </c>
      <c r="EI12" s="54" t="n">
        <f aca="false">MAX(0,MIN($F12,EI$4)-MAX($E12,EI$3)+1)/($F12-$E12+1)</f>
        <v>0</v>
      </c>
      <c r="EJ12" s="54" t="n">
        <f aca="false">MAX(0,MIN($F12,EJ$4)-MAX($E12,EJ$3)+1)/($F12-$E12+1)</f>
        <v>0</v>
      </c>
      <c r="EK12" s="54" t="n">
        <f aca="false">MAX(0,MIN($F12,EK$4)-MAX($E12,EK$3)+1)/($F12-$E12+1)</f>
        <v>0</v>
      </c>
      <c r="EL12" s="54" t="n">
        <f aca="false">MAX(0,MIN($F12,EL$4)-MAX($E12,EL$3)+1)/($F12-$E12+1)</f>
        <v>0</v>
      </c>
      <c r="EM12" s="54" t="n">
        <f aca="false">MAX(0,MIN($F12,EM$4)-MAX($E12,EM$3)+1)/($F12-$E12+1)</f>
        <v>0</v>
      </c>
      <c r="EN12" s="54" t="n">
        <f aca="false">MAX(0,MIN($F12,EN$4)-MAX($E12,EN$3)+1)/($F12-$E12+1)</f>
        <v>0</v>
      </c>
      <c r="EO12" s="54" t="n">
        <f aca="false">MAX(0,MIN($F12,EO$4)-MAX($E12,EO$3)+1)/($F12-$E12+1)</f>
        <v>0</v>
      </c>
    </row>
    <row r="13" customFormat="false" ht="15" hidden="false" customHeight="false" outlineLevel="0" collapsed="false">
      <c r="C13" s="0" t="s">
        <v>374</v>
      </c>
      <c r="D13" s="11" t="s">
        <v>368</v>
      </c>
      <c r="E13" s="45" t="n">
        <f aca="false">In_Closing+1</f>
        <v>46388</v>
      </c>
      <c r="F13" s="20" t="n">
        <f aca="false">In_NTP</f>
        <v>47026</v>
      </c>
      <c r="I13" s="54" t="n">
        <f aca="false">SUM(J13:EO13)</f>
        <v>1</v>
      </c>
      <c r="J13" s="54" t="n">
        <f aca="false">MAX(0,MIN($F13,J$4)-MAX($E13,J$3)+1)/($F13-$E13+1)</f>
        <v>0</v>
      </c>
      <c r="K13" s="54" t="n">
        <f aca="false">MAX(0,MIN($F13,K$4)-MAX($E13,K$3)+1)/($F13-$E13+1)</f>
        <v>0.140845070422535</v>
      </c>
      <c r="L13" s="54" t="n">
        <f aca="false">MAX(0,MIN($F13,L$4)-MAX($E13,L$3)+1)/($F13-$E13+1)</f>
        <v>0.142410015649452</v>
      </c>
      <c r="M13" s="54" t="n">
        <f aca="false">MAX(0,MIN($F13,M$4)-MAX($E13,M$3)+1)/($F13-$E13+1)</f>
        <v>0.143974960876369</v>
      </c>
      <c r="N13" s="54" t="n">
        <f aca="false">MAX(0,MIN($F13,N$4)-MAX($E13,N$3)+1)/($F13-$E13+1)</f>
        <v>0.143974960876369</v>
      </c>
      <c r="O13" s="54" t="n">
        <f aca="false">MAX(0,MIN($F13,O$4)-MAX($E13,O$3)+1)/($F13-$E13+1)</f>
        <v>0.142410015649452</v>
      </c>
      <c r="P13" s="54" t="n">
        <f aca="false">MAX(0,MIN($F13,P$4)-MAX($E13,P$3)+1)/($F13-$E13+1)</f>
        <v>0.142410015649452</v>
      </c>
      <c r="Q13" s="54" t="n">
        <f aca="false">MAX(0,MIN($F13,Q$4)-MAX($E13,Q$3)+1)/($F13-$E13+1)</f>
        <v>0.143974960876369</v>
      </c>
      <c r="R13" s="54" t="n">
        <f aca="false">MAX(0,MIN($F13,R$4)-MAX($E13,R$3)+1)/($F13-$E13+1)</f>
        <v>0</v>
      </c>
      <c r="S13" s="54" t="n">
        <f aca="false">MAX(0,MIN($F13,S$4)-MAX($E13,S$3)+1)/($F13-$E13+1)</f>
        <v>0</v>
      </c>
      <c r="T13" s="54" t="n">
        <f aca="false">MAX(0,MIN($F13,T$4)-MAX($E13,T$3)+1)/($F13-$E13+1)</f>
        <v>0</v>
      </c>
      <c r="U13" s="54" t="n">
        <f aca="false">MAX(0,MIN($F13,U$4)-MAX($E13,U$3)+1)/($F13-$E13+1)</f>
        <v>0</v>
      </c>
      <c r="V13" s="54" t="n">
        <f aca="false">MAX(0,MIN($F13,V$4)-MAX($E13,V$3)+1)/($F13-$E13+1)</f>
        <v>0</v>
      </c>
      <c r="W13" s="54" t="n">
        <f aca="false">MAX(0,MIN($F13,W$4)-MAX($E13,W$3)+1)/($F13-$E13+1)</f>
        <v>0</v>
      </c>
      <c r="X13" s="54" t="n">
        <f aca="false">MAX(0,MIN($F13,X$4)-MAX($E13,X$3)+1)/($F13-$E13+1)</f>
        <v>0</v>
      </c>
      <c r="Y13" s="54" t="n">
        <f aca="false">MAX(0,MIN($F13,Y$4)-MAX($E13,Y$3)+1)/($F13-$E13+1)</f>
        <v>0</v>
      </c>
      <c r="Z13" s="54" t="n">
        <f aca="false">MAX(0,MIN($F13,Z$4)-MAX($E13,Z$3)+1)/($F13-$E13+1)</f>
        <v>0</v>
      </c>
      <c r="AA13" s="54" t="n">
        <f aca="false">MAX(0,MIN($F13,AA$4)-MAX($E13,AA$3)+1)/($F13-$E13+1)</f>
        <v>0</v>
      </c>
      <c r="AB13" s="54" t="n">
        <f aca="false">MAX(0,MIN($F13,AB$4)-MAX($E13,AB$3)+1)/($F13-$E13+1)</f>
        <v>0</v>
      </c>
      <c r="AC13" s="54" t="n">
        <f aca="false">MAX(0,MIN($F13,AC$4)-MAX($E13,AC$3)+1)/($F13-$E13+1)</f>
        <v>0</v>
      </c>
      <c r="AD13" s="54" t="n">
        <f aca="false">MAX(0,MIN($F13,AD$4)-MAX($E13,AD$3)+1)/($F13-$E13+1)</f>
        <v>0</v>
      </c>
      <c r="AE13" s="54" t="n">
        <f aca="false">MAX(0,MIN($F13,AE$4)-MAX($E13,AE$3)+1)/($F13-$E13+1)</f>
        <v>0</v>
      </c>
      <c r="AF13" s="54" t="n">
        <f aca="false">MAX(0,MIN($F13,AF$4)-MAX($E13,AF$3)+1)/($F13-$E13+1)</f>
        <v>0</v>
      </c>
      <c r="AG13" s="54" t="n">
        <f aca="false">MAX(0,MIN($F13,AG$4)-MAX($E13,AG$3)+1)/($F13-$E13+1)</f>
        <v>0</v>
      </c>
      <c r="AH13" s="54" t="n">
        <f aca="false">MAX(0,MIN($F13,AH$4)-MAX($E13,AH$3)+1)/($F13-$E13+1)</f>
        <v>0</v>
      </c>
      <c r="AI13" s="54" t="n">
        <f aca="false">MAX(0,MIN($F13,AI$4)-MAX($E13,AI$3)+1)/($F13-$E13+1)</f>
        <v>0</v>
      </c>
      <c r="AJ13" s="54" t="n">
        <f aca="false">MAX(0,MIN($F13,AJ$4)-MAX($E13,AJ$3)+1)/($F13-$E13+1)</f>
        <v>0</v>
      </c>
      <c r="AK13" s="54" t="n">
        <f aca="false">MAX(0,MIN($F13,AK$4)-MAX($E13,AK$3)+1)/($F13-$E13+1)</f>
        <v>0</v>
      </c>
      <c r="AL13" s="54" t="n">
        <f aca="false">MAX(0,MIN($F13,AL$4)-MAX($E13,AL$3)+1)/($F13-$E13+1)</f>
        <v>0</v>
      </c>
      <c r="AM13" s="54" t="n">
        <f aca="false">MAX(0,MIN($F13,AM$4)-MAX($E13,AM$3)+1)/($F13-$E13+1)</f>
        <v>0</v>
      </c>
      <c r="AN13" s="54" t="n">
        <f aca="false">MAX(0,MIN($F13,AN$4)-MAX($E13,AN$3)+1)/($F13-$E13+1)</f>
        <v>0</v>
      </c>
      <c r="AO13" s="54" t="n">
        <f aca="false">MAX(0,MIN($F13,AO$4)-MAX($E13,AO$3)+1)/($F13-$E13+1)</f>
        <v>0</v>
      </c>
      <c r="AP13" s="54" t="n">
        <f aca="false">MAX(0,MIN($F13,AP$4)-MAX($E13,AP$3)+1)/($F13-$E13+1)</f>
        <v>0</v>
      </c>
      <c r="AQ13" s="54" t="n">
        <f aca="false">MAX(0,MIN($F13,AQ$4)-MAX($E13,AQ$3)+1)/($F13-$E13+1)</f>
        <v>0</v>
      </c>
      <c r="AR13" s="54" t="n">
        <f aca="false">MAX(0,MIN($F13,AR$4)-MAX($E13,AR$3)+1)/($F13-$E13+1)</f>
        <v>0</v>
      </c>
      <c r="AS13" s="54" t="n">
        <f aca="false">MAX(0,MIN($F13,AS$4)-MAX($E13,AS$3)+1)/($F13-$E13+1)</f>
        <v>0</v>
      </c>
      <c r="AT13" s="54" t="n">
        <f aca="false">MAX(0,MIN($F13,AT$4)-MAX($E13,AT$3)+1)/($F13-$E13+1)</f>
        <v>0</v>
      </c>
      <c r="AU13" s="54" t="n">
        <f aca="false">MAX(0,MIN($F13,AU$4)-MAX($E13,AU$3)+1)/($F13-$E13+1)</f>
        <v>0</v>
      </c>
      <c r="AV13" s="54" t="n">
        <f aca="false">MAX(0,MIN($F13,AV$4)-MAX($E13,AV$3)+1)/($F13-$E13+1)</f>
        <v>0</v>
      </c>
      <c r="AW13" s="54" t="n">
        <f aca="false">MAX(0,MIN($F13,AW$4)-MAX($E13,AW$3)+1)/($F13-$E13+1)</f>
        <v>0</v>
      </c>
      <c r="AX13" s="54" t="n">
        <f aca="false">MAX(0,MIN($F13,AX$4)-MAX($E13,AX$3)+1)/($F13-$E13+1)</f>
        <v>0</v>
      </c>
      <c r="AY13" s="54" t="n">
        <f aca="false">MAX(0,MIN($F13,AY$4)-MAX($E13,AY$3)+1)/($F13-$E13+1)</f>
        <v>0</v>
      </c>
      <c r="AZ13" s="54" t="n">
        <f aca="false">MAX(0,MIN($F13,AZ$4)-MAX($E13,AZ$3)+1)/($F13-$E13+1)</f>
        <v>0</v>
      </c>
      <c r="BA13" s="54" t="n">
        <f aca="false">MAX(0,MIN($F13,BA$4)-MAX($E13,BA$3)+1)/($F13-$E13+1)</f>
        <v>0</v>
      </c>
      <c r="BB13" s="54" t="n">
        <f aca="false">MAX(0,MIN($F13,BB$4)-MAX($E13,BB$3)+1)/($F13-$E13+1)</f>
        <v>0</v>
      </c>
      <c r="BC13" s="54" t="n">
        <f aca="false">MAX(0,MIN($F13,BC$4)-MAX($E13,BC$3)+1)/($F13-$E13+1)</f>
        <v>0</v>
      </c>
      <c r="BD13" s="54" t="n">
        <f aca="false">MAX(0,MIN($F13,BD$4)-MAX($E13,BD$3)+1)/($F13-$E13+1)</f>
        <v>0</v>
      </c>
      <c r="BE13" s="54" t="n">
        <f aca="false">MAX(0,MIN($F13,BE$4)-MAX($E13,BE$3)+1)/($F13-$E13+1)</f>
        <v>0</v>
      </c>
      <c r="BF13" s="54" t="n">
        <f aca="false">MAX(0,MIN($F13,BF$4)-MAX($E13,BF$3)+1)/($F13-$E13+1)</f>
        <v>0</v>
      </c>
      <c r="BG13" s="54" t="n">
        <f aca="false">MAX(0,MIN($F13,BG$4)-MAX($E13,BG$3)+1)/($F13-$E13+1)</f>
        <v>0</v>
      </c>
      <c r="BH13" s="54" t="n">
        <f aca="false">MAX(0,MIN($F13,BH$4)-MAX($E13,BH$3)+1)/($F13-$E13+1)</f>
        <v>0</v>
      </c>
      <c r="BI13" s="54" t="n">
        <f aca="false">MAX(0,MIN($F13,BI$4)-MAX($E13,BI$3)+1)/($F13-$E13+1)</f>
        <v>0</v>
      </c>
      <c r="BJ13" s="54" t="n">
        <f aca="false">MAX(0,MIN($F13,BJ$4)-MAX($E13,BJ$3)+1)/($F13-$E13+1)</f>
        <v>0</v>
      </c>
      <c r="BK13" s="54" t="n">
        <f aca="false">MAX(0,MIN($F13,BK$4)-MAX($E13,BK$3)+1)/($F13-$E13+1)</f>
        <v>0</v>
      </c>
      <c r="BL13" s="54" t="n">
        <f aca="false">MAX(0,MIN($F13,BL$4)-MAX($E13,BL$3)+1)/($F13-$E13+1)</f>
        <v>0</v>
      </c>
      <c r="BM13" s="54" t="n">
        <f aca="false">MAX(0,MIN($F13,BM$4)-MAX($E13,BM$3)+1)/($F13-$E13+1)</f>
        <v>0</v>
      </c>
      <c r="BN13" s="54" t="n">
        <f aca="false">MAX(0,MIN($F13,BN$4)-MAX($E13,BN$3)+1)/($F13-$E13+1)</f>
        <v>0</v>
      </c>
      <c r="BO13" s="54" t="n">
        <f aca="false">MAX(0,MIN($F13,BO$4)-MAX($E13,BO$3)+1)/($F13-$E13+1)</f>
        <v>0</v>
      </c>
      <c r="BP13" s="54" t="n">
        <f aca="false">MAX(0,MIN($F13,BP$4)-MAX($E13,BP$3)+1)/($F13-$E13+1)</f>
        <v>0</v>
      </c>
      <c r="BQ13" s="54" t="n">
        <f aca="false">MAX(0,MIN($F13,BQ$4)-MAX($E13,BQ$3)+1)/($F13-$E13+1)</f>
        <v>0</v>
      </c>
      <c r="BR13" s="54" t="n">
        <f aca="false">MAX(0,MIN($F13,BR$4)-MAX($E13,BR$3)+1)/($F13-$E13+1)</f>
        <v>0</v>
      </c>
      <c r="BS13" s="54" t="n">
        <f aca="false">MAX(0,MIN($F13,BS$4)-MAX($E13,BS$3)+1)/($F13-$E13+1)</f>
        <v>0</v>
      </c>
      <c r="BT13" s="54" t="n">
        <f aca="false">MAX(0,MIN($F13,BT$4)-MAX($E13,BT$3)+1)/($F13-$E13+1)</f>
        <v>0</v>
      </c>
      <c r="BU13" s="54" t="n">
        <f aca="false">MAX(0,MIN($F13,BU$4)-MAX($E13,BU$3)+1)/($F13-$E13+1)</f>
        <v>0</v>
      </c>
      <c r="BV13" s="54" t="n">
        <f aca="false">MAX(0,MIN($F13,BV$4)-MAX($E13,BV$3)+1)/($F13-$E13+1)</f>
        <v>0</v>
      </c>
      <c r="BW13" s="54" t="n">
        <f aca="false">MAX(0,MIN($F13,BW$4)-MAX($E13,BW$3)+1)/($F13-$E13+1)</f>
        <v>0</v>
      </c>
      <c r="BX13" s="54" t="n">
        <f aca="false">MAX(0,MIN($F13,BX$4)-MAX($E13,BX$3)+1)/($F13-$E13+1)</f>
        <v>0</v>
      </c>
      <c r="BY13" s="54" t="n">
        <f aca="false">MAX(0,MIN($F13,BY$4)-MAX($E13,BY$3)+1)/($F13-$E13+1)</f>
        <v>0</v>
      </c>
      <c r="BZ13" s="54" t="n">
        <f aca="false">MAX(0,MIN($F13,BZ$4)-MAX($E13,BZ$3)+1)/($F13-$E13+1)</f>
        <v>0</v>
      </c>
      <c r="CA13" s="54" t="n">
        <f aca="false">MAX(0,MIN($F13,CA$4)-MAX($E13,CA$3)+1)/($F13-$E13+1)</f>
        <v>0</v>
      </c>
      <c r="CB13" s="54" t="n">
        <f aca="false">MAX(0,MIN($F13,CB$4)-MAX($E13,CB$3)+1)/($F13-$E13+1)</f>
        <v>0</v>
      </c>
      <c r="CC13" s="54" t="n">
        <f aca="false">MAX(0,MIN($F13,CC$4)-MAX($E13,CC$3)+1)/($F13-$E13+1)</f>
        <v>0</v>
      </c>
      <c r="CD13" s="54" t="n">
        <f aca="false">MAX(0,MIN($F13,CD$4)-MAX($E13,CD$3)+1)/($F13-$E13+1)</f>
        <v>0</v>
      </c>
      <c r="CE13" s="54" t="n">
        <f aca="false">MAX(0,MIN($F13,CE$4)-MAX($E13,CE$3)+1)/($F13-$E13+1)</f>
        <v>0</v>
      </c>
      <c r="CF13" s="54" t="n">
        <f aca="false">MAX(0,MIN($F13,CF$4)-MAX($E13,CF$3)+1)/($F13-$E13+1)</f>
        <v>0</v>
      </c>
      <c r="CG13" s="54" t="n">
        <f aca="false">MAX(0,MIN($F13,CG$4)-MAX($E13,CG$3)+1)/($F13-$E13+1)</f>
        <v>0</v>
      </c>
      <c r="CH13" s="54" t="n">
        <f aca="false">MAX(0,MIN($F13,CH$4)-MAX($E13,CH$3)+1)/($F13-$E13+1)</f>
        <v>0</v>
      </c>
      <c r="CI13" s="54" t="n">
        <f aca="false">MAX(0,MIN($F13,CI$4)-MAX($E13,CI$3)+1)/($F13-$E13+1)</f>
        <v>0</v>
      </c>
      <c r="CJ13" s="54" t="n">
        <f aca="false">MAX(0,MIN($F13,CJ$4)-MAX($E13,CJ$3)+1)/($F13-$E13+1)</f>
        <v>0</v>
      </c>
      <c r="CK13" s="54" t="n">
        <f aca="false">MAX(0,MIN($F13,CK$4)-MAX($E13,CK$3)+1)/($F13-$E13+1)</f>
        <v>0</v>
      </c>
      <c r="CL13" s="54" t="n">
        <f aca="false">MAX(0,MIN($F13,CL$4)-MAX($E13,CL$3)+1)/($F13-$E13+1)</f>
        <v>0</v>
      </c>
      <c r="CM13" s="54" t="n">
        <f aca="false">MAX(0,MIN($F13,CM$4)-MAX($E13,CM$3)+1)/($F13-$E13+1)</f>
        <v>0</v>
      </c>
      <c r="CN13" s="54" t="n">
        <f aca="false">MAX(0,MIN($F13,CN$4)-MAX($E13,CN$3)+1)/($F13-$E13+1)</f>
        <v>0</v>
      </c>
      <c r="CO13" s="54" t="n">
        <f aca="false">MAX(0,MIN($F13,CO$4)-MAX($E13,CO$3)+1)/($F13-$E13+1)</f>
        <v>0</v>
      </c>
      <c r="CP13" s="54" t="n">
        <f aca="false">MAX(0,MIN($F13,CP$4)-MAX($E13,CP$3)+1)/($F13-$E13+1)</f>
        <v>0</v>
      </c>
      <c r="CQ13" s="54" t="n">
        <f aca="false">MAX(0,MIN($F13,CQ$4)-MAX($E13,CQ$3)+1)/($F13-$E13+1)</f>
        <v>0</v>
      </c>
      <c r="CR13" s="54" t="n">
        <f aca="false">MAX(0,MIN($F13,CR$4)-MAX($E13,CR$3)+1)/($F13-$E13+1)</f>
        <v>0</v>
      </c>
      <c r="CS13" s="54" t="n">
        <f aca="false">MAX(0,MIN($F13,CS$4)-MAX($E13,CS$3)+1)/($F13-$E13+1)</f>
        <v>0</v>
      </c>
      <c r="CT13" s="54" t="n">
        <f aca="false">MAX(0,MIN($F13,CT$4)-MAX($E13,CT$3)+1)/($F13-$E13+1)</f>
        <v>0</v>
      </c>
      <c r="CU13" s="54" t="n">
        <f aca="false">MAX(0,MIN($F13,CU$4)-MAX($E13,CU$3)+1)/($F13-$E13+1)</f>
        <v>0</v>
      </c>
      <c r="CV13" s="54" t="n">
        <f aca="false">MAX(0,MIN($F13,CV$4)-MAX($E13,CV$3)+1)/($F13-$E13+1)</f>
        <v>0</v>
      </c>
      <c r="CW13" s="54" t="n">
        <f aca="false">MAX(0,MIN($F13,CW$4)-MAX($E13,CW$3)+1)/($F13-$E13+1)</f>
        <v>0</v>
      </c>
      <c r="CX13" s="54" t="n">
        <f aca="false">MAX(0,MIN($F13,CX$4)-MAX($E13,CX$3)+1)/($F13-$E13+1)</f>
        <v>0</v>
      </c>
      <c r="CY13" s="54" t="n">
        <f aca="false">MAX(0,MIN($F13,CY$4)-MAX($E13,CY$3)+1)/($F13-$E13+1)</f>
        <v>0</v>
      </c>
      <c r="CZ13" s="54" t="n">
        <f aca="false">MAX(0,MIN($F13,CZ$4)-MAX($E13,CZ$3)+1)/($F13-$E13+1)</f>
        <v>0</v>
      </c>
      <c r="DA13" s="54" t="n">
        <f aca="false">MAX(0,MIN($F13,DA$4)-MAX($E13,DA$3)+1)/($F13-$E13+1)</f>
        <v>0</v>
      </c>
      <c r="DB13" s="54" t="n">
        <f aca="false">MAX(0,MIN($F13,DB$4)-MAX($E13,DB$3)+1)/($F13-$E13+1)</f>
        <v>0</v>
      </c>
      <c r="DC13" s="54" t="n">
        <f aca="false">MAX(0,MIN($F13,DC$4)-MAX($E13,DC$3)+1)/($F13-$E13+1)</f>
        <v>0</v>
      </c>
      <c r="DD13" s="54" t="n">
        <f aca="false">MAX(0,MIN($F13,DD$4)-MAX($E13,DD$3)+1)/($F13-$E13+1)</f>
        <v>0</v>
      </c>
      <c r="DE13" s="54" t="n">
        <f aca="false">MAX(0,MIN($F13,DE$4)-MAX($E13,DE$3)+1)/($F13-$E13+1)</f>
        <v>0</v>
      </c>
      <c r="DF13" s="54" t="n">
        <f aca="false">MAX(0,MIN($F13,DF$4)-MAX($E13,DF$3)+1)/($F13-$E13+1)</f>
        <v>0</v>
      </c>
      <c r="DG13" s="54" t="n">
        <f aca="false">MAX(0,MIN($F13,DG$4)-MAX($E13,DG$3)+1)/($F13-$E13+1)</f>
        <v>0</v>
      </c>
      <c r="DH13" s="54" t="n">
        <f aca="false">MAX(0,MIN($F13,DH$4)-MAX($E13,DH$3)+1)/($F13-$E13+1)</f>
        <v>0</v>
      </c>
      <c r="DI13" s="54" t="n">
        <f aca="false">MAX(0,MIN($F13,DI$4)-MAX($E13,DI$3)+1)/($F13-$E13+1)</f>
        <v>0</v>
      </c>
      <c r="DJ13" s="54" t="n">
        <f aca="false">MAX(0,MIN($F13,DJ$4)-MAX($E13,DJ$3)+1)/($F13-$E13+1)</f>
        <v>0</v>
      </c>
      <c r="DK13" s="54" t="n">
        <f aca="false">MAX(0,MIN($F13,DK$4)-MAX($E13,DK$3)+1)/($F13-$E13+1)</f>
        <v>0</v>
      </c>
      <c r="DL13" s="54" t="n">
        <f aca="false">MAX(0,MIN($F13,DL$4)-MAX($E13,DL$3)+1)/($F13-$E13+1)</f>
        <v>0</v>
      </c>
      <c r="DM13" s="54" t="n">
        <f aca="false">MAX(0,MIN($F13,DM$4)-MAX($E13,DM$3)+1)/($F13-$E13+1)</f>
        <v>0</v>
      </c>
      <c r="DN13" s="54" t="n">
        <f aca="false">MAX(0,MIN($F13,DN$4)-MAX($E13,DN$3)+1)/($F13-$E13+1)</f>
        <v>0</v>
      </c>
      <c r="DO13" s="54" t="n">
        <f aca="false">MAX(0,MIN($F13,DO$4)-MAX($E13,DO$3)+1)/($F13-$E13+1)</f>
        <v>0</v>
      </c>
      <c r="DP13" s="54" t="n">
        <f aca="false">MAX(0,MIN($F13,DP$4)-MAX($E13,DP$3)+1)/($F13-$E13+1)</f>
        <v>0</v>
      </c>
      <c r="DQ13" s="54" t="n">
        <f aca="false">MAX(0,MIN($F13,DQ$4)-MAX($E13,DQ$3)+1)/($F13-$E13+1)</f>
        <v>0</v>
      </c>
      <c r="DR13" s="54" t="n">
        <f aca="false">MAX(0,MIN($F13,DR$4)-MAX($E13,DR$3)+1)/($F13-$E13+1)</f>
        <v>0</v>
      </c>
      <c r="DS13" s="54" t="n">
        <f aca="false">MAX(0,MIN($F13,DS$4)-MAX($E13,DS$3)+1)/($F13-$E13+1)</f>
        <v>0</v>
      </c>
      <c r="DT13" s="54" t="n">
        <f aca="false">MAX(0,MIN($F13,DT$4)-MAX($E13,DT$3)+1)/($F13-$E13+1)</f>
        <v>0</v>
      </c>
      <c r="DU13" s="54" t="n">
        <f aca="false">MAX(0,MIN($F13,DU$4)-MAX($E13,DU$3)+1)/($F13-$E13+1)</f>
        <v>0</v>
      </c>
      <c r="DV13" s="54" t="n">
        <f aca="false">MAX(0,MIN($F13,DV$4)-MAX($E13,DV$3)+1)/($F13-$E13+1)</f>
        <v>0</v>
      </c>
      <c r="DW13" s="54" t="n">
        <f aca="false">MAX(0,MIN($F13,DW$4)-MAX($E13,DW$3)+1)/($F13-$E13+1)</f>
        <v>0</v>
      </c>
      <c r="DX13" s="54" t="n">
        <f aca="false">MAX(0,MIN($F13,DX$4)-MAX($E13,DX$3)+1)/($F13-$E13+1)</f>
        <v>0</v>
      </c>
      <c r="DY13" s="54" t="n">
        <f aca="false">MAX(0,MIN($F13,DY$4)-MAX($E13,DY$3)+1)/($F13-$E13+1)</f>
        <v>0</v>
      </c>
      <c r="DZ13" s="54" t="n">
        <f aca="false">MAX(0,MIN($F13,DZ$4)-MAX($E13,DZ$3)+1)/($F13-$E13+1)</f>
        <v>0</v>
      </c>
      <c r="EA13" s="54" t="n">
        <f aca="false">MAX(0,MIN($F13,EA$4)-MAX($E13,EA$3)+1)/($F13-$E13+1)</f>
        <v>0</v>
      </c>
      <c r="EB13" s="54" t="n">
        <f aca="false">MAX(0,MIN($F13,EB$4)-MAX($E13,EB$3)+1)/($F13-$E13+1)</f>
        <v>0</v>
      </c>
      <c r="EC13" s="54" t="n">
        <f aca="false">MAX(0,MIN($F13,EC$4)-MAX($E13,EC$3)+1)/($F13-$E13+1)</f>
        <v>0</v>
      </c>
      <c r="ED13" s="54" t="n">
        <f aca="false">MAX(0,MIN($F13,ED$4)-MAX($E13,ED$3)+1)/($F13-$E13+1)</f>
        <v>0</v>
      </c>
      <c r="EE13" s="54" t="n">
        <f aca="false">MAX(0,MIN($F13,EE$4)-MAX($E13,EE$3)+1)/($F13-$E13+1)</f>
        <v>0</v>
      </c>
      <c r="EF13" s="54" t="n">
        <f aca="false">MAX(0,MIN($F13,EF$4)-MAX($E13,EF$3)+1)/($F13-$E13+1)</f>
        <v>0</v>
      </c>
      <c r="EG13" s="54" t="n">
        <f aca="false">MAX(0,MIN($F13,EG$4)-MAX($E13,EG$3)+1)/($F13-$E13+1)</f>
        <v>0</v>
      </c>
      <c r="EH13" s="54" t="n">
        <f aca="false">MAX(0,MIN($F13,EH$4)-MAX($E13,EH$3)+1)/($F13-$E13+1)</f>
        <v>0</v>
      </c>
      <c r="EI13" s="54" t="n">
        <f aca="false">MAX(0,MIN($F13,EI$4)-MAX($E13,EI$3)+1)/($F13-$E13+1)</f>
        <v>0</v>
      </c>
      <c r="EJ13" s="54" t="n">
        <f aca="false">MAX(0,MIN($F13,EJ$4)-MAX($E13,EJ$3)+1)/($F13-$E13+1)</f>
        <v>0</v>
      </c>
      <c r="EK13" s="54" t="n">
        <f aca="false">MAX(0,MIN($F13,EK$4)-MAX($E13,EK$3)+1)/($F13-$E13+1)</f>
        <v>0</v>
      </c>
      <c r="EL13" s="54" t="n">
        <f aca="false">MAX(0,MIN($F13,EL$4)-MAX($E13,EL$3)+1)/($F13-$E13+1)</f>
        <v>0</v>
      </c>
      <c r="EM13" s="54" t="n">
        <f aca="false">MAX(0,MIN($F13,EM$4)-MAX($E13,EM$3)+1)/($F13-$E13+1)</f>
        <v>0</v>
      </c>
      <c r="EN13" s="54" t="n">
        <f aca="false">MAX(0,MIN($F13,EN$4)-MAX($E13,EN$3)+1)/($F13-$E13+1)</f>
        <v>0</v>
      </c>
      <c r="EO13" s="54" t="n">
        <f aca="false">MAX(0,MIN($F13,EO$4)-MAX($E13,EO$3)+1)/($F13-$E13+1)</f>
        <v>0</v>
      </c>
    </row>
    <row r="14" customFormat="false" ht="15" hidden="false" customHeight="false" outlineLevel="0" collapsed="false">
      <c r="C14" s="0" t="s">
        <v>37</v>
      </c>
      <c r="D14" s="11" t="s">
        <v>43</v>
      </c>
      <c r="E14" s="20" t="n">
        <f aca="false">In_COD</f>
        <v>47756</v>
      </c>
      <c r="I14" s="49" t="n">
        <f aca="false">SUM(J14:EO14)</f>
        <v>1</v>
      </c>
      <c r="J14" s="49" t="n">
        <f aca="false">N(AND(J$3&lt;=$E14,J$4&gt;=$E14))</f>
        <v>0</v>
      </c>
      <c r="K14" s="49" t="n">
        <f aca="false">N(AND(K$3&lt;=$E14,K$4&gt;=$E14))</f>
        <v>0</v>
      </c>
      <c r="L14" s="49" t="n">
        <f aca="false">N(AND(L$3&lt;=$E14,L$4&gt;=$E14))</f>
        <v>0</v>
      </c>
      <c r="M14" s="49" t="n">
        <f aca="false">N(AND(M$3&lt;=$E14,M$4&gt;=$E14))</f>
        <v>0</v>
      </c>
      <c r="N14" s="49" t="n">
        <f aca="false">N(AND(N$3&lt;=$E14,N$4&gt;=$E14))</f>
        <v>0</v>
      </c>
      <c r="O14" s="49" t="n">
        <f aca="false">N(AND(O$3&lt;=$E14,O$4&gt;=$E14))</f>
        <v>0</v>
      </c>
      <c r="P14" s="49" t="n">
        <f aca="false">N(AND(P$3&lt;=$E14,P$4&gt;=$E14))</f>
        <v>0</v>
      </c>
      <c r="Q14" s="49" t="n">
        <f aca="false">N(AND(Q$3&lt;=$E14,Q$4&gt;=$E14))</f>
        <v>0</v>
      </c>
      <c r="R14" s="49" t="n">
        <f aca="false">N(AND(R$3&lt;=$E14,R$4&gt;=$E14))</f>
        <v>0</v>
      </c>
      <c r="S14" s="49" t="n">
        <f aca="false">N(AND(S$3&lt;=$E14,S$4&gt;=$E14))</f>
        <v>0</v>
      </c>
      <c r="T14" s="49" t="n">
        <f aca="false">N(AND(T$3&lt;=$E14,T$4&gt;=$E14))</f>
        <v>0</v>
      </c>
      <c r="U14" s="49" t="n">
        <f aca="false">N(AND(U$3&lt;=$E14,U$4&gt;=$E14))</f>
        <v>0</v>
      </c>
      <c r="V14" s="49" t="n">
        <f aca="false">N(AND(V$3&lt;=$E14,V$4&gt;=$E14))</f>
        <v>0</v>
      </c>
      <c r="W14" s="49" t="n">
        <f aca="false">N(AND(W$3&lt;=$E14,W$4&gt;=$E14))</f>
        <v>0</v>
      </c>
      <c r="X14" s="49" t="n">
        <f aca="false">N(AND(X$3&lt;=$E14,X$4&gt;=$E14))</f>
        <v>0</v>
      </c>
      <c r="Y14" s="49" t="n">
        <f aca="false">N(AND(Y$3&lt;=$E14,Y$4&gt;=$E14))</f>
        <v>1</v>
      </c>
      <c r="Z14" s="49" t="n">
        <f aca="false">N(AND(Z$3&lt;=$E14,Z$4&gt;=$E14))</f>
        <v>0</v>
      </c>
      <c r="AA14" s="49" t="n">
        <f aca="false">N(AND(AA$3&lt;=$E14,AA$4&gt;=$E14))</f>
        <v>0</v>
      </c>
      <c r="AB14" s="49" t="n">
        <f aca="false">N(AND(AB$3&lt;=$E14,AB$4&gt;=$E14))</f>
        <v>0</v>
      </c>
      <c r="AC14" s="49" t="n">
        <f aca="false">N(AND(AC$3&lt;=$E14,AC$4&gt;=$E14))</f>
        <v>0</v>
      </c>
      <c r="AD14" s="49" t="n">
        <f aca="false">N(AND(AD$3&lt;=$E14,AD$4&gt;=$E14))</f>
        <v>0</v>
      </c>
      <c r="AE14" s="49" t="n">
        <f aca="false">N(AND(AE$3&lt;=$E14,AE$4&gt;=$E14))</f>
        <v>0</v>
      </c>
      <c r="AF14" s="49" t="n">
        <f aca="false">N(AND(AF$3&lt;=$E14,AF$4&gt;=$E14))</f>
        <v>0</v>
      </c>
      <c r="AG14" s="49" t="n">
        <f aca="false">N(AND(AG$3&lt;=$E14,AG$4&gt;=$E14))</f>
        <v>0</v>
      </c>
      <c r="AH14" s="49" t="n">
        <f aca="false">N(AND(AH$3&lt;=$E14,AH$4&gt;=$E14))</f>
        <v>0</v>
      </c>
      <c r="AI14" s="49" t="n">
        <f aca="false">N(AND(AI$3&lt;=$E14,AI$4&gt;=$E14))</f>
        <v>0</v>
      </c>
      <c r="AJ14" s="49" t="n">
        <f aca="false">N(AND(AJ$3&lt;=$E14,AJ$4&gt;=$E14))</f>
        <v>0</v>
      </c>
      <c r="AK14" s="49" t="n">
        <f aca="false">N(AND(AK$3&lt;=$E14,AK$4&gt;=$E14))</f>
        <v>0</v>
      </c>
      <c r="AL14" s="49" t="n">
        <f aca="false">N(AND(AL$3&lt;=$E14,AL$4&gt;=$E14))</f>
        <v>0</v>
      </c>
      <c r="AM14" s="49" t="n">
        <f aca="false">N(AND(AM$3&lt;=$E14,AM$4&gt;=$E14))</f>
        <v>0</v>
      </c>
      <c r="AN14" s="49" t="n">
        <f aca="false">N(AND(AN$3&lt;=$E14,AN$4&gt;=$E14))</f>
        <v>0</v>
      </c>
      <c r="AO14" s="49" t="n">
        <f aca="false">N(AND(AO$3&lt;=$E14,AO$4&gt;=$E14))</f>
        <v>0</v>
      </c>
      <c r="AP14" s="49" t="n">
        <f aca="false">N(AND(AP$3&lt;=$E14,AP$4&gt;=$E14))</f>
        <v>0</v>
      </c>
      <c r="AQ14" s="49" t="n">
        <f aca="false">N(AND(AQ$3&lt;=$E14,AQ$4&gt;=$E14))</f>
        <v>0</v>
      </c>
      <c r="AR14" s="49" t="n">
        <f aca="false">N(AND(AR$3&lt;=$E14,AR$4&gt;=$E14))</f>
        <v>0</v>
      </c>
      <c r="AS14" s="49" t="n">
        <f aca="false">N(AND(AS$3&lt;=$E14,AS$4&gt;=$E14))</f>
        <v>0</v>
      </c>
      <c r="AT14" s="49" t="n">
        <f aca="false">N(AND(AT$3&lt;=$E14,AT$4&gt;=$E14))</f>
        <v>0</v>
      </c>
      <c r="AU14" s="49" t="n">
        <f aca="false">N(AND(AU$3&lt;=$E14,AU$4&gt;=$E14))</f>
        <v>0</v>
      </c>
      <c r="AV14" s="49" t="n">
        <f aca="false">N(AND(AV$3&lt;=$E14,AV$4&gt;=$E14))</f>
        <v>0</v>
      </c>
      <c r="AW14" s="49" t="n">
        <f aca="false">N(AND(AW$3&lt;=$E14,AW$4&gt;=$E14))</f>
        <v>0</v>
      </c>
      <c r="AX14" s="49" t="n">
        <f aca="false">N(AND(AX$3&lt;=$E14,AX$4&gt;=$E14))</f>
        <v>0</v>
      </c>
      <c r="AY14" s="49" t="n">
        <f aca="false">N(AND(AY$3&lt;=$E14,AY$4&gt;=$E14))</f>
        <v>0</v>
      </c>
      <c r="AZ14" s="49" t="n">
        <f aca="false">N(AND(AZ$3&lt;=$E14,AZ$4&gt;=$E14))</f>
        <v>0</v>
      </c>
      <c r="BA14" s="49" t="n">
        <f aca="false">N(AND(BA$3&lt;=$E14,BA$4&gt;=$E14))</f>
        <v>0</v>
      </c>
      <c r="BB14" s="49" t="n">
        <f aca="false">N(AND(BB$3&lt;=$E14,BB$4&gt;=$E14))</f>
        <v>0</v>
      </c>
      <c r="BC14" s="49" t="n">
        <f aca="false">N(AND(BC$3&lt;=$E14,BC$4&gt;=$E14))</f>
        <v>0</v>
      </c>
      <c r="BD14" s="49" t="n">
        <f aca="false">N(AND(BD$3&lt;=$E14,BD$4&gt;=$E14))</f>
        <v>0</v>
      </c>
      <c r="BE14" s="49" t="n">
        <f aca="false">N(AND(BE$3&lt;=$E14,BE$4&gt;=$E14))</f>
        <v>0</v>
      </c>
      <c r="BF14" s="49" t="n">
        <f aca="false">N(AND(BF$3&lt;=$E14,BF$4&gt;=$E14))</f>
        <v>0</v>
      </c>
      <c r="BG14" s="49" t="n">
        <f aca="false">N(AND(BG$3&lt;=$E14,BG$4&gt;=$E14))</f>
        <v>0</v>
      </c>
      <c r="BH14" s="49" t="n">
        <f aca="false">N(AND(BH$3&lt;=$E14,BH$4&gt;=$E14))</f>
        <v>0</v>
      </c>
      <c r="BI14" s="49" t="n">
        <f aca="false">N(AND(BI$3&lt;=$E14,BI$4&gt;=$E14))</f>
        <v>0</v>
      </c>
      <c r="BJ14" s="49" t="n">
        <f aca="false">N(AND(BJ$3&lt;=$E14,BJ$4&gt;=$E14))</f>
        <v>0</v>
      </c>
      <c r="BK14" s="49" t="n">
        <f aca="false">N(AND(BK$3&lt;=$E14,BK$4&gt;=$E14))</f>
        <v>0</v>
      </c>
      <c r="BL14" s="49" t="n">
        <f aca="false">N(AND(BL$3&lt;=$E14,BL$4&gt;=$E14))</f>
        <v>0</v>
      </c>
      <c r="BM14" s="49" t="n">
        <f aca="false">N(AND(BM$3&lt;=$E14,BM$4&gt;=$E14))</f>
        <v>0</v>
      </c>
      <c r="BN14" s="49" t="n">
        <f aca="false">N(AND(BN$3&lt;=$E14,BN$4&gt;=$E14))</f>
        <v>0</v>
      </c>
      <c r="BO14" s="49" t="n">
        <f aca="false">N(AND(BO$3&lt;=$E14,BO$4&gt;=$E14))</f>
        <v>0</v>
      </c>
      <c r="BP14" s="49" t="n">
        <f aca="false">N(AND(BP$3&lt;=$E14,BP$4&gt;=$E14))</f>
        <v>0</v>
      </c>
      <c r="BQ14" s="49" t="n">
        <f aca="false">N(AND(BQ$3&lt;=$E14,BQ$4&gt;=$E14))</f>
        <v>0</v>
      </c>
      <c r="BR14" s="49" t="n">
        <f aca="false">N(AND(BR$3&lt;=$E14,BR$4&gt;=$E14))</f>
        <v>0</v>
      </c>
      <c r="BS14" s="49" t="n">
        <f aca="false">N(AND(BS$3&lt;=$E14,BS$4&gt;=$E14))</f>
        <v>0</v>
      </c>
      <c r="BT14" s="49" t="n">
        <f aca="false">N(AND(BT$3&lt;=$E14,BT$4&gt;=$E14))</f>
        <v>0</v>
      </c>
      <c r="BU14" s="49" t="n">
        <f aca="false">N(AND(BU$3&lt;=$E14,BU$4&gt;=$E14))</f>
        <v>0</v>
      </c>
      <c r="BV14" s="49" t="n">
        <f aca="false">N(AND(BV$3&lt;=$E14,BV$4&gt;=$E14))</f>
        <v>0</v>
      </c>
      <c r="BW14" s="49" t="n">
        <f aca="false">N(AND(BW$3&lt;=$E14,BW$4&gt;=$E14))</f>
        <v>0</v>
      </c>
      <c r="BX14" s="49" t="n">
        <f aca="false">N(AND(BX$3&lt;=$E14,BX$4&gt;=$E14))</f>
        <v>0</v>
      </c>
      <c r="BY14" s="49" t="n">
        <f aca="false">N(AND(BY$3&lt;=$E14,BY$4&gt;=$E14))</f>
        <v>0</v>
      </c>
      <c r="BZ14" s="49" t="n">
        <f aca="false">N(AND(BZ$3&lt;=$E14,BZ$4&gt;=$E14))</f>
        <v>0</v>
      </c>
      <c r="CA14" s="49" t="n">
        <f aca="false">N(AND(CA$3&lt;=$E14,CA$4&gt;=$E14))</f>
        <v>0</v>
      </c>
      <c r="CB14" s="49" t="n">
        <f aca="false">N(AND(CB$3&lt;=$E14,CB$4&gt;=$E14))</f>
        <v>0</v>
      </c>
      <c r="CC14" s="49" t="n">
        <f aca="false">N(AND(CC$3&lt;=$E14,CC$4&gt;=$E14))</f>
        <v>0</v>
      </c>
      <c r="CD14" s="49" t="n">
        <f aca="false">N(AND(CD$3&lt;=$E14,CD$4&gt;=$E14))</f>
        <v>0</v>
      </c>
      <c r="CE14" s="49" t="n">
        <f aca="false">N(AND(CE$3&lt;=$E14,CE$4&gt;=$E14))</f>
        <v>0</v>
      </c>
      <c r="CF14" s="49" t="n">
        <f aca="false">N(AND(CF$3&lt;=$E14,CF$4&gt;=$E14))</f>
        <v>0</v>
      </c>
      <c r="CG14" s="49" t="n">
        <f aca="false">N(AND(CG$3&lt;=$E14,CG$4&gt;=$E14))</f>
        <v>0</v>
      </c>
      <c r="CH14" s="49" t="n">
        <f aca="false">N(AND(CH$3&lt;=$E14,CH$4&gt;=$E14))</f>
        <v>0</v>
      </c>
      <c r="CI14" s="49" t="n">
        <f aca="false">N(AND(CI$3&lt;=$E14,CI$4&gt;=$E14))</f>
        <v>0</v>
      </c>
      <c r="CJ14" s="49" t="n">
        <f aca="false">N(AND(CJ$3&lt;=$E14,CJ$4&gt;=$E14))</f>
        <v>0</v>
      </c>
      <c r="CK14" s="49" t="n">
        <f aca="false">N(AND(CK$3&lt;=$E14,CK$4&gt;=$E14))</f>
        <v>0</v>
      </c>
      <c r="CL14" s="49" t="n">
        <f aca="false">N(AND(CL$3&lt;=$E14,CL$4&gt;=$E14))</f>
        <v>0</v>
      </c>
      <c r="CM14" s="49" t="n">
        <f aca="false">N(AND(CM$3&lt;=$E14,CM$4&gt;=$E14))</f>
        <v>0</v>
      </c>
      <c r="CN14" s="49" t="n">
        <f aca="false">N(AND(CN$3&lt;=$E14,CN$4&gt;=$E14))</f>
        <v>0</v>
      </c>
      <c r="CO14" s="49" t="n">
        <f aca="false">N(AND(CO$3&lt;=$E14,CO$4&gt;=$E14))</f>
        <v>0</v>
      </c>
      <c r="CP14" s="49" t="n">
        <f aca="false">N(AND(CP$3&lt;=$E14,CP$4&gt;=$E14))</f>
        <v>0</v>
      </c>
      <c r="CQ14" s="49" t="n">
        <f aca="false">N(AND(CQ$3&lt;=$E14,CQ$4&gt;=$E14))</f>
        <v>0</v>
      </c>
      <c r="CR14" s="49" t="n">
        <f aca="false">N(AND(CR$3&lt;=$E14,CR$4&gt;=$E14))</f>
        <v>0</v>
      </c>
      <c r="CS14" s="49" t="n">
        <f aca="false">N(AND(CS$3&lt;=$E14,CS$4&gt;=$E14))</f>
        <v>0</v>
      </c>
      <c r="CT14" s="49" t="n">
        <f aca="false">N(AND(CT$3&lt;=$E14,CT$4&gt;=$E14))</f>
        <v>0</v>
      </c>
      <c r="CU14" s="49" t="n">
        <f aca="false">N(AND(CU$3&lt;=$E14,CU$4&gt;=$E14))</f>
        <v>0</v>
      </c>
      <c r="CV14" s="49" t="n">
        <f aca="false">N(AND(CV$3&lt;=$E14,CV$4&gt;=$E14))</f>
        <v>0</v>
      </c>
      <c r="CW14" s="49" t="n">
        <f aca="false">N(AND(CW$3&lt;=$E14,CW$4&gt;=$E14))</f>
        <v>0</v>
      </c>
      <c r="CX14" s="49" t="n">
        <f aca="false">N(AND(CX$3&lt;=$E14,CX$4&gt;=$E14))</f>
        <v>0</v>
      </c>
      <c r="CY14" s="49" t="n">
        <f aca="false">N(AND(CY$3&lt;=$E14,CY$4&gt;=$E14))</f>
        <v>0</v>
      </c>
      <c r="CZ14" s="49" t="n">
        <f aca="false">N(AND(CZ$3&lt;=$E14,CZ$4&gt;=$E14))</f>
        <v>0</v>
      </c>
      <c r="DA14" s="49" t="n">
        <f aca="false">N(AND(DA$3&lt;=$E14,DA$4&gt;=$E14))</f>
        <v>0</v>
      </c>
      <c r="DB14" s="49" t="n">
        <f aca="false">N(AND(DB$3&lt;=$E14,DB$4&gt;=$E14))</f>
        <v>0</v>
      </c>
      <c r="DC14" s="49" t="n">
        <f aca="false">N(AND(DC$3&lt;=$E14,DC$4&gt;=$E14))</f>
        <v>0</v>
      </c>
      <c r="DD14" s="49" t="n">
        <f aca="false">N(AND(DD$3&lt;=$E14,DD$4&gt;=$E14))</f>
        <v>0</v>
      </c>
      <c r="DE14" s="49" t="n">
        <f aca="false">N(AND(DE$3&lt;=$E14,DE$4&gt;=$E14))</f>
        <v>0</v>
      </c>
      <c r="DF14" s="49" t="n">
        <f aca="false">N(AND(DF$3&lt;=$E14,DF$4&gt;=$E14))</f>
        <v>0</v>
      </c>
      <c r="DG14" s="49" t="n">
        <f aca="false">N(AND(DG$3&lt;=$E14,DG$4&gt;=$E14))</f>
        <v>0</v>
      </c>
      <c r="DH14" s="49" t="n">
        <f aca="false">N(AND(DH$3&lt;=$E14,DH$4&gt;=$E14))</f>
        <v>0</v>
      </c>
      <c r="DI14" s="49" t="n">
        <f aca="false">N(AND(DI$3&lt;=$E14,DI$4&gt;=$E14))</f>
        <v>0</v>
      </c>
      <c r="DJ14" s="49" t="n">
        <f aca="false">N(AND(DJ$3&lt;=$E14,DJ$4&gt;=$E14))</f>
        <v>0</v>
      </c>
      <c r="DK14" s="49" t="n">
        <f aca="false">N(AND(DK$3&lt;=$E14,DK$4&gt;=$E14))</f>
        <v>0</v>
      </c>
      <c r="DL14" s="49" t="n">
        <f aca="false">N(AND(DL$3&lt;=$E14,DL$4&gt;=$E14))</f>
        <v>0</v>
      </c>
      <c r="DM14" s="49" t="n">
        <f aca="false">N(AND(DM$3&lt;=$E14,DM$4&gt;=$E14))</f>
        <v>0</v>
      </c>
      <c r="DN14" s="49" t="n">
        <f aca="false">N(AND(DN$3&lt;=$E14,DN$4&gt;=$E14))</f>
        <v>0</v>
      </c>
      <c r="DO14" s="49" t="n">
        <f aca="false">N(AND(DO$3&lt;=$E14,DO$4&gt;=$E14))</f>
        <v>0</v>
      </c>
      <c r="DP14" s="49" t="n">
        <f aca="false">N(AND(DP$3&lt;=$E14,DP$4&gt;=$E14))</f>
        <v>0</v>
      </c>
      <c r="DQ14" s="49" t="n">
        <f aca="false">N(AND(DQ$3&lt;=$E14,DQ$4&gt;=$E14))</f>
        <v>0</v>
      </c>
      <c r="DR14" s="49" t="n">
        <f aca="false">N(AND(DR$3&lt;=$E14,DR$4&gt;=$E14))</f>
        <v>0</v>
      </c>
      <c r="DS14" s="49" t="n">
        <f aca="false">N(AND(DS$3&lt;=$E14,DS$4&gt;=$E14))</f>
        <v>0</v>
      </c>
      <c r="DT14" s="49" t="n">
        <f aca="false">N(AND(DT$3&lt;=$E14,DT$4&gt;=$E14))</f>
        <v>0</v>
      </c>
      <c r="DU14" s="49" t="n">
        <f aca="false">N(AND(DU$3&lt;=$E14,DU$4&gt;=$E14))</f>
        <v>0</v>
      </c>
      <c r="DV14" s="49" t="n">
        <f aca="false">N(AND(DV$3&lt;=$E14,DV$4&gt;=$E14))</f>
        <v>0</v>
      </c>
      <c r="DW14" s="49" t="n">
        <f aca="false">N(AND(DW$3&lt;=$E14,DW$4&gt;=$E14))</f>
        <v>0</v>
      </c>
      <c r="DX14" s="49" t="n">
        <f aca="false">N(AND(DX$3&lt;=$E14,DX$4&gt;=$E14))</f>
        <v>0</v>
      </c>
      <c r="DY14" s="49" t="n">
        <f aca="false">N(AND(DY$3&lt;=$E14,DY$4&gt;=$E14))</f>
        <v>0</v>
      </c>
      <c r="DZ14" s="49" t="n">
        <f aca="false">N(AND(DZ$3&lt;=$E14,DZ$4&gt;=$E14))</f>
        <v>0</v>
      </c>
      <c r="EA14" s="49" t="n">
        <f aca="false">N(AND(EA$3&lt;=$E14,EA$4&gt;=$E14))</f>
        <v>0</v>
      </c>
      <c r="EB14" s="49" t="n">
        <f aca="false">N(AND(EB$3&lt;=$E14,EB$4&gt;=$E14))</f>
        <v>0</v>
      </c>
      <c r="EC14" s="49" t="n">
        <f aca="false">N(AND(EC$3&lt;=$E14,EC$4&gt;=$E14))</f>
        <v>0</v>
      </c>
      <c r="ED14" s="49" t="n">
        <f aca="false">N(AND(ED$3&lt;=$E14,ED$4&gt;=$E14))</f>
        <v>0</v>
      </c>
      <c r="EE14" s="49" t="n">
        <f aca="false">N(AND(EE$3&lt;=$E14,EE$4&gt;=$E14))</f>
        <v>0</v>
      </c>
      <c r="EF14" s="49" t="n">
        <f aca="false">N(AND(EF$3&lt;=$E14,EF$4&gt;=$E14))</f>
        <v>0</v>
      </c>
      <c r="EG14" s="49" t="n">
        <f aca="false">N(AND(EG$3&lt;=$E14,EG$4&gt;=$E14))</f>
        <v>0</v>
      </c>
      <c r="EH14" s="49" t="n">
        <f aca="false">N(AND(EH$3&lt;=$E14,EH$4&gt;=$E14))</f>
        <v>0</v>
      </c>
      <c r="EI14" s="49" t="n">
        <f aca="false">N(AND(EI$3&lt;=$E14,EI$4&gt;=$E14))</f>
        <v>0</v>
      </c>
      <c r="EJ14" s="49" t="n">
        <f aca="false">N(AND(EJ$3&lt;=$E14,EJ$4&gt;=$E14))</f>
        <v>0</v>
      </c>
      <c r="EK14" s="49" t="n">
        <f aca="false">N(AND(EK$3&lt;=$E14,EK$4&gt;=$E14))</f>
        <v>0</v>
      </c>
      <c r="EL14" s="49" t="n">
        <f aca="false">N(AND(EL$3&lt;=$E14,EL$4&gt;=$E14))</f>
        <v>0</v>
      </c>
      <c r="EM14" s="49" t="n">
        <f aca="false">N(AND(EM$3&lt;=$E14,EM$4&gt;=$E14))</f>
        <v>0</v>
      </c>
      <c r="EN14" s="49" t="n">
        <f aca="false">N(AND(EN$3&lt;=$E14,EN$4&gt;=$E14))</f>
        <v>0</v>
      </c>
      <c r="EO14" s="49" t="n">
        <f aca="false">N(AND(EO$3&lt;=$E14,EO$4&gt;=$E14))</f>
        <v>0</v>
      </c>
    </row>
    <row r="15" customFormat="false" ht="15" hidden="false" customHeight="false" outlineLevel="0" collapsed="false">
      <c r="C15" s="0" t="s">
        <v>290</v>
      </c>
      <c r="D15" s="11" t="s">
        <v>43</v>
      </c>
      <c r="E15" s="45" t="n">
        <f aca="false">In_COD+1</f>
        <v>47757</v>
      </c>
      <c r="F15" s="45" t="n">
        <f aca="false">EDATE(In_COD,In_Life*Months_In_Year)</f>
        <v>58714</v>
      </c>
      <c r="J15" s="54" t="n">
        <f aca="false">MAX(0,(MIN($F15,J$4)-MAX($E15,J$3)+1)/J$5)</f>
        <v>0</v>
      </c>
      <c r="K15" s="54" t="n">
        <f aca="false">MAX(0,(MIN($F15,K$4)-MAX($E15,K$3)+1)/K$5)</f>
        <v>0</v>
      </c>
      <c r="L15" s="54" t="n">
        <f aca="false">MAX(0,(MIN($F15,L$4)-MAX($E15,L$3)+1)/L$5)</f>
        <v>0</v>
      </c>
      <c r="M15" s="54" t="n">
        <f aca="false">MAX(0,(MIN($F15,M$4)-MAX($E15,M$3)+1)/M$5)</f>
        <v>0</v>
      </c>
      <c r="N15" s="54" t="n">
        <f aca="false">MAX(0,(MIN($F15,N$4)-MAX($E15,N$3)+1)/N$5)</f>
        <v>0</v>
      </c>
      <c r="O15" s="54" t="n">
        <f aca="false">MAX(0,(MIN($F15,O$4)-MAX($E15,O$3)+1)/O$5)</f>
        <v>0</v>
      </c>
      <c r="P15" s="54" t="n">
        <f aca="false">MAX(0,(MIN($F15,P$4)-MAX($E15,P$3)+1)/P$5)</f>
        <v>0</v>
      </c>
      <c r="Q15" s="54" t="n">
        <f aca="false">MAX(0,(MIN($F15,Q$4)-MAX($E15,Q$3)+1)/Q$5)</f>
        <v>0</v>
      </c>
      <c r="R15" s="54" t="n">
        <f aca="false">MAX(0,(MIN($F15,R$4)-MAX($E15,R$3)+1)/R$5)</f>
        <v>0</v>
      </c>
      <c r="S15" s="54" t="n">
        <f aca="false">MAX(0,(MIN($F15,S$4)-MAX($E15,S$3)+1)/S$5)</f>
        <v>0</v>
      </c>
      <c r="T15" s="54" t="n">
        <f aca="false">MAX(0,(MIN($F15,T$4)-MAX($E15,T$3)+1)/T$5)</f>
        <v>0</v>
      </c>
      <c r="U15" s="54" t="n">
        <f aca="false">MAX(0,(MIN($F15,U$4)-MAX($E15,U$3)+1)/U$5)</f>
        <v>0</v>
      </c>
      <c r="V15" s="54" t="n">
        <f aca="false">MAX(0,(MIN($F15,V$4)-MAX($E15,V$3)+1)/V$5)</f>
        <v>0</v>
      </c>
      <c r="W15" s="54" t="n">
        <f aca="false">MAX(0,(MIN($F15,W$4)-MAX($E15,W$3)+1)/W$5)</f>
        <v>0</v>
      </c>
      <c r="X15" s="54" t="n">
        <f aca="false">MAX(0,(MIN($F15,X$4)-MAX($E15,X$3)+1)/X$5)</f>
        <v>0</v>
      </c>
      <c r="Y15" s="54" t="n">
        <f aca="false">MAX(0,(MIN($F15,Y$4)-MAX($E15,Y$3)+1)/Y$5)</f>
        <v>0</v>
      </c>
      <c r="Z15" s="54" t="n">
        <f aca="false">MAX(0,(MIN($F15,Z$4)-MAX($E15,Z$3)+1)/Z$5)</f>
        <v>1</v>
      </c>
      <c r="AA15" s="54" t="n">
        <f aca="false">MAX(0,(MIN($F15,AA$4)-MAX($E15,AA$3)+1)/AA$5)</f>
        <v>1</v>
      </c>
      <c r="AB15" s="54" t="n">
        <f aca="false">MAX(0,(MIN($F15,AB$4)-MAX($E15,AB$3)+1)/AB$5)</f>
        <v>1</v>
      </c>
      <c r="AC15" s="54" t="n">
        <f aca="false">MAX(0,(MIN($F15,AC$4)-MAX($E15,AC$3)+1)/AC$5)</f>
        <v>1</v>
      </c>
      <c r="AD15" s="54" t="n">
        <f aca="false">MAX(0,(MIN($F15,AD$4)-MAX($E15,AD$3)+1)/AD$5)</f>
        <v>1</v>
      </c>
      <c r="AE15" s="54" t="n">
        <f aca="false">MAX(0,(MIN($F15,AE$4)-MAX($E15,AE$3)+1)/AE$5)</f>
        <v>1</v>
      </c>
      <c r="AF15" s="54" t="n">
        <f aca="false">MAX(0,(MIN($F15,AF$4)-MAX($E15,AF$3)+1)/AF$5)</f>
        <v>1</v>
      </c>
      <c r="AG15" s="54" t="n">
        <f aca="false">MAX(0,(MIN($F15,AG$4)-MAX($E15,AG$3)+1)/AG$5)</f>
        <v>1</v>
      </c>
      <c r="AH15" s="54" t="n">
        <f aca="false">MAX(0,(MIN($F15,AH$4)-MAX($E15,AH$3)+1)/AH$5)</f>
        <v>1</v>
      </c>
      <c r="AI15" s="54" t="n">
        <f aca="false">MAX(0,(MIN($F15,AI$4)-MAX($E15,AI$3)+1)/AI$5)</f>
        <v>1</v>
      </c>
      <c r="AJ15" s="54" t="n">
        <f aca="false">MAX(0,(MIN($F15,AJ$4)-MAX($E15,AJ$3)+1)/AJ$5)</f>
        <v>1</v>
      </c>
      <c r="AK15" s="54" t="n">
        <f aca="false">MAX(0,(MIN($F15,AK$4)-MAX($E15,AK$3)+1)/AK$5)</f>
        <v>1</v>
      </c>
      <c r="AL15" s="54" t="n">
        <f aca="false">MAX(0,(MIN($F15,AL$4)-MAX($E15,AL$3)+1)/AL$5)</f>
        <v>1</v>
      </c>
      <c r="AM15" s="54" t="n">
        <f aca="false">MAX(0,(MIN($F15,AM$4)-MAX($E15,AM$3)+1)/AM$5)</f>
        <v>1</v>
      </c>
      <c r="AN15" s="54" t="n">
        <f aca="false">MAX(0,(MIN($F15,AN$4)-MAX($E15,AN$3)+1)/AN$5)</f>
        <v>1</v>
      </c>
      <c r="AO15" s="54" t="n">
        <f aca="false">MAX(0,(MIN($F15,AO$4)-MAX($E15,AO$3)+1)/AO$5)</f>
        <v>1</v>
      </c>
      <c r="AP15" s="54" t="n">
        <f aca="false">MAX(0,(MIN($F15,AP$4)-MAX($E15,AP$3)+1)/AP$5)</f>
        <v>1</v>
      </c>
      <c r="AQ15" s="54" t="n">
        <f aca="false">MAX(0,(MIN($F15,AQ$4)-MAX($E15,AQ$3)+1)/AQ$5)</f>
        <v>1</v>
      </c>
      <c r="AR15" s="54" t="n">
        <f aca="false">MAX(0,(MIN($F15,AR$4)-MAX($E15,AR$3)+1)/AR$5)</f>
        <v>1</v>
      </c>
      <c r="AS15" s="54" t="n">
        <f aca="false">MAX(0,(MIN($F15,AS$4)-MAX($E15,AS$3)+1)/AS$5)</f>
        <v>1</v>
      </c>
      <c r="AT15" s="54" t="n">
        <f aca="false">MAX(0,(MIN($F15,AT$4)-MAX($E15,AT$3)+1)/AT$5)</f>
        <v>1</v>
      </c>
      <c r="AU15" s="54" t="n">
        <f aca="false">MAX(0,(MIN($F15,AU$4)-MAX($E15,AU$3)+1)/AU$5)</f>
        <v>1</v>
      </c>
      <c r="AV15" s="54" t="n">
        <f aca="false">MAX(0,(MIN($F15,AV$4)-MAX($E15,AV$3)+1)/AV$5)</f>
        <v>1</v>
      </c>
      <c r="AW15" s="54" t="n">
        <f aca="false">MAX(0,(MIN($F15,AW$4)-MAX($E15,AW$3)+1)/AW$5)</f>
        <v>1</v>
      </c>
      <c r="AX15" s="54" t="n">
        <f aca="false">MAX(0,(MIN($F15,AX$4)-MAX($E15,AX$3)+1)/AX$5)</f>
        <v>1</v>
      </c>
      <c r="AY15" s="54" t="n">
        <f aca="false">MAX(0,(MIN($F15,AY$4)-MAX($E15,AY$3)+1)/AY$5)</f>
        <v>1</v>
      </c>
      <c r="AZ15" s="54" t="n">
        <f aca="false">MAX(0,(MIN($F15,AZ$4)-MAX($E15,AZ$3)+1)/AZ$5)</f>
        <v>1</v>
      </c>
      <c r="BA15" s="54" t="n">
        <f aca="false">MAX(0,(MIN($F15,BA$4)-MAX($E15,BA$3)+1)/BA$5)</f>
        <v>1</v>
      </c>
      <c r="BB15" s="54" t="n">
        <f aca="false">MAX(0,(MIN($F15,BB$4)-MAX($E15,BB$3)+1)/BB$5)</f>
        <v>1</v>
      </c>
      <c r="BC15" s="54" t="n">
        <f aca="false">MAX(0,(MIN($F15,BC$4)-MAX($E15,BC$3)+1)/BC$5)</f>
        <v>1</v>
      </c>
      <c r="BD15" s="54" t="n">
        <f aca="false">MAX(0,(MIN($F15,BD$4)-MAX($E15,BD$3)+1)/BD$5)</f>
        <v>1</v>
      </c>
      <c r="BE15" s="54" t="n">
        <f aca="false">MAX(0,(MIN($F15,BE$4)-MAX($E15,BE$3)+1)/BE$5)</f>
        <v>1</v>
      </c>
      <c r="BF15" s="54" t="n">
        <f aca="false">MAX(0,(MIN($F15,BF$4)-MAX($E15,BF$3)+1)/BF$5)</f>
        <v>1</v>
      </c>
      <c r="BG15" s="54" t="n">
        <f aca="false">MAX(0,(MIN($F15,BG$4)-MAX($E15,BG$3)+1)/BG$5)</f>
        <v>1</v>
      </c>
      <c r="BH15" s="54" t="n">
        <f aca="false">MAX(0,(MIN($F15,BH$4)-MAX($E15,BH$3)+1)/BH$5)</f>
        <v>1</v>
      </c>
      <c r="BI15" s="54" t="n">
        <f aca="false">MAX(0,(MIN($F15,BI$4)-MAX($E15,BI$3)+1)/BI$5)</f>
        <v>1</v>
      </c>
      <c r="BJ15" s="54" t="n">
        <f aca="false">MAX(0,(MIN($F15,BJ$4)-MAX($E15,BJ$3)+1)/BJ$5)</f>
        <v>1</v>
      </c>
      <c r="BK15" s="54" t="n">
        <f aca="false">MAX(0,(MIN($F15,BK$4)-MAX($E15,BK$3)+1)/BK$5)</f>
        <v>1</v>
      </c>
      <c r="BL15" s="54" t="n">
        <f aca="false">MAX(0,(MIN($F15,BL$4)-MAX($E15,BL$3)+1)/BL$5)</f>
        <v>1</v>
      </c>
      <c r="BM15" s="54" t="n">
        <f aca="false">MAX(0,(MIN($F15,BM$4)-MAX($E15,BM$3)+1)/BM$5)</f>
        <v>1</v>
      </c>
      <c r="BN15" s="54" t="n">
        <f aca="false">MAX(0,(MIN($F15,BN$4)-MAX($E15,BN$3)+1)/BN$5)</f>
        <v>1</v>
      </c>
      <c r="BO15" s="54" t="n">
        <f aca="false">MAX(0,(MIN($F15,BO$4)-MAX($E15,BO$3)+1)/BO$5)</f>
        <v>1</v>
      </c>
      <c r="BP15" s="54" t="n">
        <f aca="false">MAX(0,(MIN($F15,BP$4)-MAX($E15,BP$3)+1)/BP$5)</f>
        <v>1</v>
      </c>
      <c r="BQ15" s="54" t="n">
        <f aca="false">MAX(0,(MIN($F15,BQ$4)-MAX($E15,BQ$3)+1)/BQ$5)</f>
        <v>1</v>
      </c>
      <c r="BR15" s="54" t="n">
        <f aca="false">MAX(0,(MIN($F15,BR$4)-MAX($E15,BR$3)+1)/BR$5)</f>
        <v>1</v>
      </c>
      <c r="BS15" s="54" t="n">
        <f aca="false">MAX(0,(MIN($F15,BS$4)-MAX($E15,BS$3)+1)/BS$5)</f>
        <v>1</v>
      </c>
      <c r="BT15" s="54" t="n">
        <f aca="false">MAX(0,(MIN($F15,BT$4)-MAX($E15,BT$3)+1)/BT$5)</f>
        <v>1</v>
      </c>
      <c r="BU15" s="54" t="n">
        <f aca="false">MAX(0,(MIN($F15,BU$4)-MAX($E15,BU$3)+1)/BU$5)</f>
        <v>1</v>
      </c>
      <c r="BV15" s="54" t="n">
        <f aca="false">MAX(0,(MIN($F15,BV$4)-MAX($E15,BV$3)+1)/BV$5)</f>
        <v>1</v>
      </c>
      <c r="BW15" s="54" t="n">
        <f aca="false">MAX(0,(MIN($F15,BW$4)-MAX($E15,BW$3)+1)/BW$5)</f>
        <v>1</v>
      </c>
      <c r="BX15" s="54" t="n">
        <f aca="false">MAX(0,(MIN($F15,BX$4)-MAX($E15,BX$3)+1)/BX$5)</f>
        <v>1</v>
      </c>
      <c r="BY15" s="54" t="n">
        <f aca="false">MAX(0,(MIN($F15,BY$4)-MAX($E15,BY$3)+1)/BY$5)</f>
        <v>1</v>
      </c>
      <c r="BZ15" s="54" t="n">
        <f aca="false">MAX(0,(MIN($F15,BZ$4)-MAX($E15,BZ$3)+1)/BZ$5)</f>
        <v>1</v>
      </c>
      <c r="CA15" s="54" t="n">
        <f aca="false">MAX(0,(MIN($F15,CA$4)-MAX($E15,CA$3)+1)/CA$5)</f>
        <v>1</v>
      </c>
      <c r="CB15" s="54" t="n">
        <f aca="false">MAX(0,(MIN($F15,CB$4)-MAX($E15,CB$3)+1)/CB$5)</f>
        <v>1</v>
      </c>
      <c r="CC15" s="54" t="n">
        <f aca="false">MAX(0,(MIN($F15,CC$4)-MAX($E15,CC$3)+1)/CC$5)</f>
        <v>1</v>
      </c>
      <c r="CD15" s="54" t="n">
        <f aca="false">MAX(0,(MIN($F15,CD$4)-MAX($E15,CD$3)+1)/CD$5)</f>
        <v>1</v>
      </c>
      <c r="CE15" s="54" t="n">
        <f aca="false">MAX(0,(MIN($F15,CE$4)-MAX($E15,CE$3)+1)/CE$5)</f>
        <v>1</v>
      </c>
      <c r="CF15" s="54" t="n">
        <f aca="false">MAX(0,(MIN($F15,CF$4)-MAX($E15,CF$3)+1)/CF$5)</f>
        <v>1</v>
      </c>
      <c r="CG15" s="54" t="n">
        <f aca="false">MAX(0,(MIN($F15,CG$4)-MAX($E15,CG$3)+1)/CG$5)</f>
        <v>1</v>
      </c>
      <c r="CH15" s="54" t="n">
        <f aca="false">MAX(0,(MIN($F15,CH$4)-MAX($E15,CH$3)+1)/CH$5)</f>
        <v>1</v>
      </c>
      <c r="CI15" s="54" t="n">
        <f aca="false">MAX(0,(MIN($F15,CI$4)-MAX($E15,CI$3)+1)/CI$5)</f>
        <v>1</v>
      </c>
      <c r="CJ15" s="54" t="n">
        <f aca="false">MAX(0,(MIN($F15,CJ$4)-MAX($E15,CJ$3)+1)/CJ$5)</f>
        <v>1</v>
      </c>
      <c r="CK15" s="54" t="n">
        <f aca="false">MAX(0,(MIN($F15,CK$4)-MAX($E15,CK$3)+1)/CK$5)</f>
        <v>1</v>
      </c>
      <c r="CL15" s="54" t="n">
        <f aca="false">MAX(0,(MIN($F15,CL$4)-MAX($E15,CL$3)+1)/CL$5)</f>
        <v>1</v>
      </c>
      <c r="CM15" s="54" t="n">
        <f aca="false">MAX(0,(MIN($F15,CM$4)-MAX($E15,CM$3)+1)/CM$5)</f>
        <v>1</v>
      </c>
      <c r="CN15" s="54" t="n">
        <f aca="false">MAX(0,(MIN($F15,CN$4)-MAX($E15,CN$3)+1)/CN$5)</f>
        <v>1</v>
      </c>
      <c r="CO15" s="54" t="n">
        <f aca="false">MAX(0,(MIN($F15,CO$4)-MAX($E15,CO$3)+1)/CO$5)</f>
        <v>1</v>
      </c>
      <c r="CP15" s="54" t="n">
        <f aca="false">MAX(0,(MIN($F15,CP$4)-MAX($E15,CP$3)+1)/CP$5)</f>
        <v>1</v>
      </c>
      <c r="CQ15" s="54" t="n">
        <f aca="false">MAX(0,(MIN($F15,CQ$4)-MAX($E15,CQ$3)+1)/CQ$5)</f>
        <v>1</v>
      </c>
      <c r="CR15" s="54" t="n">
        <f aca="false">MAX(0,(MIN($F15,CR$4)-MAX($E15,CR$3)+1)/CR$5)</f>
        <v>1</v>
      </c>
      <c r="CS15" s="54" t="n">
        <f aca="false">MAX(0,(MIN($F15,CS$4)-MAX($E15,CS$3)+1)/CS$5)</f>
        <v>1</v>
      </c>
      <c r="CT15" s="54" t="n">
        <f aca="false">MAX(0,(MIN($F15,CT$4)-MAX($E15,CT$3)+1)/CT$5)</f>
        <v>1</v>
      </c>
      <c r="CU15" s="54" t="n">
        <f aca="false">MAX(0,(MIN($F15,CU$4)-MAX($E15,CU$3)+1)/CU$5)</f>
        <v>1</v>
      </c>
      <c r="CV15" s="54" t="n">
        <f aca="false">MAX(0,(MIN($F15,CV$4)-MAX($E15,CV$3)+1)/CV$5)</f>
        <v>1</v>
      </c>
      <c r="CW15" s="54" t="n">
        <f aca="false">MAX(0,(MIN($F15,CW$4)-MAX($E15,CW$3)+1)/CW$5)</f>
        <v>1</v>
      </c>
      <c r="CX15" s="54" t="n">
        <f aca="false">MAX(0,(MIN($F15,CX$4)-MAX($E15,CX$3)+1)/CX$5)</f>
        <v>1</v>
      </c>
      <c r="CY15" s="54" t="n">
        <f aca="false">MAX(0,(MIN($F15,CY$4)-MAX($E15,CY$3)+1)/CY$5)</f>
        <v>1</v>
      </c>
      <c r="CZ15" s="54" t="n">
        <f aca="false">MAX(0,(MIN($F15,CZ$4)-MAX($E15,CZ$3)+1)/CZ$5)</f>
        <v>1</v>
      </c>
      <c r="DA15" s="54" t="n">
        <f aca="false">MAX(0,(MIN($F15,DA$4)-MAX($E15,DA$3)+1)/DA$5)</f>
        <v>1</v>
      </c>
      <c r="DB15" s="54" t="n">
        <f aca="false">MAX(0,(MIN($F15,DB$4)-MAX($E15,DB$3)+1)/DB$5)</f>
        <v>1</v>
      </c>
      <c r="DC15" s="54" t="n">
        <f aca="false">MAX(0,(MIN($F15,DC$4)-MAX($E15,DC$3)+1)/DC$5)</f>
        <v>1</v>
      </c>
      <c r="DD15" s="54" t="n">
        <f aca="false">MAX(0,(MIN($F15,DD$4)-MAX($E15,DD$3)+1)/DD$5)</f>
        <v>1</v>
      </c>
      <c r="DE15" s="54" t="n">
        <f aca="false">MAX(0,(MIN($F15,DE$4)-MAX($E15,DE$3)+1)/DE$5)</f>
        <v>1</v>
      </c>
      <c r="DF15" s="54" t="n">
        <f aca="false">MAX(0,(MIN($F15,DF$4)-MAX($E15,DF$3)+1)/DF$5)</f>
        <v>1</v>
      </c>
      <c r="DG15" s="54" t="n">
        <f aca="false">MAX(0,(MIN($F15,DG$4)-MAX($E15,DG$3)+1)/DG$5)</f>
        <v>1</v>
      </c>
      <c r="DH15" s="54" t="n">
        <f aca="false">MAX(0,(MIN($F15,DH$4)-MAX($E15,DH$3)+1)/DH$5)</f>
        <v>1</v>
      </c>
      <c r="DI15" s="54" t="n">
        <f aca="false">MAX(0,(MIN($F15,DI$4)-MAX($E15,DI$3)+1)/DI$5)</f>
        <v>1</v>
      </c>
      <c r="DJ15" s="54" t="n">
        <f aca="false">MAX(0,(MIN($F15,DJ$4)-MAX($E15,DJ$3)+1)/DJ$5)</f>
        <v>1</v>
      </c>
      <c r="DK15" s="54" t="n">
        <f aca="false">MAX(0,(MIN($F15,DK$4)-MAX($E15,DK$3)+1)/DK$5)</f>
        <v>1</v>
      </c>
      <c r="DL15" s="54" t="n">
        <f aca="false">MAX(0,(MIN($F15,DL$4)-MAX($E15,DL$3)+1)/DL$5)</f>
        <v>1</v>
      </c>
      <c r="DM15" s="54" t="n">
        <f aca="false">MAX(0,(MIN($F15,DM$4)-MAX($E15,DM$3)+1)/DM$5)</f>
        <v>1</v>
      </c>
      <c r="DN15" s="54" t="n">
        <f aca="false">MAX(0,(MIN($F15,DN$4)-MAX($E15,DN$3)+1)/DN$5)</f>
        <v>1</v>
      </c>
      <c r="DO15" s="54" t="n">
        <f aca="false">MAX(0,(MIN($F15,DO$4)-MAX($E15,DO$3)+1)/DO$5)</f>
        <v>1</v>
      </c>
      <c r="DP15" s="54" t="n">
        <f aca="false">MAX(0,(MIN($F15,DP$4)-MAX($E15,DP$3)+1)/DP$5)</f>
        <v>1</v>
      </c>
      <c r="DQ15" s="54" t="n">
        <f aca="false">MAX(0,(MIN($F15,DQ$4)-MAX($E15,DQ$3)+1)/DQ$5)</f>
        <v>1</v>
      </c>
      <c r="DR15" s="54" t="n">
        <f aca="false">MAX(0,(MIN($F15,DR$4)-MAX($E15,DR$3)+1)/DR$5)</f>
        <v>1</v>
      </c>
      <c r="DS15" s="54" t="n">
        <f aca="false">MAX(0,(MIN($F15,DS$4)-MAX($E15,DS$3)+1)/DS$5)</f>
        <v>1</v>
      </c>
      <c r="DT15" s="54" t="n">
        <f aca="false">MAX(0,(MIN($F15,DT$4)-MAX($E15,DT$3)+1)/DT$5)</f>
        <v>1</v>
      </c>
      <c r="DU15" s="54" t="n">
        <f aca="false">MAX(0,(MIN($F15,DU$4)-MAX($E15,DU$3)+1)/DU$5)</f>
        <v>1</v>
      </c>
      <c r="DV15" s="54" t="n">
        <f aca="false">MAX(0,(MIN($F15,DV$4)-MAX($E15,DV$3)+1)/DV$5)</f>
        <v>1</v>
      </c>
      <c r="DW15" s="54" t="n">
        <f aca="false">MAX(0,(MIN($F15,DW$4)-MAX($E15,DW$3)+1)/DW$5)</f>
        <v>1</v>
      </c>
      <c r="DX15" s="54" t="n">
        <f aca="false">MAX(0,(MIN($F15,DX$4)-MAX($E15,DX$3)+1)/DX$5)</f>
        <v>1</v>
      </c>
      <c r="DY15" s="54" t="n">
        <f aca="false">MAX(0,(MIN($F15,DY$4)-MAX($E15,DY$3)+1)/DY$5)</f>
        <v>1</v>
      </c>
      <c r="DZ15" s="54" t="n">
        <f aca="false">MAX(0,(MIN($F15,DZ$4)-MAX($E15,DZ$3)+1)/DZ$5)</f>
        <v>1</v>
      </c>
      <c r="EA15" s="54" t="n">
        <f aca="false">MAX(0,(MIN($F15,EA$4)-MAX($E15,EA$3)+1)/EA$5)</f>
        <v>1</v>
      </c>
      <c r="EB15" s="54" t="n">
        <f aca="false">MAX(0,(MIN($F15,EB$4)-MAX($E15,EB$3)+1)/EB$5)</f>
        <v>1</v>
      </c>
      <c r="EC15" s="54" t="n">
        <f aca="false">MAX(0,(MIN($F15,EC$4)-MAX($E15,EC$3)+1)/EC$5)</f>
        <v>1</v>
      </c>
      <c r="ED15" s="54" t="n">
        <f aca="false">MAX(0,(MIN($F15,ED$4)-MAX($E15,ED$3)+1)/ED$5)</f>
        <v>1</v>
      </c>
      <c r="EE15" s="54" t="n">
        <f aca="false">MAX(0,(MIN($F15,EE$4)-MAX($E15,EE$3)+1)/EE$5)</f>
        <v>1</v>
      </c>
      <c r="EF15" s="54" t="n">
        <f aca="false">MAX(0,(MIN($F15,EF$4)-MAX($E15,EF$3)+1)/EF$5)</f>
        <v>1</v>
      </c>
      <c r="EG15" s="54" t="n">
        <f aca="false">MAX(0,(MIN($F15,EG$4)-MAX($E15,EG$3)+1)/EG$5)</f>
        <v>1</v>
      </c>
      <c r="EH15" s="54" t="n">
        <f aca="false">MAX(0,(MIN($F15,EH$4)-MAX($E15,EH$3)+1)/EH$5)</f>
        <v>1</v>
      </c>
      <c r="EI15" s="54" t="n">
        <f aca="false">MAX(0,(MIN($F15,EI$4)-MAX($E15,EI$3)+1)/EI$5)</f>
        <v>1</v>
      </c>
      <c r="EJ15" s="54" t="n">
        <f aca="false">MAX(0,(MIN($F15,EJ$4)-MAX($E15,EJ$3)+1)/EJ$5)</f>
        <v>1</v>
      </c>
      <c r="EK15" s="54" t="n">
        <f aca="false">MAX(0,(MIN($F15,EK$4)-MAX($E15,EK$3)+1)/EK$5)</f>
        <v>1</v>
      </c>
      <c r="EL15" s="54" t="n">
        <f aca="false">MAX(0,(MIN($F15,EL$4)-MAX($E15,EL$3)+1)/EL$5)</f>
        <v>1</v>
      </c>
      <c r="EM15" s="54" t="n">
        <f aca="false">MAX(0,(MIN($F15,EM$4)-MAX($E15,EM$3)+1)/EM$5)</f>
        <v>1</v>
      </c>
      <c r="EN15" s="54" t="n">
        <f aca="false">MAX(0,(MIN($F15,EN$4)-MAX($E15,EN$3)+1)/EN$5)</f>
        <v>1</v>
      </c>
      <c r="EO15" s="54" t="n">
        <f aca="false">MAX(0,(MIN($F15,EO$4)-MAX($E15,EO$3)+1)/EO$5)</f>
        <v>1</v>
      </c>
    </row>
    <row r="16" customFormat="false" ht="15" hidden="false" customHeight="false" outlineLevel="0" collapsed="false">
      <c r="C16" s="0" t="s">
        <v>375</v>
      </c>
      <c r="D16" s="11" t="s">
        <v>43</v>
      </c>
      <c r="E16" s="45" t="n">
        <f aca="false">In_NTP+1</f>
        <v>47027</v>
      </c>
      <c r="F16" s="45" t="n">
        <f aca="false">EDATE(In_COD,In_Life*Months_In_Year)</f>
        <v>58714</v>
      </c>
      <c r="J16" s="54" t="n">
        <f aca="false">MAX(0,(MIN($F16,J$4)-MAX($E16,J$3)+1)/J$5)</f>
        <v>0</v>
      </c>
      <c r="K16" s="54" t="n">
        <f aca="false">MAX(0,(MIN($F16,K$4)-MAX($E16,K$3)+1)/K$5)</f>
        <v>0</v>
      </c>
      <c r="L16" s="54" t="n">
        <f aca="false">MAX(0,(MIN($F16,L$4)-MAX($E16,L$3)+1)/L$5)</f>
        <v>0</v>
      </c>
      <c r="M16" s="54" t="n">
        <f aca="false">MAX(0,(MIN($F16,M$4)-MAX($E16,M$3)+1)/M$5)</f>
        <v>0</v>
      </c>
      <c r="N16" s="54" t="n">
        <f aca="false">MAX(0,(MIN($F16,N$4)-MAX($E16,N$3)+1)/N$5)</f>
        <v>0</v>
      </c>
      <c r="O16" s="54" t="n">
        <f aca="false">MAX(0,(MIN($F16,O$4)-MAX($E16,O$3)+1)/O$5)</f>
        <v>0</v>
      </c>
      <c r="P16" s="54" t="n">
        <f aca="false">MAX(0,(MIN($F16,P$4)-MAX($E16,P$3)+1)/P$5)</f>
        <v>0</v>
      </c>
      <c r="Q16" s="54" t="n">
        <f aca="false">MAX(0,(MIN($F16,Q$4)-MAX($E16,Q$3)+1)/Q$5)</f>
        <v>0</v>
      </c>
      <c r="R16" s="54" t="n">
        <f aca="false">MAX(0,(MIN($F16,R$4)-MAX($E16,R$3)+1)/R$5)</f>
        <v>1</v>
      </c>
      <c r="S16" s="54" t="n">
        <f aca="false">MAX(0,(MIN($F16,S$4)-MAX($E16,S$3)+1)/S$5)</f>
        <v>1</v>
      </c>
      <c r="T16" s="54" t="n">
        <f aca="false">MAX(0,(MIN($F16,T$4)-MAX($E16,T$3)+1)/T$5)</f>
        <v>1</v>
      </c>
      <c r="U16" s="54" t="n">
        <f aca="false">MAX(0,(MIN($F16,U$4)-MAX($E16,U$3)+1)/U$5)</f>
        <v>1</v>
      </c>
      <c r="V16" s="54" t="n">
        <f aca="false">MAX(0,(MIN($F16,V$4)-MAX($E16,V$3)+1)/V$5)</f>
        <v>1</v>
      </c>
      <c r="W16" s="54" t="n">
        <f aca="false">MAX(0,(MIN($F16,W$4)-MAX($E16,W$3)+1)/W$5)</f>
        <v>1</v>
      </c>
      <c r="X16" s="54" t="n">
        <f aca="false">MAX(0,(MIN($F16,X$4)-MAX($E16,X$3)+1)/X$5)</f>
        <v>1</v>
      </c>
      <c r="Y16" s="54" t="n">
        <f aca="false">MAX(0,(MIN($F16,Y$4)-MAX($E16,Y$3)+1)/Y$5)</f>
        <v>1</v>
      </c>
      <c r="Z16" s="54" t="n">
        <f aca="false">MAX(0,(MIN($F16,Z$4)-MAX($E16,Z$3)+1)/Z$5)</f>
        <v>1</v>
      </c>
      <c r="AA16" s="54" t="n">
        <f aca="false">MAX(0,(MIN($F16,AA$4)-MAX($E16,AA$3)+1)/AA$5)</f>
        <v>1</v>
      </c>
      <c r="AB16" s="54" t="n">
        <f aca="false">MAX(0,(MIN($F16,AB$4)-MAX($E16,AB$3)+1)/AB$5)</f>
        <v>1</v>
      </c>
      <c r="AC16" s="54" t="n">
        <f aca="false">MAX(0,(MIN($F16,AC$4)-MAX($E16,AC$3)+1)/AC$5)</f>
        <v>1</v>
      </c>
      <c r="AD16" s="54" t="n">
        <f aca="false">MAX(0,(MIN($F16,AD$4)-MAX($E16,AD$3)+1)/AD$5)</f>
        <v>1</v>
      </c>
      <c r="AE16" s="54" t="n">
        <f aca="false">MAX(0,(MIN($F16,AE$4)-MAX($E16,AE$3)+1)/AE$5)</f>
        <v>1</v>
      </c>
      <c r="AF16" s="54" t="n">
        <f aca="false">MAX(0,(MIN($F16,AF$4)-MAX($E16,AF$3)+1)/AF$5)</f>
        <v>1</v>
      </c>
      <c r="AG16" s="54" t="n">
        <f aca="false">MAX(0,(MIN($F16,AG$4)-MAX($E16,AG$3)+1)/AG$5)</f>
        <v>1</v>
      </c>
      <c r="AH16" s="54" t="n">
        <f aca="false">MAX(0,(MIN($F16,AH$4)-MAX($E16,AH$3)+1)/AH$5)</f>
        <v>1</v>
      </c>
      <c r="AI16" s="54" t="n">
        <f aca="false">MAX(0,(MIN($F16,AI$4)-MAX($E16,AI$3)+1)/AI$5)</f>
        <v>1</v>
      </c>
      <c r="AJ16" s="54" t="n">
        <f aca="false">MAX(0,(MIN($F16,AJ$4)-MAX($E16,AJ$3)+1)/AJ$5)</f>
        <v>1</v>
      </c>
      <c r="AK16" s="54" t="n">
        <f aca="false">MAX(0,(MIN($F16,AK$4)-MAX($E16,AK$3)+1)/AK$5)</f>
        <v>1</v>
      </c>
      <c r="AL16" s="54" t="n">
        <f aca="false">MAX(0,(MIN($F16,AL$4)-MAX($E16,AL$3)+1)/AL$5)</f>
        <v>1</v>
      </c>
      <c r="AM16" s="54" t="n">
        <f aca="false">MAX(0,(MIN($F16,AM$4)-MAX($E16,AM$3)+1)/AM$5)</f>
        <v>1</v>
      </c>
      <c r="AN16" s="54" t="n">
        <f aca="false">MAX(0,(MIN($F16,AN$4)-MAX($E16,AN$3)+1)/AN$5)</f>
        <v>1</v>
      </c>
      <c r="AO16" s="54" t="n">
        <f aca="false">MAX(0,(MIN($F16,AO$4)-MAX($E16,AO$3)+1)/AO$5)</f>
        <v>1</v>
      </c>
      <c r="AP16" s="54" t="n">
        <f aca="false">MAX(0,(MIN($F16,AP$4)-MAX($E16,AP$3)+1)/AP$5)</f>
        <v>1</v>
      </c>
      <c r="AQ16" s="54" t="n">
        <f aca="false">MAX(0,(MIN($F16,AQ$4)-MAX($E16,AQ$3)+1)/AQ$5)</f>
        <v>1</v>
      </c>
      <c r="AR16" s="54" t="n">
        <f aca="false">MAX(0,(MIN($F16,AR$4)-MAX($E16,AR$3)+1)/AR$5)</f>
        <v>1</v>
      </c>
      <c r="AS16" s="54" t="n">
        <f aca="false">MAX(0,(MIN($F16,AS$4)-MAX($E16,AS$3)+1)/AS$5)</f>
        <v>1</v>
      </c>
      <c r="AT16" s="54" t="n">
        <f aca="false">MAX(0,(MIN($F16,AT$4)-MAX($E16,AT$3)+1)/AT$5)</f>
        <v>1</v>
      </c>
      <c r="AU16" s="54" t="n">
        <f aca="false">MAX(0,(MIN($F16,AU$4)-MAX($E16,AU$3)+1)/AU$5)</f>
        <v>1</v>
      </c>
      <c r="AV16" s="54" t="n">
        <f aca="false">MAX(0,(MIN($F16,AV$4)-MAX($E16,AV$3)+1)/AV$5)</f>
        <v>1</v>
      </c>
      <c r="AW16" s="54" t="n">
        <f aca="false">MAX(0,(MIN($F16,AW$4)-MAX($E16,AW$3)+1)/AW$5)</f>
        <v>1</v>
      </c>
      <c r="AX16" s="54" t="n">
        <f aca="false">MAX(0,(MIN($F16,AX$4)-MAX($E16,AX$3)+1)/AX$5)</f>
        <v>1</v>
      </c>
      <c r="AY16" s="54" t="n">
        <f aca="false">MAX(0,(MIN($F16,AY$4)-MAX($E16,AY$3)+1)/AY$5)</f>
        <v>1</v>
      </c>
      <c r="AZ16" s="54" t="n">
        <f aca="false">MAX(0,(MIN($F16,AZ$4)-MAX($E16,AZ$3)+1)/AZ$5)</f>
        <v>1</v>
      </c>
      <c r="BA16" s="54" t="n">
        <f aca="false">MAX(0,(MIN($F16,BA$4)-MAX($E16,BA$3)+1)/BA$5)</f>
        <v>1</v>
      </c>
      <c r="BB16" s="54" t="n">
        <f aca="false">MAX(0,(MIN($F16,BB$4)-MAX($E16,BB$3)+1)/BB$5)</f>
        <v>1</v>
      </c>
      <c r="BC16" s="54" t="n">
        <f aca="false">MAX(0,(MIN($F16,BC$4)-MAX($E16,BC$3)+1)/BC$5)</f>
        <v>1</v>
      </c>
      <c r="BD16" s="54" t="n">
        <f aca="false">MAX(0,(MIN($F16,BD$4)-MAX($E16,BD$3)+1)/BD$5)</f>
        <v>1</v>
      </c>
      <c r="BE16" s="54" t="n">
        <f aca="false">MAX(0,(MIN($F16,BE$4)-MAX($E16,BE$3)+1)/BE$5)</f>
        <v>1</v>
      </c>
      <c r="BF16" s="54" t="n">
        <f aca="false">MAX(0,(MIN($F16,BF$4)-MAX($E16,BF$3)+1)/BF$5)</f>
        <v>1</v>
      </c>
      <c r="BG16" s="54" t="n">
        <f aca="false">MAX(0,(MIN($F16,BG$4)-MAX($E16,BG$3)+1)/BG$5)</f>
        <v>1</v>
      </c>
      <c r="BH16" s="54" t="n">
        <f aca="false">MAX(0,(MIN($F16,BH$4)-MAX($E16,BH$3)+1)/BH$5)</f>
        <v>1</v>
      </c>
      <c r="BI16" s="54" t="n">
        <f aca="false">MAX(0,(MIN($F16,BI$4)-MAX($E16,BI$3)+1)/BI$5)</f>
        <v>1</v>
      </c>
      <c r="BJ16" s="54" t="n">
        <f aca="false">MAX(0,(MIN($F16,BJ$4)-MAX($E16,BJ$3)+1)/BJ$5)</f>
        <v>1</v>
      </c>
      <c r="BK16" s="54" t="n">
        <f aca="false">MAX(0,(MIN($F16,BK$4)-MAX($E16,BK$3)+1)/BK$5)</f>
        <v>1</v>
      </c>
      <c r="BL16" s="54" t="n">
        <f aca="false">MAX(0,(MIN($F16,BL$4)-MAX($E16,BL$3)+1)/BL$5)</f>
        <v>1</v>
      </c>
      <c r="BM16" s="54" t="n">
        <f aca="false">MAX(0,(MIN($F16,BM$4)-MAX($E16,BM$3)+1)/BM$5)</f>
        <v>1</v>
      </c>
      <c r="BN16" s="54" t="n">
        <f aca="false">MAX(0,(MIN($F16,BN$4)-MAX($E16,BN$3)+1)/BN$5)</f>
        <v>1</v>
      </c>
      <c r="BO16" s="54" t="n">
        <f aca="false">MAX(0,(MIN($F16,BO$4)-MAX($E16,BO$3)+1)/BO$5)</f>
        <v>1</v>
      </c>
      <c r="BP16" s="54" t="n">
        <f aca="false">MAX(0,(MIN($F16,BP$4)-MAX($E16,BP$3)+1)/BP$5)</f>
        <v>1</v>
      </c>
      <c r="BQ16" s="54" t="n">
        <f aca="false">MAX(0,(MIN($F16,BQ$4)-MAX($E16,BQ$3)+1)/BQ$5)</f>
        <v>1</v>
      </c>
      <c r="BR16" s="54" t="n">
        <f aca="false">MAX(0,(MIN($F16,BR$4)-MAX($E16,BR$3)+1)/BR$5)</f>
        <v>1</v>
      </c>
      <c r="BS16" s="54" t="n">
        <f aca="false">MAX(0,(MIN($F16,BS$4)-MAX($E16,BS$3)+1)/BS$5)</f>
        <v>1</v>
      </c>
      <c r="BT16" s="54" t="n">
        <f aca="false">MAX(0,(MIN($F16,BT$4)-MAX($E16,BT$3)+1)/BT$5)</f>
        <v>1</v>
      </c>
      <c r="BU16" s="54" t="n">
        <f aca="false">MAX(0,(MIN($F16,BU$4)-MAX($E16,BU$3)+1)/BU$5)</f>
        <v>1</v>
      </c>
      <c r="BV16" s="54" t="n">
        <f aca="false">MAX(0,(MIN($F16,BV$4)-MAX($E16,BV$3)+1)/BV$5)</f>
        <v>1</v>
      </c>
      <c r="BW16" s="54" t="n">
        <f aca="false">MAX(0,(MIN($F16,BW$4)-MAX($E16,BW$3)+1)/BW$5)</f>
        <v>1</v>
      </c>
      <c r="BX16" s="54" t="n">
        <f aca="false">MAX(0,(MIN($F16,BX$4)-MAX($E16,BX$3)+1)/BX$5)</f>
        <v>1</v>
      </c>
      <c r="BY16" s="54" t="n">
        <f aca="false">MAX(0,(MIN($F16,BY$4)-MAX($E16,BY$3)+1)/BY$5)</f>
        <v>1</v>
      </c>
      <c r="BZ16" s="54" t="n">
        <f aca="false">MAX(0,(MIN($F16,BZ$4)-MAX($E16,BZ$3)+1)/BZ$5)</f>
        <v>1</v>
      </c>
      <c r="CA16" s="54" t="n">
        <f aca="false">MAX(0,(MIN($F16,CA$4)-MAX($E16,CA$3)+1)/CA$5)</f>
        <v>1</v>
      </c>
      <c r="CB16" s="54" t="n">
        <f aca="false">MAX(0,(MIN($F16,CB$4)-MAX($E16,CB$3)+1)/CB$5)</f>
        <v>1</v>
      </c>
      <c r="CC16" s="54" t="n">
        <f aca="false">MAX(0,(MIN($F16,CC$4)-MAX($E16,CC$3)+1)/CC$5)</f>
        <v>1</v>
      </c>
      <c r="CD16" s="54" t="n">
        <f aca="false">MAX(0,(MIN($F16,CD$4)-MAX($E16,CD$3)+1)/CD$5)</f>
        <v>1</v>
      </c>
      <c r="CE16" s="54" t="n">
        <f aca="false">MAX(0,(MIN($F16,CE$4)-MAX($E16,CE$3)+1)/CE$5)</f>
        <v>1</v>
      </c>
      <c r="CF16" s="54" t="n">
        <f aca="false">MAX(0,(MIN($F16,CF$4)-MAX($E16,CF$3)+1)/CF$5)</f>
        <v>1</v>
      </c>
      <c r="CG16" s="54" t="n">
        <f aca="false">MAX(0,(MIN($F16,CG$4)-MAX($E16,CG$3)+1)/CG$5)</f>
        <v>1</v>
      </c>
      <c r="CH16" s="54" t="n">
        <f aca="false">MAX(0,(MIN($F16,CH$4)-MAX($E16,CH$3)+1)/CH$5)</f>
        <v>1</v>
      </c>
      <c r="CI16" s="54" t="n">
        <f aca="false">MAX(0,(MIN($F16,CI$4)-MAX($E16,CI$3)+1)/CI$5)</f>
        <v>1</v>
      </c>
      <c r="CJ16" s="54" t="n">
        <f aca="false">MAX(0,(MIN($F16,CJ$4)-MAX($E16,CJ$3)+1)/CJ$5)</f>
        <v>1</v>
      </c>
      <c r="CK16" s="54" t="n">
        <f aca="false">MAX(0,(MIN($F16,CK$4)-MAX($E16,CK$3)+1)/CK$5)</f>
        <v>1</v>
      </c>
      <c r="CL16" s="54" t="n">
        <f aca="false">MAX(0,(MIN($F16,CL$4)-MAX($E16,CL$3)+1)/CL$5)</f>
        <v>1</v>
      </c>
      <c r="CM16" s="54" t="n">
        <f aca="false">MAX(0,(MIN($F16,CM$4)-MAX($E16,CM$3)+1)/CM$5)</f>
        <v>1</v>
      </c>
      <c r="CN16" s="54" t="n">
        <f aca="false">MAX(0,(MIN($F16,CN$4)-MAX($E16,CN$3)+1)/CN$5)</f>
        <v>1</v>
      </c>
      <c r="CO16" s="54" t="n">
        <f aca="false">MAX(0,(MIN($F16,CO$4)-MAX($E16,CO$3)+1)/CO$5)</f>
        <v>1</v>
      </c>
      <c r="CP16" s="54" t="n">
        <f aca="false">MAX(0,(MIN($F16,CP$4)-MAX($E16,CP$3)+1)/CP$5)</f>
        <v>1</v>
      </c>
      <c r="CQ16" s="54" t="n">
        <f aca="false">MAX(0,(MIN($F16,CQ$4)-MAX($E16,CQ$3)+1)/CQ$5)</f>
        <v>1</v>
      </c>
      <c r="CR16" s="54" t="n">
        <f aca="false">MAX(0,(MIN($F16,CR$4)-MAX($E16,CR$3)+1)/CR$5)</f>
        <v>1</v>
      </c>
      <c r="CS16" s="54" t="n">
        <f aca="false">MAX(0,(MIN($F16,CS$4)-MAX($E16,CS$3)+1)/CS$5)</f>
        <v>1</v>
      </c>
      <c r="CT16" s="54" t="n">
        <f aca="false">MAX(0,(MIN($F16,CT$4)-MAX($E16,CT$3)+1)/CT$5)</f>
        <v>1</v>
      </c>
      <c r="CU16" s="54" t="n">
        <f aca="false">MAX(0,(MIN($F16,CU$4)-MAX($E16,CU$3)+1)/CU$5)</f>
        <v>1</v>
      </c>
      <c r="CV16" s="54" t="n">
        <f aca="false">MAX(0,(MIN($F16,CV$4)-MAX($E16,CV$3)+1)/CV$5)</f>
        <v>1</v>
      </c>
      <c r="CW16" s="54" t="n">
        <f aca="false">MAX(0,(MIN($F16,CW$4)-MAX($E16,CW$3)+1)/CW$5)</f>
        <v>1</v>
      </c>
      <c r="CX16" s="54" t="n">
        <f aca="false">MAX(0,(MIN($F16,CX$4)-MAX($E16,CX$3)+1)/CX$5)</f>
        <v>1</v>
      </c>
      <c r="CY16" s="54" t="n">
        <f aca="false">MAX(0,(MIN($F16,CY$4)-MAX($E16,CY$3)+1)/CY$5)</f>
        <v>1</v>
      </c>
      <c r="CZ16" s="54" t="n">
        <f aca="false">MAX(0,(MIN($F16,CZ$4)-MAX($E16,CZ$3)+1)/CZ$5)</f>
        <v>1</v>
      </c>
      <c r="DA16" s="54" t="n">
        <f aca="false">MAX(0,(MIN($F16,DA$4)-MAX($E16,DA$3)+1)/DA$5)</f>
        <v>1</v>
      </c>
      <c r="DB16" s="54" t="n">
        <f aca="false">MAX(0,(MIN($F16,DB$4)-MAX($E16,DB$3)+1)/DB$5)</f>
        <v>1</v>
      </c>
      <c r="DC16" s="54" t="n">
        <f aca="false">MAX(0,(MIN($F16,DC$4)-MAX($E16,DC$3)+1)/DC$5)</f>
        <v>1</v>
      </c>
      <c r="DD16" s="54" t="n">
        <f aca="false">MAX(0,(MIN($F16,DD$4)-MAX($E16,DD$3)+1)/DD$5)</f>
        <v>1</v>
      </c>
      <c r="DE16" s="54" t="n">
        <f aca="false">MAX(0,(MIN($F16,DE$4)-MAX($E16,DE$3)+1)/DE$5)</f>
        <v>1</v>
      </c>
      <c r="DF16" s="54" t="n">
        <f aca="false">MAX(0,(MIN($F16,DF$4)-MAX($E16,DF$3)+1)/DF$5)</f>
        <v>1</v>
      </c>
      <c r="DG16" s="54" t="n">
        <f aca="false">MAX(0,(MIN($F16,DG$4)-MAX($E16,DG$3)+1)/DG$5)</f>
        <v>1</v>
      </c>
      <c r="DH16" s="54" t="n">
        <f aca="false">MAX(0,(MIN($F16,DH$4)-MAX($E16,DH$3)+1)/DH$5)</f>
        <v>1</v>
      </c>
      <c r="DI16" s="54" t="n">
        <f aca="false">MAX(0,(MIN($F16,DI$4)-MAX($E16,DI$3)+1)/DI$5)</f>
        <v>1</v>
      </c>
      <c r="DJ16" s="54" t="n">
        <f aca="false">MAX(0,(MIN($F16,DJ$4)-MAX($E16,DJ$3)+1)/DJ$5)</f>
        <v>1</v>
      </c>
      <c r="DK16" s="54" t="n">
        <f aca="false">MAX(0,(MIN($F16,DK$4)-MAX($E16,DK$3)+1)/DK$5)</f>
        <v>1</v>
      </c>
      <c r="DL16" s="54" t="n">
        <f aca="false">MAX(0,(MIN($F16,DL$4)-MAX($E16,DL$3)+1)/DL$5)</f>
        <v>1</v>
      </c>
      <c r="DM16" s="54" t="n">
        <f aca="false">MAX(0,(MIN($F16,DM$4)-MAX($E16,DM$3)+1)/DM$5)</f>
        <v>1</v>
      </c>
      <c r="DN16" s="54" t="n">
        <f aca="false">MAX(0,(MIN($F16,DN$4)-MAX($E16,DN$3)+1)/DN$5)</f>
        <v>1</v>
      </c>
      <c r="DO16" s="54" t="n">
        <f aca="false">MAX(0,(MIN($F16,DO$4)-MAX($E16,DO$3)+1)/DO$5)</f>
        <v>1</v>
      </c>
      <c r="DP16" s="54" t="n">
        <f aca="false">MAX(0,(MIN($F16,DP$4)-MAX($E16,DP$3)+1)/DP$5)</f>
        <v>1</v>
      </c>
      <c r="DQ16" s="54" t="n">
        <f aca="false">MAX(0,(MIN($F16,DQ$4)-MAX($E16,DQ$3)+1)/DQ$5)</f>
        <v>1</v>
      </c>
      <c r="DR16" s="54" t="n">
        <f aca="false">MAX(0,(MIN($F16,DR$4)-MAX($E16,DR$3)+1)/DR$5)</f>
        <v>1</v>
      </c>
      <c r="DS16" s="54" t="n">
        <f aca="false">MAX(0,(MIN($F16,DS$4)-MAX($E16,DS$3)+1)/DS$5)</f>
        <v>1</v>
      </c>
      <c r="DT16" s="54" t="n">
        <f aca="false">MAX(0,(MIN($F16,DT$4)-MAX($E16,DT$3)+1)/DT$5)</f>
        <v>1</v>
      </c>
      <c r="DU16" s="54" t="n">
        <f aca="false">MAX(0,(MIN($F16,DU$4)-MAX($E16,DU$3)+1)/DU$5)</f>
        <v>1</v>
      </c>
      <c r="DV16" s="54" t="n">
        <f aca="false">MAX(0,(MIN($F16,DV$4)-MAX($E16,DV$3)+1)/DV$5)</f>
        <v>1</v>
      </c>
      <c r="DW16" s="54" t="n">
        <f aca="false">MAX(0,(MIN($F16,DW$4)-MAX($E16,DW$3)+1)/DW$5)</f>
        <v>1</v>
      </c>
      <c r="DX16" s="54" t="n">
        <f aca="false">MAX(0,(MIN($F16,DX$4)-MAX($E16,DX$3)+1)/DX$5)</f>
        <v>1</v>
      </c>
      <c r="DY16" s="54" t="n">
        <f aca="false">MAX(0,(MIN($F16,DY$4)-MAX($E16,DY$3)+1)/DY$5)</f>
        <v>1</v>
      </c>
      <c r="DZ16" s="54" t="n">
        <f aca="false">MAX(0,(MIN($F16,DZ$4)-MAX($E16,DZ$3)+1)/DZ$5)</f>
        <v>1</v>
      </c>
      <c r="EA16" s="54" t="n">
        <f aca="false">MAX(0,(MIN($F16,EA$4)-MAX($E16,EA$3)+1)/EA$5)</f>
        <v>1</v>
      </c>
      <c r="EB16" s="54" t="n">
        <f aca="false">MAX(0,(MIN($F16,EB$4)-MAX($E16,EB$3)+1)/EB$5)</f>
        <v>1</v>
      </c>
      <c r="EC16" s="54" t="n">
        <f aca="false">MAX(0,(MIN($F16,EC$4)-MAX($E16,EC$3)+1)/EC$5)</f>
        <v>1</v>
      </c>
      <c r="ED16" s="54" t="n">
        <f aca="false">MAX(0,(MIN($F16,ED$4)-MAX($E16,ED$3)+1)/ED$5)</f>
        <v>1</v>
      </c>
      <c r="EE16" s="54" t="n">
        <f aca="false">MAX(0,(MIN($F16,EE$4)-MAX($E16,EE$3)+1)/EE$5)</f>
        <v>1</v>
      </c>
      <c r="EF16" s="54" t="n">
        <f aca="false">MAX(0,(MIN($F16,EF$4)-MAX($E16,EF$3)+1)/EF$5)</f>
        <v>1</v>
      </c>
      <c r="EG16" s="54" t="n">
        <f aca="false">MAX(0,(MIN($F16,EG$4)-MAX($E16,EG$3)+1)/EG$5)</f>
        <v>1</v>
      </c>
      <c r="EH16" s="54" t="n">
        <f aca="false">MAX(0,(MIN($F16,EH$4)-MAX($E16,EH$3)+1)/EH$5)</f>
        <v>1</v>
      </c>
      <c r="EI16" s="54" t="n">
        <f aca="false">MAX(0,(MIN($F16,EI$4)-MAX($E16,EI$3)+1)/EI$5)</f>
        <v>1</v>
      </c>
      <c r="EJ16" s="54" t="n">
        <f aca="false">MAX(0,(MIN($F16,EJ$4)-MAX($E16,EJ$3)+1)/EJ$5)</f>
        <v>1</v>
      </c>
      <c r="EK16" s="54" t="n">
        <f aca="false">MAX(0,(MIN($F16,EK$4)-MAX($E16,EK$3)+1)/EK$5)</f>
        <v>1</v>
      </c>
      <c r="EL16" s="54" t="n">
        <f aca="false">MAX(0,(MIN($F16,EL$4)-MAX($E16,EL$3)+1)/EL$5)</f>
        <v>1</v>
      </c>
      <c r="EM16" s="54" t="n">
        <f aca="false">MAX(0,(MIN($F16,EM$4)-MAX($E16,EM$3)+1)/EM$5)</f>
        <v>1</v>
      </c>
      <c r="EN16" s="54" t="n">
        <f aca="false">MAX(0,(MIN($F16,EN$4)-MAX($E16,EN$3)+1)/EN$5)</f>
        <v>1</v>
      </c>
      <c r="EO16" s="54" t="n">
        <f aca="false">MAX(0,(MIN($F16,EO$4)-MAX($E16,EO$3)+1)/EO$5)</f>
        <v>1</v>
      </c>
    </row>
    <row r="17" customFormat="false" ht="15" hidden="false" customHeight="false" outlineLevel="0" collapsed="false">
      <c r="C17" s="0" t="s">
        <v>376</v>
      </c>
      <c r="D17" s="11" t="s">
        <v>43</v>
      </c>
      <c r="E17" s="45" t="n">
        <f aca="false">In_COD+1</f>
        <v>47757</v>
      </c>
      <c r="F17" s="45" t="n">
        <f aca="false">EDATE(In_COD,In_Debt_Tenor*Months_In_Year)</f>
        <v>54331</v>
      </c>
      <c r="J17" s="54" t="n">
        <f aca="false">MAX(0,(MIN($F17,J$4)-MAX($E17,J$3)+1)/J$5)</f>
        <v>0</v>
      </c>
      <c r="K17" s="54" t="n">
        <f aca="false">MAX(0,(MIN($F17,K$4)-MAX($E17,K$3)+1)/K$5)</f>
        <v>0</v>
      </c>
      <c r="L17" s="54" t="n">
        <f aca="false">MAX(0,(MIN($F17,L$4)-MAX($E17,L$3)+1)/L$5)</f>
        <v>0</v>
      </c>
      <c r="M17" s="54" t="n">
        <f aca="false">MAX(0,(MIN($F17,M$4)-MAX($E17,M$3)+1)/M$5)</f>
        <v>0</v>
      </c>
      <c r="N17" s="54" t="n">
        <f aca="false">MAX(0,(MIN($F17,N$4)-MAX($E17,N$3)+1)/N$5)</f>
        <v>0</v>
      </c>
      <c r="O17" s="54" t="n">
        <f aca="false">MAX(0,(MIN($F17,O$4)-MAX($E17,O$3)+1)/O$5)</f>
        <v>0</v>
      </c>
      <c r="P17" s="54" t="n">
        <f aca="false">MAX(0,(MIN($F17,P$4)-MAX($E17,P$3)+1)/P$5)</f>
        <v>0</v>
      </c>
      <c r="Q17" s="54" t="n">
        <f aca="false">MAX(0,(MIN($F17,Q$4)-MAX($E17,Q$3)+1)/Q$5)</f>
        <v>0</v>
      </c>
      <c r="R17" s="54" t="n">
        <f aca="false">MAX(0,(MIN($F17,R$4)-MAX($E17,R$3)+1)/R$5)</f>
        <v>0</v>
      </c>
      <c r="S17" s="54" t="n">
        <f aca="false">MAX(0,(MIN($F17,S$4)-MAX($E17,S$3)+1)/S$5)</f>
        <v>0</v>
      </c>
      <c r="T17" s="54" t="n">
        <f aca="false">MAX(0,(MIN($F17,T$4)-MAX($E17,T$3)+1)/T$5)</f>
        <v>0</v>
      </c>
      <c r="U17" s="54" t="n">
        <f aca="false">MAX(0,(MIN($F17,U$4)-MAX($E17,U$3)+1)/U$5)</f>
        <v>0</v>
      </c>
      <c r="V17" s="54" t="n">
        <f aca="false">MAX(0,(MIN($F17,V$4)-MAX($E17,V$3)+1)/V$5)</f>
        <v>0</v>
      </c>
      <c r="W17" s="54" t="n">
        <f aca="false">MAX(0,(MIN($F17,W$4)-MAX($E17,W$3)+1)/W$5)</f>
        <v>0</v>
      </c>
      <c r="X17" s="54" t="n">
        <f aca="false">MAX(0,(MIN($F17,X$4)-MAX($E17,X$3)+1)/X$5)</f>
        <v>0</v>
      </c>
      <c r="Y17" s="54" t="n">
        <f aca="false">MAX(0,(MIN($F17,Y$4)-MAX($E17,Y$3)+1)/Y$5)</f>
        <v>0</v>
      </c>
      <c r="Z17" s="54" t="n">
        <f aca="false">MAX(0,(MIN($F17,Z$4)-MAX($E17,Z$3)+1)/Z$5)</f>
        <v>1</v>
      </c>
      <c r="AA17" s="54" t="n">
        <f aca="false">MAX(0,(MIN($F17,AA$4)-MAX($E17,AA$3)+1)/AA$5)</f>
        <v>1</v>
      </c>
      <c r="AB17" s="54" t="n">
        <f aca="false">MAX(0,(MIN($F17,AB$4)-MAX($E17,AB$3)+1)/AB$5)</f>
        <v>1</v>
      </c>
      <c r="AC17" s="54" t="n">
        <f aca="false">MAX(0,(MIN($F17,AC$4)-MAX($E17,AC$3)+1)/AC$5)</f>
        <v>1</v>
      </c>
      <c r="AD17" s="54" t="n">
        <f aca="false">MAX(0,(MIN($F17,AD$4)-MAX($E17,AD$3)+1)/AD$5)</f>
        <v>1</v>
      </c>
      <c r="AE17" s="54" t="n">
        <f aca="false">MAX(0,(MIN($F17,AE$4)-MAX($E17,AE$3)+1)/AE$5)</f>
        <v>1</v>
      </c>
      <c r="AF17" s="54" t="n">
        <f aca="false">MAX(0,(MIN($F17,AF$4)-MAX($E17,AF$3)+1)/AF$5)</f>
        <v>1</v>
      </c>
      <c r="AG17" s="54" t="n">
        <f aca="false">MAX(0,(MIN($F17,AG$4)-MAX($E17,AG$3)+1)/AG$5)</f>
        <v>1</v>
      </c>
      <c r="AH17" s="54" t="n">
        <f aca="false">MAX(0,(MIN($F17,AH$4)-MAX($E17,AH$3)+1)/AH$5)</f>
        <v>1</v>
      </c>
      <c r="AI17" s="54" t="n">
        <f aca="false">MAX(0,(MIN($F17,AI$4)-MAX($E17,AI$3)+1)/AI$5)</f>
        <v>1</v>
      </c>
      <c r="AJ17" s="54" t="n">
        <f aca="false">MAX(0,(MIN($F17,AJ$4)-MAX($E17,AJ$3)+1)/AJ$5)</f>
        <v>1</v>
      </c>
      <c r="AK17" s="54" t="n">
        <f aca="false">MAX(0,(MIN($F17,AK$4)-MAX($E17,AK$3)+1)/AK$5)</f>
        <v>1</v>
      </c>
      <c r="AL17" s="54" t="n">
        <f aca="false">MAX(0,(MIN($F17,AL$4)-MAX($E17,AL$3)+1)/AL$5)</f>
        <v>1</v>
      </c>
      <c r="AM17" s="54" t="n">
        <f aca="false">MAX(0,(MIN($F17,AM$4)-MAX($E17,AM$3)+1)/AM$5)</f>
        <v>1</v>
      </c>
      <c r="AN17" s="54" t="n">
        <f aca="false">MAX(0,(MIN($F17,AN$4)-MAX($E17,AN$3)+1)/AN$5)</f>
        <v>1</v>
      </c>
      <c r="AO17" s="54" t="n">
        <f aca="false">MAX(0,(MIN($F17,AO$4)-MAX($E17,AO$3)+1)/AO$5)</f>
        <v>1</v>
      </c>
      <c r="AP17" s="54" t="n">
        <f aca="false">MAX(0,(MIN($F17,AP$4)-MAX($E17,AP$3)+1)/AP$5)</f>
        <v>1</v>
      </c>
      <c r="AQ17" s="54" t="n">
        <f aca="false">MAX(0,(MIN($F17,AQ$4)-MAX($E17,AQ$3)+1)/AQ$5)</f>
        <v>1</v>
      </c>
      <c r="AR17" s="54" t="n">
        <f aca="false">MAX(0,(MIN($F17,AR$4)-MAX($E17,AR$3)+1)/AR$5)</f>
        <v>1</v>
      </c>
      <c r="AS17" s="54" t="n">
        <f aca="false">MAX(0,(MIN($F17,AS$4)-MAX($E17,AS$3)+1)/AS$5)</f>
        <v>1</v>
      </c>
      <c r="AT17" s="54" t="n">
        <f aca="false">MAX(0,(MIN($F17,AT$4)-MAX($E17,AT$3)+1)/AT$5)</f>
        <v>1</v>
      </c>
      <c r="AU17" s="54" t="n">
        <f aca="false">MAX(0,(MIN($F17,AU$4)-MAX($E17,AU$3)+1)/AU$5)</f>
        <v>1</v>
      </c>
      <c r="AV17" s="54" t="n">
        <f aca="false">MAX(0,(MIN($F17,AV$4)-MAX($E17,AV$3)+1)/AV$5)</f>
        <v>1</v>
      </c>
      <c r="AW17" s="54" t="n">
        <f aca="false">MAX(0,(MIN($F17,AW$4)-MAX($E17,AW$3)+1)/AW$5)</f>
        <v>1</v>
      </c>
      <c r="AX17" s="54" t="n">
        <f aca="false">MAX(0,(MIN($F17,AX$4)-MAX($E17,AX$3)+1)/AX$5)</f>
        <v>1</v>
      </c>
      <c r="AY17" s="54" t="n">
        <f aca="false">MAX(0,(MIN($F17,AY$4)-MAX($E17,AY$3)+1)/AY$5)</f>
        <v>1</v>
      </c>
      <c r="AZ17" s="54" t="n">
        <f aca="false">MAX(0,(MIN($F17,AZ$4)-MAX($E17,AZ$3)+1)/AZ$5)</f>
        <v>1</v>
      </c>
      <c r="BA17" s="54" t="n">
        <f aca="false">MAX(0,(MIN($F17,BA$4)-MAX($E17,BA$3)+1)/BA$5)</f>
        <v>1</v>
      </c>
      <c r="BB17" s="54" t="n">
        <f aca="false">MAX(0,(MIN($F17,BB$4)-MAX($E17,BB$3)+1)/BB$5)</f>
        <v>1</v>
      </c>
      <c r="BC17" s="54" t="n">
        <f aca="false">MAX(0,(MIN($F17,BC$4)-MAX($E17,BC$3)+1)/BC$5)</f>
        <v>1</v>
      </c>
      <c r="BD17" s="54" t="n">
        <f aca="false">MAX(0,(MIN($F17,BD$4)-MAX($E17,BD$3)+1)/BD$5)</f>
        <v>1</v>
      </c>
      <c r="BE17" s="54" t="n">
        <f aca="false">MAX(0,(MIN($F17,BE$4)-MAX($E17,BE$3)+1)/BE$5)</f>
        <v>1</v>
      </c>
      <c r="BF17" s="54" t="n">
        <f aca="false">MAX(0,(MIN($F17,BF$4)-MAX($E17,BF$3)+1)/BF$5)</f>
        <v>1</v>
      </c>
      <c r="BG17" s="54" t="n">
        <f aca="false">MAX(0,(MIN($F17,BG$4)-MAX($E17,BG$3)+1)/BG$5)</f>
        <v>1</v>
      </c>
      <c r="BH17" s="54" t="n">
        <f aca="false">MAX(0,(MIN($F17,BH$4)-MAX($E17,BH$3)+1)/BH$5)</f>
        <v>1</v>
      </c>
      <c r="BI17" s="54" t="n">
        <f aca="false">MAX(0,(MIN($F17,BI$4)-MAX($E17,BI$3)+1)/BI$5)</f>
        <v>1</v>
      </c>
      <c r="BJ17" s="54" t="n">
        <f aca="false">MAX(0,(MIN($F17,BJ$4)-MAX($E17,BJ$3)+1)/BJ$5)</f>
        <v>1</v>
      </c>
      <c r="BK17" s="54" t="n">
        <f aca="false">MAX(0,(MIN($F17,BK$4)-MAX($E17,BK$3)+1)/BK$5)</f>
        <v>1</v>
      </c>
      <c r="BL17" s="54" t="n">
        <f aca="false">MAX(0,(MIN($F17,BL$4)-MAX($E17,BL$3)+1)/BL$5)</f>
        <v>1</v>
      </c>
      <c r="BM17" s="54" t="n">
        <f aca="false">MAX(0,(MIN($F17,BM$4)-MAX($E17,BM$3)+1)/BM$5)</f>
        <v>1</v>
      </c>
      <c r="BN17" s="54" t="n">
        <f aca="false">MAX(0,(MIN($F17,BN$4)-MAX($E17,BN$3)+1)/BN$5)</f>
        <v>1</v>
      </c>
      <c r="BO17" s="54" t="n">
        <f aca="false">MAX(0,(MIN($F17,BO$4)-MAX($E17,BO$3)+1)/BO$5)</f>
        <v>1</v>
      </c>
      <c r="BP17" s="54" t="n">
        <f aca="false">MAX(0,(MIN($F17,BP$4)-MAX($E17,BP$3)+1)/BP$5)</f>
        <v>1</v>
      </c>
      <c r="BQ17" s="54" t="n">
        <f aca="false">MAX(0,(MIN($F17,BQ$4)-MAX($E17,BQ$3)+1)/BQ$5)</f>
        <v>1</v>
      </c>
      <c r="BR17" s="54" t="n">
        <f aca="false">MAX(0,(MIN($F17,BR$4)-MAX($E17,BR$3)+1)/BR$5)</f>
        <v>1</v>
      </c>
      <c r="BS17" s="54" t="n">
        <f aca="false">MAX(0,(MIN($F17,BS$4)-MAX($E17,BS$3)+1)/BS$5)</f>
        <v>1</v>
      </c>
      <c r="BT17" s="54" t="n">
        <f aca="false">MAX(0,(MIN($F17,BT$4)-MAX($E17,BT$3)+1)/BT$5)</f>
        <v>1</v>
      </c>
      <c r="BU17" s="54" t="n">
        <f aca="false">MAX(0,(MIN($F17,BU$4)-MAX($E17,BU$3)+1)/BU$5)</f>
        <v>1</v>
      </c>
      <c r="BV17" s="54" t="n">
        <f aca="false">MAX(0,(MIN($F17,BV$4)-MAX($E17,BV$3)+1)/BV$5)</f>
        <v>1</v>
      </c>
      <c r="BW17" s="54" t="n">
        <f aca="false">MAX(0,(MIN($F17,BW$4)-MAX($E17,BW$3)+1)/BW$5)</f>
        <v>1</v>
      </c>
      <c r="BX17" s="54" t="n">
        <f aca="false">MAX(0,(MIN($F17,BX$4)-MAX($E17,BX$3)+1)/BX$5)</f>
        <v>1</v>
      </c>
      <c r="BY17" s="54" t="n">
        <f aca="false">MAX(0,(MIN($F17,BY$4)-MAX($E17,BY$3)+1)/BY$5)</f>
        <v>1</v>
      </c>
      <c r="BZ17" s="54" t="n">
        <f aca="false">MAX(0,(MIN($F17,BZ$4)-MAX($E17,BZ$3)+1)/BZ$5)</f>
        <v>1</v>
      </c>
      <c r="CA17" s="54" t="n">
        <f aca="false">MAX(0,(MIN($F17,CA$4)-MAX($E17,CA$3)+1)/CA$5)</f>
        <v>1</v>
      </c>
      <c r="CB17" s="54" t="n">
        <f aca="false">MAX(0,(MIN($F17,CB$4)-MAX($E17,CB$3)+1)/CB$5)</f>
        <v>1</v>
      </c>
      <c r="CC17" s="54" t="n">
        <f aca="false">MAX(0,(MIN($F17,CC$4)-MAX($E17,CC$3)+1)/CC$5)</f>
        <v>1</v>
      </c>
      <c r="CD17" s="54" t="n">
        <f aca="false">MAX(0,(MIN($F17,CD$4)-MAX($E17,CD$3)+1)/CD$5)</f>
        <v>1</v>
      </c>
      <c r="CE17" s="54" t="n">
        <f aca="false">MAX(0,(MIN($F17,CE$4)-MAX($E17,CE$3)+1)/CE$5)</f>
        <v>1</v>
      </c>
      <c r="CF17" s="54" t="n">
        <f aca="false">MAX(0,(MIN($F17,CF$4)-MAX($E17,CF$3)+1)/CF$5)</f>
        <v>1</v>
      </c>
      <c r="CG17" s="54" t="n">
        <f aca="false">MAX(0,(MIN($F17,CG$4)-MAX($E17,CG$3)+1)/CG$5)</f>
        <v>1</v>
      </c>
      <c r="CH17" s="54" t="n">
        <f aca="false">MAX(0,(MIN($F17,CH$4)-MAX($E17,CH$3)+1)/CH$5)</f>
        <v>1</v>
      </c>
      <c r="CI17" s="54" t="n">
        <f aca="false">MAX(0,(MIN($F17,CI$4)-MAX($E17,CI$3)+1)/CI$5)</f>
        <v>1</v>
      </c>
      <c r="CJ17" s="54" t="n">
        <f aca="false">MAX(0,(MIN($F17,CJ$4)-MAX($E17,CJ$3)+1)/CJ$5)</f>
        <v>1</v>
      </c>
      <c r="CK17" s="54" t="n">
        <f aca="false">MAX(0,(MIN($F17,CK$4)-MAX($E17,CK$3)+1)/CK$5)</f>
        <v>1</v>
      </c>
      <c r="CL17" s="54" t="n">
        <f aca="false">MAX(0,(MIN($F17,CL$4)-MAX($E17,CL$3)+1)/CL$5)</f>
        <v>1</v>
      </c>
      <c r="CM17" s="54" t="n">
        <f aca="false">MAX(0,(MIN($F17,CM$4)-MAX($E17,CM$3)+1)/CM$5)</f>
        <v>1</v>
      </c>
      <c r="CN17" s="54" t="n">
        <f aca="false">MAX(0,(MIN($F17,CN$4)-MAX($E17,CN$3)+1)/CN$5)</f>
        <v>1</v>
      </c>
      <c r="CO17" s="54" t="n">
        <f aca="false">MAX(0,(MIN($F17,CO$4)-MAX($E17,CO$3)+1)/CO$5)</f>
        <v>1</v>
      </c>
      <c r="CP17" s="54" t="n">
        <f aca="false">MAX(0,(MIN($F17,CP$4)-MAX($E17,CP$3)+1)/CP$5)</f>
        <v>1</v>
      </c>
      <c r="CQ17" s="54" t="n">
        <f aca="false">MAX(0,(MIN($F17,CQ$4)-MAX($E17,CQ$3)+1)/CQ$5)</f>
        <v>1</v>
      </c>
      <c r="CR17" s="54" t="n">
        <f aca="false">MAX(0,(MIN($F17,CR$4)-MAX($E17,CR$3)+1)/CR$5)</f>
        <v>1</v>
      </c>
      <c r="CS17" s="54" t="n">
        <f aca="false">MAX(0,(MIN($F17,CS$4)-MAX($E17,CS$3)+1)/CS$5)</f>
        <v>1</v>
      </c>
      <c r="CT17" s="54" t="n">
        <f aca="false">MAX(0,(MIN($F17,CT$4)-MAX($E17,CT$3)+1)/CT$5)</f>
        <v>0</v>
      </c>
      <c r="CU17" s="54" t="n">
        <f aca="false">MAX(0,(MIN($F17,CU$4)-MAX($E17,CU$3)+1)/CU$5)</f>
        <v>0</v>
      </c>
      <c r="CV17" s="54" t="n">
        <f aca="false">MAX(0,(MIN($F17,CV$4)-MAX($E17,CV$3)+1)/CV$5)</f>
        <v>0</v>
      </c>
      <c r="CW17" s="54" t="n">
        <f aca="false">MAX(0,(MIN($F17,CW$4)-MAX($E17,CW$3)+1)/CW$5)</f>
        <v>0</v>
      </c>
      <c r="CX17" s="54" t="n">
        <f aca="false">MAX(0,(MIN($F17,CX$4)-MAX($E17,CX$3)+1)/CX$5)</f>
        <v>0</v>
      </c>
      <c r="CY17" s="54" t="n">
        <f aca="false">MAX(0,(MIN($F17,CY$4)-MAX($E17,CY$3)+1)/CY$5)</f>
        <v>0</v>
      </c>
      <c r="CZ17" s="54" t="n">
        <f aca="false">MAX(0,(MIN($F17,CZ$4)-MAX($E17,CZ$3)+1)/CZ$5)</f>
        <v>0</v>
      </c>
      <c r="DA17" s="54" t="n">
        <f aca="false">MAX(0,(MIN($F17,DA$4)-MAX($E17,DA$3)+1)/DA$5)</f>
        <v>0</v>
      </c>
      <c r="DB17" s="54" t="n">
        <f aca="false">MAX(0,(MIN($F17,DB$4)-MAX($E17,DB$3)+1)/DB$5)</f>
        <v>0</v>
      </c>
      <c r="DC17" s="54" t="n">
        <f aca="false">MAX(0,(MIN($F17,DC$4)-MAX($E17,DC$3)+1)/DC$5)</f>
        <v>0</v>
      </c>
      <c r="DD17" s="54" t="n">
        <f aca="false">MAX(0,(MIN($F17,DD$4)-MAX($E17,DD$3)+1)/DD$5)</f>
        <v>0</v>
      </c>
      <c r="DE17" s="54" t="n">
        <f aca="false">MAX(0,(MIN($F17,DE$4)-MAX($E17,DE$3)+1)/DE$5)</f>
        <v>0</v>
      </c>
      <c r="DF17" s="54" t="n">
        <f aca="false">MAX(0,(MIN($F17,DF$4)-MAX($E17,DF$3)+1)/DF$5)</f>
        <v>0</v>
      </c>
      <c r="DG17" s="54" t="n">
        <f aca="false">MAX(0,(MIN($F17,DG$4)-MAX($E17,DG$3)+1)/DG$5)</f>
        <v>0</v>
      </c>
      <c r="DH17" s="54" t="n">
        <f aca="false">MAX(0,(MIN($F17,DH$4)-MAX($E17,DH$3)+1)/DH$5)</f>
        <v>0</v>
      </c>
      <c r="DI17" s="54" t="n">
        <f aca="false">MAX(0,(MIN($F17,DI$4)-MAX($E17,DI$3)+1)/DI$5)</f>
        <v>0</v>
      </c>
      <c r="DJ17" s="54" t="n">
        <f aca="false">MAX(0,(MIN($F17,DJ$4)-MAX($E17,DJ$3)+1)/DJ$5)</f>
        <v>0</v>
      </c>
      <c r="DK17" s="54" t="n">
        <f aca="false">MAX(0,(MIN($F17,DK$4)-MAX($E17,DK$3)+1)/DK$5)</f>
        <v>0</v>
      </c>
      <c r="DL17" s="54" t="n">
        <f aca="false">MAX(0,(MIN($F17,DL$4)-MAX($E17,DL$3)+1)/DL$5)</f>
        <v>0</v>
      </c>
      <c r="DM17" s="54" t="n">
        <f aca="false">MAX(0,(MIN($F17,DM$4)-MAX($E17,DM$3)+1)/DM$5)</f>
        <v>0</v>
      </c>
      <c r="DN17" s="54" t="n">
        <f aca="false">MAX(0,(MIN($F17,DN$4)-MAX($E17,DN$3)+1)/DN$5)</f>
        <v>0</v>
      </c>
      <c r="DO17" s="54" t="n">
        <f aca="false">MAX(0,(MIN($F17,DO$4)-MAX($E17,DO$3)+1)/DO$5)</f>
        <v>0</v>
      </c>
      <c r="DP17" s="54" t="n">
        <f aca="false">MAX(0,(MIN($F17,DP$4)-MAX($E17,DP$3)+1)/DP$5)</f>
        <v>0</v>
      </c>
      <c r="DQ17" s="54" t="n">
        <f aca="false">MAX(0,(MIN($F17,DQ$4)-MAX($E17,DQ$3)+1)/DQ$5)</f>
        <v>0</v>
      </c>
      <c r="DR17" s="54" t="n">
        <f aca="false">MAX(0,(MIN($F17,DR$4)-MAX($E17,DR$3)+1)/DR$5)</f>
        <v>0</v>
      </c>
      <c r="DS17" s="54" t="n">
        <f aca="false">MAX(0,(MIN($F17,DS$4)-MAX($E17,DS$3)+1)/DS$5)</f>
        <v>0</v>
      </c>
      <c r="DT17" s="54" t="n">
        <f aca="false">MAX(0,(MIN($F17,DT$4)-MAX($E17,DT$3)+1)/DT$5)</f>
        <v>0</v>
      </c>
      <c r="DU17" s="54" t="n">
        <f aca="false">MAX(0,(MIN($F17,DU$4)-MAX($E17,DU$3)+1)/DU$5)</f>
        <v>0</v>
      </c>
      <c r="DV17" s="54" t="n">
        <f aca="false">MAX(0,(MIN($F17,DV$4)-MAX($E17,DV$3)+1)/DV$5)</f>
        <v>0</v>
      </c>
      <c r="DW17" s="54" t="n">
        <f aca="false">MAX(0,(MIN($F17,DW$4)-MAX($E17,DW$3)+1)/DW$5)</f>
        <v>0</v>
      </c>
      <c r="DX17" s="54" t="n">
        <f aca="false">MAX(0,(MIN($F17,DX$4)-MAX($E17,DX$3)+1)/DX$5)</f>
        <v>0</v>
      </c>
      <c r="DY17" s="54" t="n">
        <f aca="false">MAX(0,(MIN($F17,DY$4)-MAX($E17,DY$3)+1)/DY$5)</f>
        <v>0</v>
      </c>
      <c r="DZ17" s="54" t="n">
        <f aca="false">MAX(0,(MIN($F17,DZ$4)-MAX($E17,DZ$3)+1)/DZ$5)</f>
        <v>0</v>
      </c>
      <c r="EA17" s="54" t="n">
        <f aca="false">MAX(0,(MIN($F17,EA$4)-MAX($E17,EA$3)+1)/EA$5)</f>
        <v>0</v>
      </c>
      <c r="EB17" s="54" t="n">
        <f aca="false">MAX(0,(MIN($F17,EB$4)-MAX($E17,EB$3)+1)/EB$5)</f>
        <v>0</v>
      </c>
      <c r="EC17" s="54" t="n">
        <f aca="false">MAX(0,(MIN($F17,EC$4)-MAX($E17,EC$3)+1)/EC$5)</f>
        <v>0</v>
      </c>
      <c r="ED17" s="54" t="n">
        <f aca="false">MAX(0,(MIN($F17,ED$4)-MAX($E17,ED$3)+1)/ED$5)</f>
        <v>0</v>
      </c>
      <c r="EE17" s="54" t="n">
        <f aca="false">MAX(0,(MIN($F17,EE$4)-MAX($E17,EE$3)+1)/EE$5)</f>
        <v>0</v>
      </c>
      <c r="EF17" s="54" t="n">
        <f aca="false">MAX(0,(MIN($F17,EF$4)-MAX($E17,EF$3)+1)/EF$5)</f>
        <v>0</v>
      </c>
      <c r="EG17" s="54" t="n">
        <f aca="false">MAX(0,(MIN($F17,EG$4)-MAX($E17,EG$3)+1)/EG$5)</f>
        <v>0</v>
      </c>
      <c r="EH17" s="54" t="n">
        <f aca="false">MAX(0,(MIN($F17,EH$4)-MAX($E17,EH$3)+1)/EH$5)</f>
        <v>0</v>
      </c>
      <c r="EI17" s="54" t="n">
        <f aca="false">MAX(0,(MIN($F17,EI$4)-MAX($E17,EI$3)+1)/EI$5)</f>
        <v>0</v>
      </c>
      <c r="EJ17" s="54" t="n">
        <f aca="false">MAX(0,(MIN($F17,EJ$4)-MAX($E17,EJ$3)+1)/EJ$5)</f>
        <v>0</v>
      </c>
      <c r="EK17" s="54" t="n">
        <f aca="false">MAX(0,(MIN($F17,EK$4)-MAX($E17,EK$3)+1)/EK$5)</f>
        <v>0</v>
      </c>
      <c r="EL17" s="54" t="n">
        <f aca="false">MAX(0,(MIN($F17,EL$4)-MAX($E17,EL$3)+1)/EL$5)</f>
        <v>0</v>
      </c>
      <c r="EM17" s="54" t="n">
        <f aca="false">MAX(0,(MIN($F17,EM$4)-MAX($E17,EM$3)+1)/EM$5)</f>
        <v>0</v>
      </c>
      <c r="EN17" s="54" t="n">
        <f aca="false">MAX(0,(MIN($F17,EN$4)-MAX($E17,EN$3)+1)/EN$5)</f>
        <v>0</v>
      </c>
      <c r="EO17" s="54" t="n">
        <f aca="false">MAX(0,(MIN($F17,EO$4)-MAX($E17,EO$3)+1)/EO$5)</f>
        <v>0</v>
      </c>
    </row>
    <row r="18" customFormat="false" ht="15" hidden="false" customHeight="false" outlineLevel="0" collapsed="false">
      <c r="C18" s="0" t="s">
        <v>377</v>
      </c>
      <c r="D18" s="11" t="s">
        <v>43</v>
      </c>
      <c r="E18" s="45" t="n">
        <f aca="false">EDATE(In_COD,In_Debt_Tenor*Months_In_Year)</f>
        <v>54331</v>
      </c>
      <c r="I18" s="49" t="n">
        <f aca="false">SUM(J18:EO18)</f>
        <v>1</v>
      </c>
      <c r="J18" s="49" t="n">
        <f aca="false">N(AND(J$3&lt;=$E18,J$4&gt;=$E18))</f>
        <v>0</v>
      </c>
      <c r="K18" s="49" t="n">
        <f aca="false">N(AND(K$3&lt;=$E18,K$4&gt;=$E18))</f>
        <v>0</v>
      </c>
      <c r="L18" s="49" t="n">
        <f aca="false">N(AND(L$3&lt;=$E18,L$4&gt;=$E18))</f>
        <v>0</v>
      </c>
      <c r="M18" s="49" t="n">
        <f aca="false">N(AND(M$3&lt;=$E18,M$4&gt;=$E18))</f>
        <v>0</v>
      </c>
      <c r="N18" s="49" t="n">
        <f aca="false">N(AND(N$3&lt;=$E18,N$4&gt;=$E18))</f>
        <v>0</v>
      </c>
      <c r="O18" s="49" t="n">
        <f aca="false">N(AND(O$3&lt;=$E18,O$4&gt;=$E18))</f>
        <v>0</v>
      </c>
      <c r="P18" s="49" t="n">
        <f aca="false">N(AND(P$3&lt;=$E18,P$4&gt;=$E18))</f>
        <v>0</v>
      </c>
      <c r="Q18" s="49" t="n">
        <f aca="false">N(AND(Q$3&lt;=$E18,Q$4&gt;=$E18))</f>
        <v>0</v>
      </c>
      <c r="R18" s="49" t="n">
        <f aca="false">N(AND(R$3&lt;=$E18,R$4&gt;=$E18))</f>
        <v>0</v>
      </c>
      <c r="S18" s="49" t="n">
        <f aca="false">N(AND(S$3&lt;=$E18,S$4&gt;=$E18))</f>
        <v>0</v>
      </c>
      <c r="T18" s="49" t="n">
        <f aca="false">N(AND(T$3&lt;=$E18,T$4&gt;=$E18))</f>
        <v>0</v>
      </c>
      <c r="U18" s="49" t="n">
        <f aca="false">N(AND(U$3&lt;=$E18,U$4&gt;=$E18))</f>
        <v>0</v>
      </c>
      <c r="V18" s="49" t="n">
        <f aca="false">N(AND(V$3&lt;=$E18,V$4&gt;=$E18))</f>
        <v>0</v>
      </c>
      <c r="W18" s="49" t="n">
        <f aca="false">N(AND(W$3&lt;=$E18,W$4&gt;=$E18))</f>
        <v>0</v>
      </c>
      <c r="X18" s="49" t="n">
        <f aca="false">N(AND(X$3&lt;=$E18,X$4&gt;=$E18))</f>
        <v>0</v>
      </c>
      <c r="Y18" s="49" t="n">
        <f aca="false">N(AND(Y$3&lt;=$E18,Y$4&gt;=$E18))</f>
        <v>0</v>
      </c>
      <c r="Z18" s="49" t="n">
        <f aca="false">N(AND(Z$3&lt;=$E18,Z$4&gt;=$E18))</f>
        <v>0</v>
      </c>
      <c r="AA18" s="49" t="n">
        <f aca="false">N(AND(AA$3&lt;=$E18,AA$4&gt;=$E18))</f>
        <v>0</v>
      </c>
      <c r="AB18" s="49" t="n">
        <f aca="false">N(AND(AB$3&lt;=$E18,AB$4&gt;=$E18))</f>
        <v>0</v>
      </c>
      <c r="AC18" s="49" t="n">
        <f aca="false">N(AND(AC$3&lt;=$E18,AC$4&gt;=$E18))</f>
        <v>0</v>
      </c>
      <c r="AD18" s="49" t="n">
        <f aca="false">N(AND(AD$3&lt;=$E18,AD$4&gt;=$E18))</f>
        <v>0</v>
      </c>
      <c r="AE18" s="49" t="n">
        <f aca="false">N(AND(AE$3&lt;=$E18,AE$4&gt;=$E18))</f>
        <v>0</v>
      </c>
      <c r="AF18" s="49" t="n">
        <f aca="false">N(AND(AF$3&lt;=$E18,AF$4&gt;=$E18))</f>
        <v>0</v>
      </c>
      <c r="AG18" s="49" t="n">
        <f aca="false">N(AND(AG$3&lt;=$E18,AG$4&gt;=$E18))</f>
        <v>0</v>
      </c>
      <c r="AH18" s="49" t="n">
        <f aca="false">N(AND(AH$3&lt;=$E18,AH$4&gt;=$E18))</f>
        <v>0</v>
      </c>
      <c r="AI18" s="49" t="n">
        <f aca="false">N(AND(AI$3&lt;=$E18,AI$4&gt;=$E18))</f>
        <v>0</v>
      </c>
      <c r="AJ18" s="49" t="n">
        <f aca="false">N(AND(AJ$3&lt;=$E18,AJ$4&gt;=$E18))</f>
        <v>0</v>
      </c>
      <c r="AK18" s="49" t="n">
        <f aca="false">N(AND(AK$3&lt;=$E18,AK$4&gt;=$E18))</f>
        <v>0</v>
      </c>
      <c r="AL18" s="49" t="n">
        <f aca="false">N(AND(AL$3&lt;=$E18,AL$4&gt;=$E18))</f>
        <v>0</v>
      </c>
      <c r="AM18" s="49" t="n">
        <f aca="false">N(AND(AM$3&lt;=$E18,AM$4&gt;=$E18))</f>
        <v>0</v>
      </c>
      <c r="AN18" s="49" t="n">
        <f aca="false">N(AND(AN$3&lt;=$E18,AN$4&gt;=$E18))</f>
        <v>0</v>
      </c>
      <c r="AO18" s="49" t="n">
        <f aca="false">N(AND(AO$3&lt;=$E18,AO$4&gt;=$E18))</f>
        <v>0</v>
      </c>
      <c r="AP18" s="49" t="n">
        <f aca="false">N(AND(AP$3&lt;=$E18,AP$4&gt;=$E18))</f>
        <v>0</v>
      </c>
      <c r="AQ18" s="49" t="n">
        <f aca="false">N(AND(AQ$3&lt;=$E18,AQ$4&gt;=$E18))</f>
        <v>0</v>
      </c>
      <c r="AR18" s="49" t="n">
        <f aca="false">N(AND(AR$3&lt;=$E18,AR$4&gt;=$E18))</f>
        <v>0</v>
      </c>
      <c r="AS18" s="49" t="n">
        <f aca="false">N(AND(AS$3&lt;=$E18,AS$4&gt;=$E18))</f>
        <v>0</v>
      </c>
      <c r="AT18" s="49" t="n">
        <f aca="false">N(AND(AT$3&lt;=$E18,AT$4&gt;=$E18))</f>
        <v>0</v>
      </c>
      <c r="AU18" s="49" t="n">
        <f aca="false">N(AND(AU$3&lt;=$E18,AU$4&gt;=$E18))</f>
        <v>0</v>
      </c>
      <c r="AV18" s="49" t="n">
        <f aca="false">N(AND(AV$3&lt;=$E18,AV$4&gt;=$E18))</f>
        <v>0</v>
      </c>
      <c r="AW18" s="49" t="n">
        <f aca="false">N(AND(AW$3&lt;=$E18,AW$4&gt;=$E18))</f>
        <v>0</v>
      </c>
      <c r="AX18" s="49" t="n">
        <f aca="false">N(AND(AX$3&lt;=$E18,AX$4&gt;=$E18))</f>
        <v>0</v>
      </c>
      <c r="AY18" s="49" t="n">
        <f aca="false">N(AND(AY$3&lt;=$E18,AY$4&gt;=$E18))</f>
        <v>0</v>
      </c>
      <c r="AZ18" s="49" t="n">
        <f aca="false">N(AND(AZ$3&lt;=$E18,AZ$4&gt;=$E18))</f>
        <v>0</v>
      </c>
      <c r="BA18" s="49" t="n">
        <f aca="false">N(AND(BA$3&lt;=$E18,BA$4&gt;=$E18))</f>
        <v>0</v>
      </c>
      <c r="BB18" s="49" t="n">
        <f aca="false">N(AND(BB$3&lt;=$E18,BB$4&gt;=$E18))</f>
        <v>0</v>
      </c>
      <c r="BC18" s="49" t="n">
        <f aca="false">N(AND(BC$3&lt;=$E18,BC$4&gt;=$E18))</f>
        <v>0</v>
      </c>
      <c r="BD18" s="49" t="n">
        <f aca="false">N(AND(BD$3&lt;=$E18,BD$4&gt;=$E18))</f>
        <v>0</v>
      </c>
      <c r="BE18" s="49" t="n">
        <f aca="false">N(AND(BE$3&lt;=$E18,BE$4&gt;=$E18))</f>
        <v>0</v>
      </c>
      <c r="BF18" s="49" t="n">
        <f aca="false">N(AND(BF$3&lt;=$E18,BF$4&gt;=$E18))</f>
        <v>0</v>
      </c>
      <c r="BG18" s="49" t="n">
        <f aca="false">N(AND(BG$3&lt;=$E18,BG$4&gt;=$E18))</f>
        <v>0</v>
      </c>
      <c r="BH18" s="49" t="n">
        <f aca="false">N(AND(BH$3&lt;=$E18,BH$4&gt;=$E18))</f>
        <v>0</v>
      </c>
      <c r="BI18" s="49" t="n">
        <f aca="false">N(AND(BI$3&lt;=$E18,BI$4&gt;=$E18))</f>
        <v>0</v>
      </c>
      <c r="BJ18" s="49" t="n">
        <f aca="false">N(AND(BJ$3&lt;=$E18,BJ$4&gt;=$E18))</f>
        <v>0</v>
      </c>
      <c r="BK18" s="49" t="n">
        <f aca="false">N(AND(BK$3&lt;=$E18,BK$4&gt;=$E18))</f>
        <v>0</v>
      </c>
      <c r="BL18" s="49" t="n">
        <f aca="false">N(AND(BL$3&lt;=$E18,BL$4&gt;=$E18))</f>
        <v>0</v>
      </c>
      <c r="BM18" s="49" t="n">
        <f aca="false">N(AND(BM$3&lt;=$E18,BM$4&gt;=$E18))</f>
        <v>0</v>
      </c>
      <c r="BN18" s="49" t="n">
        <f aca="false">N(AND(BN$3&lt;=$E18,BN$4&gt;=$E18))</f>
        <v>0</v>
      </c>
      <c r="BO18" s="49" t="n">
        <f aca="false">N(AND(BO$3&lt;=$E18,BO$4&gt;=$E18))</f>
        <v>0</v>
      </c>
      <c r="BP18" s="49" t="n">
        <f aca="false">N(AND(BP$3&lt;=$E18,BP$4&gt;=$E18))</f>
        <v>0</v>
      </c>
      <c r="BQ18" s="49" t="n">
        <f aca="false">N(AND(BQ$3&lt;=$E18,BQ$4&gt;=$E18))</f>
        <v>0</v>
      </c>
      <c r="BR18" s="49" t="n">
        <f aca="false">N(AND(BR$3&lt;=$E18,BR$4&gt;=$E18))</f>
        <v>0</v>
      </c>
      <c r="BS18" s="49" t="n">
        <f aca="false">N(AND(BS$3&lt;=$E18,BS$4&gt;=$E18))</f>
        <v>0</v>
      </c>
      <c r="BT18" s="49" t="n">
        <f aca="false">N(AND(BT$3&lt;=$E18,BT$4&gt;=$E18))</f>
        <v>0</v>
      </c>
      <c r="BU18" s="49" t="n">
        <f aca="false">N(AND(BU$3&lt;=$E18,BU$4&gt;=$E18))</f>
        <v>0</v>
      </c>
      <c r="BV18" s="49" t="n">
        <f aca="false">N(AND(BV$3&lt;=$E18,BV$4&gt;=$E18))</f>
        <v>0</v>
      </c>
      <c r="BW18" s="49" t="n">
        <f aca="false">N(AND(BW$3&lt;=$E18,BW$4&gt;=$E18))</f>
        <v>0</v>
      </c>
      <c r="BX18" s="49" t="n">
        <f aca="false">N(AND(BX$3&lt;=$E18,BX$4&gt;=$E18))</f>
        <v>0</v>
      </c>
      <c r="BY18" s="49" t="n">
        <f aca="false">N(AND(BY$3&lt;=$E18,BY$4&gt;=$E18))</f>
        <v>0</v>
      </c>
      <c r="BZ18" s="49" t="n">
        <f aca="false">N(AND(BZ$3&lt;=$E18,BZ$4&gt;=$E18))</f>
        <v>0</v>
      </c>
      <c r="CA18" s="49" t="n">
        <f aca="false">N(AND(CA$3&lt;=$E18,CA$4&gt;=$E18))</f>
        <v>0</v>
      </c>
      <c r="CB18" s="49" t="n">
        <f aca="false">N(AND(CB$3&lt;=$E18,CB$4&gt;=$E18))</f>
        <v>0</v>
      </c>
      <c r="CC18" s="49" t="n">
        <f aca="false">N(AND(CC$3&lt;=$E18,CC$4&gt;=$E18))</f>
        <v>0</v>
      </c>
      <c r="CD18" s="49" t="n">
        <f aca="false">N(AND(CD$3&lt;=$E18,CD$4&gt;=$E18))</f>
        <v>0</v>
      </c>
      <c r="CE18" s="49" t="n">
        <f aca="false">N(AND(CE$3&lt;=$E18,CE$4&gt;=$E18))</f>
        <v>0</v>
      </c>
      <c r="CF18" s="49" t="n">
        <f aca="false">N(AND(CF$3&lt;=$E18,CF$4&gt;=$E18))</f>
        <v>0</v>
      </c>
      <c r="CG18" s="49" t="n">
        <f aca="false">N(AND(CG$3&lt;=$E18,CG$4&gt;=$E18))</f>
        <v>0</v>
      </c>
      <c r="CH18" s="49" t="n">
        <f aca="false">N(AND(CH$3&lt;=$E18,CH$4&gt;=$E18))</f>
        <v>0</v>
      </c>
      <c r="CI18" s="49" t="n">
        <f aca="false">N(AND(CI$3&lt;=$E18,CI$4&gt;=$E18))</f>
        <v>0</v>
      </c>
      <c r="CJ18" s="49" t="n">
        <f aca="false">N(AND(CJ$3&lt;=$E18,CJ$4&gt;=$E18))</f>
        <v>0</v>
      </c>
      <c r="CK18" s="49" t="n">
        <f aca="false">N(AND(CK$3&lt;=$E18,CK$4&gt;=$E18))</f>
        <v>0</v>
      </c>
      <c r="CL18" s="49" t="n">
        <f aca="false">N(AND(CL$3&lt;=$E18,CL$4&gt;=$E18))</f>
        <v>0</v>
      </c>
      <c r="CM18" s="49" t="n">
        <f aca="false">N(AND(CM$3&lt;=$E18,CM$4&gt;=$E18))</f>
        <v>0</v>
      </c>
      <c r="CN18" s="49" t="n">
        <f aca="false">N(AND(CN$3&lt;=$E18,CN$4&gt;=$E18))</f>
        <v>0</v>
      </c>
      <c r="CO18" s="49" t="n">
        <f aca="false">N(AND(CO$3&lt;=$E18,CO$4&gt;=$E18))</f>
        <v>0</v>
      </c>
      <c r="CP18" s="49" t="n">
        <f aca="false">N(AND(CP$3&lt;=$E18,CP$4&gt;=$E18))</f>
        <v>0</v>
      </c>
      <c r="CQ18" s="49" t="n">
        <f aca="false">N(AND(CQ$3&lt;=$E18,CQ$4&gt;=$E18))</f>
        <v>0</v>
      </c>
      <c r="CR18" s="49" t="n">
        <f aca="false">N(AND(CR$3&lt;=$E18,CR$4&gt;=$E18))</f>
        <v>0</v>
      </c>
      <c r="CS18" s="49" t="n">
        <f aca="false">N(AND(CS$3&lt;=$E18,CS$4&gt;=$E18))</f>
        <v>1</v>
      </c>
      <c r="CT18" s="49" t="n">
        <f aca="false">N(AND(CT$3&lt;=$E18,CT$4&gt;=$E18))</f>
        <v>0</v>
      </c>
      <c r="CU18" s="49" t="n">
        <f aca="false">N(AND(CU$3&lt;=$E18,CU$4&gt;=$E18))</f>
        <v>0</v>
      </c>
      <c r="CV18" s="49" t="n">
        <f aca="false">N(AND(CV$3&lt;=$E18,CV$4&gt;=$E18))</f>
        <v>0</v>
      </c>
      <c r="CW18" s="49" t="n">
        <f aca="false">N(AND(CW$3&lt;=$E18,CW$4&gt;=$E18))</f>
        <v>0</v>
      </c>
      <c r="CX18" s="49" t="n">
        <f aca="false">N(AND(CX$3&lt;=$E18,CX$4&gt;=$E18))</f>
        <v>0</v>
      </c>
      <c r="CY18" s="49" t="n">
        <f aca="false">N(AND(CY$3&lt;=$E18,CY$4&gt;=$E18))</f>
        <v>0</v>
      </c>
      <c r="CZ18" s="49" t="n">
        <f aca="false">N(AND(CZ$3&lt;=$E18,CZ$4&gt;=$E18))</f>
        <v>0</v>
      </c>
      <c r="DA18" s="49" t="n">
        <f aca="false">N(AND(DA$3&lt;=$E18,DA$4&gt;=$E18))</f>
        <v>0</v>
      </c>
      <c r="DB18" s="49" t="n">
        <f aca="false">N(AND(DB$3&lt;=$E18,DB$4&gt;=$E18))</f>
        <v>0</v>
      </c>
      <c r="DC18" s="49" t="n">
        <f aca="false">N(AND(DC$3&lt;=$E18,DC$4&gt;=$E18))</f>
        <v>0</v>
      </c>
      <c r="DD18" s="49" t="n">
        <f aca="false">N(AND(DD$3&lt;=$E18,DD$4&gt;=$E18))</f>
        <v>0</v>
      </c>
      <c r="DE18" s="49" t="n">
        <f aca="false">N(AND(DE$3&lt;=$E18,DE$4&gt;=$E18))</f>
        <v>0</v>
      </c>
      <c r="DF18" s="49" t="n">
        <f aca="false">N(AND(DF$3&lt;=$E18,DF$4&gt;=$E18))</f>
        <v>0</v>
      </c>
      <c r="DG18" s="49" t="n">
        <f aca="false">N(AND(DG$3&lt;=$E18,DG$4&gt;=$E18))</f>
        <v>0</v>
      </c>
      <c r="DH18" s="49" t="n">
        <f aca="false">N(AND(DH$3&lt;=$E18,DH$4&gt;=$E18))</f>
        <v>0</v>
      </c>
      <c r="DI18" s="49" t="n">
        <f aca="false">N(AND(DI$3&lt;=$E18,DI$4&gt;=$E18))</f>
        <v>0</v>
      </c>
      <c r="DJ18" s="49" t="n">
        <f aca="false">N(AND(DJ$3&lt;=$E18,DJ$4&gt;=$E18))</f>
        <v>0</v>
      </c>
      <c r="DK18" s="49" t="n">
        <f aca="false">N(AND(DK$3&lt;=$E18,DK$4&gt;=$E18))</f>
        <v>0</v>
      </c>
      <c r="DL18" s="49" t="n">
        <f aca="false">N(AND(DL$3&lt;=$E18,DL$4&gt;=$E18))</f>
        <v>0</v>
      </c>
      <c r="DM18" s="49" t="n">
        <f aca="false">N(AND(DM$3&lt;=$E18,DM$4&gt;=$E18))</f>
        <v>0</v>
      </c>
      <c r="DN18" s="49" t="n">
        <f aca="false">N(AND(DN$3&lt;=$E18,DN$4&gt;=$E18))</f>
        <v>0</v>
      </c>
      <c r="DO18" s="49" t="n">
        <f aca="false">N(AND(DO$3&lt;=$E18,DO$4&gt;=$E18))</f>
        <v>0</v>
      </c>
      <c r="DP18" s="49" t="n">
        <f aca="false">N(AND(DP$3&lt;=$E18,DP$4&gt;=$E18))</f>
        <v>0</v>
      </c>
      <c r="DQ18" s="49" t="n">
        <f aca="false">N(AND(DQ$3&lt;=$E18,DQ$4&gt;=$E18))</f>
        <v>0</v>
      </c>
      <c r="DR18" s="49" t="n">
        <f aca="false">N(AND(DR$3&lt;=$E18,DR$4&gt;=$E18))</f>
        <v>0</v>
      </c>
      <c r="DS18" s="49" t="n">
        <f aca="false">N(AND(DS$3&lt;=$E18,DS$4&gt;=$E18))</f>
        <v>0</v>
      </c>
      <c r="DT18" s="49" t="n">
        <f aca="false">N(AND(DT$3&lt;=$E18,DT$4&gt;=$E18))</f>
        <v>0</v>
      </c>
      <c r="DU18" s="49" t="n">
        <f aca="false">N(AND(DU$3&lt;=$E18,DU$4&gt;=$E18))</f>
        <v>0</v>
      </c>
      <c r="DV18" s="49" t="n">
        <f aca="false">N(AND(DV$3&lt;=$E18,DV$4&gt;=$E18))</f>
        <v>0</v>
      </c>
      <c r="DW18" s="49" t="n">
        <f aca="false">N(AND(DW$3&lt;=$E18,DW$4&gt;=$E18))</f>
        <v>0</v>
      </c>
      <c r="DX18" s="49" t="n">
        <f aca="false">N(AND(DX$3&lt;=$E18,DX$4&gt;=$E18))</f>
        <v>0</v>
      </c>
      <c r="DY18" s="49" t="n">
        <f aca="false">N(AND(DY$3&lt;=$E18,DY$4&gt;=$E18))</f>
        <v>0</v>
      </c>
      <c r="DZ18" s="49" t="n">
        <f aca="false">N(AND(DZ$3&lt;=$E18,DZ$4&gt;=$E18))</f>
        <v>0</v>
      </c>
      <c r="EA18" s="49" t="n">
        <f aca="false">N(AND(EA$3&lt;=$E18,EA$4&gt;=$E18))</f>
        <v>0</v>
      </c>
      <c r="EB18" s="49" t="n">
        <f aca="false">N(AND(EB$3&lt;=$E18,EB$4&gt;=$E18))</f>
        <v>0</v>
      </c>
      <c r="EC18" s="49" t="n">
        <f aca="false">N(AND(EC$3&lt;=$E18,EC$4&gt;=$E18))</f>
        <v>0</v>
      </c>
      <c r="ED18" s="49" t="n">
        <f aca="false">N(AND(ED$3&lt;=$E18,ED$4&gt;=$E18))</f>
        <v>0</v>
      </c>
      <c r="EE18" s="49" t="n">
        <f aca="false">N(AND(EE$3&lt;=$E18,EE$4&gt;=$E18))</f>
        <v>0</v>
      </c>
      <c r="EF18" s="49" t="n">
        <f aca="false">N(AND(EF$3&lt;=$E18,EF$4&gt;=$E18))</f>
        <v>0</v>
      </c>
      <c r="EG18" s="49" t="n">
        <f aca="false">N(AND(EG$3&lt;=$E18,EG$4&gt;=$E18))</f>
        <v>0</v>
      </c>
      <c r="EH18" s="49" t="n">
        <f aca="false">N(AND(EH$3&lt;=$E18,EH$4&gt;=$E18))</f>
        <v>0</v>
      </c>
      <c r="EI18" s="49" t="n">
        <f aca="false">N(AND(EI$3&lt;=$E18,EI$4&gt;=$E18))</f>
        <v>0</v>
      </c>
      <c r="EJ18" s="49" t="n">
        <f aca="false">N(AND(EJ$3&lt;=$E18,EJ$4&gt;=$E18))</f>
        <v>0</v>
      </c>
      <c r="EK18" s="49" t="n">
        <f aca="false">N(AND(EK$3&lt;=$E18,EK$4&gt;=$E18))</f>
        <v>0</v>
      </c>
      <c r="EL18" s="49" t="n">
        <f aca="false">N(AND(EL$3&lt;=$E18,EL$4&gt;=$E18))</f>
        <v>0</v>
      </c>
      <c r="EM18" s="49" t="n">
        <f aca="false">N(AND(EM$3&lt;=$E18,EM$4&gt;=$E18))</f>
        <v>0</v>
      </c>
      <c r="EN18" s="49" t="n">
        <f aca="false">N(AND(EN$3&lt;=$E18,EN$4&gt;=$E18))</f>
        <v>0</v>
      </c>
      <c r="EO18" s="49" t="n">
        <f aca="false">N(AND(EO$3&lt;=$E18,EO$4&gt;=$E18))</f>
        <v>0</v>
      </c>
    </row>
    <row r="19" customFormat="false" ht="15" hidden="false" customHeight="false" outlineLevel="0" collapsed="false">
      <c r="C19" s="0" t="s">
        <v>378</v>
      </c>
      <c r="D19" s="11" t="s">
        <v>368</v>
      </c>
      <c r="E19" s="45" t="n">
        <f aca="false">In_COD+1</f>
        <v>47757</v>
      </c>
      <c r="F19" s="45" t="n">
        <f aca="false">EDATE(In_COD,In_Dep_Years*Months_In_Year)</f>
        <v>55061</v>
      </c>
      <c r="I19" s="54" t="n">
        <f aca="false">SUM(J19:EO19)</f>
        <v>1</v>
      </c>
      <c r="J19" s="54" t="n">
        <f aca="false">MAX(0,MIN($F19,J$4)-MAX($E19,J$3)+1)/($F19-$E19+1)</f>
        <v>0</v>
      </c>
      <c r="K19" s="54" t="n">
        <f aca="false">MAX(0,MIN($F19,K$4)-MAX($E19,K$3)+1)/($F19-$E19+1)</f>
        <v>0</v>
      </c>
      <c r="L19" s="54" t="n">
        <f aca="false">MAX(0,MIN($F19,L$4)-MAX($E19,L$3)+1)/($F19-$E19+1)</f>
        <v>0</v>
      </c>
      <c r="M19" s="54" t="n">
        <f aca="false">MAX(0,MIN($F19,M$4)-MAX($E19,M$3)+1)/($F19-$E19+1)</f>
        <v>0</v>
      </c>
      <c r="N19" s="54" t="n">
        <f aca="false">MAX(0,MIN($F19,N$4)-MAX($E19,N$3)+1)/($F19-$E19+1)</f>
        <v>0</v>
      </c>
      <c r="O19" s="54" t="n">
        <f aca="false">MAX(0,MIN($F19,O$4)-MAX($E19,O$3)+1)/($F19-$E19+1)</f>
        <v>0</v>
      </c>
      <c r="P19" s="54" t="n">
        <f aca="false">MAX(0,MIN($F19,P$4)-MAX($E19,P$3)+1)/($F19-$E19+1)</f>
        <v>0</v>
      </c>
      <c r="Q19" s="54" t="n">
        <f aca="false">MAX(0,MIN($F19,Q$4)-MAX($E19,Q$3)+1)/($F19-$E19+1)</f>
        <v>0</v>
      </c>
      <c r="R19" s="54" t="n">
        <f aca="false">MAX(0,MIN($F19,R$4)-MAX($E19,R$3)+1)/($F19-$E19+1)</f>
        <v>0</v>
      </c>
      <c r="S19" s="54" t="n">
        <f aca="false">MAX(0,MIN($F19,S$4)-MAX($E19,S$3)+1)/($F19-$E19+1)</f>
        <v>0</v>
      </c>
      <c r="T19" s="54" t="n">
        <f aca="false">MAX(0,MIN($F19,T$4)-MAX($E19,T$3)+1)/($F19-$E19+1)</f>
        <v>0</v>
      </c>
      <c r="U19" s="54" t="n">
        <f aca="false">MAX(0,MIN($F19,U$4)-MAX($E19,U$3)+1)/($F19-$E19+1)</f>
        <v>0</v>
      </c>
      <c r="V19" s="54" t="n">
        <f aca="false">MAX(0,MIN($F19,V$4)-MAX($E19,V$3)+1)/($F19-$E19+1)</f>
        <v>0</v>
      </c>
      <c r="W19" s="54" t="n">
        <f aca="false">MAX(0,MIN($F19,W$4)-MAX($E19,W$3)+1)/($F19-$E19+1)</f>
        <v>0</v>
      </c>
      <c r="X19" s="54" t="n">
        <f aca="false">MAX(0,MIN($F19,X$4)-MAX($E19,X$3)+1)/($F19-$E19+1)</f>
        <v>0</v>
      </c>
      <c r="Y19" s="54" t="n">
        <f aca="false">MAX(0,MIN($F19,Y$4)-MAX($E19,Y$3)+1)/($F19-$E19+1)</f>
        <v>0</v>
      </c>
      <c r="Z19" s="54" t="n">
        <f aca="false">MAX(0,MIN($F19,Z$4)-MAX($E19,Z$3)+1)/($F19-$E19+1)</f>
        <v>0.0125941136208077</v>
      </c>
      <c r="AA19" s="54" t="n">
        <f aca="false">MAX(0,MIN($F19,AA$4)-MAX($E19,AA$3)+1)/($F19-$E19+1)</f>
        <v>0.0123203285420945</v>
      </c>
      <c r="AB19" s="54" t="n">
        <f aca="false">MAX(0,MIN($F19,AB$4)-MAX($E19,AB$3)+1)/($F19-$E19+1)</f>
        <v>0.0124572210814511</v>
      </c>
      <c r="AC19" s="54" t="n">
        <f aca="false">MAX(0,MIN($F19,AC$4)-MAX($E19,AC$3)+1)/($F19-$E19+1)</f>
        <v>0.0125941136208077</v>
      </c>
      <c r="AD19" s="54" t="n">
        <f aca="false">MAX(0,MIN($F19,AD$4)-MAX($E19,AD$3)+1)/($F19-$E19+1)</f>
        <v>0.0125941136208077</v>
      </c>
      <c r="AE19" s="54" t="n">
        <f aca="false">MAX(0,MIN($F19,AE$4)-MAX($E19,AE$3)+1)/($F19-$E19+1)</f>
        <v>0.0124572210814511</v>
      </c>
      <c r="AF19" s="54" t="n">
        <f aca="false">MAX(0,MIN($F19,AF$4)-MAX($E19,AF$3)+1)/($F19-$E19+1)</f>
        <v>0.0124572210814511</v>
      </c>
      <c r="AG19" s="54" t="n">
        <f aca="false">MAX(0,MIN($F19,AG$4)-MAX($E19,AG$3)+1)/($F19-$E19+1)</f>
        <v>0.0125941136208077</v>
      </c>
      <c r="AH19" s="54" t="n">
        <f aca="false">MAX(0,MIN($F19,AH$4)-MAX($E19,AH$3)+1)/($F19-$E19+1)</f>
        <v>0.0125941136208077</v>
      </c>
      <c r="AI19" s="54" t="n">
        <f aca="false">MAX(0,MIN($F19,AI$4)-MAX($E19,AI$3)+1)/($F19-$E19+1)</f>
        <v>0.0123203285420945</v>
      </c>
      <c r="AJ19" s="54" t="n">
        <f aca="false">MAX(0,MIN($F19,AJ$4)-MAX($E19,AJ$3)+1)/($F19-$E19+1)</f>
        <v>0.0124572210814511</v>
      </c>
      <c r="AK19" s="54" t="n">
        <f aca="false">MAX(0,MIN($F19,AK$4)-MAX($E19,AK$3)+1)/($F19-$E19+1)</f>
        <v>0.0125941136208077</v>
      </c>
      <c r="AL19" s="54" t="n">
        <f aca="false">MAX(0,MIN($F19,AL$4)-MAX($E19,AL$3)+1)/($F19-$E19+1)</f>
        <v>0.0125941136208077</v>
      </c>
      <c r="AM19" s="54" t="n">
        <f aca="false">MAX(0,MIN($F19,AM$4)-MAX($E19,AM$3)+1)/($F19-$E19+1)</f>
        <v>0.0123203285420945</v>
      </c>
      <c r="AN19" s="54" t="n">
        <f aca="false">MAX(0,MIN($F19,AN$4)-MAX($E19,AN$3)+1)/($F19-$E19+1)</f>
        <v>0.0124572210814511</v>
      </c>
      <c r="AO19" s="54" t="n">
        <f aca="false">MAX(0,MIN($F19,AO$4)-MAX($E19,AO$3)+1)/($F19-$E19+1)</f>
        <v>0.0125941136208077</v>
      </c>
      <c r="AP19" s="54" t="n">
        <f aca="false">MAX(0,MIN($F19,AP$4)-MAX($E19,AP$3)+1)/($F19-$E19+1)</f>
        <v>0.0125941136208077</v>
      </c>
      <c r="AQ19" s="54" t="n">
        <f aca="false">MAX(0,MIN($F19,AQ$4)-MAX($E19,AQ$3)+1)/($F19-$E19+1)</f>
        <v>0.0123203285420945</v>
      </c>
      <c r="AR19" s="54" t="n">
        <f aca="false">MAX(0,MIN($F19,AR$4)-MAX($E19,AR$3)+1)/($F19-$E19+1)</f>
        <v>0.0124572210814511</v>
      </c>
      <c r="AS19" s="54" t="n">
        <f aca="false">MAX(0,MIN($F19,AS$4)-MAX($E19,AS$3)+1)/($F19-$E19+1)</f>
        <v>0.0125941136208077</v>
      </c>
      <c r="AT19" s="54" t="n">
        <f aca="false">MAX(0,MIN($F19,AT$4)-MAX($E19,AT$3)+1)/($F19-$E19+1)</f>
        <v>0.0125941136208077</v>
      </c>
      <c r="AU19" s="54" t="n">
        <f aca="false">MAX(0,MIN($F19,AU$4)-MAX($E19,AU$3)+1)/($F19-$E19+1)</f>
        <v>0.0124572210814511</v>
      </c>
      <c r="AV19" s="54" t="n">
        <f aca="false">MAX(0,MIN($F19,AV$4)-MAX($E19,AV$3)+1)/($F19-$E19+1)</f>
        <v>0.0124572210814511</v>
      </c>
      <c r="AW19" s="54" t="n">
        <f aca="false">MAX(0,MIN($F19,AW$4)-MAX($E19,AW$3)+1)/($F19-$E19+1)</f>
        <v>0.0125941136208077</v>
      </c>
      <c r="AX19" s="54" t="n">
        <f aca="false">MAX(0,MIN($F19,AX$4)-MAX($E19,AX$3)+1)/($F19-$E19+1)</f>
        <v>0.0125941136208077</v>
      </c>
      <c r="AY19" s="54" t="n">
        <f aca="false">MAX(0,MIN($F19,AY$4)-MAX($E19,AY$3)+1)/($F19-$E19+1)</f>
        <v>0.0123203285420945</v>
      </c>
      <c r="AZ19" s="54" t="n">
        <f aca="false">MAX(0,MIN($F19,AZ$4)-MAX($E19,AZ$3)+1)/($F19-$E19+1)</f>
        <v>0.0124572210814511</v>
      </c>
      <c r="BA19" s="54" t="n">
        <f aca="false">MAX(0,MIN($F19,BA$4)-MAX($E19,BA$3)+1)/($F19-$E19+1)</f>
        <v>0.0125941136208077</v>
      </c>
      <c r="BB19" s="54" t="n">
        <f aca="false">MAX(0,MIN($F19,BB$4)-MAX($E19,BB$3)+1)/($F19-$E19+1)</f>
        <v>0.0125941136208077</v>
      </c>
      <c r="BC19" s="54" t="n">
        <f aca="false">MAX(0,MIN($F19,BC$4)-MAX($E19,BC$3)+1)/($F19-$E19+1)</f>
        <v>0.0123203285420945</v>
      </c>
      <c r="BD19" s="54" t="n">
        <f aca="false">MAX(0,MIN($F19,BD$4)-MAX($E19,BD$3)+1)/($F19-$E19+1)</f>
        <v>0.0124572210814511</v>
      </c>
      <c r="BE19" s="54" t="n">
        <f aca="false">MAX(0,MIN($F19,BE$4)-MAX($E19,BE$3)+1)/($F19-$E19+1)</f>
        <v>0.0125941136208077</v>
      </c>
      <c r="BF19" s="54" t="n">
        <f aca="false">MAX(0,MIN($F19,BF$4)-MAX($E19,BF$3)+1)/($F19-$E19+1)</f>
        <v>0.0125941136208077</v>
      </c>
      <c r="BG19" s="54" t="n">
        <f aca="false">MAX(0,MIN($F19,BG$4)-MAX($E19,BG$3)+1)/($F19-$E19+1)</f>
        <v>0.0123203285420945</v>
      </c>
      <c r="BH19" s="54" t="n">
        <f aca="false">MAX(0,MIN($F19,BH$4)-MAX($E19,BH$3)+1)/($F19-$E19+1)</f>
        <v>0.0124572210814511</v>
      </c>
      <c r="BI19" s="54" t="n">
        <f aca="false">MAX(0,MIN($F19,BI$4)-MAX($E19,BI$3)+1)/($F19-$E19+1)</f>
        <v>0.0125941136208077</v>
      </c>
      <c r="BJ19" s="54" t="n">
        <f aca="false">MAX(0,MIN($F19,BJ$4)-MAX($E19,BJ$3)+1)/($F19-$E19+1)</f>
        <v>0.0125941136208077</v>
      </c>
      <c r="BK19" s="54" t="n">
        <f aca="false">MAX(0,MIN($F19,BK$4)-MAX($E19,BK$3)+1)/($F19-$E19+1)</f>
        <v>0.0124572210814511</v>
      </c>
      <c r="BL19" s="54" t="n">
        <f aca="false">MAX(0,MIN($F19,BL$4)-MAX($E19,BL$3)+1)/($F19-$E19+1)</f>
        <v>0.0124572210814511</v>
      </c>
      <c r="BM19" s="54" t="n">
        <f aca="false">MAX(0,MIN($F19,BM$4)-MAX($E19,BM$3)+1)/($F19-$E19+1)</f>
        <v>0.0125941136208077</v>
      </c>
      <c r="BN19" s="54" t="n">
        <f aca="false">MAX(0,MIN($F19,BN$4)-MAX($E19,BN$3)+1)/($F19-$E19+1)</f>
        <v>0.0125941136208077</v>
      </c>
      <c r="BO19" s="54" t="n">
        <f aca="false">MAX(0,MIN($F19,BO$4)-MAX($E19,BO$3)+1)/($F19-$E19+1)</f>
        <v>0.0123203285420945</v>
      </c>
      <c r="BP19" s="54" t="n">
        <f aca="false">MAX(0,MIN($F19,BP$4)-MAX($E19,BP$3)+1)/($F19-$E19+1)</f>
        <v>0.0124572210814511</v>
      </c>
      <c r="BQ19" s="54" t="n">
        <f aca="false">MAX(0,MIN($F19,BQ$4)-MAX($E19,BQ$3)+1)/($F19-$E19+1)</f>
        <v>0.0125941136208077</v>
      </c>
      <c r="BR19" s="54" t="n">
        <f aca="false">MAX(0,MIN($F19,BR$4)-MAX($E19,BR$3)+1)/($F19-$E19+1)</f>
        <v>0.0125941136208077</v>
      </c>
      <c r="BS19" s="54" t="n">
        <f aca="false">MAX(0,MIN($F19,BS$4)-MAX($E19,BS$3)+1)/($F19-$E19+1)</f>
        <v>0.0123203285420945</v>
      </c>
      <c r="BT19" s="54" t="n">
        <f aca="false">MAX(0,MIN($F19,BT$4)-MAX($E19,BT$3)+1)/($F19-$E19+1)</f>
        <v>0.0124572210814511</v>
      </c>
      <c r="BU19" s="54" t="n">
        <f aca="false">MAX(0,MIN($F19,BU$4)-MAX($E19,BU$3)+1)/($F19-$E19+1)</f>
        <v>0.0125941136208077</v>
      </c>
      <c r="BV19" s="54" t="n">
        <f aca="false">MAX(0,MIN($F19,BV$4)-MAX($E19,BV$3)+1)/($F19-$E19+1)</f>
        <v>0.0125941136208077</v>
      </c>
      <c r="BW19" s="54" t="n">
        <f aca="false">MAX(0,MIN($F19,BW$4)-MAX($E19,BW$3)+1)/($F19-$E19+1)</f>
        <v>0.0123203285420945</v>
      </c>
      <c r="BX19" s="54" t="n">
        <f aca="false">MAX(0,MIN($F19,BX$4)-MAX($E19,BX$3)+1)/($F19-$E19+1)</f>
        <v>0.0124572210814511</v>
      </c>
      <c r="BY19" s="54" t="n">
        <f aca="false">MAX(0,MIN($F19,BY$4)-MAX($E19,BY$3)+1)/($F19-$E19+1)</f>
        <v>0.0125941136208077</v>
      </c>
      <c r="BZ19" s="54" t="n">
        <f aca="false">MAX(0,MIN($F19,BZ$4)-MAX($E19,BZ$3)+1)/($F19-$E19+1)</f>
        <v>0.0125941136208077</v>
      </c>
      <c r="CA19" s="54" t="n">
        <f aca="false">MAX(0,MIN($F19,CA$4)-MAX($E19,CA$3)+1)/($F19-$E19+1)</f>
        <v>0.0124572210814511</v>
      </c>
      <c r="CB19" s="54" t="n">
        <f aca="false">MAX(0,MIN($F19,CB$4)-MAX($E19,CB$3)+1)/($F19-$E19+1)</f>
        <v>0.0124572210814511</v>
      </c>
      <c r="CC19" s="54" t="n">
        <f aca="false">MAX(0,MIN($F19,CC$4)-MAX($E19,CC$3)+1)/($F19-$E19+1)</f>
        <v>0.0125941136208077</v>
      </c>
      <c r="CD19" s="54" t="n">
        <f aca="false">MAX(0,MIN($F19,CD$4)-MAX($E19,CD$3)+1)/($F19-$E19+1)</f>
        <v>0.0125941136208077</v>
      </c>
      <c r="CE19" s="54" t="n">
        <f aca="false">MAX(0,MIN($F19,CE$4)-MAX($E19,CE$3)+1)/($F19-$E19+1)</f>
        <v>0.0123203285420945</v>
      </c>
      <c r="CF19" s="54" t="n">
        <f aca="false">MAX(0,MIN($F19,CF$4)-MAX($E19,CF$3)+1)/($F19-$E19+1)</f>
        <v>0.0124572210814511</v>
      </c>
      <c r="CG19" s="54" t="n">
        <f aca="false">MAX(0,MIN($F19,CG$4)-MAX($E19,CG$3)+1)/($F19-$E19+1)</f>
        <v>0.0125941136208077</v>
      </c>
      <c r="CH19" s="54" t="n">
        <f aca="false">MAX(0,MIN($F19,CH$4)-MAX($E19,CH$3)+1)/($F19-$E19+1)</f>
        <v>0.0125941136208077</v>
      </c>
      <c r="CI19" s="54" t="n">
        <f aca="false">MAX(0,MIN($F19,CI$4)-MAX($E19,CI$3)+1)/($F19-$E19+1)</f>
        <v>0.0123203285420945</v>
      </c>
      <c r="CJ19" s="54" t="n">
        <f aca="false">MAX(0,MIN($F19,CJ$4)-MAX($E19,CJ$3)+1)/($F19-$E19+1)</f>
        <v>0.0124572210814511</v>
      </c>
      <c r="CK19" s="54" t="n">
        <f aca="false">MAX(0,MIN($F19,CK$4)-MAX($E19,CK$3)+1)/($F19-$E19+1)</f>
        <v>0.0125941136208077</v>
      </c>
      <c r="CL19" s="54" t="n">
        <f aca="false">MAX(0,MIN($F19,CL$4)-MAX($E19,CL$3)+1)/($F19-$E19+1)</f>
        <v>0.0125941136208077</v>
      </c>
      <c r="CM19" s="54" t="n">
        <f aca="false">MAX(0,MIN($F19,CM$4)-MAX($E19,CM$3)+1)/($F19-$E19+1)</f>
        <v>0.0123203285420945</v>
      </c>
      <c r="CN19" s="54" t="n">
        <f aca="false">MAX(0,MIN($F19,CN$4)-MAX($E19,CN$3)+1)/($F19-$E19+1)</f>
        <v>0.0124572210814511</v>
      </c>
      <c r="CO19" s="54" t="n">
        <f aca="false">MAX(0,MIN($F19,CO$4)-MAX($E19,CO$3)+1)/($F19-$E19+1)</f>
        <v>0.0125941136208077</v>
      </c>
      <c r="CP19" s="54" t="n">
        <f aca="false">MAX(0,MIN($F19,CP$4)-MAX($E19,CP$3)+1)/($F19-$E19+1)</f>
        <v>0.0125941136208077</v>
      </c>
      <c r="CQ19" s="54" t="n">
        <f aca="false">MAX(0,MIN($F19,CQ$4)-MAX($E19,CQ$3)+1)/($F19-$E19+1)</f>
        <v>0.0124572210814511</v>
      </c>
      <c r="CR19" s="54" t="n">
        <f aca="false">MAX(0,MIN($F19,CR$4)-MAX($E19,CR$3)+1)/($F19-$E19+1)</f>
        <v>0.0124572210814511</v>
      </c>
      <c r="CS19" s="54" t="n">
        <f aca="false">MAX(0,MIN($F19,CS$4)-MAX($E19,CS$3)+1)/($F19-$E19+1)</f>
        <v>0.0125941136208077</v>
      </c>
      <c r="CT19" s="54" t="n">
        <f aca="false">MAX(0,MIN($F19,CT$4)-MAX($E19,CT$3)+1)/($F19-$E19+1)</f>
        <v>0.0125941136208077</v>
      </c>
      <c r="CU19" s="54" t="n">
        <f aca="false">MAX(0,MIN($F19,CU$4)-MAX($E19,CU$3)+1)/($F19-$E19+1)</f>
        <v>0.0123203285420945</v>
      </c>
      <c r="CV19" s="54" t="n">
        <f aca="false">MAX(0,MIN($F19,CV$4)-MAX($E19,CV$3)+1)/($F19-$E19+1)</f>
        <v>0.0124572210814511</v>
      </c>
      <c r="CW19" s="54" t="n">
        <f aca="false">MAX(0,MIN($F19,CW$4)-MAX($E19,CW$3)+1)/($F19-$E19+1)</f>
        <v>0.0125941136208077</v>
      </c>
      <c r="CX19" s="54" t="n">
        <f aca="false">MAX(0,MIN($F19,CX$4)-MAX($E19,CX$3)+1)/($F19-$E19+1)</f>
        <v>0.0125941136208077</v>
      </c>
      <c r="CY19" s="54" t="n">
        <f aca="false">MAX(0,MIN($F19,CY$4)-MAX($E19,CY$3)+1)/($F19-$E19+1)</f>
        <v>0.0123203285420945</v>
      </c>
      <c r="CZ19" s="54" t="n">
        <f aca="false">MAX(0,MIN($F19,CZ$4)-MAX($E19,CZ$3)+1)/($F19-$E19+1)</f>
        <v>0.0124572210814511</v>
      </c>
      <c r="DA19" s="54" t="n">
        <f aca="false">MAX(0,MIN($F19,DA$4)-MAX($E19,DA$3)+1)/($F19-$E19+1)</f>
        <v>0.0125941136208077</v>
      </c>
      <c r="DB19" s="54" t="n">
        <f aca="false">MAX(0,MIN($F19,DB$4)-MAX($E19,DB$3)+1)/($F19-$E19+1)</f>
        <v>0</v>
      </c>
      <c r="DC19" s="54" t="n">
        <f aca="false">MAX(0,MIN($F19,DC$4)-MAX($E19,DC$3)+1)/($F19-$E19+1)</f>
        <v>0</v>
      </c>
      <c r="DD19" s="54" t="n">
        <f aca="false">MAX(0,MIN($F19,DD$4)-MAX($E19,DD$3)+1)/($F19-$E19+1)</f>
        <v>0</v>
      </c>
      <c r="DE19" s="54" t="n">
        <f aca="false">MAX(0,MIN($F19,DE$4)-MAX($E19,DE$3)+1)/($F19-$E19+1)</f>
        <v>0</v>
      </c>
      <c r="DF19" s="54" t="n">
        <f aca="false">MAX(0,MIN($F19,DF$4)-MAX($E19,DF$3)+1)/($F19-$E19+1)</f>
        <v>0</v>
      </c>
      <c r="DG19" s="54" t="n">
        <f aca="false">MAX(0,MIN($F19,DG$4)-MAX($E19,DG$3)+1)/($F19-$E19+1)</f>
        <v>0</v>
      </c>
      <c r="DH19" s="54" t="n">
        <f aca="false">MAX(0,MIN($F19,DH$4)-MAX($E19,DH$3)+1)/($F19-$E19+1)</f>
        <v>0</v>
      </c>
      <c r="DI19" s="54" t="n">
        <f aca="false">MAX(0,MIN($F19,DI$4)-MAX($E19,DI$3)+1)/($F19-$E19+1)</f>
        <v>0</v>
      </c>
      <c r="DJ19" s="54" t="n">
        <f aca="false">MAX(0,MIN($F19,DJ$4)-MAX($E19,DJ$3)+1)/($F19-$E19+1)</f>
        <v>0</v>
      </c>
      <c r="DK19" s="54" t="n">
        <f aca="false">MAX(0,MIN($F19,DK$4)-MAX($E19,DK$3)+1)/($F19-$E19+1)</f>
        <v>0</v>
      </c>
      <c r="DL19" s="54" t="n">
        <f aca="false">MAX(0,MIN($F19,DL$4)-MAX($E19,DL$3)+1)/($F19-$E19+1)</f>
        <v>0</v>
      </c>
      <c r="DM19" s="54" t="n">
        <f aca="false">MAX(0,MIN($F19,DM$4)-MAX($E19,DM$3)+1)/($F19-$E19+1)</f>
        <v>0</v>
      </c>
      <c r="DN19" s="54" t="n">
        <f aca="false">MAX(0,MIN($F19,DN$4)-MAX($E19,DN$3)+1)/($F19-$E19+1)</f>
        <v>0</v>
      </c>
      <c r="DO19" s="54" t="n">
        <f aca="false">MAX(0,MIN($F19,DO$4)-MAX($E19,DO$3)+1)/($F19-$E19+1)</f>
        <v>0</v>
      </c>
      <c r="DP19" s="54" t="n">
        <f aca="false">MAX(0,MIN($F19,DP$4)-MAX($E19,DP$3)+1)/($F19-$E19+1)</f>
        <v>0</v>
      </c>
      <c r="DQ19" s="54" t="n">
        <f aca="false">MAX(0,MIN($F19,DQ$4)-MAX($E19,DQ$3)+1)/($F19-$E19+1)</f>
        <v>0</v>
      </c>
      <c r="DR19" s="54" t="n">
        <f aca="false">MAX(0,MIN($F19,DR$4)-MAX($E19,DR$3)+1)/($F19-$E19+1)</f>
        <v>0</v>
      </c>
      <c r="DS19" s="54" t="n">
        <f aca="false">MAX(0,MIN($F19,DS$4)-MAX($E19,DS$3)+1)/($F19-$E19+1)</f>
        <v>0</v>
      </c>
      <c r="DT19" s="54" t="n">
        <f aca="false">MAX(0,MIN($F19,DT$4)-MAX($E19,DT$3)+1)/($F19-$E19+1)</f>
        <v>0</v>
      </c>
      <c r="DU19" s="54" t="n">
        <f aca="false">MAX(0,MIN($F19,DU$4)-MAX($E19,DU$3)+1)/($F19-$E19+1)</f>
        <v>0</v>
      </c>
      <c r="DV19" s="54" t="n">
        <f aca="false">MAX(0,MIN($F19,DV$4)-MAX($E19,DV$3)+1)/($F19-$E19+1)</f>
        <v>0</v>
      </c>
      <c r="DW19" s="54" t="n">
        <f aca="false">MAX(0,MIN($F19,DW$4)-MAX($E19,DW$3)+1)/($F19-$E19+1)</f>
        <v>0</v>
      </c>
      <c r="DX19" s="54" t="n">
        <f aca="false">MAX(0,MIN($F19,DX$4)-MAX($E19,DX$3)+1)/($F19-$E19+1)</f>
        <v>0</v>
      </c>
      <c r="DY19" s="54" t="n">
        <f aca="false">MAX(0,MIN($F19,DY$4)-MAX($E19,DY$3)+1)/($F19-$E19+1)</f>
        <v>0</v>
      </c>
      <c r="DZ19" s="54" t="n">
        <f aca="false">MAX(0,MIN($F19,DZ$4)-MAX($E19,DZ$3)+1)/($F19-$E19+1)</f>
        <v>0</v>
      </c>
      <c r="EA19" s="54" t="n">
        <f aca="false">MAX(0,MIN($F19,EA$4)-MAX($E19,EA$3)+1)/($F19-$E19+1)</f>
        <v>0</v>
      </c>
      <c r="EB19" s="54" t="n">
        <f aca="false">MAX(0,MIN($F19,EB$4)-MAX($E19,EB$3)+1)/($F19-$E19+1)</f>
        <v>0</v>
      </c>
      <c r="EC19" s="54" t="n">
        <f aca="false">MAX(0,MIN($F19,EC$4)-MAX($E19,EC$3)+1)/($F19-$E19+1)</f>
        <v>0</v>
      </c>
      <c r="ED19" s="54" t="n">
        <f aca="false">MAX(0,MIN($F19,ED$4)-MAX($E19,ED$3)+1)/($F19-$E19+1)</f>
        <v>0</v>
      </c>
      <c r="EE19" s="54" t="n">
        <f aca="false">MAX(0,MIN($F19,EE$4)-MAX($E19,EE$3)+1)/($F19-$E19+1)</f>
        <v>0</v>
      </c>
      <c r="EF19" s="54" t="n">
        <f aca="false">MAX(0,MIN($F19,EF$4)-MAX($E19,EF$3)+1)/($F19-$E19+1)</f>
        <v>0</v>
      </c>
      <c r="EG19" s="54" t="n">
        <f aca="false">MAX(0,MIN($F19,EG$4)-MAX($E19,EG$3)+1)/($F19-$E19+1)</f>
        <v>0</v>
      </c>
      <c r="EH19" s="54" t="n">
        <f aca="false">MAX(0,MIN($F19,EH$4)-MAX($E19,EH$3)+1)/($F19-$E19+1)</f>
        <v>0</v>
      </c>
      <c r="EI19" s="54" t="n">
        <f aca="false">MAX(0,MIN($F19,EI$4)-MAX($E19,EI$3)+1)/($F19-$E19+1)</f>
        <v>0</v>
      </c>
      <c r="EJ19" s="54" t="n">
        <f aca="false">MAX(0,MIN($F19,EJ$4)-MAX($E19,EJ$3)+1)/($F19-$E19+1)</f>
        <v>0</v>
      </c>
      <c r="EK19" s="54" t="n">
        <f aca="false">MAX(0,MIN($F19,EK$4)-MAX($E19,EK$3)+1)/($F19-$E19+1)</f>
        <v>0</v>
      </c>
      <c r="EL19" s="54" t="n">
        <f aca="false">MAX(0,MIN($F19,EL$4)-MAX($E19,EL$3)+1)/($F19-$E19+1)</f>
        <v>0</v>
      </c>
      <c r="EM19" s="54" t="n">
        <f aca="false">MAX(0,MIN($F19,EM$4)-MAX($E19,EM$3)+1)/($F19-$E19+1)</f>
        <v>0</v>
      </c>
      <c r="EN19" s="54" t="n">
        <f aca="false">MAX(0,MIN($F19,EN$4)-MAX($E19,EN$3)+1)/($F19-$E19+1)</f>
        <v>0</v>
      </c>
      <c r="EO19" s="54" t="n">
        <f aca="false">MAX(0,MIN($F19,EO$4)-MAX($E19,EO$3)+1)/($F19-$E19+1)</f>
        <v>0</v>
      </c>
    </row>
    <row r="20" customFormat="false" ht="15" hidden="false" customHeight="false" outlineLevel="0" collapsed="false">
      <c r="C20" s="0" t="s">
        <v>379</v>
      </c>
      <c r="D20" s="11" t="s">
        <v>140</v>
      </c>
      <c r="J20" s="43" t="n">
        <f aca="false">ROUNDUP(YEARFRAC(In_COD,J$4),0)*(J$4&gt;In_COD)</f>
        <v>0</v>
      </c>
      <c r="K20" s="43" t="n">
        <f aca="false">ROUNDUP(YEARFRAC(In_COD,K$4),0)*(K$4&gt;In_COD)</f>
        <v>0</v>
      </c>
      <c r="L20" s="43" t="n">
        <f aca="false">ROUNDUP(YEARFRAC(In_COD,L$4),0)*(L$4&gt;In_COD)</f>
        <v>0</v>
      </c>
      <c r="M20" s="43" t="n">
        <f aca="false">ROUNDUP(YEARFRAC(In_COD,M$4),0)*(M$4&gt;In_COD)</f>
        <v>0</v>
      </c>
      <c r="N20" s="43" t="n">
        <f aca="false">ROUNDUP(YEARFRAC(In_COD,N$4),0)*(N$4&gt;In_COD)</f>
        <v>0</v>
      </c>
      <c r="O20" s="43" t="n">
        <f aca="false">ROUNDUP(YEARFRAC(In_COD,O$4),0)*(O$4&gt;In_COD)</f>
        <v>0</v>
      </c>
      <c r="P20" s="43" t="n">
        <f aca="false">ROUNDUP(YEARFRAC(In_COD,P$4),0)*(P$4&gt;In_COD)</f>
        <v>0</v>
      </c>
      <c r="Q20" s="43" t="n">
        <f aca="false">ROUNDUP(YEARFRAC(In_COD,Q$4),0)*(Q$4&gt;In_COD)</f>
        <v>0</v>
      </c>
      <c r="R20" s="43" t="n">
        <f aca="false">ROUNDUP(YEARFRAC(In_COD,R$4),0)*(R$4&gt;In_COD)</f>
        <v>0</v>
      </c>
      <c r="S20" s="43" t="n">
        <f aca="false">ROUNDUP(YEARFRAC(In_COD,S$4),0)*(S$4&gt;In_COD)</f>
        <v>0</v>
      </c>
      <c r="T20" s="43" t="n">
        <f aca="false">ROUNDUP(YEARFRAC(In_COD,T$4),0)*(T$4&gt;In_COD)</f>
        <v>0</v>
      </c>
      <c r="U20" s="43" t="n">
        <f aca="false">ROUNDUP(YEARFRAC(In_COD,U$4),0)*(U$4&gt;In_COD)</f>
        <v>0</v>
      </c>
      <c r="V20" s="43" t="n">
        <f aca="false">ROUNDUP(YEARFRAC(In_COD,V$4),0)*(V$4&gt;In_COD)</f>
        <v>0</v>
      </c>
      <c r="W20" s="43" t="n">
        <f aca="false">ROUNDUP(YEARFRAC(In_COD,W$4),0)*(W$4&gt;In_COD)</f>
        <v>0</v>
      </c>
      <c r="X20" s="43" t="n">
        <f aca="false">ROUNDUP(YEARFRAC(In_COD,X$4),0)*(X$4&gt;In_COD)</f>
        <v>0</v>
      </c>
      <c r="Y20" s="43" t="n">
        <f aca="false">ROUNDUP(YEARFRAC(In_COD,Y$4),0)*(Y$4&gt;In_COD)</f>
        <v>0</v>
      </c>
      <c r="Z20" s="43" t="n">
        <f aca="false">ROUNDUP(YEARFRAC(In_COD,Z$4),0)*(Z$4&gt;In_COD)</f>
        <v>1</v>
      </c>
      <c r="AA20" s="43" t="n">
        <f aca="false">ROUNDUP(YEARFRAC(In_COD,AA$4),0)*(AA$4&gt;In_COD)</f>
        <v>1</v>
      </c>
      <c r="AB20" s="43" t="n">
        <f aca="false">ROUNDUP(YEARFRAC(In_COD,AB$4),0)*(AB$4&gt;In_COD)</f>
        <v>1</v>
      </c>
      <c r="AC20" s="43" t="n">
        <f aca="false">ROUNDUP(YEARFRAC(In_COD,AC$4),0)*(AC$4&gt;In_COD)</f>
        <v>1</v>
      </c>
      <c r="AD20" s="43" t="n">
        <f aca="false">ROUNDUP(YEARFRAC(In_COD,AD$4),0)*(AD$4&gt;In_COD)</f>
        <v>2</v>
      </c>
      <c r="AE20" s="43" t="n">
        <f aca="false">ROUNDUP(YEARFRAC(In_COD,AE$4),0)*(AE$4&gt;In_COD)</f>
        <v>2</v>
      </c>
      <c r="AF20" s="43" t="n">
        <f aca="false">ROUNDUP(YEARFRAC(In_COD,AF$4),0)*(AF$4&gt;In_COD)</f>
        <v>2</v>
      </c>
      <c r="AG20" s="43" t="n">
        <f aca="false">ROUNDUP(YEARFRAC(In_COD,AG$4),0)*(AG$4&gt;In_COD)</f>
        <v>2</v>
      </c>
      <c r="AH20" s="43" t="n">
        <f aca="false">ROUNDUP(YEARFRAC(In_COD,AH$4),0)*(AH$4&gt;In_COD)</f>
        <v>3</v>
      </c>
      <c r="AI20" s="43" t="n">
        <f aca="false">ROUNDUP(YEARFRAC(In_COD,AI$4),0)*(AI$4&gt;In_COD)</f>
        <v>3</v>
      </c>
      <c r="AJ20" s="43" t="n">
        <f aca="false">ROUNDUP(YEARFRAC(In_COD,AJ$4),0)*(AJ$4&gt;In_COD)</f>
        <v>3</v>
      </c>
      <c r="AK20" s="43" t="n">
        <f aca="false">ROUNDUP(YEARFRAC(In_COD,AK$4),0)*(AK$4&gt;In_COD)</f>
        <v>3</v>
      </c>
      <c r="AL20" s="43" t="n">
        <f aca="false">ROUNDUP(YEARFRAC(In_COD,AL$4),0)*(AL$4&gt;In_COD)</f>
        <v>4</v>
      </c>
      <c r="AM20" s="43" t="n">
        <f aca="false">ROUNDUP(YEARFRAC(In_COD,AM$4),0)*(AM$4&gt;In_COD)</f>
        <v>4</v>
      </c>
      <c r="AN20" s="43" t="n">
        <f aca="false">ROUNDUP(YEARFRAC(In_COD,AN$4),0)*(AN$4&gt;In_COD)</f>
        <v>4</v>
      </c>
      <c r="AO20" s="43" t="n">
        <f aca="false">ROUNDUP(YEARFRAC(In_COD,AO$4),0)*(AO$4&gt;In_COD)</f>
        <v>4</v>
      </c>
      <c r="AP20" s="43" t="n">
        <f aca="false">ROUNDUP(YEARFRAC(In_COD,AP$4),0)*(AP$4&gt;In_COD)</f>
        <v>5</v>
      </c>
      <c r="AQ20" s="43" t="n">
        <f aca="false">ROUNDUP(YEARFRAC(In_COD,AQ$4),0)*(AQ$4&gt;In_COD)</f>
        <v>5</v>
      </c>
      <c r="AR20" s="43" t="n">
        <f aca="false">ROUNDUP(YEARFRAC(In_COD,AR$4),0)*(AR$4&gt;In_COD)</f>
        <v>5</v>
      </c>
      <c r="AS20" s="43" t="n">
        <f aca="false">ROUNDUP(YEARFRAC(In_COD,AS$4),0)*(AS$4&gt;In_COD)</f>
        <v>5</v>
      </c>
      <c r="AT20" s="43" t="n">
        <f aca="false">ROUNDUP(YEARFRAC(In_COD,AT$4),0)*(AT$4&gt;In_COD)</f>
        <v>6</v>
      </c>
      <c r="AU20" s="43" t="n">
        <f aca="false">ROUNDUP(YEARFRAC(In_COD,AU$4),0)*(AU$4&gt;In_COD)</f>
        <v>6</v>
      </c>
      <c r="AV20" s="43" t="n">
        <f aca="false">ROUNDUP(YEARFRAC(In_COD,AV$4),0)*(AV$4&gt;In_COD)</f>
        <v>6</v>
      </c>
      <c r="AW20" s="43" t="n">
        <f aca="false">ROUNDUP(YEARFRAC(In_COD,AW$4),0)*(AW$4&gt;In_COD)</f>
        <v>6</v>
      </c>
      <c r="AX20" s="43" t="n">
        <f aca="false">ROUNDUP(YEARFRAC(In_COD,AX$4),0)*(AX$4&gt;In_COD)</f>
        <v>7</v>
      </c>
      <c r="AY20" s="43" t="n">
        <f aca="false">ROUNDUP(YEARFRAC(In_COD,AY$4),0)*(AY$4&gt;In_COD)</f>
        <v>7</v>
      </c>
      <c r="AZ20" s="43" t="n">
        <f aca="false">ROUNDUP(YEARFRAC(In_COD,AZ$4),0)*(AZ$4&gt;In_COD)</f>
        <v>7</v>
      </c>
      <c r="BA20" s="43" t="n">
        <f aca="false">ROUNDUP(YEARFRAC(In_COD,BA$4),0)*(BA$4&gt;In_COD)</f>
        <v>7</v>
      </c>
      <c r="BB20" s="43" t="n">
        <f aca="false">ROUNDUP(YEARFRAC(In_COD,BB$4),0)*(BB$4&gt;In_COD)</f>
        <v>8</v>
      </c>
      <c r="BC20" s="43" t="n">
        <f aca="false">ROUNDUP(YEARFRAC(In_COD,BC$4),0)*(BC$4&gt;In_COD)</f>
        <v>8</v>
      </c>
      <c r="BD20" s="43" t="n">
        <f aca="false">ROUNDUP(YEARFRAC(In_COD,BD$4),0)*(BD$4&gt;In_COD)</f>
        <v>8</v>
      </c>
      <c r="BE20" s="43" t="n">
        <f aca="false">ROUNDUP(YEARFRAC(In_COD,BE$4),0)*(BE$4&gt;In_COD)</f>
        <v>8</v>
      </c>
      <c r="BF20" s="43" t="n">
        <f aca="false">ROUNDUP(YEARFRAC(In_COD,BF$4),0)*(BF$4&gt;In_COD)</f>
        <v>9</v>
      </c>
      <c r="BG20" s="43" t="n">
        <f aca="false">ROUNDUP(YEARFRAC(In_COD,BG$4),0)*(BG$4&gt;In_COD)</f>
        <v>9</v>
      </c>
      <c r="BH20" s="43" t="n">
        <f aca="false">ROUNDUP(YEARFRAC(In_COD,BH$4),0)*(BH$4&gt;In_COD)</f>
        <v>9</v>
      </c>
      <c r="BI20" s="43" t="n">
        <f aca="false">ROUNDUP(YEARFRAC(In_COD,BI$4),0)*(BI$4&gt;In_COD)</f>
        <v>9</v>
      </c>
      <c r="BJ20" s="43" t="n">
        <f aca="false">ROUNDUP(YEARFRAC(In_COD,BJ$4),0)*(BJ$4&gt;In_COD)</f>
        <v>10</v>
      </c>
      <c r="BK20" s="43" t="n">
        <f aca="false">ROUNDUP(YEARFRAC(In_COD,BK$4),0)*(BK$4&gt;In_COD)</f>
        <v>10</v>
      </c>
      <c r="BL20" s="43" t="n">
        <f aca="false">ROUNDUP(YEARFRAC(In_COD,BL$4),0)*(BL$4&gt;In_COD)</f>
        <v>10</v>
      </c>
      <c r="BM20" s="43" t="n">
        <f aca="false">ROUNDUP(YEARFRAC(In_COD,BM$4),0)*(BM$4&gt;In_COD)</f>
        <v>10</v>
      </c>
      <c r="BN20" s="43" t="n">
        <f aca="false">ROUNDUP(YEARFRAC(In_COD,BN$4),0)*(BN$4&gt;In_COD)</f>
        <v>11</v>
      </c>
      <c r="BO20" s="43" t="n">
        <f aca="false">ROUNDUP(YEARFRAC(In_COD,BO$4),0)*(BO$4&gt;In_COD)</f>
        <v>11</v>
      </c>
      <c r="BP20" s="43" t="n">
        <f aca="false">ROUNDUP(YEARFRAC(In_COD,BP$4),0)*(BP$4&gt;In_COD)</f>
        <v>11</v>
      </c>
      <c r="BQ20" s="43" t="n">
        <f aca="false">ROUNDUP(YEARFRAC(In_COD,BQ$4),0)*(BQ$4&gt;In_COD)</f>
        <v>11</v>
      </c>
      <c r="BR20" s="43" t="n">
        <f aca="false">ROUNDUP(YEARFRAC(In_COD,BR$4),0)*(BR$4&gt;In_COD)</f>
        <v>12</v>
      </c>
      <c r="BS20" s="43" t="n">
        <f aca="false">ROUNDUP(YEARFRAC(In_COD,BS$4),0)*(BS$4&gt;In_COD)</f>
        <v>12</v>
      </c>
      <c r="BT20" s="43" t="n">
        <f aca="false">ROUNDUP(YEARFRAC(In_COD,BT$4),0)*(BT$4&gt;In_COD)</f>
        <v>12</v>
      </c>
      <c r="BU20" s="43" t="n">
        <f aca="false">ROUNDUP(YEARFRAC(In_COD,BU$4),0)*(BU$4&gt;In_COD)</f>
        <v>12</v>
      </c>
      <c r="BV20" s="43" t="n">
        <f aca="false">ROUNDUP(YEARFRAC(In_COD,BV$4),0)*(BV$4&gt;In_COD)</f>
        <v>13</v>
      </c>
      <c r="BW20" s="43" t="n">
        <f aca="false">ROUNDUP(YEARFRAC(In_COD,BW$4),0)*(BW$4&gt;In_COD)</f>
        <v>13</v>
      </c>
      <c r="BX20" s="43" t="n">
        <f aca="false">ROUNDUP(YEARFRAC(In_COD,BX$4),0)*(BX$4&gt;In_COD)</f>
        <v>13</v>
      </c>
      <c r="BY20" s="43" t="n">
        <f aca="false">ROUNDUP(YEARFRAC(In_COD,BY$4),0)*(BY$4&gt;In_COD)</f>
        <v>13</v>
      </c>
      <c r="BZ20" s="43" t="n">
        <f aca="false">ROUNDUP(YEARFRAC(In_COD,BZ$4),0)*(BZ$4&gt;In_COD)</f>
        <v>14</v>
      </c>
      <c r="CA20" s="43" t="n">
        <f aca="false">ROUNDUP(YEARFRAC(In_COD,CA$4),0)*(CA$4&gt;In_COD)</f>
        <v>14</v>
      </c>
      <c r="CB20" s="43" t="n">
        <f aca="false">ROUNDUP(YEARFRAC(In_COD,CB$4),0)*(CB$4&gt;In_COD)</f>
        <v>14</v>
      </c>
      <c r="CC20" s="43" t="n">
        <f aca="false">ROUNDUP(YEARFRAC(In_COD,CC$4),0)*(CC$4&gt;In_COD)</f>
        <v>14</v>
      </c>
      <c r="CD20" s="43" t="n">
        <f aca="false">ROUNDUP(YEARFRAC(In_COD,CD$4),0)*(CD$4&gt;In_COD)</f>
        <v>15</v>
      </c>
      <c r="CE20" s="43" t="n">
        <f aca="false">ROUNDUP(YEARFRAC(In_COD,CE$4),0)*(CE$4&gt;In_COD)</f>
        <v>15</v>
      </c>
      <c r="CF20" s="43" t="n">
        <f aca="false">ROUNDUP(YEARFRAC(In_COD,CF$4),0)*(CF$4&gt;In_COD)</f>
        <v>15</v>
      </c>
      <c r="CG20" s="43" t="n">
        <f aca="false">ROUNDUP(YEARFRAC(In_COD,CG$4),0)*(CG$4&gt;In_COD)</f>
        <v>15</v>
      </c>
      <c r="CH20" s="43" t="n">
        <f aca="false">ROUNDUP(YEARFRAC(In_COD,CH$4),0)*(CH$4&gt;In_COD)</f>
        <v>16</v>
      </c>
      <c r="CI20" s="43" t="n">
        <f aca="false">ROUNDUP(YEARFRAC(In_COD,CI$4),0)*(CI$4&gt;In_COD)</f>
        <v>16</v>
      </c>
      <c r="CJ20" s="43" t="n">
        <f aca="false">ROUNDUP(YEARFRAC(In_COD,CJ$4),0)*(CJ$4&gt;In_COD)</f>
        <v>16</v>
      </c>
      <c r="CK20" s="43" t="n">
        <f aca="false">ROUNDUP(YEARFRAC(In_COD,CK$4),0)*(CK$4&gt;In_COD)</f>
        <v>16</v>
      </c>
      <c r="CL20" s="43" t="n">
        <f aca="false">ROUNDUP(YEARFRAC(In_COD,CL$4),0)*(CL$4&gt;In_COD)</f>
        <v>17</v>
      </c>
      <c r="CM20" s="43" t="n">
        <f aca="false">ROUNDUP(YEARFRAC(In_COD,CM$4),0)*(CM$4&gt;In_COD)</f>
        <v>17</v>
      </c>
      <c r="CN20" s="43" t="n">
        <f aca="false">ROUNDUP(YEARFRAC(In_COD,CN$4),0)*(CN$4&gt;In_COD)</f>
        <v>17</v>
      </c>
      <c r="CO20" s="43" t="n">
        <f aca="false">ROUNDUP(YEARFRAC(In_COD,CO$4),0)*(CO$4&gt;In_COD)</f>
        <v>17</v>
      </c>
      <c r="CP20" s="43" t="n">
        <f aca="false">ROUNDUP(YEARFRAC(In_COD,CP$4),0)*(CP$4&gt;In_COD)</f>
        <v>18</v>
      </c>
      <c r="CQ20" s="43" t="n">
        <f aca="false">ROUNDUP(YEARFRAC(In_COD,CQ$4),0)*(CQ$4&gt;In_COD)</f>
        <v>18</v>
      </c>
      <c r="CR20" s="43" t="n">
        <f aca="false">ROUNDUP(YEARFRAC(In_COD,CR$4),0)*(CR$4&gt;In_COD)</f>
        <v>18</v>
      </c>
      <c r="CS20" s="43" t="n">
        <f aca="false">ROUNDUP(YEARFRAC(In_COD,CS$4),0)*(CS$4&gt;In_COD)</f>
        <v>18</v>
      </c>
      <c r="CT20" s="43" t="n">
        <f aca="false">ROUNDUP(YEARFRAC(In_COD,CT$4),0)*(CT$4&gt;In_COD)</f>
        <v>19</v>
      </c>
      <c r="CU20" s="43" t="n">
        <f aca="false">ROUNDUP(YEARFRAC(In_COD,CU$4),0)*(CU$4&gt;In_COD)</f>
        <v>19</v>
      </c>
      <c r="CV20" s="43" t="n">
        <f aca="false">ROUNDUP(YEARFRAC(In_COD,CV$4),0)*(CV$4&gt;In_COD)</f>
        <v>19</v>
      </c>
      <c r="CW20" s="43" t="n">
        <f aca="false">ROUNDUP(YEARFRAC(In_COD,CW$4),0)*(CW$4&gt;In_COD)</f>
        <v>19</v>
      </c>
      <c r="CX20" s="43" t="n">
        <f aca="false">ROUNDUP(YEARFRAC(In_COD,CX$4),0)*(CX$4&gt;In_COD)</f>
        <v>20</v>
      </c>
      <c r="CY20" s="43" t="n">
        <f aca="false">ROUNDUP(YEARFRAC(In_COD,CY$4),0)*(CY$4&gt;In_COD)</f>
        <v>20</v>
      </c>
      <c r="CZ20" s="43" t="n">
        <f aca="false">ROUNDUP(YEARFRAC(In_COD,CZ$4),0)*(CZ$4&gt;In_COD)</f>
        <v>20</v>
      </c>
      <c r="DA20" s="43" t="n">
        <f aca="false">ROUNDUP(YEARFRAC(In_COD,DA$4),0)*(DA$4&gt;In_COD)</f>
        <v>20</v>
      </c>
      <c r="DB20" s="43" t="n">
        <f aca="false">ROUNDUP(YEARFRAC(In_COD,DB$4),0)*(DB$4&gt;In_COD)</f>
        <v>21</v>
      </c>
      <c r="DC20" s="43" t="n">
        <f aca="false">ROUNDUP(YEARFRAC(In_COD,DC$4),0)*(DC$4&gt;In_COD)</f>
        <v>21</v>
      </c>
      <c r="DD20" s="43" t="n">
        <f aca="false">ROUNDUP(YEARFRAC(In_COD,DD$4),0)*(DD$4&gt;In_COD)</f>
        <v>21</v>
      </c>
      <c r="DE20" s="43" t="n">
        <f aca="false">ROUNDUP(YEARFRAC(In_COD,DE$4),0)*(DE$4&gt;In_COD)</f>
        <v>21</v>
      </c>
      <c r="DF20" s="43" t="n">
        <f aca="false">ROUNDUP(YEARFRAC(In_COD,DF$4),0)*(DF$4&gt;In_COD)</f>
        <v>22</v>
      </c>
      <c r="DG20" s="43" t="n">
        <f aca="false">ROUNDUP(YEARFRAC(In_COD,DG$4),0)*(DG$4&gt;In_COD)</f>
        <v>22</v>
      </c>
      <c r="DH20" s="43" t="n">
        <f aca="false">ROUNDUP(YEARFRAC(In_COD,DH$4),0)*(DH$4&gt;In_COD)</f>
        <v>22</v>
      </c>
      <c r="DI20" s="43" t="n">
        <f aca="false">ROUNDUP(YEARFRAC(In_COD,DI$4),0)*(DI$4&gt;In_COD)</f>
        <v>22</v>
      </c>
      <c r="DJ20" s="43" t="n">
        <f aca="false">ROUNDUP(YEARFRAC(In_COD,DJ$4),0)*(DJ$4&gt;In_COD)</f>
        <v>23</v>
      </c>
      <c r="DK20" s="43" t="n">
        <f aca="false">ROUNDUP(YEARFRAC(In_COD,DK$4),0)*(DK$4&gt;In_COD)</f>
        <v>23</v>
      </c>
      <c r="DL20" s="43" t="n">
        <f aca="false">ROUNDUP(YEARFRAC(In_COD,DL$4),0)*(DL$4&gt;In_COD)</f>
        <v>23</v>
      </c>
      <c r="DM20" s="43" t="n">
        <f aca="false">ROUNDUP(YEARFRAC(In_COD,DM$4),0)*(DM$4&gt;In_COD)</f>
        <v>23</v>
      </c>
      <c r="DN20" s="43" t="n">
        <f aca="false">ROUNDUP(YEARFRAC(In_COD,DN$4),0)*(DN$4&gt;In_COD)</f>
        <v>24</v>
      </c>
      <c r="DO20" s="43" t="n">
        <f aca="false">ROUNDUP(YEARFRAC(In_COD,DO$4),0)*(DO$4&gt;In_COD)</f>
        <v>24</v>
      </c>
      <c r="DP20" s="43" t="n">
        <f aca="false">ROUNDUP(YEARFRAC(In_COD,DP$4),0)*(DP$4&gt;In_COD)</f>
        <v>24</v>
      </c>
      <c r="DQ20" s="43" t="n">
        <f aca="false">ROUNDUP(YEARFRAC(In_COD,DQ$4),0)*(DQ$4&gt;In_COD)</f>
        <v>24</v>
      </c>
      <c r="DR20" s="43" t="n">
        <f aca="false">ROUNDUP(YEARFRAC(In_COD,DR$4),0)*(DR$4&gt;In_COD)</f>
        <v>25</v>
      </c>
      <c r="DS20" s="43" t="n">
        <f aca="false">ROUNDUP(YEARFRAC(In_COD,DS$4),0)*(DS$4&gt;In_COD)</f>
        <v>25</v>
      </c>
      <c r="DT20" s="43" t="n">
        <f aca="false">ROUNDUP(YEARFRAC(In_COD,DT$4),0)*(DT$4&gt;In_COD)</f>
        <v>25</v>
      </c>
      <c r="DU20" s="43" t="n">
        <f aca="false">ROUNDUP(YEARFRAC(In_COD,DU$4),0)*(DU$4&gt;In_COD)</f>
        <v>25</v>
      </c>
      <c r="DV20" s="43" t="n">
        <f aca="false">ROUNDUP(YEARFRAC(In_COD,DV$4),0)*(DV$4&gt;In_COD)</f>
        <v>26</v>
      </c>
      <c r="DW20" s="43" t="n">
        <f aca="false">ROUNDUP(YEARFRAC(In_COD,DW$4),0)*(DW$4&gt;In_COD)</f>
        <v>26</v>
      </c>
      <c r="DX20" s="43" t="n">
        <f aca="false">ROUNDUP(YEARFRAC(In_COD,DX$4),0)*(DX$4&gt;In_COD)</f>
        <v>26</v>
      </c>
      <c r="DY20" s="43" t="n">
        <f aca="false">ROUNDUP(YEARFRAC(In_COD,DY$4),0)*(DY$4&gt;In_COD)</f>
        <v>26</v>
      </c>
      <c r="DZ20" s="43" t="n">
        <f aca="false">ROUNDUP(YEARFRAC(In_COD,DZ$4),0)*(DZ$4&gt;In_COD)</f>
        <v>27</v>
      </c>
      <c r="EA20" s="43" t="n">
        <f aca="false">ROUNDUP(YEARFRAC(In_COD,EA$4),0)*(EA$4&gt;In_COD)</f>
        <v>27</v>
      </c>
      <c r="EB20" s="43" t="n">
        <f aca="false">ROUNDUP(YEARFRAC(In_COD,EB$4),0)*(EB$4&gt;In_COD)</f>
        <v>27</v>
      </c>
      <c r="EC20" s="43" t="n">
        <f aca="false">ROUNDUP(YEARFRAC(In_COD,EC$4),0)*(EC$4&gt;In_COD)</f>
        <v>27</v>
      </c>
      <c r="ED20" s="43" t="n">
        <f aca="false">ROUNDUP(YEARFRAC(In_COD,ED$4),0)*(ED$4&gt;In_COD)</f>
        <v>28</v>
      </c>
      <c r="EE20" s="43" t="n">
        <f aca="false">ROUNDUP(YEARFRAC(In_COD,EE$4),0)*(EE$4&gt;In_COD)</f>
        <v>28</v>
      </c>
      <c r="EF20" s="43" t="n">
        <f aca="false">ROUNDUP(YEARFRAC(In_COD,EF$4),0)*(EF$4&gt;In_COD)</f>
        <v>28</v>
      </c>
      <c r="EG20" s="43" t="n">
        <f aca="false">ROUNDUP(YEARFRAC(In_COD,EG$4),0)*(EG$4&gt;In_COD)</f>
        <v>28</v>
      </c>
      <c r="EH20" s="43" t="n">
        <f aca="false">ROUNDUP(YEARFRAC(In_COD,EH$4),0)*(EH$4&gt;In_COD)</f>
        <v>29</v>
      </c>
      <c r="EI20" s="43" t="n">
        <f aca="false">ROUNDUP(YEARFRAC(In_COD,EI$4),0)*(EI$4&gt;In_COD)</f>
        <v>29</v>
      </c>
      <c r="EJ20" s="43" t="n">
        <f aca="false">ROUNDUP(YEARFRAC(In_COD,EJ$4),0)*(EJ$4&gt;In_COD)</f>
        <v>29</v>
      </c>
      <c r="EK20" s="43" t="n">
        <f aca="false">ROUNDUP(YEARFRAC(In_COD,EK$4),0)*(EK$4&gt;In_COD)</f>
        <v>29</v>
      </c>
      <c r="EL20" s="43" t="n">
        <f aca="false">ROUNDUP(YEARFRAC(In_COD,EL$4),0)*(EL$4&gt;In_COD)</f>
        <v>30</v>
      </c>
      <c r="EM20" s="43" t="n">
        <f aca="false">ROUNDUP(YEARFRAC(In_COD,EM$4),0)*(EM$4&gt;In_COD)</f>
        <v>30</v>
      </c>
      <c r="EN20" s="43" t="n">
        <f aca="false">ROUNDUP(YEARFRAC(In_COD,EN$4),0)*(EN$4&gt;In_COD)</f>
        <v>30</v>
      </c>
      <c r="EO20" s="43" t="n">
        <f aca="false">ROUNDUP(YEARFRAC(In_COD,EO$4),0)*(EO$4&gt;In_COD)</f>
        <v>30</v>
      </c>
    </row>
    <row r="21" customFormat="false" ht="15" hidden="false" customHeight="false" outlineLevel="0" collapsed="false">
      <c r="C21" s="0" t="s">
        <v>380</v>
      </c>
      <c r="D21" s="11" t="s">
        <v>368</v>
      </c>
      <c r="E21" s="54" t="n">
        <f aca="false">SUMIF($J$4:$EO$4,In_COD,$J21:$EO21)</f>
        <v>1.21988954770292</v>
      </c>
      <c r="F21" s="55" t="n">
        <f aca="false">In_Debt_Rate*Months_Per_Period/Months_In_Year</f>
        <v>0.0125</v>
      </c>
      <c r="J21" s="54" t="n">
        <f aca="false">(1+$F21)^J$8</f>
        <v>1.0125</v>
      </c>
      <c r="K21" s="54" t="n">
        <f aca="false">(1+$F21)^K$8</f>
        <v>1.02515625</v>
      </c>
      <c r="L21" s="54" t="n">
        <f aca="false">(1+$F21)^L$8</f>
        <v>1.037970703125</v>
      </c>
      <c r="M21" s="54" t="n">
        <f aca="false">(1+$F21)^M$8</f>
        <v>1.05094533691406</v>
      </c>
      <c r="N21" s="54" t="n">
        <f aca="false">(1+$F21)^N$8</f>
        <v>1.06408215362549</v>
      </c>
      <c r="O21" s="54" t="n">
        <f aca="false">(1+$F21)^O$8</f>
        <v>1.07738318054581</v>
      </c>
      <c r="P21" s="54" t="n">
        <f aca="false">(1+$F21)^P$8</f>
        <v>1.09085047030263</v>
      </c>
      <c r="Q21" s="54" t="n">
        <f aca="false">(1+$F21)^Q$8</f>
        <v>1.10448610118141</v>
      </c>
      <c r="R21" s="54" t="n">
        <f aca="false">(1+$F21)^R$8</f>
        <v>1.11829217744618</v>
      </c>
      <c r="S21" s="54" t="n">
        <f aca="false">(1+$F21)^S$8</f>
        <v>1.13227082966426</v>
      </c>
      <c r="T21" s="54" t="n">
        <f aca="false">(1+$F21)^T$8</f>
        <v>1.14642421503506</v>
      </c>
      <c r="U21" s="54" t="n">
        <f aca="false">(1+$F21)^U$8</f>
        <v>1.160754517723</v>
      </c>
      <c r="V21" s="54" t="n">
        <f aca="false">(1+$F21)^V$8</f>
        <v>1.17526394919454</v>
      </c>
      <c r="W21" s="54" t="n">
        <f aca="false">(1+$F21)^W$8</f>
        <v>1.18995474855947</v>
      </c>
      <c r="X21" s="54" t="n">
        <f aca="false">(1+$F21)^X$8</f>
        <v>1.20482918291646</v>
      </c>
      <c r="Y21" s="54" t="n">
        <f aca="false">(1+$F21)^Y$8</f>
        <v>1.21988954770292</v>
      </c>
      <c r="Z21" s="54" t="n">
        <f aca="false">(1+$F21)^Z$8</f>
        <v>1.2351381670492</v>
      </c>
      <c r="AA21" s="54" t="n">
        <f aca="false">(1+$F21)^AA$8</f>
        <v>1.25057739413732</v>
      </c>
      <c r="AB21" s="54" t="n">
        <f aca="false">(1+$F21)^AB$8</f>
        <v>1.26620961156403</v>
      </c>
      <c r="AC21" s="54" t="n">
        <f aca="false">(1+$F21)^AC$8</f>
        <v>1.28203723170858</v>
      </c>
      <c r="AD21" s="54" t="n">
        <f aca="false">(1+$F21)^AD$8</f>
        <v>1.29806269710494</v>
      </c>
      <c r="AE21" s="54" t="n">
        <f aca="false">(1+$F21)^AE$8</f>
        <v>1.31428848081875</v>
      </c>
      <c r="AF21" s="54" t="n">
        <f aca="false">(1+$F21)^AF$8</f>
        <v>1.33071708682899</v>
      </c>
      <c r="AG21" s="54" t="n">
        <f aca="false">(1+$F21)^AG$8</f>
        <v>1.34735105041435</v>
      </c>
      <c r="AH21" s="54" t="n">
        <f aca="false">(1+$F21)^AH$8</f>
        <v>1.36419293854453</v>
      </c>
      <c r="AI21" s="54" t="n">
        <f aca="false">(1+$F21)^AI$8</f>
        <v>1.38124535027634</v>
      </c>
      <c r="AJ21" s="54" t="n">
        <f aca="false">(1+$F21)^AJ$8</f>
        <v>1.39851091715479</v>
      </c>
      <c r="AK21" s="54" t="n">
        <f aca="false">(1+$F21)^AK$8</f>
        <v>1.41599230361922</v>
      </c>
      <c r="AL21" s="54" t="n">
        <f aca="false">(1+$F21)^AL$8</f>
        <v>1.43369220741447</v>
      </c>
      <c r="AM21" s="54" t="n">
        <f aca="false">(1+$F21)^AM$8</f>
        <v>1.45161336000715</v>
      </c>
      <c r="AN21" s="54" t="n">
        <f aca="false">(1+$F21)^AN$8</f>
        <v>1.46975852700724</v>
      </c>
      <c r="AO21" s="54" t="n">
        <f aca="false">(1+$F21)^AO$8</f>
        <v>1.48813050859483</v>
      </c>
      <c r="AP21" s="54" t="n">
        <f aca="false">(1+$F21)^AP$8</f>
        <v>1.50673213995226</v>
      </c>
      <c r="AQ21" s="54" t="n">
        <f aca="false">(1+$F21)^AQ$8</f>
        <v>1.52556629170166</v>
      </c>
      <c r="AR21" s="54" t="n">
        <f aca="false">(1+$F21)^AR$8</f>
        <v>1.54463587034793</v>
      </c>
      <c r="AS21" s="54" t="n">
        <f aca="false">(1+$F21)^AS$8</f>
        <v>1.56394381872728</v>
      </c>
      <c r="AT21" s="54" t="n">
        <f aca="false">(1+$F21)^AT$8</f>
        <v>1.58349311646137</v>
      </c>
      <c r="AU21" s="54" t="n">
        <f aca="false">(1+$F21)^AU$8</f>
        <v>1.60328678041714</v>
      </c>
      <c r="AV21" s="54" t="n">
        <f aca="false">(1+$F21)^AV$8</f>
        <v>1.62332786517236</v>
      </c>
      <c r="AW21" s="54" t="n">
        <f aca="false">(1+$F21)^AW$8</f>
        <v>1.64361946348701</v>
      </c>
      <c r="AX21" s="54" t="n">
        <f aca="false">(1+$F21)^AX$8</f>
        <v>1.6641647067806</v>
      </c>
      <c r="AY21" s="54" t="n">
        <f aca="false">(1+$F21)^AY$8</f>
        <v>1.68496676561536</v>
      </c>
      <c r="AZ21" s="54" t="n">
        <f aca="false">(1+$F21)^AZ$8</f>
        <v>1.70602885018555</v>
      </c>
      <c r="BA21" s="54" t="n">
        <f aca="false">(1+$F21)^BA$8</f>
        <v>1.72735421081287</v>
      </c>
      <c r="BB21" s="54" t="n">
        <f aca="false">(1+$F21)^BB$8</f>
        <v>1.74894613844803</v>
      </c>
      <c r="BC21" s="54" t="n">
        <f aca="false">(1+$F21)^BC$8</f>
        <v>1.77080796517863</v>
      </c>
      <c r="BD21" s="54" t="n">
        <f aca="false">(1+$F21)^BD$8</f>
        <v>1.79294306474336</v>
      </c>
      <c r="BE21" s="54" t="n">
        <f aca="false">(1+$F21)^BE$8</f>
        <v>1.81535485305265</v>
      </c>
      <c r="BF21" s="54" t="n">
        <f aca="false">(1+$F21)^BF$8</f>
        <v>1.83804678871581</v>
      </c>
      <c r="BG21" s="54" t="n">
        <f aca="false">(1+$F21)^BG$8</f>
        <v>1.86102237357476</v>
      </c>
      <c r="BH21" s="54" t="n">
        <f aca="false">(1+$F21)^BH$8</f>
        <v>1.88428515324444</v>
      </c>
      <c r="BI21" s="54" t="n">
        <f aca="false">(1+$F21)^BI$8</f>
        <v>1.90783871766</v>
      </c>
      <c r="BJ21" s="54" t="n">
        <f aca="false">(1+$F21)^BJ$8</f>
        <v>1.93168670163075</v>
      </c>
      <c r="BK21" s="54" t="n">
        <f aca="false">(1+$F21)^BK$8</f>
        <v>1.95583278540113</v>
      </c>
      <c r="BL21" s="54" t="n">
        <f aca="false">(1+$F21)^BL$8</f>
        <v>1.98028069521865</v>
      </c>
      <c r="BM21" s="54" t="n">
        <f aca="false">(1+$F21)^BM$8</f>
        <v>2.00503420390888</v>
      </c>
      <c r="BN21" s="54" t="n">
        <f aca="false">(1+$F21)^BN$8</f>
        <v>2.03009713145774</v>
      </c>
      <c r="BO21" s="54" t="n">
        <f aca="false">(1+$F21)^BO$8</f>
        <v>2.05547334560096</v>
      </c>
      <c r="BP21" s="54" t="n">
        <f aca="false">(1+$F21)^BP$8</f>
        <v>2.08116676242097</v>
      </c>
      <c r="BQ21" s="54" t="n">
        <f aca="false">(1+$F21)^BQ$8</f>
        <v>2.10718134695124</v>
      </c>
      <c r="BR21" s="54" t="n">
        <f aca="false">(1+$F21)^BR$8</f>
        <v>2.13352111378813</v>
      </c>
      <c r="BS21" s="54" t="n">
        <f aca="false">(1+$F21)^BS$8</f>
        <v>2.16019012771048</v>
      </c>
      <c r="BT21" s="54" t="n">
        <f aca="false">(1+$F21)^BT$8</f>
        <v>2.18719250430686</v>
      </c>
      <c r="BU21" s="54" t="n">
        <f aca="false">(1+$F21)^BU$8</f>
        <v>2.21453241061069</v>
      </c>
      <c r="BV21" s="54" t="n">
        <f aca="false">(1+$F21)^BV$8</f>
        <v>2.24221406574333</v>
      </c>
      <c r="BW21" s="54" t="n">
        <f aca="false">(1+$F21)^BW$8</f>
        <v>2.27024174156512</v>
      </c>
      <c r="BX21" s="54" t="n">
        <f aca="false">(1+$F21)^BX$8</f>
        <v>2.29861976333468</v>
      </c>
      <c r="BY21" s="54" t="n">
        <f aca="false">(1+$F21)^BY$8</f>
        <v>2.32735251037637</v>
      </c>
      <c r="BZ21" s="54" t="n">
        <f aca="false">(1+$F21)^BZ$8</f>
        <v>2.35644441675607</v>
      </c>
      <c r="CA21" s="54" t="n">
        <f aca="false">(1+$F21)^CA$8</f>
        <v>2.38589997196552</v>
      </c>
      <c r="CB21" s="54" t="n">
        <f aca="false">(1+$F21)^CB$8</f>
        <v>2.41572372161509</v>
      </c>
      <c r="CC21" s="54" t="n">
        <f aca="false">(1+$F21)^CC$8</f>
        <v>2.44592026813528</v>
      </c>
      <c r="CD21" s="54" t="n">
        <f aca="false">(1+$F21)^CD$8</f>
        <v>2.47649427148697</v>
      </c>
      <c r="CE21" s="54" t="n">
        <f aca="false">(1+$F21)^CE$8</f>
        <v>2.50745044988056</v>
      </c>
      <c r="CF21" s="54" t="n">
        <f aca="false">(1+$F21)^CF$8</f>
        <v>2.53879358050406</v>
      </c>
      <c r="CG21" s="54" t="n">
        <f aca="false">(1+$F21)^CG$8</f>
        <v>2.57052850026036</v>
      </c>
      <c r="CH21" s="54" t="n">
        <f aca="false">(1+$F21)^CH$8</f>
        <v>2.60266010651362</v>
      </c>
      <c r="CI21" s="54" t="n">
        <f aca="false">(1+$F21)^CI$8</f>
        <v>2.63519335784504</v>
      </c>
      <c r="CJ21" s="54" t="n">
        <f aca="false">(1+$F21)^CJ$8</f>
        <v>2.6681332748181</v>
      </c>
      <c r="CK21" s="54" t="n">
        <f aca="false">(1+$F21)^CK$8</f>
        <v>2.70148494075333</v>
      </c>
      <c r="CL21" s="54" t="n">
        <f aca="false">(1+$F21)^CL$8</f>
        <v>2.73525350251274</v>
      </c>
      <c r="CM21" s="54" t="n">
        <f aca="false">(1+$F21)^CM$8</f>
        <v>2.76944417129415</v>
      </c>
      <c r="CN21" s="54" t="n">
        <f aca="false">(1+$F21)^CN$8</f>
        <v>2.80406222343533</v>
      </c>
      <c r="CO21" s="54" t="n">
        <f aca="false">(1+$F21)^CO$8</f>
        <v>2.83911300122827</v>
      </c>
      <c r="CP21" s="54" t="n">
        <f aca="false">(1+$F21)^CP$8</f>
        <v>2.87460191374363</v>
      </c>
      <c r="CQ21" s="54" t="n">
        <f aca="false">(1+$F21)^CQ$8</f>
        <v>2.91053443766542</v>
      </c>
      <c r="CR21" s="54" t="n">
        <f aca="false">(1+$F21)^CR$8</f>
        <v>2.94691611813624</v>
      </c>
      <c r="CS21" s="54" t="n">
        <f aca="false">(1+$F21)^CS$8</f>
        <v>2.98375256961294</v>
      </c>
      <c r="CT21" s="54" t="n">
        <f aca="false">(1+$F21)^CT$8</f>
        <v>3.0210494767331</v>
      </c>
      <c r="CU21" s="54" t="n">
        <f aca="false">(1+$F21)^CU$8</f>
        <v>3.05881259519227</v>
      </c>
      <c r="CV21" s="54" t="n">
        <f aca="false">(1+$F21)^CV$8</f>
        <v>3.09704775263217</v>
      </c>
      <c r="CW21" s="54" t="n">
        <f aca="false">(1+$F21)^CW$8</f>
        <v>3.13576084954007</v>
      </c>
      <c r="CX21" s="54" t="n">
        <f aca="false">(1+$F21)^CX$8</f>
        <v>3.17495786015932</v>
      </c>
      <c r="CY21" s="54" t="n">
        <f aca="false">(1+$F21)^CY$8</f>
        <v>3.21464483341131</v>
      </c>
      <c r="CZ21" s="54" t="n">
        <f aca="false">(1+$F21)^CZ$8</f>
        <v>3.25482789382895</v>
      </c>
      <c r="DA21" s="54" t="n">
        <f aca="false">(1+$F21)^DA$8</f>
        <v>3.29551324250182</v>
      </c>
      <c r="DB21" s="54" t="n">
        <f aca="false">(1+$F21)^DB$8</f>
        <v>3.33670715803309</v>
      </c>
      <c r="DC21" s="54" t="n">
        <f aca="false">(1+$F21)^DC$8</f>
        <v>3.3784159975085</v>
      </c>
      <c r="DD21" s="54" t="n">
        <f aca="false">(1+$F21)^DD$8</f>
        <v>3.42064619747736</v>
      </c>
      <c r="DE21" s="54" t="n">
        <f aca="false">(1+$F21)^DE$8</f>
        <v>3.46340427494583</v>
      </c>
      <c r="DF21" s="54" t="n">
        <f aca="false">(1+$F21)^DF$8</f>
        <v>3.50669682838265</v>
      </c>
      <c r="DG21" s="54" t="n">
        <f aca="false">(1+$F21)^DG$8</f>
        <v>3.55053053873743</v>
      </c>
      <c r="DH21" s="54" t="n">
        <f aca="false">(1+$F21)^DH$8</f>
        <v>3.59491217047165</v>
      </c>
      <c r="DI21" s="54" t="n">
        <f aca="false">(1+$F21)^DI$8</f>
        <v>3.63984857260254</v>
      </c>
      <c r="DJ21" s="54" t="n">
        <f aca="false">(1+$F21)^DJ$8</f>
        <v>3.68534667976008</v>
      </c>
      <c r="DK21" s="54" t="n">
        <f aca="false">(1+$F21)^DK$8</f>
        <v>3.73141351325708</v>
      </c>
      <c r="DL21" s="54" t="n">
        <f aca="false">(1+$F21)^DL$8</f>
        <v>3.77805618217279</v>
      </c>
      <c r="DM21" s="54" t="n">
        <f aca="false">(1+$F21)^DM$8</f>
        <v>3.82528188444995</v>
      </c>
      <c r="DN21" s="54" t="n">
        <f aca="false">(1+$F21)^DN$8</f>
        <v>3.87309790800557</v>
      </c>
      <c r="DO21" s="54" t="n">
        <f aca="false">(1+$F21)^DO$8</f>
        <v>3.92151163185564</v>
      </c>
      <c r="DP21" s="54" t="n">
        <f aca="false">(1+$F21)^DP$8</f>
        <v>3.97053052725384</v>
      </c>
      <c r="DQ21" s="54" t="n">
        <f aca="false">(1+$F21)^DQ$8</f>
        <v>4.02016215884451</v>
      </c>
      <c r="DR21" s="54" t="n">
        <f aca="false">(1+$F21)^DR$8</f>
        <v>4.07041418583007</v>
      </c>
      <c r="DS21" s="54" t="n">
        <f aca="false">(1+$F21)^DS$8</f>
        <v>4.12129436315294</v>
      </c>
      <c r="DT21" s="54" t="n">
        <f aca="false">(1+$F21)^DT$8</f>
        <v>4.17281054269235</v>
      </c>
      <c r="DU21" s="54" t="n">
        <f aca="false">(1+$F21)^DU$8</f>
        <v>4.22497067447601</v>
      </c>
      <c r="DV21" s="54" t="n">
        <f aca="false">(1+$F21)^DV$8</f>
        <v>4.27778280790696</v>
      </c>
      <c r="DW21" s="54" t="n">
        <f aca="false">(1+$F21)^DW$8</f>
        <v>4.3312550930058</v>
      </c>
      <c r="DX21" s="54" t="n">
        <f aca="false">(1+$F21)^DX$8</f>
        <v>4.38539578166837</v>
      </c>
      <c r="DY21" s="54" t="n">
        <f aca="false">(1+$F21)^DY$8</f>
        <v>4.44021322893922</v>
      </c>
      <c r="DZ21" s="54" t="n">
        <f aca="false">(1+$F21)^DZ$8</f>
        <v>4.49571589430096</v>
      </c>
      <c r="EA21" s="54" t="n">
        <f aca="false">(1+$F21)^EA$8</f>
        <v>4.55191234297972</v>
      </c>
      <c r="EB21" s="54" t="n">
        <f aca="false">(1+$F21)^EB$8</f>
        <v>4.60881124726697</v>
      </c>
      <c r="EC21" s="54" t="n">
        <f aca="false">(1+$F21)^EC$8</f>
        <v>4.66642138785781</v>
      </c>
      <c r="ED21" s="54" t="n">
        <f aca="false">(1+$F21)^ED$8</f>
        <v>4.72475165520603</v>
      </c>
      <c r="EE21" s="54" t="n">
        <f aca="false">(1+$F21)^EE$8</f>
        <v>4.78381105089611</v>
      </c>
      <c r="EF21" s="54" t="n">
        <f aca="false">(1+$F21)^EF$8</f>
        <v>4.84360868903231</v>
      </c>
      <c r="EG21" s="54" t="n">
        <f aca="false">(1+$F21)^EG$8</f>
        <v>4.90415379764521</v>
      </c>
      <c r="EH21" s="54" t="n">
        <f aca="false">(1+$F21)^EH$8</f>
        <v>4.96545572011577</v>
      </c>
      <c r="EI21" s="54" t="n">
        <f aca="false">(1+$F21)^EI$8</f>
        <v>5.02752391661722</v>
      </c>
      <c r="EJ21" s="54" t="n">
        <f aca="false">(1+$F21)^EJ$8</f>
        <v>5.09036796557494</v>
      </c>
      <c r="EK21" s="54" t="n">
        <f aca="false">(1+$F21)^EK$8</f>
        <v>5.15399756514462</v>
      </c>
      <c r="EL21" s="54" t="n">
        <f aca="false">(1+$F21)^EL$8</f>
        <v>5.21842253470893</v>
      </c>
      <c r="EM21" s="54" t="n">
        <f aca="false">(1+$F21)^EM$8</f>
        <v>5.28365281639279</v>
      </c>
      <c r="EN21" s="54" t="n">
        <f aca="false">(1+$F21)^EN$8</f>
        <v>5.3496984765977</v>
      </c>
      <c r="EO21" s="54" t="n">
        <f aca="false">(1+$F21)^EO$8</f>
        <v>5.41656970755517</v>
      </c>
    </row>
    <row r="23" customFormat="false" ht="15" hidden="false" customHeight="false" outlineLevel="0" collapsed="false">
      <c r="A23" s="9" t="s">
        <v>13</v>
      </c>
      <c r="B23" s="9"/>
      <c r="C23" s="9" t="s">
        <v>381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</row>
    <row r="24" customFormat="false" ht="15" hidden="false" customHeight="false" outlineLevel="0" collapsed="false">
      <c r="C24" s="0" t="s">
        <v>382</v>
      </c>
      <c r="D24" s="11" t="s">
        <v>62</v>
      </c>
      <c r="E24" s="36" t="n">
        <f aca="false">In_MVA*(1+INDEX(Dash_Overbuild,1,$A$1))</f>
        <v>60</v>
      </c>
      <c r="F24" s="36" t="n">
        <f aca="false">In_MVA*(1+In_Overbuild_Built)</f>
        <v>55</v>
      </c>
    </row>
    <row r="25" customFormat="false" ht="15" hidden="false" customHeight="false" outlineLevel="0" collapsed="false">
      <c r="C25" s="0" t="s">
        <v>383</v>
      </c>
      <c r="D25" s="11" t="s">
        <v>62</v>
      </c>
      <c r="E25" s="36" t="n">
        <f aca="false">INDEX(Dash_BESS,1,$A$1)*In_MVA</f>
        <v>10</v>
      </c>
      <c r="F25" s="36" t="n">
        <f aca="false">$E25*In_BESS_Built</f>
        <v>10</v>
      </c>
    </row>
    <row r="26" customFormat="false" ht="15" hidden="false" customHeight="false" outlineLevel="0" collapsed="false">
      <c r="C26" s="0" t="s">
        <v>384</v>
      </c>
      <c r="D26" s="11" t="s">
        <v>70</v>
      </c>
      <c r="E26" s="36" t="n">
        <f aca="false">$E25*INDEX(Dash_BESS_Hours,1,$A$1)</f>
        <v>40</v>
      </c>
    </row>
    <row r="27" customFormat="false" ht="15" hidden="false" customHeight="false" outlineLevel="0" collapsed="false">
      <c r="C27" s="0" t="s">
        <v>385</v>
      </c>
      <c r="D27" s="11" t="s">
        <v>27</v>
      </c>
      <c r="E27" s="55" t="n">
        <f aca="false">($F24-In_MVA)/$F24*In_Bottleneck_Loss</f>
        <v>0.00454545454545455</v>
      </c>
    </row>
    <row r="28" customFormat="false" ht="15" hidden="false" customHeight="false" outlineLevel="0" collapsed="false">
      <c r="C28" s="0" t="s">
        <v>386</v>
      </c>
      <c r="D28" s="11" t="s">
        <v>27</v>
      </c>
      <c r="E28" s="48" t="n">
        <f aca="false">MAX(0,1-$F24/$E24)</f>
        <v>0.0833333333333333</v>
      </c>
      <c r="F28" s="48" t="n">
        <f aca="false">(1-In_BESS_Built)*($E25&gt;0)</f>
        <v>0</v>
      </c>
    </row>
    <row r="30" customFormat="false" ht="15" hidden="false" customHeight="false" outlineLevel="0" collapsed="false">
      <c r="A30" s="9" t="s">
        <v>13</v>
      </c>
      <c r="B30" s="9"/>
      <c r="C30" s="9" t="s">
        <v>387</v>
      </c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</row>
    <row r="31" customFormat="false" ht="15" hidden="false" customHeight="false" outlineLevel="0" collapsed="false">
      <c r="C31" s="0" t="s">
        <v>388</v>
      </c>
      <c r="D31" s="11" t="s">
        <v>19</v>
      </c>
      <c r="E31" s="32" t="n">
        <f aca="false">INDEX(Dash_Municipal,1,$A$1)</f>
        <v>50</v>
      </c>
      <c r="F31" s="32" t="n">
        <f aca="false">INDEX(Osz1_Pts,1+SUMPRODUCT((Osz1_LB&lt;$E31)+(Osz1_LB=$E31)*Osz1_Incl))*Osz1_W</f>
        <v>20</v>
      </c>
    </row>
    <row r="32" customFormat="false" ht="15" hidden="false" customHeight="false" outlineLevel="0" collapsed="false">
      <c r="C32" s="0" t="s">
        <v>389</v>
      </c>
      <c r="D32" s="11" t="s">
        <v>24</v>
      </c>
      <c r="E32" s="32" t="n">
        <f aca="false">INDEX(Dash_Community,1,$A$1)</f>
        <v>3</v>
      </c>
      <c r="F32" s="32" t="n">
        <f aca="false">INDEX(Osz2_Pts,1+SUMPRODUCT((Osz2_LB&lt;$E32)+(Osz2_LB=$E32)*Osz2_Incl))*Osz2_W</f>
        <v>15</v>
      </c>
    </row>
    <row r="33" customFormat="false" ht="15" hidden="false" customHeight="false" outlineLevel="0" collapsed="false">
      <c r="C33" s="0" t="s">
        <v>390</v>
      </c>
      <c r="D33" s="11" t="s">
        <v>27</v>
      </c>
      <c r="E33" s="48" t="n">
        <f aca="false">INDEX(Dash_Overbuild,1,$A$1)</f>
        <v>0.2</v>
      </c>
      <c r="F33" s="32" t="n">
        <f aca="false">INDEX(Osz3_Pts,1+SUMPRODUCT((Osz3_LB&lt;$E33)+(Osz3_LB=$E33)*Osz3_Incl))*Osz3_W</f>
        <v>5</v>
      </c>
    </row>
    <row r="34" customFormat="false" ht="15" hidden="false" customHeight="false" outlineLevel="0" collapsed="false">
      <c r="C34" s="0" t="s">
        <v>391</v>
      </c>
      <c r="D34" s="11" t="s">
        <v>27</v>
      </c>
      <c r="E34" s="48" t="n">
        <f aca="false">INDEX(Dash_BESS,1,$A$1)</f>
        <v>0.2</v>
      </c>
      <c r="F34" s="32" t="n">
        <f aca="false">INDEX(Osz4_Pts,1+SUMPRODUCT((Osz4_LB&lt;$E34)+(Osz4_LB=$E34)*Osz4_Incl))*Osz4_W*($E34&gt;=Osz4_Min)</f>
        <v>7.5</v>
      </c>
    </row>
    <row r="35" customFormat="false" ht="15" hidden="false" customHeight="false" outlineLevel="0" collapsed="false">
      <c r="C35" s="0" t="s">
        <v>392</v>
      </c>
      <c r="D35" s="11" t="s">
        <v>43</v>
      </c>
      <c r="E35" s="49" t="n">
        <f aca="false">INDEX(Dash_Partial,1,$A$1)</f>
        <v>0</v>
      </c>
      <c r="F35" s="32" t="n">
        <f aca="false">$E35*Osz5_Pts*Osz5_W</f>
        <v>0</v>
      </c>
    </row>
    <row r="36" customFormat="false" ht="15" hidden="false" customHeight="false" outlineLevel="0" collapsed="false">
      <c r="C36" s="0" t="s">
        <v>393</v>
      </c>
      <c r="D36" s="11" t="s">
        <v>13</v>
      </c>
      <c r="E36" s="52" t="n">
        <f aca="false">INDEX(Dash_PB_Mult,1,$A$1)</f>
        <v>1</v>
      </c>
      <c r="F36" s="32" t="n">
        <f aca="false">INDEX(Osz6_Pts,1+SUMPRODUCT((Osz6_LB&lt;$E36)+(Osz6_LB=$E36)*Osz6_Incl))*Osz6_W</f>
        <v>0</v>
      </c>
    </row>
    <row r="37" customFormat="false" ht="15" hidden="false" customHeight="false" outlineLevel="0" collapsed="false">
      <c r="C37" s="0" t="s">
        <v>394</v>
      </c>
      <c r="D37" s="11" t="s">
        <v>43</v>
      </c>
      <c r="E37" s="49" t="n">
        <f aca="false">INDEX(Dash_Shared,1,$A$1)</f>
        <v>0</v>
      </c>
      <c r="F37" s="32" t="n">
        <f aca="false">$E37*Osz8_Pts*Osz8_W</f>
        <v>0</v>
      </c>
    </row>
    <row r="38" customFormat="false" ht="15" hidden="false" customHeight="false" outlineLevel="0" collapsed="false">
      <c r="C38" s="0" t="s">
        <v>395</v>
      </c>
      <c r="D38" s="11" t="s">
        <v>43</v>
      </c>
      <c r="E38" s="49" t="n">
        <f aca="false">INDEX(Dash_EU_Turbine,1,$A$1)</f>
        <v>1</v>
      </c>
      <c r="F38" s="32" t="n">
        <f aca="false">$E38*Osz9a_Pts*Osz9_W</f>
        <v>12</v>
      </c>
    </row>
    <row r="39" customFormat="false" ht="15" hidden="false" customHeight="false" outlineLevel="0" collapsed="false">
      <c r="C39" s="0" t="s">
        <v>396</v>
      </c>
      <c r="D39" s="11" t="s">
        <v>43</v>
      </c>
      <c r="E39" s="49" t="n">
        <f aca="false">INDEX(Dash_EU_Transformer,1,$A$1)</f>
        <v>0</v>
      </c>
      <c r="F39" s="32" t="n">
        <f aca="false">$E39*Osz9b_Pts*Osz9_W</f>
        <v>0</v>
      </c>
    </row>
    <row r="40" customFormat="false" ht="15" hidden="false" customHeight="false" outlineLevel="0" collapsed="false">
      <c r="C40" s="25" t="s">
        <v>52</v>
      </c>
      <c r="D40" s="11" t="s">
        <v>53</v>
      </c>
      <c r="E40" s="26" t="n">
        <f aca="false">ROUND(SUM($F31:$F39),Points_Decimals)</f>
        <v>59.5</v>
      </c>
    </row>
    <row r="41" customFormat="false" ht="15" hidden="false" customHeight="false" outlineLevel="0" collapsed="false">
      <c r="C41" s="0" t="s">
        <v>397</v>
      </c>
      <c r="D41" s="11" t="s">
        <v>140</v>
      </c>
      <c r="E41" s="43" t="n">
        <f aca="false">($E31&lt;&gt;0)*($E31&lt;Osz1_Min)+($E31&gt;Osz1_Max)+($E32&lt;&gt;0)*($E32&lt;Osz2_Min)+($E32&gt;Osz2_Max)</f>
        <v>0</v>
      </c>
      <c r="F41" s="43" t="n">
        <f aca="false">N($E36&lt;1)+N($E25&gt;$E24)+N($E26&lt;$E25*In_Min_Hours)</f>
        <v>0</v>
      </c>
    </row>
    <row r="43" customFormat="false" ht="15" hidden="false" customHeight="false" outlineLevel="0" collapsed="false">
      <c r="A43" s="9" t="s">
        <v>13</v>
      </c>
      <c r="B43" s="9"/>
      <c r="C43" s="9" t="s">
        <v>398</v>
      </c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</row>
    <row r="44" customFormat="false" ht="15" hidden="false" customHeight="false" outlineLevel="0" collapsed="false">
      <c r="C44" s="0" t="s">
        <v>32</v>
      </c>
      <c r="D44" s="11" t="s">
        <v>33</v>
      </c>
      <c r="E44" s="18" t="n">
        <f aca="false">In_Purchase_Price</f>
        <v>4500</v>
      </c>
      <c r="F44" s="20" t="n">
        <f aca="false">In_Closing</f>
        <v>46387</v>
      </c>
      <c r="I44" s="47" t="n">
        <f aca="false">SUM(J44:EO44)</f>
        <v>-4500</v>
      </c>
      <c r="J44" s="47" t="n">
        <f aca="false">-$E44*N(AND(J$3&lt;=$F44,J$4&gt;=$F44))</f>
        <v>-4500</v>
      </c>
      <c r="K44" s="47" t="n">
        <f aca="false">-$E44*N(AND(K$3&lt;=$F44,K$4&gt;=$F44))</f>
        <v>-0</v>
      </c>
      <c r="L44" s="47" t="n">
        <f aca="false">-$E44*N(AND(L$3&lt;=$F44,L$4&gt;=$F44))</f>
        <v>-0</v>
      </c>
      <c r="M44" s="47" t="n">
        <f aca="false">-$E44*N(AND(M$3&lt;=$F44,M$4&gt;=$F44))</f>
        <v>-0</v>
      </c>
      <c r="N44" s="47" t="n">
        <f aca="false">-$E44*N(AND(N$3&lt;=$F44,N$4&gt;=$F44))</f>
        <v>-0</v>
      </c>
      <c r="O44" s="47" t="n">
        <f aca="false">-$E44*N(AND(O$3&lt;=$F44,O$4&gt;=$F44))</f>
        <v>-0</v>
      </c>
      <c r="P44" s="47" t="n">
        <f aca="false">-$E44*N(AND(P$3&lt;=$F44,P$4&gt;=$F44))</f>
        <v>-0</v>
      </c>
      <c r="Q44" s="47" t="n">
        <f aca="false">-$E44*N(AND(Q$3&lt;=$F44,Q$4&gt;=$F44))</f>
        <v>-0</v>
      </c>
      <c r="R44" s="47" t="n">
        <f aca="false">-$E44*N(AND(R$3&lt;=$F44,R$4&gt;=$F44))</f>
        <v>-0</v>
      </c>
      <c r="S44" s="47" t="n">
        <f aca="false">-$E44*N(AND(S$3&lt;=$F44,S$4&gt;=$F44))</f>
        <v>-0</v>
      </c>
      <c r="T44" s="47" t="n">
        <f aca="false">-$E44*N(AND(T$3&lt;=$F44,T$4&gt;=$F44))</f>
        <v>-0</v>
      </c>
      <c r="U44" s="47" t="n">
        <f aca="false">-$E44*N(AND(U$3&lt;=$F44,U$4&gt;=$F44))</f>
        <v>-0</v>
      </c>
      <c r="V44" s="47" t="n">
        <f aca="false">-$E44*N(AND(V$3&lt;=$F44,V$4&gt;=$F44))</f>
        <v>-0</v>
      </c>
      <c r="W44" s="47" t="n">
        <f aca="false">-$E44*N(AND(W$3&lt;=$F44,W$4&gt;=$F44))</f>
        <v>-0</v>
      </c>
      <c r="X44" s="47" t="n">
        <f aca="false">-$E44*N(AND(X$3&lt;=$F44,X$4&gt;=$F44))</f>
        <v>-0</v>
      </c>
      <c r="Y44" s="47" t="n">
        <f aca="false">-$E44*N(AND(Y$3&lt;=$F44,Y$4&gt;=$F44))</f>
        <v>-0</v>
      </c>
      <c r="Z44" s="47" t="n">
        <f aca="false">-$E44*N(AND(Z$3&lt;=$F44,Z$4&gt;=$F44))</f>
        <v>-0</v>
      </c>
      <c r="AA44" s="47" t="n">
        <f aca="false">-$E44*N(AND(AA$3&lt;=$F44,AA$4&gt;=$F44))</f>
        <v>-0</v>
      </c>
      <c r="AB44" s="47" t="n">
        <f aca="false">-$E44*N(AND(AB$3&lt;=$F44,AB$4&gt;=$F44))</f>
        <v>-0</v>
      </c>
      <c r="AC44" s="47" t="n">
        <f aca="false">-$E44*N(AND(AC$3&lt;=$F44,AC$4&gt;=$F44))</f>
        <v>-0</v>
      </c>
      <c r="AD44" s="47" t="n">
        <f aca="false">-$E44*N(AND(AD$3&lt;=$F44,AD$4&gt;=$F44))</f>
        <v>-0</v>
      </c>
      <c r="AE44" s="47" t="n">
        <f aca="false">-$E44*N(AND(AE$3&lt;=$F44,AE$4&gt;=$F44))</f>
        <v>-0</v>
      </c>
      <c r="AF44" s="47" t="n">
        <f aca="false">-$E44*N(AND(AF$3&lt;=$F44,AF$4&gt;=$F44))</f>
        <v>-0</v>
      </c>
      <c r="AG44" s="47" t="n">
        <f aca="false">-$E44*N(AND(AG$3&lt;=$F44,AG$4&gt;=$F44))</f>
        <v>-0</v>
      </c>
      <c r="AH44" s="47" t="n">
        <f aca="false">-$E44*N(AND(AH$3&lt;=$F44,AH$4&gt;=$F44))</f>
        <v>-0</v>
      </c>
      <c r="AI44" s="47" t="n">
        <f aca="false">-$E44*N(AND(AI$3&lt;=$F44,AI$4&gt;=$F44))</f>
        <v>-0</v>
      </c>
      <c r="AJ44" s="47" t="n">
        <f aca="false">-$E44*N(AND(AJ$3&lt;=$F44,AJ$4&gt;=$F44))</f>
        <v>-0</v>
      </c>
      <c r="AK44" s="47" t="n">
        <f aca="false">-$E44*N(AND(AK$3&lt;=$F44,AK$4&gt;=$F44))</f>
        <v>-0</v>
      </c>
      <c r="AL44" s="47" t="n">
        <f aca="false">-$E44*N(AND(AL$3&lt;=$F44,AL$4&gt;=$F44))</f>
        <v>-0</v>
      </c>
      <c r="AM44" s="47" t="n">
        <f aca="false">-$E44*N(AND(AM$3&lt;=$F44,AM$4&gt;=$F44))</f>
        <v>-0</v>
      </c>
      <c r="AN44" s="47" t="n">
        <f aca="false">-$E44*N(AND(AN$3&lt;=$F44,AN$4&gt;=$F44))</f>
        <v>-0</v>
      </c>
      <c r="AO44" s="47" t="n">
        <f aca="false">-$E44*N(AND(AO$3&lt;=$F44,AO$4&gt;=$F44))</f>
        <v>-0</v>
      </c>
      <c r="AP44" s="47" t="n">
        <f aca="false">-$E44*N(AND(AP$3&lt;=$F44,AP$4&gt;=$F44))</f>
        <v>-0</v>
      </c>
      <c r="AQ44" s="47" t="n">
        <f aca="false">-$E44*N(AND(AQ$3&lt;=$F44,AQ$4&gt;=$F44))</f>
        <v>-0</v>
      </c>
      <c r="AR44" s="47" t="n">
        <f aca="false">-$E44*N(AND(AR$3&lt;=$F44,AR$4&gt;=$F44))</f>
        <v>-0</v>
      </c>
      <c r="AS44" s="47" t="n">
        <f aca="false">-$E44*N(AND(AS$3&lt;=$F44,AS$4&gt;=$F44))</f>
        <v>-0</v>
      </c>
      <c r="AT44" s="47" t="n">
        <f aca="false">-$E44*N(AND(AT$3&lt;=$F44,AT$4&gt;=$F44))</f>
        <v>-0</v>
      </c>
      <c r="AU44" s="47" t="n">
        <f aca="false">-$E44*N(AND(AU$3&lt;=$F44,AU$4&gt;=$F44))</f>
        <v>-0</v>
      </c>
      <c r="AV44" s="47" t="n">
        <f aca="false">-$E44*N(AND(AV$3&lt;=$F44,AV$4&gt;=$F44))</f>
        <v>-0</v>
      </c>
      <c r="AW44" s="47" t="n">
        <f aca="false">-$E44*N(AND(AW$3&lt;=$F44,AW$4&gt;=$F44))</f>
        <v>-0</v>
      </c>
      <c r="AX44" s="47" t="n">
        <f aca="false">-$E44*N(AND(AX$3&lt;=$F44,AX$4&gt;=$F44))</f>
        <v>-0</v>
      </c>
      <c r="AY44" s="47" t="n">
        <f aca="false">-$E44*N(AND(AY$3&lt;=$F44,AY$4&gt;=$F44))</f>
        <v>-0</v>
      </c>
      <c r="AZ44" s="47" t="n">
        <f aca="false">-$E44*N(AND(AZ$3&lt;=$F44,AZ$4&gt;=$F44))</f>
        <v>-0</v>
      </c>
      <c r="BA44" s="47" t="n">
        <f aca="false">-$E44*N(AND(BA$3&lt;=$F44,BA$4&gt;=$F44))</f>
        <v>-0</v>
      </c>
      <c r="BB44" s="47" t="n">
        <f aca="false">-$E44*N(AND(BB$3&lt;=$F44,BB$4&gt;=$F44))</f>
        <v>-0</v>
      </c>
      <c r="BC44" s="47" t="n">
        <f aca="false">-$E44*N(AND(BC$3&lt;=$F44,BC$4&gt;=$F44))</f>
        <v>-0</v>
      </c>
      <c r="BD44" s="47" t="n">
        <f aca="false">-$E44*N(AND(BD$3&lt;=$F44,BD$4&gt;=$F44))</f>
        <v>-0</v>
      </c>
      <c r="BE44" s="47" t="n">
        <f aca="false">-$E44*N(AND(BE$3&lt;=$F44,BE$4&gt;=$F44))</f>
        <v>-0</v>
      </c>
      <c r="BF44" s="47" t="n">
        <f aca="false">-$E44*N(AND(BF$3&lt;=$F44,BF$4&gt;=$F44))</f>
        <v>-0</v>
      </c>
      <c r="BG44" s="47" t="n">
        <f aca="false">-$E44*N(AND(BG$3&lt;=$F44,BG$4&gt;=$F44))</f>
        <v>-0</v>
      </c>
      <c r="BH44" s="47" t="n">
        <f aca="false">-$E44*N(AND(BH$3&lt;=$F44,BH$4&gt;=$F44))</f>
        <v>-0</v>
      </c>
      <c r="BI44" s="47" t="n">
        <f aca="false">-$E44*N(AND(BI$3&lt;=$F44,BI$4&gt;=$F44))</f>
        <v>-0</v>
      </c>
      <c r="BJ44" s="47" t="n">
        <f aca="false">-$E44*N(AND(BJ$3&lt;=$F44,BJ$4&gt;=$F44))</f>
        <v>-0</v>
      </c>
      <c r="BK44" s="47" t="n">
        <f aca="false">-$E44*N(AND(BK$3&lt;=$F44,BK$4&gt;=$F44))</f>
        <v>-0</v>
      </c>
      <c r="BL44" s="47" t="n">
        <f aca="false">-$E44*N(AND(BL$3&lt;=$F44,BL$4&gt;=$F44))</f>
        <v>-0</v>
      </c>
      <c r="BM44" s="47" t="n">
        <f aca="false">-$E44*N(AND(BM$3&lt;=$F44,BM$4&gt;=$F44))</f>
        <v>-0</v>
      </c>
      <c r="BN44" s="47" t="n">
        <f aca="false">-$E44*N(AND(BN$3&lt;=$F44,BN$4&gt;=$F44))</f>
        <v>-0</v>
      </c>
      <c r="BO44" s="47" t="n">
        <f aca="false">-$E44*N(AND(BO$3&lt;=$F44,BO$4&gt;=$F44))</f>
        <v>-0</v>
      </c>
      <c r="BP44" s="47" t="n">
        <f aca="false">-$E44*N(AND(BP$3&lt;=$F44,BP$4&gt;=$F44))</f>
        <v>-0</v>
      </c>
      <c r="BQ44" s="47" t="n">
        <f aca="false">-$E44*N(AND(BQ$3&lt;=$F44,BQ$4&gt;=$F44))</f>
        <v>-0</v>
      </c>
      <c r="BR44" s="47" t="n">
        <f aca="false">-$E44*N(AND(BR$3&lt;=$F44,BR$4&gt;=$F44))</f>
        <v>-0</v>
      </c>
      <c r="BS44" s="47" t="n">
        <f aca="false">-$E44*N(AND(BS$3&lt;=$F44,BS$4&gt;=$F44))</f>
        <v>-0</v>
      </c>
      <c r="BT44" s="47" t="n">
        <f aca="false">-$E44*N(AND(BT$3&lt;=$F44,BT$4&gt;=$F44))</f>
        <v>-0</v>
      </c>
      <c r="BU44" s="47" t="n">
        <f aca="false">-$E44*N(AND(BU$3&lt;=$F44,BU$4&gt;=$F44))</f>
        <v>-0</v>
      </c>
      <c r="BV44" s="47" t="n">
        <f aca="false">-$E44*N(AND(BV$3&lt;=$F44,BV$4&gt;=$F44))</f>
        <v>-0</v>
      </c>
      <c r="BW44" s="47" t="n">
        <f aca="false">-$E44*N(AND(BW$3&lt;=$F44,BW$4&gt;=$F44))</f>
        <v>-0</v>
      </c>
      <c r="BX44" s="47" t="n">
        <f aca="false">-$E44*N(AND(BX$3&lt;=$F44,BX$4&gt;=$F44))</f>
        <v>-0</v>
      </c>
      <c r="BY44" s="47" t="n">
        <f aca="false">-$E44*N(AND(BY$3&lt;=$F44,BY$4&gt;=$F44))</f>
        <v>-0</v>
      </c>
      <c r="BZ44" s="47" t="n">
        <f aca="false">-$E44*N(AND(BZ$3&lt;=$F44,BZ$4&gt;=$F44))</f>
        <v>-0</v>
      </c>
      <c r="CA44" s="47" t="n">
        <f aca="false">-$E44*N(AND(CA$3&lt;=$F44,CA$4&gt;=$F44))</f>
        <v>-0</v>
      </c>
      <c r="CB44" s="47" t="n">
        <f aca="false">-$E44*N(AND(CB$3&lt;=$F44,CB$4&gt;=$F44))</f>
        <v>-0</v>
      </c>
      <c r="CC44" s="47" t="n">
        <f aca="false">-$E44*N(AND(CC$3&lt;=$F44,CC$4&gt;=$F44))</f>
        <v>-0</v>
      </c>
      <c r="CD44" s="47" t="n">
        <f aca="false">-$E44*N(AND(CD$3&lt;=$F44,CD$4&gt;=$F44))</f>
        <v>-0</v>
      </c>
      <c r="CE44" s="47" t="n">
        <f aca="false">-$E44*N(AND(CE$3&lt;=$F44,CE$4&gt;=$F44))</f>
        <v>-0</v>
      </c>
      <c r="CF44" s="47" t="n">
        <f aca="false">-$E44*N(AND(CF$3&lt;=$F44,CF$4&gt;=$F44))</f>
        <v>-0</v>
      </c>
      <c r="CG44" s="47" t="n">
        <f aca="false">-$E44*N(AND(CG$3&lt;=$F44,CG$4&gt;=$F44))</f>
        <v>-0</v>
      </c>
      <c r="CH44" s="47" t="n">
        <f aca="false">-$E44*N(AND(CH$3&lt;=$F44,CH$4&gt;=$F44))</f>
        <v>-0</v>
      </c>
      <c r="CI44" s="47" t="n">
        <f aca="false">-$E44*N(AND(CI$3&lt;=$F44,CI$4&gt;=$F44))</f>
        <v>-0</v>
      </c>
      <c r="CJ44" s="47" t="n">
        <f aca="false">-$E44*N(AND(CJ$3&lt;=$F44,CJ$4&gt;=$F44))</f>
        <v>-0</v>
      </c>
      <c r="CK44" s="47" t="n">
        <f aca="false">-$E44*N(AND(CK$3&lt;=$F44,CK$4&gt;=$F44))</f>
        <v>-0</v>
      </c>
      <c r="CL44" s="47" t="n">
        <f aca="false">-$E44*N(AND(CL$3&lt;=$F44,CL$4&gt;=$F44))</f>
        <v>-0</v>
      </c>
      <c r="CM44" s="47" t="n">
        <f aca="false">-$E44*N(AND(CM$3&lt;=$F44,CM$4&gt;=$F44))</f>
        <v>-0</v>
      </c>
      <c r="CN44" s="47" t="n">
        <f aca="false">-$E44*N(AND(CN$3&lt;=$F44,CN$4&gt;=$F44))</f>
        <v>-0</v>
      </c>
      <c r="CO44" s="47" t="n">
        <f aca="false">-$E44*N(AND(CO$3&lt;=$F44,CO$4&gt;=$F44))</f>
        <v>-0</v>
      </c>
      <c r="CP44" s="47" t="n">
        <f aca="false">-$E44*N(AND(CP$3&lt;=$F44,CP$4&gt;=$F44))</f>
        <v>-0</v>
      </c>
      <c r="CQ44" s="47" t="n">
        <f aca="false">-$E44*N(AND(CQ$3&lt;=$F44,CQ$4&gt;=$F44))</f>
        <v>-0</v>
      </c>
      <c r="CR44" s="47" t="n">
        <f aca="false">-$E44*N(AND(CR$3&lt;=$F44,CR$4&gt;=$F44))</f>
        <v>-0</v>
      </c>
      <c r="CS44" s="47" t="n">
        <f aca="false">-$E44*N(AND(CS$3&lt;=$F44,CS$4&gt;=$F44))</f>
        <v>-0</v>
      </c>
      <c r="CT44" s="47" t="n">
        <f aca="false">-$E44*N(AND(CT$3&lt;=$F44,CT$4&gt;=$F44))</f>
        <v>-0</v>
      </c>
      <c r="CU44" s="47" t="n">
        <f aca="false">-$E44*N(AND(CU$3&lt;=$F44,CU$4&gt;=$F44))</f>
        <v>-0</v>
      </c>
      <c r="CV44" s="47" t="n">
        <f aca="false">-$E44*N(AND(CV$3&lt;=$F44,CV$4&gt;=$F44))</f>
        <v>-0</v>
      </c>
      <c r="CW44" s="47" t="n">
        <f aca="false">-$E44*N(AND(CW$3&lt;=$F44,CW$4&gt;=$F44))</f>
        <v>-0</v>
      </c>
      <c r="CX44" s="47" t="n">
        <f aca="false">-$E44*N(AND(CX$3&lt;=$F44,CX$4&gt;=$F44))</f>
        <v>-0</v>
      </c>
      <c r="CY44" s="47" t="n">
        <f aca="false">-$E44*N(AND(CY$3&lt;=$F44,CY$4&gt;=$F44))</f>
        <v>-0</v>
      </c>
      <c r="CZ44" s="47" t="n">
        <f aca="false">-$E44*N(AND(CZ$3&lt;=$F44,CZ$4&gt;=$F44))</f>
        <v>-0</v>
      </c>
      <c r="DA44" s="47" t="n">
        <f aca="false">-$E44*N(AND(DA$3&lt;=$F44,DA$4&gt;=$F44))</f>
        <v>-0</v>
      </c>
      <c r="DB44" s="47" t="n">
        <f aca="false">-$E44*N(AND(DB$3&lt;=$F44,DB$4&gt;=$F44))</f>
        <v>-0</v>
      </c>
      <c r="DC44" s="47" t="n">
        <f aca="false">-$E44*N(AND(DC$3&lt;=$F44,DC$4&gt;=$F44))</f>
        <v>-0</v>
      </c>
      <c r="DD44" s="47" t="n">
        <f aca="false">-$E44*N(AND(DD$3&lt;=$F44,DD$4&gt;=$F44))</f>
        <v>-0</v>
      </c>
      <c r="DE44" s="47" t="n">
        <f aca="false">-$E44*N(AND(DE$3&lt;=$F44,DE$4&gt;=$F44))</f>
        <v>-0</v>
      </c>
      <c r="DF44" s="47" t="n">
        <f aca="false">-$E44*N(AND(DF$3&lt;=$F44,DF$4&gt;=$F44))</f>
        <v>-0</v>
      </c>
      <c r="DG44" s="47" t="n">
        <f aca="false">-$E44*N(AND(DG$3&lt;=$F44,DG$4&gt;=$F44))</f>
        <v>-0</v>
      </c>
      <c r="DH44" s="47" t="n">
        <f aca="false">-$E44*N(AND(DH$3&lt;=$F44,DH$4&gt;=$F44))</f>
        <v>-0</v>
      </c>
      <c r="DI44" s="47" t="n">
        <f aca="false">-$E44*N(AND(DI$3&lt;=$F44,DI$4&gt;=$F44))</f>
        <v>-0</v>
      </c>
      <c r="DJ44" s="47" t="n">
        <f aca="false">-$E44*N(AND(DJ$3&lt;=$F44,DJ$4&gt;=$F44))</f>
        <v>-0</v>
      </c>
      <c r="DK44" s="47" t="n">
        <f aca="false">-$E44*N(AND(DK$3&lt;=$F44,DK$4&gt;=$F44))</f>
        <v>-0</v>
      </c>
      <c r="DL44" s="47" t="n">
        <f aca="false">-$E44*N(AND(DL$3&lt;=$F44,DL$4&gt;=$F44))</f>
        <v>-0</v>
      </c>
      <c r="DM44" s="47" t="n">
        <f aca="false">-$E44*N(AND(DM$3&lt;=$F44,DM$4&gt;=$F44))</f>
        <v>-0</v>
      </c>
      <c r="DN44" s="47" t="n">
        <f aca="false">-$E44*N(AND(DN$3&lt;=$F44,DN$4&gt;=$F44))</f>
        <v>-0</v>
      </c>
      <c r="DO44" s="47" t="n">
        <f aca="false">-$E44*N(AND(DO$3&lt;=$F44,DO$4&gt;=$F44))</f>
        <v>-0</v>
      </c>
      <c r="DP44" s="47" t="n">
        <f aca="false">-$E44*N(AND(DP$3&lt;=$F44,DP$4&gt;=$F44))</f>
        <v>-0</v>
      </c>
      <c r="DQ44" s="47" t="n">
        <f aca="false">-$E44*N(AND(DQ$3&lt;=$F44,DQ$4&gt;=$F44))</f>
        <v>-0</v>
      </c>
      <c r="DR44" s="47" t="n">
        <f aca="false">-$E44*N(AND(DR$3&lt;=$F44,DR$4&gt;=$F44))</f>
        <v>-0</v>
      </c>
      <c r="DS44" s="47" t="n">
        <f aca="false">-$E44*N(AND(DS$3&lt;=$F44,DS$4&gt;=$F44))</f>
        <v>-0</v>
      </c>
      <c r="DT44" s="47" t="n">
        <f aca="false">-$E44*N(AND(DT$3&lt;=$F44,DT$4&gt;=$F44))</f>
        <v>-0</v>
      </c>
      <c r="DU44" s="47" t="n">
        <f aca="false">-$E44*N(AND(DU$3&lt;=$F44,DU$4&gt;=$F44))</f>
        <v>-0</v>
      </c>
      <c r="DV44" s="47" t="n">
        <f aca="false">-$E44*N(AND(DV$3&lt;=$F44,DV$4&gt;=$F44))</f>
        <v>-0</v>
      </c>
      <c r="DW44" s="47" t="n">
        <f aca="false">-$E44*N(AND(DW$3&lt;=$F44,DW$4&gt;=$F44))</f>
        <v>-0</v>
      </c>
      <c r="DX44" s="47" t="n">
        <f aca="false">-$E44*N(AND(DX$3&lt;=$F44,DX$4&gt;=$F44))</f>
        <v>-0</v>
      </c>
      <c r="DY44" s="47" t="n">
        <f aca="false">-$E44*N(AND(DY$3&lt;=$F44,DY$4&gt;=$F44))</f>
        <v>-0</v>
      </c>
      <c r="DZ44" s="47" t="n">
        <f aca="false">-$E44*N(AND(DZ$3&lt;=$F44,DZ$4&gt;=$F44))</f>
        <v>-0</v>
      </c>
      <c r="EA44" s="47" t="n">
        <f aca="false">-$E44*N(AND(EA$3&lt;=$F44,EA$4&gt;=$F44))</f>
        <v>-0</v>
      </c>
      <c r="EB44" s="47" t="n">
        <f aca="false">-$E44*N(AND(EB$3&lt;=$F44,EB$4&gt;=$F44))</f>
        <v>-0</v>
      </c>
      <c r="EC44" s="47" t="n">
        <f aca="false">-$E44*N(AND(EC$3&lt;=$F44,EC$4&gt;=$F44))</f>
        <v>-0</v>
      </c>
      <c r="ED44" s="47" t="n">
        <f aca="false">-$E44*N(AND(ED$3&lt;=$F44,ED$4&gt;=$F44))</f>
        <v>-0</v>
      </c>
      <c r="EE44" s="47" t="n">
        <f aca="false">-$E44*N(AND(EE$3&lt;=$F44,EE$4&gt;=$F44))</f>
        <v>-0</v>
      </c>
      <c r="EF44" s="47" t="n">
        <f aca="false">-$E44*N(AND(EF$3&lt;=$F44,EF$4&gt;=$F44))</f>
        <v>-0</v>
      </c>
      <c r="EG44" s="47" t="n">
        <f aca="false">-$E44*N(AND(EG$3&lt;=$F44,EG$4&gt;=$F44))</f>
        <v>-0</v>
      </c>
      <c r="EH44" s="47" t="n">
        <f aca="false">-$E44*N(AND(EH$3&lt;=$F44,EH$4&gt;=$F44))</f>
        <v>-0</v>
      </c>
      <c r="EI44" s="47" t="n">
        <f aca="false">-$E44*N(AND(EI$3&lt;=$F44,EI$4&gt;=$F44))</f>
        <v>-0</v>
      </c>
      <c r="EJ44" s="47" t="n">
        <f aca="false">-$E44*N(AND(EJ$3&lt;=$F44,EJ$4&gt;=$F44))</f>
        <v>-0</v>
      </c>
      <c r="EK44" s="47" t="n">
        <f aca="false">-$E44*N(AND(EK$3&lt;=$F44,EK$4&gt;=$F44))</f>
        <v>-0</v>
      </c>
      <c r="EL44" s="47" t="n">
        <f aca="false">-$E44*N(AND(EL$3&lt;=$F44,EL$4&gt;=$F44))</f>
        <v>-0</v>
      </c>
      <c r="EM44" s="47" t="n">
        <f aca="false">-$E44*N(AND(EM$3&lt;=$F44,EM$4&gt;=$F44))</f>
        <v>-0</v>
      </c>
      <c r="EN44" s="47" t="n">
        <f aca="false">-$E44*N(AND(EN$3&lt;=$F44,EN$4&gt;=$F44))</f>
        <v>-0</v>
      </c>
      <c r="EO44" s="47" t="n">
        <f aca="false">-$E44*N(AND(EO$3&lt;=$F44,EO$4&gt;=$F44))</f>
        <v>-0</v>
      </c>
    </row>
    <row r="45" customFormat="false" ht="15" hidden="false" customHeight="false" outlineLevel="0" collapsed="false">
      <c r="C45" s="0" t="s">
        <v>212</v>
      </c>
      <c r="D45" s="11" t="s">
        <v>33</v>
      </c>
      <c r="E45" s="18" t="n">
        <f aca="false">In_DD</f>
        <v>150</v>
      </c>
      <c r="F45" s="20" t="n">
        <f aca="false">In_Bid_Date</f>
        <v>46325</v>
      </c>
      <c r="I45" s="47" t="n">
        <f aca="false">SUM(J45:EO45)</f>
        <v>-150</v>
      </c>
      <c r="J45" s="47" t="n">
        <f aca="false">-$E45*N(AND(J$3&lt;=$F45,J$4&gt;=$F45))</f>
        <v>-150</v>
      </c>
      <c r="K45" s="47" t="n">
        <f aca="false">-$E45*N(AND(K$3&lt;=$F45,K$4&gt;=$F45))</f>
        <v>-0</v>
      </c>
      <c r="L45" s="47" t="n">
        <f aca="false">-$E45*N(AND(L$3&lt;=$F45,L$4&gt;=$F45))</f>
        <v>-0</v>
      </c>
      <c r="M45" s="47" t="n">
        <f aca="false">-$E45*N(AND(M$3&lt;=$F45,M$4&gt;=$F45))</f>
        <v>-0</v>
      </c>
      <c r="N45" s="47" t="n">
        <f aca="false">-$E45*N(AND(N$3&lt;=$F45,N$4&gt;=$F45))</f>
        <v>-0</v>
      </c>
      <c r="O45" s="47" t="n">
        <f aca="false">-$E45*N(AND(O$3&lt;=$F45,O$4&gt;=$F45))</f>
        <v>-0</v>
      </c>
      <c r="P45" s="47" t="n">
        <f aca="false">-$E45*N(AND(P$3&lt;=$F45,P$4&gt;=$F45))</f>
        <v>-0</v>
      </c>
      <c r="Q45" s="47" t="n">
        <f aca="false">-$E45*N(AND(Q$3&lt;=$F45,Q$4&gt;=$F45))</f>
        <v>-0</v>
      </c>
      <c r="R45" s="47" t="n">
        <f aca="false">-$E45*N(AND(R$3&lt;=$F45,R$4&gt;=$F45))</f>
        <v>-0</v>
      </c>
      <c r="S45" s="47" t="n">
        <f aca="false">-$E45*N(AND(S$3&lt;=$F45,S$4&gt;=$F45))</f>
        <v>-0</v>
      </c>
      <c r="T45" s="47" t="n">
        <f aca="false">-$E45*N(AND(T$3&lt;=$F45,T$4&gt;=$F45))</f>
        <v>-0</v>
      </c>
      <c r="U45" s="47" t="n">
        <f aca="false">-$E45*N(AND(U$3&lt;=$F45,U$4&gt;=$F45))</f>
        <v>-0</v>
      </c>
      <c r="V45" s="47" t="n">
        <f aca="false">-$E45*N(AND(V$3&lt;=$F45,V$4&gt;=$F45))</f>
        <v>-0</v>
      </c>
      <c r="W45" s="47" t="n">
        <f aca="false">-$E45*N(AND(W$3&lt;=$F45,W$4&gt;=$F45))</f>
        <v>-0</v>
      </c>
      <c r="X45" s="47" t="n">
        <f aca="false">-$E45*N(AND(X$3&lt;=$F45,X$4&gt;=$F45))</f>
        <v>-0</v>
      </c>
      <c r="Y45" s="47" t="n">
        <f aca="false">-$E45*N(AND(Y$3&lt;=$F45,Y$4&gt;=$F45))</f>
        <v>-0</v>
      </c>
      <c r="Z45" s="47" t="n">
        <f aca="false">-$E45*N(AND(Z$3&lt;=$F45,Z$4&gt;=$F45))</f>
        <v>-0</v>
      </c>
      <c r="AA45" s="47" t="n">
        <f aca="false">-$E45*N(AND(AA$3&lt;=$F45,AA$4&gt;=$F45))</f>
        <v>-0</v>
      </c>
      <c r="AB45" s="47" t="n">
        <f aca="false">-$E45*N(AND(AB$3&lt;=$F45,AB$4&gt;=$F45))</f>
        <v>-0</v>
      </c>
      <c r="AC45" s="47" t="n">
        <f aca="false">-$E45*N(AND(AC$3&lt;=$F45,AC$4&gt;=$F45))</f>
        <v>-0</v>
      </c>
      <c r="AD45" s="47" t="n">
        <f aca="false">-$E45*N(AND(AD$3&lt;=$F45,AD$4&gt;=$F45))</f>
        <v>-0</v>
      </c>
      <c r="AE45" s="47" t="n">
        <f aca="false">-$E45*N(AND(AE$3&lt;=$F45,AE$4&gt;=$F45))</f>
        <v>-0</v>
      </c>
      <c r="AF45" s="47" t="n">
        <f aca="false">-$E45*N(AND(AF$3&lt;=$F45,AF$4&gt;=$F45))</f>
        <v>-0</v>
      </c>
      <c r="AG45" s="47" t="n">
        <f aca="false">-$E45*N(AND(AG$3&lt;=$F45,AG$4&gt;=$F45))</f>
        <v>-0</v>
      </c>
      <c r="AH45" s="47" t="n">
        <f aca="false">-$E45*N(AND(AH$3&lt;=$F45,AH$4&gt;=$F45))</f>
        <v>-0</v>
      </c>
      <c r="AI45" s="47" t="n">
        <f aca="false">-$E45*N(AND(AI$3&lt;=$F45,AI$4&gt;=$F45))</f>
        <v>-0</v>
      </c>
      <c r="AJ45" s="47" t="n">
        <f aca="false">-$E45*N(AND(AJ$3&lt;=$F45,AJ$4&gt;=$F45))</f>
        <v>-0</v>
      </c>
      <c r="AK45" s="47" t="n">
        <f aca="false">-$E45*N(AND(AK$3&lt;=$F45,AK$4&gt;=$F45))</f>
        <v>-0</v>
      </c>
      <c r="AL45" s="47" t="n">
        <f aca="false">-$E45*N(AND(AL$3&lt;=$F45,AL$4&gt;=$F45))</f>
        <v>-0</v>
      </c>
      <c r="AM45" s="47" t="n">
        <f aca="false">-$E45*N(AND(AM$3&lt;=$F45,AM$4&gt;=$F45))</f>
        <v>-0</v>
      </c>
      <c r="AN45" s="47" t="n">
        <f aca="false">-$E45*N(AND(AN$3&lt;=$F45,AN$4&gt;=$F45))</f>
        <v>-0</v>
      </c>
      <c r="AO45" s="47" t="n">
        <f aca="false">-$E45*N(AND(AO$3&lt;=$F45,AO$4&gt;=$F45))</f>
        <v>-0</v>
      </c>
      <c r="AP45" s="47" t="n">
        <f aca="false">-$E45*N(AND(AP$3&lt;=$F45,AP$4&gt;=$F45))</f>
        <v>-0</v>
      </c>
      <c r="AQ45" s="47" t="n">
        <f aca="false">-$E45*N(AND(AQ$3&lt;=$F45,AQ$4&gt;=$F45))</f>
        <v>-0</v>
      </c>
      <c r="AR45" s="47" t="n">
        <f aca="false">-$E45*N(AND(AR$3&lt;=$F45,AR$4&gt;=$F45))</f>
        <v>-0</v>
      </c>
      <c r="AS45" s="47" t="n">
        <f aca="false">-$E45*N(AND(AS$3&lt;=$F45,AS$4&gt;=$F45))</f>
        <v>-0</v>
      </c>
      <c r="AT45" s="47" t="n">
        <f aca="false">-$E45*N(AND(AT$3&lt;=$F45,AT$4&gt;=$F45))</f>
        <v>-0</v>
      </c>
      <c r="AU45" s="47" t="n">
        <f aca="false">-$E45*N(AND(AU$3&lt;=$F45,AU$4&gt;=$F45))</f>
        <v>-0</v>
      </c>
      <c r="AV45" s="47" t="n">
        <f aca="false">-$E45*N(AND(AV$3&lt;=$F45,AV$4&gt;=$F45))</f>
        <v>-0</v>
      </c>
      <c r="AW45" s="47" t="n">
        <f aca="false">-$E45*N(AND(AW$3&lt;=$F45,AW$4&gt;=$F45))</f>
        <v>-0</v>
      </c>
      <c r="AX45" s="47" t="n">
        <f aca="false">-$E45*N(AND(AX$3&lt;=$F45,AX$4&gt;=$F45))</f>
        <v>-0</v>
      </c>
      <c r="AY45" s="47" t="n">
        <f aca="false">-$E45*N(AND(AY$3&lt;=$F45,AY$4&gt;=$F45))</f>
        <v>-0</v>
      </c>
      <c r="AZ45" s="47" t="n">
        <f aca="false">-$E45*N(AND(AZ$3&lt;=$F45,AZ$4&gt;=$F45))</f>
        <v>-0</v>
      </c>
      <c r="BA45" s="47" t="n">
        <f aca="false">-$E45*N(AND(BA$3&lt;=$F45,BA$4&gt;=$F45))</f>
        <v>-0</v>
      </c>
      <c r="BB45" s="47" t="n">
        <f aca="false">-$E45*N(AND(BB$3&lt;=$F45,BB$4&gt;=$F45))</f>
        <v>-0</v>
      </c>
      <c r="BC45" s="47" t="n">
        <f aca="false">-$E45*N(AND(BC$3&lt;=$F45,BC$4&gt;=$F45))</f>
        <v>-0</v>
      </c>
      <c r="BD45" s="47" t="n">
        <f aca="false">-$E45*N(AND(BD$3&lt;=$F45,BD$4&gt;=$F45))</f>
        <v>-0</v>
      </c>
      <c r="BE45" s="47" t="n">
        <f aca="false">-$E45*N(AND(BE$3&lt;=$F45,BE$4&gt;=$F45))</f>
        <v>-0</v>
      </c>
      <c r="BF45" s="47" t="n">
        <f aca="false">-$E45*N(AND(BF$3&lt;=$F45,BF$4&gt;=$F45))</f>
        <v>-0</v>
      </c>
      <c r="BG45" s="47" t="n">
        <f aca="false">-$E45*N(AND(BG$3&lt;=$F45,BG$4&gt;=$F45))</f>
        <v>-0</v>
      </c>
      <c r="BH45" s="47" t="n">
        <f aca="false">-$E45*N(AND(BH$3&lt;=$F45,BH$4&gt;=$F45))</f>
        <v>-0</v>
      </c>
      <c r="BI45" s="47" t="n">
        <f aca="false">-$E45*N(AND(BI$3&lt;=$F45,BI$4&gt;=$F45))</f>
        <v>-0</v>
      </c>
      <c r="BJ45" s="47" t="n">
        <f aca="false">-$E45*N(AND(BJ$3&lt;=$F45,BJ$4&gt;=$F45))</f>
        <v>-0</v>
      </c>
      <c r="BK45" s="47" t="n">
        <f aca="false">-$E45*N(AND(BK$3&lt;=$F45,BK$4&gt;=$F45))</f>
        <v>-0</v>
      </c>
      <c r="BL45" s="47" t="n">
        <f aca="false">-$E45*N(AND(BL$3&lt;=$F45,BL$4&gt;=$F45))</f>
        <v>-0</v>
      </c>
      <c r="BM45" s="47" t="n">
        <f aca="false">-$E45*N(AND(BM$3&lt;=$F45,BM$4&gt;=$F45))</f>
        <v>-0</v>
      </c>
      <c r="BN45" s="47" t="n">
        <f aca="false">-$E45*N(AND(BN$3&lt;=$F45,BN$4&gt;=$F45))</f>
        <v>-0</v>
      </c>
      <c r="BO45" s="47" t="n">
        <f aca="false">-$E45*N(AND(BO$3&lt;=$F45,BO$4&gt;=$F45))</f>
        <v>-0</v>
      </c>
      <c r="BP45" s="47" t="n">
        <f aca="false">-$E45*N(AND(BP$3&lt;=$F45,BP$4&gt;=$F45))</f>
        <v>-0</v>
      </c>
      <c r="BQ45" s="47" t="n">
        <f aca="false">-$E45*N(AND(BQ$3&lt;=$F45,BQ$4&gt;=$F45))</f>
        <v>-0</v>
      </c>
      <c r="BR45" s="47" t="n">
        <f aca="false">-$E45*N(AND(BR$3&lt;=$F45,BR$4&gt;=$F45))</f>
        <v>-0</v>
      </c>
      <c r="BS45" s="47" t="n">
        <f aca="false">-$E45*N(AND(BS$3&lt;=$F45,BS$4&gt;=$F45))</f>
        <v>-0</v>
      </c>
      <c r="BT45" s="47" t="n">
        <f aca="false">-$E45*N(AND(BT$3&lt;=$F45,BT$4&gt;=$F45))</f>
        <v>-0</v>
      </c>
      <c r="BU45" s="47" t="n">
        <f aca="false">-$E45*N(AND(BU$3&lt;=$F45,BU$4&gt;=$F45))</f>
        <v>-0</v>
      </c>
      <c r="BV45" s="47" t="n">
        <f aca="false">-$E45*N(AND(BV$3&lt;=$F45,BV$4&gt;=$F45))</f>
        <v>-0</v>
      </c>
      <c r="BW45" s="47" t="n">
        <f aca="false">-$E45*N(AND(BW$3&lt;=$F45,BW$4&gt;=$F45))</f>
        <v>-0</v>
      </c>
      <c r="BX45" s="47" t="n">
        <f aca="false">-$E45*N(AND(BX$3&lt;=$F45,BX$4&gt;=$F45))</f>
        <v>-0</v>
      </c>
      <c r="BY45" s="47" t="n">
        <f aca="false">-$E45*N(AND(BY$3&lt;=$F45,BY$4&gt;=$F45))</f>
        <v>-0</v>
      </c>
      <c r="BZ45" s="47" t="n">
        <f aca="false">-$E45*N(AND(BZ$3&lt;=$F45,BZ$4&gt;=$F45))</f>
        <v>-0</v>
      </c>
      <c r="CA45" s="47" t="n">
        <f aca="false">-$E45*N(AND(CA$3&lt;=$F45,CA$4&gt;=$F45))</f>
        <v>-0</v>
      </c>
      <c r="CB45" s="47" t="n">
        <f aca="false">-$E45*N(AND(CB$3&lt;=$F45,CB$4&gt;=$F45))</f>
        <v>-0</v>
      </c>
      <c r="CC45" s="47" t="n">
        <f aca="false">-$E45*N(AND(CC$3&lt;=$F45,CC$4&gt;=$F45))</f>
        <v>-0</v>
      </c>
      <c r="CD45" s="47" t="n">
        <f aca="false">-$E45*N(AND(CD$3&lt;=$F45,CD$4&gt;=$F45))</f>
        <v>-0</v>
      </c>
      <c r="CE45" s="47" t="n">
        <f aca="false">-$E45*N(AND(CE$3&lt;=$F45,CE$4&gt;=$F45))</f>
        <v>-0</v>
      </c>
      <c r="CF45" s="47" t="n">
        <f aca="false">-$E45*N(AND(CF$3&lt;=$F45,CF$4&gt;=$F45))</f>
        <v>-0</v>
      </c>
      <c r="CG45" s="47" t="n">
        <f aca="false">-$E45*N(AND(CG$3&lt;=$F45,CG$4&gt;=$F45))</f>
        <v>-0</v>
      </c>
      <c r="CH45" s="47" t="n">
        <f aca="false">-$E45*N(AND(CH$3&lt;=$F45,CH$4&gt;=$F45))</f>
        <v>-0</v>
      </c>
      <c r="CI45" s="47" t="n">
        <f aca="false">-$E45*N(AND(CI$3&lt;=$F45,CI$4&gt;=$F45))</f>
        <v>-0</v>
      </c>
      <c r="CJ45" s="47" t="n">
        <f aca="false">-$E45*N(AND(CJ$3&lt;=$F45,CJ$4&gt;=$F45))</f>
        <v>-0</v>
      </c>
      <c r="CK45" s="47" t="n">
        <f aca="false">-$E45*N(AND(CK$3&lt;=$F45,CK$4&gt;=$F45))</f>
        <v>-0</v>
      </c>
      <c r="CL45" s="47" t="n">
        <f aca="false">-$E45*N(AND(CL$3&lt;=$F45,CL$4&gt;=$F45))</f>
        <v>-0</v>
      </c>
      <c r="CM45" s="47" t="n">
        <f aca="false">-$E45*N(AND(CM$3&lt;=$F45,CM$4&gt;=$F45))</f>
        <v>-0</v>
      </c>
      <c r="CN45" s="47" t="n">
        <f aca="false">-$E45*N(AND(CN$3&lt;=$F45,CN$4&gt;=$F45))</f>
        <v>-0</v>
      </c>
      <c r="CO45" s="47" t="n">
        <f aca="false">-$E45*N(AND(CO$3&lt;=$F45,CO$4&gt;=$F45))</f>
        <v>-0</v>
      </c>
      <c r="CP45" s="47" t="n">
        <f aca="false">-$E45*N(AND(CP$3&lt;=$F45,CP$4&gt;=$F45))</f>
        <v>-0</v>
      </c>
      <c r="CQ45" s="47" t="n">
        <f aca="false">-$E45*N(AND(CQ$3&lt;=$F45,CQ$4&gt;=$F45))</f>
        <v>-0</v>
      </c>
      <c r="CR45" s="47" t="n">
        <f aca="false">-$E45*N(AND(CR$3&lt;=$F45,CR$4&gt;=$F45))</f>
        <v>-0</v>
      </c>
      <c r="CS45" s="47" t="n">
        <f aca="false">-$E45*N(AND(CS$3&lt;=$F45,CS$4&gt;=$F45))</f>
        <v>-0</v>
      </c>
      <c r="CT45" s="47" t="n">
        <f aca="false">-$E45*N(AND(CT$3&lt;=$F45,CT$4&gt;=$F45))</f>
        <v>-0</v>
      </c>
      <c r="CU45" s="47" t="n">
        <f aca="false">-$E45*N(AND(CU$3&lt;=$F45,CU$4&gt;=$F45))</f>
        <v>-0</v>
      </c>
      <c r="CV45" s="47" t="n">
        <f aca="false">-$E45*N(AND(CV$3&lt;=$F45,CV$4&gt;=$F45))</f>
        <v>-0</v>
      </c>
      <c r="CW45" s="47" t="n">
        <f aca="false">-$E45*N(AND(CW$3&lt;=$F45,CW$4&gt;=$F45))</f>
        <v>-0</v>
      </c>
      <c r="CX45" s="47" t="n">
        <f aca="false">-$E45*N(AND(CX$3&lt;=$F45,CX$4&gt;=$F45))</f>
        <v>-0</v>
      </c>
      <c r="CY45" s="47" t="n">
        <f aca="false">-$E45*N(AND(CY$3&lt;=$F45,CY$4&gt;=$F45))</f>
        <v>-0</v>
      </c>
      <c r="CZ45" s="47" t="n">
        <f aca="false">-$E45*N(AND(CZ$3&lt;=$F45,CZ$4&gt;=$F45))</f>
        <v>-0</v>
      </c>
      <c r="DA45" s="47" t="n">
        <f aca="false">-$E45*N(AND(DA$3&lt;=$F45,DA$4&gt;=$F45))</f>
        <v>-0</v>
      </c>
      <c r="DB45" s="47" t="n">
        <f aca="false">-$E45*N(AND(DB$3&lt;=$F45,DB$4&gt;=$F45))</f>
        <v>-0</v>
      </c>
      <c r="DC45" s="47" t="n">
        <f aca="false">-$E45*N(AND(DC$3&lt;=$F45,DC$4&gt;=$F45))</f>
        <v>-0</v>
      </c>
      <c r="DD45" s="47" t="n">
        <f aca="false">-$E45*N(AND(DD$3&lt;=$F45,DD$4&gt;=$F45))</f>
        <v>-0</v>
      </c>
      <c r="DE45" s="47" t="n">
        <f aca="false">-$E45*N(AND(DE$3&lt;=$F45,DE$4&gt;=$F45))</f>
        <v>-0</v>
      </c>
      <c r="DF45" s="47" t="n">
        <f aca="false">-$E45*N(AND(DF$3&lt;=$F45,DF$4&gt;=$F45))</f>
        <v>-0</v>
      </c>
      <c r="DG45" s="47" t="n">
        <f aca="false">-$E45*N(AND(DG$3&lt;=$F45,DG$4&gt;=$F45))</f>
        <v>-0</v>
      </c>
      <c r="DH45" s="47" t="n">
        <f aca="false">-$E45*N(AND(DH$3&lt;=$F45,DH$4&gt;=$F45))</f>
        <v>-0</v>
      </c>
      <c r="DI45" s="47" t="n">
        <f aca="false">-$E45*N(AND(DI$3&lt;=$F45,DI$4&gt;=$F45))</f>
        <v>-0</v>
      </c>
      <c r="DJ45" s="47" t="n">
        <f aca="false">-$E45*N(AND(DJ$3&lt;=$F45,DJ$4&gt;=$F45))</f>
        <v>-0</v>
      </c>
      <c r="DK45" s="47" t="n">
        <f aca="false">-$E45*N(AND(DK$3&lt;=$F45,DK$4&gt;=$F45))</f>
        <v>-0</v>
      </c>
      <c r="DL45" s="47" t="n">
        <f aca="false">-$E45*N(AND(DL$3&lt;=$F45,DL$4&gt;=$F45))</f>
        <v>-0</v>
      </c>
      <c r="DM45" s="47" t="n">
        <f aca="false">-$E45*N(AND(DM$3&lt;=$F45,DM$4&gt;=$F45))</f>
        <v>-0</v>
      </c>
      <c r="DN45" s="47" t="n">
        <f aca="false">-$E45*N(AND(DN$3&lt;=$F45,DN$4&gt;=$F45))</f>
        <v>-0</v>
      </c>
      <c r="DO45" s="47" t="n">
        <f aca="false">-$E45*N(AND(DO$3&lt;=$F45,DO$4&gt;=$F45))</f>
        <v>-0</v>
      </c>
      <c r="DP45" s="47" t="n">
        <f aca="false">-$E45*N(AND(DP$3&lt;=$F45,DP$4&gt;=$F45))</f>
        <v>-0</v>
      </c>
      <c r="DQ45" s="47" t="n">
        <f aca="false">-$E45*N(AND(DQ$3&lt;=$F45,DQ$4&gt;=$F45))</f>
        <v>-0</v>
      </c>
      <c r="DR45" s="47" t="n">
        <f aca="false">-$E45*N(AND(DR$3&lt;=$F45,DR$4&gt;=$F45))</f>
        <v>-0</v>
      </c>
      <c r="DS45" s="47" t="n">
        <f aca="false">-$E45*N(AND(DS$3&lt;=$F45,DS$4&gt;=$F45))</f>
        <v>-0</v>
      </c>
      <c r="DT45" s="47" t="n">
        <f aca="false">-$E45*N(AND(DT$3&lt;=$F45,DT$4&gt;=$F45))</f>
        <v>-0</v>
      </c>
      <c r="DU45" s="47" t="n">
        <f aca="false">-$E45*N(AND(DU$3&lt;=$F45,DU$4&gt;=$F45))</f>
        <v>-0</v>
      </c>
      <c r="DV45" s="47" t="n">
        <f aca="false">-$E45*N(AND(DV$3&lt;=$F45,DV$4&gt;=$F45))</f>
        <v>-0</v>
      </c>
      <c r="DW45" s="47" t="n">
        <f aca="false">-$E45*N(AND(DW$3&lt;=$F45,DW$4&gt;=$F45))</f>
        <v>-0</v>
      </c>
      <c r="DX45" s="47" t="n">
        <f aca="false">-$E45*N(AND(DX$3&lt;=$F45,DX$4&gt;=$F45))</f>
        <v>-0</v>
      </c>
      <c r="DY45" s="47" t="n">
        <f aca="false">-$E45*N(AND(DY$3&lt;=$F45,DY$4&gt;=$F45))</f>
        <v>-0</v>
      </c>
      <c r="DZ45" s="47" t="n">
        <f aca="false">-$E45*N(AND(DZ$3&lt;=$F45,DZ$4&gt;=$F45))</f>
        <v>-0</v>
      </c>
      <c r="EA45" s="47" t="n">
        <f aca="false">-$E45*N(AND(EA$3&lt;=$F45,EA$4&gt;=$F45))</f>
        <v>-0</v>
      </c>
      <c r="EB45" s="47" t="n">
        <f aca="false">-$E45*N(AND(EB$3&lt;=$F45,EB$4&gt;=$F45))</f>
        <v>-0</v>
      </c>
      <c r="EC45" s="47" t="n">
        <f aca="false">-$E45*N(AND(EC$3&lt;=$F45,EC$4&gt;=$F45))</f>
        <v>-0</v>
      </c>
      <c r="ED45" s="47" t="n">
        <f aca="false">-$E45*N(AND(ED$3&lt;=$F45,ED$4&gt;=$F45))</f>
        <v>-0</v>
      </c>
      <c r="EE45" s="47" t="n">
        <f aca="false">-$E45*N(AND(EE$3&lt;=$F45,EE$4&gt;=$F45))</f>
        <v>-0</v>
      </c>
      <c r="EF45" s="47" t="n">
        <f aca="false">-$E45*N(AND(EF$3&lt;=$F45,EF$4&gt;=$F45))</f>
        <v>-0</v>
      </c>
      <c r="EG45" s="47" t="n">
        <f aca="false">-$E45*N(AND(EG$3&lt;=$F45,EG$4&gt;=$F45))</f>
        <v>-0</v>
      </c>
      <c r="EH45" s="47" t="n">
        <f aca="false">-$E45*N(AND(EH$3&lt;=$F45,EH$4&gt;=$F45))</f>
        <v>-0</v>
      </c>
      <c r="EI45" s="47" t="n">
        <f aca="false">-$E45*N(AND(EI$3&lt;=$F45,EI$4&gt;=$F45))</f>
        <v>-0</v>
      </c>
      <c r="EJ45" s="47" t="n">
        <f aca="false">-$E45*N(AND(EJ$3&lt;=$F45,EJ$4&gt;=$F45))</f>
        <v>-0</v>
      </c>
      <c r="EK45" s="47" t="n">
        <f aca="false">-$E45*N(AND(EK$3&lt;=$F45,EK$4&gt;=$F45))</f>
        <v>-0</v>
      </c>
      <c r="EL45" s="47" t="n">
        <f aca="false">-$E45*N(AND(EL$3&lt;=$F45,EL$4&gt;=$F45))</f>
        <v>-0</v>
      </c>
      <c r="EM45" s="47" t="n">
        <f aca="false">-$E45*N(AND(EM$3&lt;=$F45,EM$4&gt;=$F45))</f>
        <v>-0</v>
      </c>
      <c r="EN45" s="47" t="n">
        <f aca="false">-$E45*N(AND(EN$3&lt;=$F45,EN$4&gt;=$F45))</f>
        <v>-0</v>
      </c>
      <c r="EO45" s="47" t="n">
        <f aca="false">-$E45*N(AND(EO$3&lt;=$F45,EO$4&gt;=$F45))</f>
        <v>-0</v>
      </c>
    </row>
    <row r="46" customFormat="false" ht="15" hidden="false" customHeight="false" outlineLevel="0" collapsed="false">
      <c r="C46" s="0" t="s">
        <v>399</v>
      </c>
      <c r="D46" s="11" t="s">
        <v>33</v>
      </c>
      <c r="I46" s="47" t="n">
        <f aca="false">SUM(J46:EO46)</f>
        <v>-500</v>
      </c>
      <c r="J46" s="47" t="n">
        <f aca="false">-In_Devex*J13</f>
        <v>-0</v>
      </c>
      <c r="K46" s="47" t="n">
        <f aca="false">-In_Devex*K13</f>
        <v>-70.4225352112676</v>
      </c>
      <c r="L46" s="47" t="n">
        <f aca="false">-In_Devex*L13</f>
        <v>-71.2050078247261</v>
      </c>
      <c r="M46" s="47" t="n">
        <f aca="false">-In_Devex*M13</f>
        <v>-71.9874804381847</v>
      </c>
      <c r="N46" s="47" t="n">
        <f aca="false">-In_Devex*N13</f>
        <v>-71.9874804381847</v>
      </c>
      <c r="O46" s="47" t="n">
        <f aca="false">-In_Devex*O13</f>
        <v>-71.2050078247261</v>
      </c>
      <c r="P46" s="47" t="n">
        <f aca="false">-In_Devex*P13</f>
        <v>-71.2050078247261</v>
      </c>
      <c r="Q46" s="47" t="n">
        <f aca="false">-In_Devex*Q13</f>
        <v>-71.9874804381847</v>
      </c>
      <c r="R46" s="47" t="n">
        <f aca="false">-In_Devex*R13</f>
        <v>-0</v>
      </c>
      <c r="S46" s="47" t="n">
        <f aca="false">-In_Devex*S13</f>
        <v>-0</v>
      </c>
      <c r="T46" s="47" t="n">
        <f aca="false">-In_Devex*T13</f>
        <v>-0</v>
      </c>
      <c r="U46" s="47" t="n">
        <f aca="false">-In_Devex*U13</f>
        <v>-0</v>
      </c>
      <c r="V46" s="47" t="n">
        <f aca="false">-In_Devex*V13</f>
        <v>-0</v>
      </c>
      <c r="W46" s="47" t="n">
        <f aca="false">-In_Devex*W13</f>
        <v>-0</v>
      </c>
      <c r="X46" s="47" t="n">
        <f aca="false">-In_Devex*X13</f>
        <v>-0</v>
      </c>
      <c r="Y46" s="47" t="n">
        <f aca="false">-In_Devex*Y13</f>
        <v>-0</v>
      </c>
      <c r="Z46" s="47" t="n">
        <f aca="false">-In_Devex*Z13</f>
        <v>-0</v>
      </c>
      <c r="AA46" s="47" t="n">
        <f aca="false">-In_Devex*AA13</f>
        <v>-0</v>
      </c>
      <c r="AB46" s="47" t="n">
        <f aca="false">-In_Devex*AB13</f>
        <v>-0</v>
      </c>
      <c r="AC46" s="47" t="n">
        <f aca="false">-In_Devex*AC13</f>
        <v>-0</v>
      </c>
      <c r="AD46" s="47" t="n">
        <f aca="false">-In_Devex*AD13</f>
        <v>-0</v>
      </c>
      <c r="AE46" s="47" t="n">
        <f aca="false">-In_Devex*AE13</f>
        <v>-0</v>
      </c>
      <c r="AF46" s="47" t="n">
        <f aca="false">-In_Devex*AF13</f>
        <v>-0</v>
      </c>
      <c r="AG46" s="47" t="n">
        <f aca="false">-In_Devex*AG13</f>
        <v>-0</v>
      </c>
      <c r="AH46" s="47" t="n">
        <f aca="false">-In_Devex*AH13</f>
        <v>-0</v>
      </c>
      <c r="AI46" s="47" t="n">
        <f aca="false">-In_Devex*AI13</f>
        <v>-0</v>
      </c>
      <c r="AJ46" s="47" t="n">
        <f aca="false">-In_Devex*AJ13</f>
        <v>-0</v>
      </c>
      <c r="AK46" s="47" t="n">
        <f aca="false">-In_Devex*AK13</f>
        <v>-0</v>
      </c>
      <c r="AL46" s="47" t="n">
        <f aca="false">-In_Devex*AL13</f>
        <v>-0</v>
      </c>
      <c r="AM46" s="47" t="n">
        <f aca="false">-In_Devex*AM13</f>
        <v>-0</v>
      </c>
      <c r="AN46" s="47" t="n">
        <f aca="false">-In_Devex*AN13</f>
        <v>-0</v>
      </c>
      <c r="AO46" s="47" t="n">
        <f aca="false">-In_Devex*AO13</f>
        <v>-0</v>
      </c>
      <c r="AP46" s="47" t="n">
        <f aca="false">-In_Devex*AP13</f>
        <v>-0</v>
      </c>
      <c r="AQ46" s="47" t="n">
        <f aca="false">-In_Devex*AQ13</f>
        <v>-0</v>
      </c>
      <c r="AR46" s="47" t="n">
        <f aca="false">-In_Devex*AR13</f>
        <v>-0</v>
      </c>
      <c r="AS46" s="47" t="n">
        <f aca="false">-In_Devex*AS13</f>
        <v>-0</v>
      </c>
      <c r="AT46" s="47" t="n">
        <f aca="false">-In_Devex*AT13</f>
        <v>-0</v>
      </c>
      <c r="AU46" s="47" t="n">
        <f aca="false">-In_Devex*AU13</f>
        <v>-0</v>
      </c>
      <c r="AV46" s="47" t="n">
        <f aca="false">-In_Devex*AV13</f>
        <v>-0</v>
      </c>
      <c r="AW46" s="47" t="n">
        <f aca="false">-In_Devex*AW13</f>
        <v>-0</v>
      </c>
      <c r="AX46" s="47" t="n">
        <f aca="false">-In_Devex*AX13</f>
        <v>-0</v>
      </c>
      <c r="AY46" s="47" t="n">
        <f aca="false">-In_Devex*AY13</f>
        <v>-0</v>
      </c>
      <c r="AZ46" s="47" t="n">
        <f aca="false">-In_Devex*AZ13</f>
        <v>-0</v>
      </c>
      <c r="BA46" s="47" t="n">
        <f aca="false">-In_Devex*BA13</f>
        <v>-0</v>
      </c>
      <c r="BB46" s="47" t="n">
        <f aca="false">-In_Devex*BB13</f>
        <v>-0</v>
      </c>
      <c r="BC46" s="47" t="n">
        <f aca="false">-In_Devex*BC13</f>
        <v>-0</v>
      </c>
      <c r="BD46" s="47" t="n">
        <f aca="false">-In_Devex*BD13</f>
        <v>-0</v>
      </c>
      <c r="BE46" s="47" t="n">
        <f aca="false">-In_Devex*BE13</f>
        <v>-0</v>
      </c>
      <c r="BF46" s="47" t="n">
        <f aca="false">-In_Devex*BF13</f>
        <v>-0</v>
      </c>
      <c r="BG46" s="47" t="n">
        <f aca="false">-In_Devex*BG13</f>
        <v>-0</v>
      </c>
      <c r="BH46" s="47" t="n">
        <f aca="false">-In_Devex*BH13</f>
        <v>-0</v>
      </c>
      <c r="BI46" s="47" t="n">
        <f aca="false">-In_Devex*BI13</f>
        <v>-0</v>
      </c>
      <c r="BJ46" s="47" t="n">
        <f aca="false">-In_Devex*BJ13</f>
        <v>-0</v>
      </c>
      <c r="BK46" s="47" t="n">
        <f aca="false">-In_Devex*BK13</f>
        <v>-0</v>
      </c>
      <c r="BL46" s="47" t="n">
        <f aca="false">-In_Devex*BL13</f>
        <v>-0</v>
      </c>
      <c r="BM46" s="47" t="n">
        <f aca="false">-In_Devex*BM13</f>
        <v>-0</v>
      </c>
      <c r="BN46" s="47" t="n">
        <f aca="false">-In_Devex*BN13</f>
        <v>-0</v>
      </c>
      <c r="BO46" s="47" t="n">
        <f aca="false">-In_Devex*BO13</f>
        <v>-0</v>
      </c>
      <c r="BP46" s="47" t="n">
        <f aca="false">-In_Devex*BP13</f>
        <v>-0</v>
      </c>
      <c r="BQ46" s="47" t="n">
        <f aca="false">-In_Devex*BQ13</f>
        <v>-0</v>
      </c>
      <c r="BR46" s="47" t="n">
        <f aca="false">-In_Devex*BR13</f>
        <v>-0</v>
      </c>
      <c r="BS46" s="47" t="n">
        <f aca="false">-In_Devex*BS13</f>
        <v>-0</v>
      </c>
      <c r="BT46" s="47" t="n">
        <f aca="false">-In_Devex*BT13</f>
        <v>-0</v>
      </c>
      <c r="BU46" s="47" t="n">
        <f aca="false">-In_Devex*BU13</f>
        <v>-0</v>
      </c>
      <c r="BV46" s="47" t="n">
        <f aca="false">-In_Devex*BV13</f>
        <v>-0</v>
      </c>
      <c r="BW46" s="47" t="n">
        <f aca="false">-In_Devex*BW13</f>
        <v>-0</v>
      </c>
      <c r="BX46" s="47" t="n">
        <f aca="false">-In_Devex*BX13</f>
        <v>-0</v>
      </c>
      <c r="BY46" s="47" t="n">
        <f aca="false">-In_Devex*BY13</f>
        <v>-0</v>
      </c>
      <c r="BZ46" s="47" t="n">
        <f aca="false">-In_Devex*BZ13</f>
        <v>-0</v>
      </c>
      <c r="CA46" s="47" t="n">
        <f aca="false">-In_Devex*CA13</f>
        <v>-0</v>
      </c>
      <c r="CB46" s="47" t="n">
        <f aca="false">-In_Devex*CB13</f>
        <v>-0</v>
      </c>
      <c r="CC46" s="47" t="n">
        <f aca="false">-In_Devex*CC13</f>
        <v>-0</v>
      </c>
      <c r="CD46" s="47" t="n">
        <f aca="false">-In_Devex*CD13</f>
        <v>-0</v>
      </c>
      <c r="CE46" s="47" t="n">
        <f aca="false">-In_Devex*CE13</f>
        <v>-0</v>
      </c>
      <c r="CF46" s="47" t="n">
        <f aca="false">-In_Devex*CF13</f>
        <v>-0</v>
      </c>
      <c r="CG46" s="47" t="n">
        <f aca="false">-In_Devex*CG13</f>
        <v>-0</v>
      </c>
      <c r="CH46" s="47" t="n">
        <f aca="false">-In_Devex*CH13</f>
        <v>-0</v>
      </c>
      <c r="CI46" s="47" t="n">
        <f aca="false">-In_Devex*CI13</f>
        <v>-0</v>
      </c>
      <c r="CJ46" s="47" t="n">
        <f aca="false">-In_Devex*CJ13</f>
        <v>-0</v>
      </c>
      <c r="CK46" s="47" t="n">
        <f aca="false">-In_Devex*CK13</f>
        <v>-0</v>
      </c>
      <c r="CL46" s="47" t="n">
        <f aca="false">-In_Devex*CL13</f>
        <v>-0</v>
      </c>
      <c r="CM46" s="47" t="n">
        <f aca="false">-In_Devex*CM13</f>
        <v>-0</v>
      </c>
      <c r="CN46" s="47" t="n">
        <f aca="false">-In_Devex*CN13</f>
        <v>-0</v>
      </c>
      <c r="CO46" s="47" t="n">
        <f aca="false">-In_Devex*CO13</f>
        <v>-0</v>
      </c>
      <c r="CP46" s="47" t="n">
        <f aca="false">-In_Devex*CP13</f>
        <v>-0</v>
      </c>
      <c r="CQ46" s="47" t="n">
        <f aca="false">-In_Devex*CQ13</f>
        <v>-0</v>
      </c>
      <c r="CR46" s="47" t="n">
        <f aca="false">-In_Devex*CR13</f>
        <v>-0</v>
      </c>
      <c r="CS46" s="47" t="n">
        <f aca="false">-In_Devex*CS13</f>
        <v>-0</v>
      </c>
      <c r="CT46" s="47" t="n">
        <f aca="false">-In_Devex*CT13</f>
        <v>-0</v>
      </c>
      <c r="CU46" s="47" t="n">
        <f aca="false">-In_Devex*CU13</f>
        <v>-0</v>
      </c>
      <c r="CV46" s="47" t="n">
        <f aca="false">-In_Devex*CV13</f>
        <v>-0</v>
      </c>
      <c r="CW46" s="47" t="n">
        <f aca="false">-In_Devex*CW13</f>
        <v>-0</v>
      </c>
      <c r="CX46" s="47" t="n">
        <f aca="false">-In_Devex*CX13</f>
        <v>-0</v>
      </c>
      <c r="CY46" s="47" t="n">
        <f aca="false">-In_Devex*CY13</f>
        <v>-0</v>
      </c>
      <c r="CZ46" s="47" t="n">
        <f aca="false">-In_Devex*CZ13</f>
        <v>-0</v>
      </c>
      <c r="DA46" s="47" t="n">
        <f aca="false">-In_Devex*DA13</f>
        <v>-0</v>
      </c>
      <c r="DB46" s="47" t="n">
        <f aca="false">-In_Devex*DB13</f>
        <v>-0</v>
      </c>
      <c r="DC46" s="47" t="n">
        <f aca="false">-In_Devex*DC13</f>
        <v>-0</v>
      </c>
      <c r="DD46" s="47" t="n">
        <f aca="false">-In_Devex*DD13</f>
        <v>-0</v>
      </c>
      <c r="DE46" s="47" t="n">
        <f aca="false">-In_Devex*DE13</f>
        <v>-0</v>
      </c>
      <c r="DF46" s="47" t="n">
        <f aca="false">-In_Devex*DF13</f>
        <v>-0</v>
      </c>
      <c r="DG46" s="47" t="n">
        <f aca="false">-In_Devex*DG13</f>
        <v>-0</v>
      </c>
      <c r="DH46" s="47" t="n">
        <f aca="false">-In_Devex*DH13</f>
        <v>-0</v>
      </c>
      <c r="DI46" s="47" t="n">
        <f aca="false">-In_Devex*DI13</f>
        <v>-0</v>
      </c>
      <c r="DJ46" s="47" t="n">
        <f aca="false">-In_Devex*DJ13</f>
        <v>-0</v>
      </c>
      <c r="DK46" s="47" t="n">
        <f aca="false">-In_Devex*DK13</f>
        <v>-0</v>
      </c>
      <c r="DL46" s="47" t="n">
        <f aca="false">-In_Devex*DL13</f>
        <v>-0</v>
      </c>
      <c r="DM46" s="47" t="n">
        <f aca="false">-In_Devex*DM13</f>
        <v>-0</v>
      </c>
      <c r="DN46" s="47" t="n">
        <f aca="false">-In_Devex*DN13</f>
        <v>-0</v>
      </c>
      <c r="DO46" s="47" t="n">
        <f aca="false">-In_Devex*DO13</f>
        <v>-0</v>
      </c>
      <c r="DP46" s="47" t="n">
        <f aca="false">-In_Devex*DP13</f>
        <v>-0</v>
      </c>
      <c r="DQ46" s="47" t="n">
        <f aca="false">-In_Devex*DQ13</f>
        <v>-0</v>
      </c>
      <c r="DR46" s="47" t="n">
        <f aca="false">-In_Devex*DR13</f>
        <v>-0</v>
      </c>
      <c r="DS46" s="47" t="n">
        <f aca="false">-In_Devex*DS13</f>
        <v>-0</v>
      </c>
      <c r="DT46" s="47" t="n">
        <f aca="false">-In_Devex*DT13</f>
        <v>-0</v>
      </c>
      <c r="DU46" s="47" t="n">
        <f aca="false">-In_Devex*DU13</f>
        <v>-0</v>
      </c>
      <c r="DV46" s="47" t="n">
        <f aca="false">-In_Devex*DV13</f>
        <v>-0</v>
      </c>
      <c r="DW46" s="47" t="n">
        <f aca="false">-In_Devex*DW13</f>
        <v>-0</v>
      </c>
      <c r="DX46" s="47" t="n">
        <f aca="false">-In_Devex*DX13</f>
        <v>-0</v>
      </c>
      <c r="DY46" s="47" t="n">
        <f aca="false">-In_Devex*DY13</f>
        <v>-0</v>
      </c>
      <c r="DZ46" s="47" t="n">
        <f aca="false">-In_Devex*DZ13</f>
        <v>-0</v>
      </c>
      <c r="EA46" s="47" t="n">
        <f aca="false">-In_Devex*EA13</f>
        <v>-0</v>
      </c>
      <c r="EB46" s="47" t="n">
        <f aca="false">-In_Devex*EB13</f>
        <v>-0</v>
      </c>
      <c r="EC46" s="47" t="n">
        <f aca="false">-In_Devex*EC13</f>
        <v>-0</v>
      </c>
      <c r="ED46" s="47" t="n">
        <f aca="false">-In_Devex*ED13</f>
        <v>-0</v>
      </c>
      <c r="EE46" s="47" t="n">
        <f aca="false">-In_Devex*EE13</f>
        <v>-0</v>
      </c>
      <c r="EF46" s="47" t="n">
        <f aca="false">-In_Devex*EF13</f>
        <v>-0</v>
      </c>
      <c r="EG46" s="47" t="n">
        <f aca="false">-In_Devex*EG13</f>
        <v>-0</v>
      </c>
      <c r="EH46" s="47" t="n">
        <f aca="false">-In_Devex*EH13</f>
        <v>-0</v>
      </c>
      <c r="EI46" s="47" t="n">
        <f aca="false">-In_Devex*EI13</f>
        <v>-0</v>
      </c>
      <c r="EJ46" s="47" t="n">
        <f aca="false">-In_Devex*EJ13</f>
        <v>-0</v>
      </c>
      <c r="EK46" s="47" t="n">
        <f aca="false">-In_Devex*EK13</f>
        <v>-0</v>
      </c>
      <c r="EL46" s="47" t="n">
        <f aca="false">-In_Devex*EL13</f>
        <v>-0</v>
      </c>
      <c r="EM46" s="47" t="n">
        <f aca="false">-In_Devex*EM13</f>
        <v>-0</v>
      </c>
      <c r="EN46" s="47" t="n">
        <f aca="false">-In_Devex*EN13</f>
        <v>-0</v>
      </c>
      <c r="EO46" s="47" t="n">
        <f aca="false">-In_Devex*EO13</f>
        <v>-0</v>
      </c>
    </row>
    <row r="47" customFormat="false" ht="15" hidden="false" customHeight="false" outlineLevel="0" collapsed="false">
      <c r="C47" s="0" t="s">
        <v>400</v>
      </c>
      <c r="D47" s="11" t="s">
        <v>260</v>
      </c>
      <c r="E47" s="47" t="n">
        <f aca="false">$E24*In_Bench_Wind+$E26*In_Bench_BESS</f>
        <v>32360</v>
      </c>
    </row>
    <row r="48" customFormat="false" ht="15" hidden="false" customHeight="false" outlineLevel="0" collapsed="false">
      <c r="C48" s="0" t="s">
        <v>401</v>
      </c>
      <c r="D48" s="11" t="s">
        <v>33</v>
      </c>
      <c r="E48" s="47" t="n">
        <f aca="false">In_Part_Fee*Thousand/In_FX</f>
        <v>8.21917808219178</v>
      </c>
      <c r="F48" s="20" t="n">
        <f aca="false">In_Bid_Date</f>
        <v>46325</v>
      </c>
      <c r="I48" s="47" t="n">
        <f aca="false">SUM(J48:EO48)</f>
        <v>-8.21917808219178</v>
      </c>
      <c r="J48" s="47" t="n">
        <f aca="false">-$E48*N(AND(J$3&lt;=$F48,J$4&gt;=$F48))</f>
        <v>-8.21917808219178</v>
      </c>
      <c r="K48" s="47" t="n">
        <f aca="false">-$E48*N(AND(K$3&lt;=$F48,K$4&gt;=$F48))</f>
        <v>-0</v>
      </c>
      <c r="L48" s="47" t="n">
        <f aca="false">-$E48*N(AND(L$3&lt;=$F48,L$4&gt;=$F48))</f>
        <v>-0</v>
      </c>
      <c r="M48" s="47" t="n">
        <f aca="false">-$E48*N(AND(M$3&lt;=$F48,M$4&gt;=$F48))</f>
        <v>-0</v>
      </c>
      <c r="N48" s="47" t="n">
        <f aca="false">-$E48*N(AND(N$3&lt;=$F48,N$4&gt;=$F48))</f>
        <v>-0</v>
      </c>
      <c r="O48" s="47" t="n">
        <f aca="false">-$E48*N(AND(O$3&lt;=$F48,O$4&gt;=$F48))</f>
        <v>-0</v>
      </c>
      <c r="P48" s="47" t="n">
        <f aca="false">-$E48*N(AND(P$3&lt;=$F48,P$4&gt;=$F48))</f>
        <v>-0</v>
      </c>
      <c r="Q48" s="47" t="n">
        <f aca="false">-$E48*N(AND(Q$3&lt;=$F48,Q$4&gt;=$F48))</f>
        <v>-0</v>
      </c>
      <c r="R48" s="47" t="n">
        <f aca="false">-$E48*N(AND(R$3&lt;=$F48,R$4&gt;=$F48))</f>
        <v>-0</v>
      </c>
      <c r="S48" s="47" t="n">
        <f aca="false">-$E48*N(AND(S$3&lt;=$F48,S$4&gt;=$F48))</f>
        <v>-0</v>
      </c>
      <c r="T48" s="47" t="n">
        <f aca="false">-$E48*N(AND(T$3&lt;=$F48,T$4&gt;=$F48))</f>
        <v>-0</v>
      </c>
      <c r="U48" s="47" t="n">
        <f aca="false">-$E48*N(AND(U$3&lt;=$F48,U$4&gt;=$F48))</f>
        <v>-0</v>
      </c>
      <c r="V48" s="47" t="n">
        <f aca="false">-$E48*N(AND(V$3&lt;=$F48,V$4&gt;=$F48))</f>
        <v>-0</v>
      </c>
      <c r="W48" s="47" t="n">
        <f aca="false">-$E48*N(AND(W$3&lt;=$F48,W$4&gt;=$F48))</f>
        <v>-0</v>
      </c>
      <c r="X48" s="47" t="n">
        <f aca="false">-$E48*N(AND(X$3&lt;=$F48,X$4&gt;=$F48))</f>
        <v>-0</v>
      </c>
      <c r="Y48" s="47" t="n">
        <f aca="false">-$E48*N(AND(Y$3&lt;=$F48,Y$4&gt;=$F48))</f>
        <v>-0</v>
      </c>
      <c r="Z48" s="47" t="n">
        <f aca="false">-$E48*N(AND(Z$3&lt;=$F48,Z$4&gt;=$F48))</f>
        <v>-0</v>
      </c>
      <c r="AA48" s="47" t="n">
        <f aca="false">-$E48*N(AND(AA$3&lt;=$F48,AA$4&gt;=$F48))</f>
        <v>-0</v>
      </c>
      <c r="AB48" s="47" t="n">
        <f aca="false">-$E48*N(AND(AB$3&lt;=$F48,AB$4&gt;=$F48))</f>
        <v>-0</v>
      </c>
      <c r="AC48" s="47" t="n">
        <f aca="false">-$E48*N(AND(AC$3&lt;=$F48,AC$4&gt;=$F48))</f>
        <v>-0</v>
      </c>
      <c r="AD48" s="47" t="n">
        <f aca="false">-$E48*N(AND(AD$3&lt;=$F48,AD$4&gt;=$F48))</f>
        <v>-0</v>
      </c>
      <c r="AE48" s="47" t="n">
        <f aca="false">-$E48*N(AND(AE$3&lt;=$F48,AE$4&gt;=$F48))</f>
        <v>-0</v>
      </c>
      <c r="AF48" s="47" t="n">
        <f aca="false">-$E48*N(AND(AF$3&lt;=$F48,AF$4&gt;=$F48))</f>
        <v>-0</v>
      </c>
      <c r="AG48" s="47" t="n">
        <f aca="false">-$E48*N(AND(AG$3&lt;=$F48,AG$4&gt;=$F48))</f>
        <v>-0</v>
      </c>
      <c r="AH48" s="47" t="n">
        <f aca="false">-$E48*N(AND(AH$3&lt;=$F48,AH$4&gt;=$F48))</f>
        <v>-0</v>
      </c>
      <c r="AI48" s="47" t="n">
        <f aca="false">-$E48*N(AND(AI$3&lt;=$F48,AI$4&gt;=$F48))</f>
        <v>-0</v>
      </c>
      <c r="AJ48" s="47" t="n">
        <f aca="false">-$E48*N(AND(AJ$3&lt;=$F48,AJ$4&gt;=$F48))</f>
        <v>-0</v>
      </c>
      <c r="AK48" s="47" t="n">
        <f aca="false">-$E48*N(AND(AK$3&lt;=$F48,AK$4&gt;=$F48))</f>
        <v>-0</v>
      </c>
      <c r="AL48" s="47" t="n">
        <f aca="false">-$E48*N(AND(AL$3&lt;=$F48,AL$4&gt;=$F48))</f>
        <v>-0</v>
      </c>
      <c r="AM48" s="47" t="n">
        <f aca="false">-$E48*N(AND(AM$3&lt;=$F48,AM$4&gt;=$F48))</f>
        <v>-0</v>
      </c>
      <c r="AN48" s="47" t="n">
        <f aca="false">-$E48*N(AND(AN$3&lt;=$F48,AN$4&gt;=$F48))</f>
        <v>-0</v>
      </c>
      <c r="AO48" s="47" t="n">
        <f aca="false">-$E48*N(AND(AO$3&lt;=$F48,AO$4&gt;=$F48))</f>
        <v>-0</v>
      </c>
      <c r="AP48" s="47" t="n">
        <f aca="false">-$E48*N(AND(AP$3&lt;=$F48,AP$4&gt;=$F48))</f>
        <v>-0</v>
      </c>
      <c r="AQ48" s="47" t="n">
        <f aca="false">-$E48*N(AND(AQ$3&lt;=$F48,AQ$4&gt;=$F48))</f>
        <v>-0</v>
      </c>
      <c r="AR48" s="47" t="n">
        <f aca="false">-$E48*N(AND(AR$3&lt;=$F48,AR$4&gt;=$F48))</f>
        <v>-0</v>
      </c>
      <c r="AS48" s="47" t="n">
        <f aca="false">-$E48*N(AND(AS$3&lt;=$F48,AS$4&gt;=$F48))</f>
        <v>-0</v>
      </c>
      <c r="AT48" s="47" t="n">
        <f aca="false">-$E48*N(AND(AT$3&lt;=$F48,AT$4&gt;=$F48))</f>
        <v>-0</v>
      </c>
      <c r="AU48" s="47" t="n">
        <f aca="false">-$E48*N(AND(AU$3&lt;=$F48,AU$4&gt;=$F48))</f>
        <v>-0</v>
      </c>
      <c r="AV48" s="47" t="n">
        <f aca="false">-$E48*N(AND(AV$3&lt;=$F48,AV$4&gt;=$F48))</f>
        <v>-0</v>
      </c>
      <c r="AW48" s="47" t="n">
        <f aca="false">-$E48*N(AND(AW$3&lt;=$F48,AW$4&gt;=$F48))</f>
        <v>-0</v>
      </c>
      <c r="AX48" s="47" t="n">
        <f aca="false">-$E48*N(AND(AX$3&lt;=$F48,AX$4&gt;=$F48))</f>
        <v>-0</v>
      </c>
      <c r="AY48" s="47" t="n">
        <f aca="false">-$E48*N(AND(AY$3&lt;=$F48,AY$4&gt;=$F48))</f>
        <v>-0</v>
      </c>
      <c r="AZ48" s="47" t="n">
        <f aca="false">-$E48*N(AND(AZ$3&lt;=$F48,AZ$4&gt;=$F48))</f>
        <v>-0</v>
      </c>
      <c r="BA48" s="47" t="n">
        <f aca="false">-$E48*N(AND(BA$3&lt;=$F48,BA$4&gt;=$F48))</f>
        <v>-0</v>
      </c>
      <c r="BB48" s="47" t="n">
        <f aca="false">-$E48*N(AND(BB$3&lt;=$F48,BB$4&gt;=$F48))</f>
        <v>-0</v>
      </c>
      <c r="BC48" s="47" t="n">
        <f aca="false">-$E48*N(AND(BC$3&lt;=$F48,BC$4&gt;=$F48))</f>
        <v>-0</v>
      </c>
      <c r="BD48" s="47" t="n">
        <f aca="false">-$E48*N(AND(BD$3&lt;=$F48,BD$4&gt;=$F48))</f>
        <v>-0</v>
      </c>
      <c r="BE48" s="47" t="n">
        <f aca="false">-$E48*N(AND(BE$3&lt;=$F48,BE$4&gt;=$F48))</f>
        <v>-0</v>
      </c>
      <c r="BF48" s="47" t="n">
        <f aca="false">-$E48*N(AND(BF$3&lt;=$F48,BF$4&gt;=$F48))</f>
        <v>-0</v>
      </c>
      <c r="BG48" s="47" t="n">
        <f aca="false">-$E48*N(AND(BG$3&lt;=$F48,BG$4&gt;=$F48))</f>
        <v>-0</v>
      </c>
      <c r="BH48" s="47" t="n">
        <f aca="false">-$E48*N(AND(BH$3&lt;=$F48,BH$4&gt;=$F48))</f>
        <v>-0</v>
      </c>
      <c r="BI48" s="47" t="n">
        <f aca="false">-$E48*N(AND(BI$3&lt;=$F48,BI$4&gt;=$F48))</f>
        <v>-0</v>
      </c>
      <c r="BJ48" s="47" t="n">
        <f aca="false">-$E48*N(AND(BJ$3&lt;=$F48,BJ$4&gt;=$F48))</f>
        <v>-0</v>
      </c>
      <c r="BK48" s="47" t="n">
        <f aca="false">-$E48*N(AND(BK$3&lt;=$F48,BK$4&gt;=$F48))</f>
        <v>-0</v>
      </c>
      <c r="BL48" s="47" t="n">
        <f aca="false">-$E48*N(AND(BL$3&lt;=$F48,BL$4&gt;=$F48))</f>
        <v>-0</v>
      </c>
      <c r="BM48" s="47" t="n">
        <f aca="false">-$E48*N(AND(BM$3&lt;=$F48,BM$4&gt;=$F48))</f>
        <v>-0</v>
      </c>
      <c r="BN48" s="47" t="n">
        <f aca="false">-$E48*N(AND(BN$3&lt;=$F48,BN$4&gt;=$F48))</f>
        <v>-0</v>
      </c>
      <c r="BO48" s="47" t="n">
        <f aca="false">-$E48*N(AND(BO$3&lt;=$F48,BO$4&gt;=$F48))</f>
        <v>-0</v>
      </c>
      <c r="BP48" s="47" t="n">
        <f aca="false">-$E48*N(AND(BP$3&lt;=$F48,BP$4&gt;=$F48))</f>
        <v>-0</v>
      </c>
      <c r="BQ48" s="47" t="n">
        <f aca="false">-$E48*N(AND(BQ$3&lt;=$F48,BQ$4&gt;=$F48))</f>
        <v>-0</v>
      </c>
      <c r="BR48" s="47" t="n">
        <f aca="false">-$E48*N(AND(BR$3&lt;=$F48,BR$4&gt;=$F48))</f>
        <v>-0</v>
      </c>
      <c r="BS48" s="47" t="n">
        <f aca="false">-$E48*N(AND(BS$3&lt;=$F48,BS$4&gt;=$F48))</f>
        <v>-0</v>
      </c>
      <c r="BT48" s="47" t="n">
        <f aca="false">-$E48*N(AND(BT$3&lt;=$F48,BT$4&gt;=$F48))</f>
        <v>-0</v>
      </c>
      <c r="BU48" s="47" t="n">
        <f aca="false">-$E48*N(AND(BU$3&lt;=$F48,BU$4&gt;=$F48))</f>
        <v>-0</v>
      </c>
      <c r="BV48" s="47" t="n">
        <f aca="false">-$E48*N(AND(BV$3&lt;=$F48,BV$4&gt;=$F48))</f>
        <v>-0</v>
      </c>
      <c r="BW48" s="47" t="n">
        <f aca="false">-$E48*N(AND(BW$3&lt;=$F48,BW$4&gt;=$F48))</f>
        <v>-0</v>
      </c>
      <c r="BX48" s="47" t="n">
        <f aca="false">-$E48*N(AND(BX$3&lt;=$F48,BX$4&gt;=$F48))</f>
        <v>-0</v>
      </c>
      <c r="BY48" s="47" t="n">
        <f aca="false">-$E48*N(AND(BY$3&lt;=$F48,BY$4&gt;=$F48))</f>
        <v>-0</v>
      </c>
      <c r="BZ48" s="47" t="n">
        <f aca="false">-$E48*N(AND(BZ$3&lt;=$F48,BZ$4&gt;=$F48))</f>
        <v>-0</v>
      </c>
      <c r="CA48" s="47" t="n">
        <f aca="false">-$E48*N(AND(CA$3&lt;=$F48,CA$4&gt;=$F48))</f>
        <v>-0</v>
      </c>
      <c r="CB48" s="47" t="n">
        <f aca="false">-$E48*N(AND(CB$3&lt;=$F48,CB$4&gt;=$F48))</f>
        <v>-0</v>
      </c>
      <c r="CC48" s="47" t="n">
        <f aca="false">-$E48*N(AND(CC$3&lt;=$F48,CC$4&gt;=$F48))</f>
        <v>-0</v>
      </c>
      <c r="CD48" s="47" t="n">
        <f aca="false">-$E48*N(AND(CD$3&lt;=$F48,CD$4&gt;=$F48))</f>
        <v>-0</v>
      </c>
      <c r="CE48" s="47" t="n">
        <f aca="false">-$E48*N(AND(CE$3&lt;=$F48,CE$4&gt;=$F48))</f>
        <v>-0</v>
      </c>
      <c r="CF48" s="47" t="n">
        <f aca="false">-$E48*N(AND(CF$3&lt;=$F48,CF$4&gt;=$F48))</f>
        <v>-0</v>
      </c>
      <c r="CG48" s="47" t="n">
        <f aca="false">-$E48*N(AND(CG$3&lt;=$F48,CG$4&gt;=$F48))</f>
        <v>-0</v>
      </c>
      <c r="CH48" s="47" t="n">
        <f aca="false">-$E48*N(AND(CH$3&lt;=$F48,CH$4&gt;=$F48))</f>
        <v>-0</v>
      </c>
      <c r="CI48" s="47" t="n">
        <f aca="false">-$E48*N(AND(CI$3&lt;=$F48,CI$4&gt;=$F48))</f>
        <v>-0</v>
      </c>
      <c r="CJ48" s="47" t="n">
        <f aca="false">-$E48*N(AND(CJ$3&lt;=$F48,CJ$4&gt;=$F48))</f>
        <v>-0</v>
      </c>
      <c r="CK48" s="47" t="n">
        <f aca="false">-$E48*N(AND(CK$3&lt;=$F48,CK$4&gt;=$F48))</f>
        <v>-0</v>
      </c>
      <c r="CL48" s="47" t="n">
        <f aca="false">-$E48*N(AND(CL$3&lt;=$F48,CL$4&gt;=$F48))</f>
        <v>-0</v>
      </c>
      <c r="CM48" s="47" t="n">
        <f aca="false">-$E48*N(AND(CM$3&lt;=$F48,CM$4&gt;=$F48))</f>
        <v>-0</v>
      </c>
      <c r="CN48" s="47" t="n">
        <f aca="false">-$E48*N(AND(CN$3&lt;=$F48,CN$4&gt;=$F48))</f>
        <v>-0</v>
      </c>
      <c r="CO48" s="47" t="n">
        <f aca="false">-$E48*N(AND(CO$3&lt;=$F48,CO$4&gt;=$F48))</f>
        <v>-0</v>
      </c>
      <c r="CP48" s="47" t="n">
        <f aca="false">-$E48*N(AND(CP$3&lt;=$F48,CP$4&gt;=$F48))</f>
        <v>-0</v>
      </c>
      <c r="CQ48" s="47" t="n">
        <f aca="false">-$E48*N(AND(CQ$3&lt;=$F48,CQ$4&gt;=$F48))</f>
        <v>-0</v>
      </c>
      <c r="CR48" s="47" t="n">
        <f aca="false">-$E48*N(AND(CR$3&lt;=$F48,CR$4&gt;=$F48))</f>
        <v>-0</v>
      </c>
      <c r="CS48" s="47" t="n">
        <f aca="false">-$E48*N(AND(CS$3&lt;=$F48,CS$4&gt;=$F48))</f>
        <v>-0</v>
      </c>
      <c r="CT48" s="47" t="n">
        <f aca="false">-$E48*N(AND(CT$3&lt;=$F48,CT$4&gt;=$F48))</f>
        <v>-0</v>
      </c>
      <c r="CU48" s="47" t="n">
        <f aca="false">-$E48*N(AND(CU$3&lt;=$F48,CU$4&gt;=$F48))</f>
        <v>-0</v>
      </c>
      <c r="CV48" s="47" t="n">
        <f aca="false">-$E48*N(AND(CV$3&lt;=$F48,CV$4&gt;=$F48))</f>
        <v>-0</v>
      </c>
      <c r="CW48" s="47" t="n">
        <f aca="false">-$E48*N(AND(CW$3&lt;=$F48,CW$4&gt;=$F48))</f>
        <v>-0</v>
      </c>
      <c r="CX48" s="47" t="n">
        <f aca="false">-$E48*N(AND(CX$3&lt;=$F48,CX$4&gt;=$F48))</f>
        <v>-0</v>
      </c>
      <c r="CY48" s="47" t="n">
        <f aca="false">-$E48*N(AND(CY$3&lt;=$F48,CY$4&gt;=$F48))</f>
        <v>-0</v>
      </c>
      <c r="CZ48" s="47" t="n">
        <f aca="false">-$E48*N(AND(CZ$3&lt;=$F48,CZ$4&gt;=$F48))</f>
        <v>-0</v>
      </c>
      <c r="DA48" s="47" t="n">
        <f aca="false">-$E48*N(AND(DA$3&lt;=$F48,DA$4&gt;=$F48))</f>
        <v>-0</v>
      </c>
      <c r="DB48" s="47" t="n">
        <f aca="false">-$E48*N(AND(DB$3&lt;=$F48,DB$4&gt;=$F48))</f>
        <v>-0</v>
      </c>
      <c r="DC48" s="47" t="n">
        <f aca="false">-$E48*N(AND(DC$3&lt;=$F48,DC$4&gt;=$F48))</f>
        <v>-0</v>
      </c>
      <c r="DD48" s="47" t="n">
        <f aca="false">-$E48*N(AND(DD$3&lt;=$F48,DD$4&gt;=$F48))</f>
        <v>-0</v>
      </c>
      <c r="DE48" s="47" t="n">
        <f aca="false">-$E48*N(AND(DE$3&lt;=$F48,DE$4&gt;=$F48))</f>
        <v>-0</v>
      </c>
      <c r="DF48" s="47" t="n">
        <f aca="false">-$E48*N(AND(DF$3&lt;=$F48,DF$4&gt;=$F48))</f>
        <v>-0</v>
      </c>
      <c r="DG48" s="47" t="n">
        <f aca="false">-$E48*N(AND(DG$3&lt;=$F48,DG$4&gt;=$F48))</f>
        <v>-0</v>
      </c>
      <c r="DH48" s="47" t="n">
        <f aca="false">-$E48*N(AND(DH$3&lt;=$F48,DH$4&gt;=$F48))</f>
        <v>-0</v>
      </c>
      <c r="DI48" s="47" t="n">
        <f aca="false">-$E48*N(AND(DI$3&lt;=$F48,DI$4&gt;=$F48))</f>
        <v>-0</v>
      </c>
      <c r="DJ48" s="47" t="n">
        <f aca="false">-$E48*N(AND(DJ$3&lt;=$F48,DJ$4&gt;=$F48))</f>
        <v>-0</v>
      </c>
      <c r="DK48" s="47" t="n">
        <f aca="false">-$E48*N(AND(DK$3&lt;=$F48,DK$4&gt;=$F48))</f>
        <v>-0</v>
      </c>
      <c r="DL48" s="47" t="n">
        <f aca="false">-$E48*N(AND(DL$3&lt;=$F48,DL$4&gt;=$F48))</f>
        <v>-0</v>
      </c>
      <c r="DM48" s="47" t="n">
        <f aca="false">-$E48*N(AND(DM$3&lt;=$F48,DM$4&gt;=$F48))</f>
        <v>-0</v>
      </c>
      <c r="DN48" s="47" t="n">
        <f aca="false">-$E48*N(AND(DN$3&lt;=$F48,DN$4&gt;=$F48))</f>
        <v>-0</v>
      </c>
      <c r="DO48" s="47" t="n">
        <f aca="false">-$E48*N(AND(DO$3&lt;=$F48,DO$4&gt;=$F48))</f>
        <v>-0</v>
      </c>
      <c r="DP48" s="47" t="n">
        <f aca="false">-$E48*N(AND(DP$3&lt;=$F48,DP$4&gt;=$F48))</f>
        <v>-0</v>
      </c>
      <c r="DQ48" s="47" t="n">
        <f aca="false">-$E48*N(AND(DQ$3&lt;=$F48,DQ$4&gt;=$F48))</f>
        <v>-0</v>
      </c>
      <c r="DR48" s="47" t="n">
        <f aca="false">-$E48*N(AND(DR$3&lt;=$F48,DR$4&gt;=$F48))</f>
        <v>-0</v>
      </c>
      <c r="DS48" s="47" t="n">
        <f aca="false">-$E48*N(AND(DS$3&lt;=$F48,DS$4&gt;=$F48))</f>
        <v>-0</v>
      </c>
      <c r="DT48" s="47" t="n">
        <f aca="false">-$E48*N(AND(DT$3&lt;=$F48,DT$4&gt;=$F48))</f>
        <v>-0</v>
      </c>
      <c r="DU48" s="47" t="n">
        <f aca="false">-$E48*N(AND(DU$3&lt;=$F48,DU$4&gt;=$F48))</f>
        <v>-0</v>
      </c>
      <c r="DV48" s="47" t="n">
        <f aca="false">-$E48*N(AND(DV$3&lt;=$F48,DV$4&gt;=$F48))</f>
        <v>-0</v>
      </c>
      <c r="DW48" s="47" t="n">
        <f aca="false">-$E48*N(AND(DW$3&lt;=$F48,DW$4&gt;=$F48))</f>
        <v>-0</v>
      </c>
      <c r="DX48" s="47" t="n">
        <f aca="false">-$E48*N(AND(DX$3&lt;=$F48,DX$4&gt;=$F48))</f>
        <v>-0</v>
      </c>
      <c r="DY48" s="47" t="n">
        <f aca="false">-$E48*N(AND(DY$3&lt;=$F48,DY$4&gt;=$F48))</f>
        <v>-0</v>
      </c>
      <c r="DZ48" s="47" t="n">
        <f aca="false">-$E48*N(AND(DZ$3&lt;=$F48,DZ$4&gt;=$F48))</f>
        <v>-0</v>
      </c>
      <c r="EA48" s="47" t="n">
        <f aca="false">-$E48*N(AND(EA$3&lt;=$F48,EA$4&gt;=$F48))</f>
        <v>-0</v>
      </c>
      <c r="EB48" s="47" t="n">
        <f aca="false">-$E48*N(AND(EB$3&lt;=$F48,EB$4&gt;=$F48))</f>
        <v>-0</v>
      </c>
      <c r="EC48" s="47" t="n">
        <f aca="false">-$E48*N(AND(EC$3&lt;=$F48,EC$4&gt;=$F48))</f>
        <v>-0</v>
      </c>
      <c r="ED48" s="47" t="n">
        <f aca="false">-$E48*N(AND(ED$3&lt;=$F48,ED$4&gt;=$F48))</f>
        <v>-0</v>
      </c>
      <c r="EE48" s="47" t="n">
        <f aca="false">-$E48*N(AND(EE$3&lt;=$F48,EE$4&gt;=$F48))</f>
        <v>-0</v>
      </c>
      <c r="EF48" s="47" t="n">
        <f aca="false">-$E48*N(AND(EF$3&lt;=$F48,EF$4&gt;=$F48))</f>
        <v>-0</v>
      </c>
      <c r="EG48" s="47" t="n">
        <f aca="false">-$E48*N(AND(EG$3&lt;=$F48,EG$4&gt;=$F48))</f>
        <v>-0</v>
      </c>
      <c r="EH48" s="47" t="n">
        <f aca="false">-$E48*N(AND(EH$3&lt;=$F48,EH$4&gt;=$F48))</f>
        <v>-0</v>
      </c>
      <c r="EI48" s="47" t="n">
        <f aca="false">-$E48*N(AND(EI$3&lt;=$F48,EI$4&gt;=$F48))</f>
        <v>-0</v>
      </c>
      <c r="EJ48" s="47" t="n">
        <f aca="false">-$E48*N(AND(EJ$3&lt;=$F48,EJ$4&gt;=$F48))</f>
        <v>-0</v>
      </c>
      <c r="EK48" s="47" t="n">
        <f aca="false">-$E48*N(AND(EK$3&lt;=$F48,EK$4&gt;=$F48))</f>
        <v>-0</v>
      </c>
      <c r="EL48" s="47" t="n">
        <f aca="false">-$E48*N(AND(EL$3&lt;=$F48,EL$4&gt;=$F48))</f>
        <v>-0</v>
      </c>
      <c r="EM48" s="47" t="n">
        <f aca="false">-$E48*N(AND(EM$3&lt;=$F48,EM$4&gt;=$F48))</f>
        <v>-0</v>
      </c>
      <c r="EN48" s="47" t="n">
        <f aca="false">-$E48*N(AND(EN$3&lt;=$F48,EN$4&gt;=$F48))</f>
        <v>-0</v>
      </c>
      <c r="EO48" s="47" t="n">
        <f aca="false">-$E48*N(AND(EO$3&lt;=$F48,EO$4&gt;=$F48))</f>
        <v>-0</v>
      </c>
    </row>
    <row r="49" customFormat="false" ht="15" hidden="false" customHeight="false" outlineLevel="0" collapsed="false">
      <c r="C49" s="0" t="s">
        <v>402</v>
      </c>
      <c r="D49" s="11" t="s">
        <v>33</v>
      </c>
      <c r="E49" s="47" t="n">
        <f aca="false">In_Bid_Rate*$E47*Thousand/In_FX</f>
        <v>443.287671232877</v>
      </c>
      <c r="F49" s="20" t="n">
        <f aca="false">In_Bid_Date</f>
        <v>46325</v>
      </c>
      <c r="J49" s="47" t="n">
        <f aca="false">$E49*MAX(0,(MIN(In_Decision_Date+In_PB_Days-1,J$4)-MAX($F49,J$3)+1)/J$5)</f>
        <v>303.55568790947</v>
      </c>
      <c r="K49" s="47" t="n">
        <f aca="false">$E49*MAX(0,(MIN(In_Decision_Date+In_PB_Days-1,K$4)-MAX($F49,K$3)+1)/K$5)</f>
        <v>221.643835616438</v>
      </c>
      <c r="L49" s="47" t="n">
        <f aca="false">$E49*MAX(0,(MIN(In_Decision_Date+In_PB_Days-1,L$4)-MAX($F49,L$3)+1)/L$5)</f>
        <v>0</v>
      </c>
      <c r="M49" s="47" t="n">
        <f aca="false">$E49*MAX(0,(MIN(In_Decision_Date+In_PB_Days-1,M$4)-MAX($F49,M$3)+1)/M$5)</f>
        <v>0</v>
      </c>
      <c r="N49" s="47" t="n">
        <f aca="false">$E49*MAX(0,(MIN(In_Decision_Date+In_PB_Days-1,N$4)-MAX($F49,N$3)+1)/N$5)</f>
        <v>0</v>
      </c>
      <c r="O49" s="47" t="n">
        <f aca="false">$E49*MAX(0,(MIN(In_Decision_Date+In_PB_Days-1,O$4)-MAX($F49,O$3)+1)/O$5)</f>
        <v>0</v>
      </c>
      <c r="P49" s="47" t="n">
        <f aca="false">$E49*MAX(0,(MIN(In_Decision_Date+In_PB_Days-1,P$4)-MAX($F49,P$3)+1)/P$5)</f>
        <v>0</v>
      </c>
      <c r="Q49" s="47" t="n">
        <f aca="false">$E49*MAX(0,(MIN(In_Decision_Date+In_PB_Days-1,Q$4)-MAX($F49,Q$3)+1)/Q$5)</f>
        <v>0</v>
      </c>
      <c r="R49" s="47" t="n">
        <f aca="false">$E49*MAX(0,(MIN(In_Decision_Date+In_PB_Days-1,R$4)-MAX($F49,R$3)+1)/R$5)</f>
        <v>0</v>
      </c>
      <c r="S49" s="47" t="n">
        <f aca="false">$E49*MAX(0,(MIN(In_Decision_Date+In_PB_Days-1,S$4)-MAX($F49,S$3)+1)/S$5)</f>
        <v>0</v>
      </c>
      <c r="T49" s="47" t="n">
        <f aca="false">$E49*MAX(0,(MIN(In_Decision_Date+In_PB_Days-1,T$4)-MAX($F49,T$3)+1)/T$5)</f>
        <v>0</v>
      </c>
      <c r="U49" s="47" t="n">
        <f aca="false">$E49*MAX(0,(MIN(In_Decision_Date+In_PB_Days-1,U$4)-MAX($F49,U$3)+1)/U$5)</f>
        <v>0</v>
      </c>
      <c r="V49" s="47" t="n">
        <f aca="false">$E49*MAX(0,(MIN(In_Decision_Date+In_PB_Days-1,V$4)-MAX($F49,V$3)+1)/V$5)</f>
        <v>0</v>
      </c>
      <c r="W49" s="47" t="n">
        <f aca="false">$E49*MAX(0,(MIN(In_Decision_Date+In_PB_Days-1,W$4)-MAX($F49,W$3)+1)/W$5)</f>
        <v>0</v>
      </c>
      <c r="X49" s="47" t="n">
        <f aca="false">$E49*MAX(0,(MIN(In_Decision_Date+In_PB_Days-1,X$4)-MAX($F49,X$3)+1)/X$5)</f>
        <v>0</v>
      </c>
      <c r="Y49" s="47" t="n">
        <f aca="false">$E49*MAX(0,(MIN(In_Decision_Date+In_PB_Days-1,Y$4)-MAX($F49,Y$3)+1)/Y$5)</f>
        <v>0</v>
      </c>
      <c r="Z49" s="47" t="n">
        <f aca="false">$E49*MAX(0,(MIN(In_Decision_Date+In_PB_Days-1,Z$4)-MAX($F49,Z$3)+1)/Z$5)</f>
        <v>0</v>
      </c>
      <c r="AA49" s="47" t="n">
        <f aca="false">$E49*MAX(0,(MIN(In_Decision_Date+In_PB_Days-1,AA$4)-MAX($F49,AA$3)+1)/AA$5)</f>
        <v>0</v>
      </c>
      <c r="AB49" s="47" t="n">
        <f aca="false">$E49*MAX(0,(MIN(In_Decision_Date+In_PB_Days-1,AB$4)-MAX($F49,AB$3)+1)/AB$5)</f>
        <v>0</v>
      </c>
      <c r="AC49" s="47" t="n">
        <f aca="false">$E49*MAX(0,(MIN(In_Decision_Date+In_PB_Days-1,AC$4)-MAX($F49,AC$3)+1)/AC$5)</f>
        <v>0</v>
      </c>
      <c r="AD49" s="47" t="n">
        <f aca="false">$E49*MAX(0,(MIN(In_Decision_Date+In_PB_Days-1,AD$4)-MAX($F49,AD$3)+1)/AD$5)</f>
        <v>0</v>
      </c>
      <c r="AE49" s="47" t="n">
        <f aca="false">$E49*MAX(0,(MIN(In_Decision_Date+In_PB_Days-1,AE$4)-MAX($F49,AE$3)+1)/AE$5)</f>
        <v>0</v>
      </c>
      <c r="AF49" s="47" t="n">
        <f aca="false">$E49*MAX(0,(MIN(In_Decision_Date+In_PB_Days-1,AF$4)-MAX($F49,AF$3)+1)/AF$5)</f>
        <v>0</v>
      </c>
      <c r="AG49" s="47" t="n">
        <f aca="false">$E49*MAX(0,(MIN(In_Decision_Date+In_PB_Days-1,AG$4)-MAX($F49,AG$3)+1)/AG$5)</f>
        <v>0</v>
      </c>
      <c r="AH49" s="47" t="n">
        <f aca="false">$E49*MAX(0,(MIN(In_Decision_Date+In_PB_Days-1,AH$4)-MAX($F49,AH$3)+1)/AH$5)</f>
        <v>0</v>
      </c>
      <c r="AI49" s="47" t="n">
        <f aca="false">$E49*MAX(0,(MIN(In_Decision_Date+In_PB_Days-1,AI$4)-MAX($F49,AI$3)+1)/AI$5)</f>
        <v>0</v>
      </c>
      <c r="AJ49" s="47" t="n">
        <f aca="false">$E49*MAX(0,(MIN(In_Decision_Date+In_PB_Days-1,AJ$4)-MAX($F49,AJ$3)+1)/AJ$5)</f>
        <v>0</v>
      </c>
      <c r="AK49" s="47" t="n">
        <f aca="false">$E49*MAX(0,(MIN(In_Decision_Date+In_PB_Days-1,AK$4)-MAX($F49,AK$3)+1)/AK$5)</f>
        <v>0</v>
      </c>
      <c r="AL49" s="47" t="n">
        <f aca="false">$E49*MAX(0,(MIN(In_Decision_Date+In_PB_Days-1,AL$4)-MAX($F49,AL$3)+1)/AL$5)</f>
        <v>0</v>
      </c>
      <c r="AM49" s="47" t="n">
        <f aca="false">$E49*MAX(0,(MIN(In_Decision_Date+In_PB_Days-1,AM$4)-MAX($F49,AM$3)+1)/AM$5)</f>
        <v>0</v>
      </c>
      <c r="AN49" s="47" t="n">
        <f aca="false">$E49*MAX(0,(MIN(In_Decision_Date+In_PB_Days-1,AN$4)-MAX($F49,AN$3)+1)/AN$5)</f>
        <v>0</v>
      </c>
      <c r="AO49" s="47" t="n">
        <f aca="false">$E49*MAX(0,(MIN(In_Decision_Date+In_PB_Days-1,AO$4)-MAX($F49,AO$3)+1)/AO$5)</f>
        <v>0</v>
      </c>
      <c r="AP49" s="47" t="n">
        <f aca="false">$E49*MAX(0,(MIN(In_Decision_Date+In_PB_Days-1,AP$4)-MAX($F49,AP$3)+1)/AP$5)</f>
        <v>0</v>
      </c>
      <c r="AQ49" s="47" t="n">
        <f aca="false">$E49*MAX(0,(MIN(In_Decision_Date+In_PB_Days-1,AQ$4)-MAX($F49,AQ$3)+1)/AQ$5)</f>
        <v>0</v>
      </c>
      <c r="AR49" s="47" t="n">
        <f aca="false">$E49*MAX(0,(MIN(In_Decision_Date+In_PB_Days-1,AR$4)-MAX($F49,AR$3)+1)/AR$5)</f>
        <v>0</v>
      </c>
      <c r="AS49" s="47" t="n">
        <f aca="false">$E49*MAX(0,(MIN(In_Decision_Date+In_PB_Days-1,AS$4)-MAX($F49,AS$3)+1)/AS$5)</f>
        <v>0</v>
      </c>
      <c r="AT49" s="47" t="n">
        <f aca="false">$E49*MAX(0,(MIN(In_Decision_Date+In_PB_Days-1,AT$4)-MAX($F49,AT$3)+1)/AT$5)</f>
        <v>0</v>
      </c>
      <c r="AU49" s="47" t="n">
        <f aca="false">$E49*MAX(0,(MIN(In_Decision_Date+In_PB_Days-1,AU$4)-MAX($F49,AU$3)+1)/AU$5)</f>
        <v>0</v>
      </c>
      <c r="AV49" s="47" t="n">
        <f aca="false">$E49*MAX(0,(MIN(In_Decision_Date+In_PB_Days-1,AV$4)-MAX($F49,AV$3)+1)/AV$5)</f>
        <v>0</v>
      </c>
      <c r="AW49" s="47" t="n">
        <f aca="false">$E49*MAX(0,(MIN(In_Decision_Date+In_PB_Days-1,AW$4)-MAX($F49,AW$3)+1)/AW$5)</f>
        <v>0</v>
      </c>
      <c r="AX49" s="47" t="n">
        <f aca="false">$E49*MAX(0,(MIN(In_Decision_Date+In_PB_Days-1,AX$4)-MAX($F49,AX$3)+1)/AX$5)</f>
        <v>0</v>
      </c>
      <c r="AY49" s="47" t="n">
        <f aca="false">$E49*MAX(0,(MIN(In_Decision_Date+In_PB_Days-1,AY$4)-MAX($F49,AY$3)+1)/AY$5)</f>
        <v>0</v>
      </c>
      <c r="AZ49" s="47" t="n">
        <f aca="false">$E49*MAX(0,(MIN(In_Decision_Date+In_PB_Days-1,AZ$4)-MAX($F49,AZ$3)+1)/AZ$5)</f>
        <v>0</v>
      </c>
      <c r="BA49" s="47" t="n">
        <f aca="false">$E49*MAX(0,(MIN(In_Decision_Date+In_PB_Days-1,BA$4)-MAX($F49,BA$3)+1)/BA$5)</f>
        <v>0</v>
      </c>
      <c r="BB49" s="47" t="n">
        <f aca="false">$E49*MAX(0,(MIN(In_Decision_Date+In_PB_Days-1,BB$4)-MAX($F49,BB$3)+1)/BB$5)</f>
        <v>0</v>
      </c>
      <c r="BC49" s="47" t="n">
        <f aca="false">$E49*MAX(0,(MIN(In_Decision_Date+In_PB_Days-1,BC$4)-MAX($F49,BC$3)+1)/BC$5)</f>
        <v>0</v>
      </c>
      <c r="BD49" s="47" t="n">
        <f aca="false">$E49*MAX(0,(MIN(In_Decision_Date+In_PB_Days-1,BD$4)-MAX($F49,BD$3)+1)/BD$5)</f>
        <v>0</v>
      </c>
      <c r="BE49" s="47" t="n">
        <f aca="false">$E49*MAX(0,(MIN(In_Decision_Date+In_PB_Days-1,BE$4)-MAX($F49,BE$3)+1)/BE$5)</f>
        <v>0</v>
      </c>
      <c r="BF49" s="47" t="n">
        <f aca="false">$E49*MAX(0,(MIN(In_Decision_Date+In_PB_Days-1,BF$4)-MAX($F49,BF$3)+1)/BF$5)</f>
        <v>0</v>
      </c>
      <c r="BG49" s="47" t="n">
        <f aca="false">$E49*MAX(0,(MIN(In_Decision_Date+In_PB_Days-1,BG$4)-MAX($F49,BG$3)+1)/BG$5)</f>
        <v>0</v>
      </c>
      <c r="BH49" s="47" t="n">
        <f aca="false">$E49*MAX(0,(MIN(In_Decision_Date+In_PB_Days-1,BH$4)-MAX($F49,BH$3)+1)/BH$5)</f>
        <v>0</v>
      </c>
      <c r="BI49" s="47" t="n">
        <f aca="false">$E49*MAX(0,(MIN(In_Decision_Date+In_PB_Days-1,BI$4)-MAX($F49,BI$3)+1)/BI$5)</f>
        <v>0</v>
      </c>
      <c r="BJ49" s="47" t="n">
        <f aca="false">$E49*MAX(0,(MIN(In_Decision_Date+In_PB_Days-1,BJ$4)-MAX($F49,BJ$3)+1)/BJ$5)</f>
        <v>0</v>
      </c>
      <c r="BK49" s="47" t="n">
        <f aca="false">$E49*MAX(0,(MIN(In_Decision_Date+In_PB_Days-1,BK$4)-MAX($F49,BK$3)+1)/BK$5)</f>
        <v>0</v>
      </c>
      <c r="BL49" s="47" t="n">
        <f aca="false">$E49*MAX(0,(MIN(In_Decision_Date+In_PB_Days-1,BL$4)-MAX($F49,BL$3)+1)/BL$5)</f>
        <v>0</v>
      </c>
      <c r="BM49" s="47" t="n">
        <f aca="false">$E49*MAX(0,(MIN(In_Decision_Date+In_PB_Days-1,BM$4)-MAX($F49,BM$3)+1)/BM$5)</f>
        <v>0</v>
      </c>
      <c r="BN49" s="47" t="n">
        <f aca="false">$E49*MAX(0,(MIN(In_Decision_Date+In_PB_Days-1,BN$4)-MAX($F49,BN$3)+1)/BN$5)</f>
        <v>0</v>
      </c>
      <c r="BO49" s="47" t="n">
        <f aca="false">$E49*MAX(0,(MIN(In_Decision_Date+In_PB_Days-1,BO$4)-MAX($F49,BO$3)+1)/BO$5)</f>
        <v>0</v>
      </c>
      <c r="BP49" s="47" t="n">
        <f aca="false">$E49*MAX(0,(MIN(In_Decision_Date+In_PB_Days-1,BP$4)-MAX($F49,BP$3)+1)/BP$5)</f>
        <v>0</v>
      </c>
      <c r="BQ49" s="47" t="n">
        <f aca="false">$E49*MAX(0,(MIN(In_Decision_Date+In_PB_Days-1,BQ$4)-MAX($F49,BQ$3)+1)/BQ$5)</f>
        <v>0</v>
      </c>
      <c r="BR49" s="47" t="n">
        <f aca="false">$E49*MAX(0,(MIN(In_Decision_Date+In_PB_Days-1,BR$4)-MAX($F49,BR$3)+1)/BR$5)</f>
        <v>0</v>
      </c>
      <c r="BS49" s="47" t="n">
        <f aca="false">$E49*MAX(0,(MIN(In_Decision_Date+In_PB_Days-1,BS$4)-MAX($F49,BS$3)+1)/BS$5)</f>
        <v>0</v>
      </c>
      <c r="BT49" s="47" t="n">
        <f aca="false">$E49*MAX(0,(MIN(In_Decision_Date+In_PB_Days-1,BT$4)-MAX($F49,BT$3)+1)/BT$5)</f>
        <v>0</v>
      </c>
      <c r="BU49" s="47" t="n">
        <f aca="false">$E49*MAX(0,(MIN(In_Decision_Date+In_PB_Days-1,BU$4)-MAX($F49,BU$3)+1)/BU$5)</f>
        <v>0</v>
      </c>
      <c r="BV49" s="47" t="n">
        <f aca="false">$E49*MAX(0,(MIN(In_Decision_Date+In_PB_Days-1,BV$4)-MAX($F49,BV$3)+1)/BV$5)</f>
        <v>0</v>
      </c>
      <c r="BW49" s="47" t="n">
        <f aca="false">$E49*MAX(0,(MIN(In_Decision_Date+In_PB_Days-1,BW$4)-MAX($F49,BW$3)+1)/BW$5)</f>
        <v>0</v>
      </c>
      <c r="BX49" s="47" t="n">
        <f aca="false">$E49*MAX(0,(MIN(In_Decision_Date+In_PB_Days-1,BX$4)-MAX($F49,BX$3)+1)/BX$5)</f>
        <v>0</v>
      </c>
      <c r="BY49" s="47" t="n">
        <f aca="false">$E49*MAX(0,(MIN(In_Decision_Date+In_PB_Days-1,BY$4)-MAX($F49,BY$3)+1)/BY$5)</f>
        <v>0</v>
      </c>
      <c r="BZ49" s="47" t="n">
        <f aca="false">$E49*MAX(0,(MIN(In_Decision_Date+In_PB_Days-1,BZ$4)-MAX($F49,BZ$3)+1)/BZ$5)</f>
        <v>0</v>
      </c>
      <c r="CA49" s="47" t="n">
        <f aca="false">$E49*MAX(0,(MIN(In_Decision_Date+In_PB_Days-1,CA$4)-MAX($F49,CA$3)+1)/CA$5)</f>
        <v>0</v>
      </c>
      <c r="CB49" s="47" t="n">
        <f aca="false">$E49*MAX(0,(MIN(In_Decision_Date+In_PB_Days-1,CB$4)-MAX($F49,CB$3)+1)/CB$5)</f>
        <v>0</v>
      </c>
      <c r="CC49" s="47" t="n">
        <f aca="false">$E49*MAX(0,(MIN(In_Decision_Date+In_PB_Days-1,CC$4)-MAX($F49,CC$3)+1)/CC$5)</f>
        <v>0</v>
      </c>
      <c r="CD49" s="47" t="n">
        <f aca="false">$E49*MAX(0,(MIN(In_Decision_Date+In_PB_Days-1,CD$4)-MAX($F49,CD$3)+1)/CD$5)</f>
        <v>0</v>
      </c>
      <c r="CE49" s="47" t="n">
        <f aca="false">$E49*MAX(0,(MIN(In_Decision_Date+In_PB_Days-1,CE$4)-MAX($F49,CE$3)+1)/CE$5)</f>
        <v>0</v>
      </c>
      <c r="CF49" s="47" t="n">
        <f aca="false">$E49*MAX(0,(MIN(In_Decision_Date+In_PB_Days-1,CF$4)-MAX($F49,CF$3)+1)/CF$5)</f>
        <v>0</v>
      </c>
      <c r="CG49" s="47" t="n">
        <f aca="false">$E49*MAX(0,(MIN(In_Decision_Date+In_PB_Days-1,CG$4)-MAX($F49,CG$3)+1)/CG$5)</f>
        <v>0</v>
      </c>
      <c r="CH49" s="47" t="n">
        <f aca="false">$E49*MAX(0,(MIN(In_Decision_Date+In_PB_Days-1,CH$4)-MAX($F49,CH$3)+1)/CH$5)</f>
        <v>0</v>
      </c>
      <c r="CI49" s="47" t="n">
        <f aca="false">$E49*MAX(0,(MIN(In_Decision_Date+In_PB_Days-1,CI$4)-MAX($F49,CI$3)+1)/CI$5)</f>
        <v>0</v>
      </c>
      <c r="CJ49" s="47" t="n">
        <f aca="false">$E49*MAX(0,(MIN(In_Decision_Date+In_PB_Days-1,CJ$4)-MAX($F49,CJ$3)+1)/CJ$5)</f>
        <v>0</v>
      </c>
      <c r="CK49" s="47" t="n">
        <f aca="false">$E49*MAX(0,(MIN(In_Decision_Date+In_PB_Days-1,CK$4)-MAX($F49,CK$3)+1)/CK$5)</f>
        <v>0</v>
      </c>
      <c r="CL49" s="47" t="n">
        <f aca="false">$E49*MAX(0,(MIN(In_Decision_Date+In_PB_Days-1,CL$4)-MAX($F49,CL$3)+1)/CL$5)</f>
        <v>0</v>
      </c>
      <c r="CM49" s="47" t="n">
        <f aca="false">$E49*MAX(0,(MIN(In_Decision_Date+In_PB_Days-1,CM$4)-MAX($F49,CM$3)+1)/CM$5)</f>
        <v>0</v>
      </c>
      <c r="CN49" s="47" t="n">
        <f aca="false">$E49*MAX(0,(MIN(In_Decision_Date+In_PB_Days-1,CN$4)-MAX($F49,CN$3)+1)/CN$5)</f>
        <v>0</v>
      </c>
      <c r="CO49" s="47" t="n">
        <f aca="false">$E49*MAX(0,(MIN(In_Decision_Date+In_PB_Days-1,CO$4)-MAX($F49,CO$3)+1)/CO$5)</f>
        <v>0</v>
      </c>
      <c r="CP49" s="47" t="n">
        <f aca="false">$E49*MAX(0,(MIN(In_Decision_Date+In_PB_Days-1,CP$4)-MAX($F49,CP$3)+1)/CP$5)</f>
        <v>0</v>
      </c>
      <c r="CQ49" s="47" t="n">
        <f aca="false">$E49*MAX(0,(MIN(In_Decision_Date+In_PB_Days-1,CQ$4)-MAX($F49,CQ$3)+1)/CQ$5)</f>
        <v>0</v>
      </c>
      <c r="CR49" s="47" t="n">
        <f aca="false">$E49*MAX(0,(MIN(In_Decision_Date+In_PB_Days-1,CR$4)-MAX($F49,CR$3)+1)/CR$5)</f>
        <v>0</v>
      </c>
      <c r="CS49" s="47" t="n">
        <f aca="false">$E49*MAX(0,(MIN(In_Decision_Date+In_PB_Days-1,CS$4)-MAX($F49,CS$3)+1)/CS$5)</f>
        <v>0</v>
      </c>
      <c r="CT49" s="47" t="n">
        <f aca="false">$E49*MAX(0,(MIN(In_Decision_Date+In_PB_Days-1,CT$4)-MAX($F49,CT$3)+1)/CT$5)</f>
        <v>0</v>
      </c>
      <c r="CU49" s="47" t="n">
        <f aca="false">$E49*MAX(0,(MIN(In_Decision_Date+In_PB_Days-1,CU$4)-MAX($F49,CU$3)+1)/CU$5)</f>
        <v>0</v>
      </c>
      <c r="CV49" s="47" t="n">
        <f aca="false">$E49*MAX(0,(MIN(In_Decision_Date+In_PB_Days-1,CV$4)-MAX($F49,CV$3)+1)/CV$5)</f>
        <v>0</v>
      </c>
      <c r="CW49" s="47" t="n">
        <f aca="false">$E49*MAX(0,(MIN(In_Decision_Date+In_PB_Days-1,CW$4)-MAX($F49,CW$3)+1)/CW$5)</f>
        <v>0</v>
      </c>
      <c r="CX49" s="47" t="n">
        <f aca="false">$E49*MAX(0,(MIN(In_Decision_Date+In_PB_Days-1,CX$4)-MAX($F49,CX$3)+1)/CX$5)</f>
        <v>0</v>
      </c>
      <c r="CY49" s="47" t="n">
        <f aca="false">$E49*MAX(0,(MIN(In_Decision_Date+In_PB_Days-1,CY$4)-MAX($F49,CY$3)+1)/CY$5)</f>
        <v>0</v>
      </c>
      <c r="CZ49" s="47" t="n">
        <f aca="false">$E49*MAX(0,(MIN(In_Decision_Date+In_PB_Days-1,CZ$4)-MAX($F49,CZ$3)+1)/CZ$5)</f>
        <v>0</v>
      </c>
      <c r="DA49" s="47" t="n">
        <f aca="false">$E49*MAX(0,(MIN(In_Decision_Date+In_PB_Days-1,DA$4)-MAX($F49,DA$3)+1)/DA$5)</f>
        <v>0</v>
      </c>
      <c r="DB49" s="47" t="n">
        <f aca="false">$E49*MAX(0,(MIN(In_Decision_Date+In_PB_Days-1,DB$4)-MAX($F49,DB$3)+1)/DB$5)</f>
        <v>0</v>
      </c>
      <c r="DC49" s="47" t="n">
        <f aca="false">$E49*MAX(0,(MIN(In_Decision_Date+In_PB_Days-1,DC$4)-MAX($F49,DC$3)+1)/DC$5)</f>
        <v>0</v>
      </c>
      <c r="DD49" s="47" t="n">
        <f aca="false">$E49*MAX(0,(MIN(In_Decision_Date+In_PB_Days-1,DD$4)-MAX($F49,DD$3)+1)/DD$5)</f>
        <v>0</v>
      </c>
      <c r="DE49" s="47" t="n">
        <f aca="false">$E49*MAX(0,(MIN(In_Decision_Date+In_PB_Days-1,DE$4)-MAX($F49,DE$3)+1)/DE$5)</f>
        <v>0</v>
      </c>
      <c r="DF49" s="47" t="n">
        <f aca="false">$E49*MAX(0,(MIN(In_Decision_Date+In_PB_Days-1,DF$4)-MAX($F49,DF$3)+1)/DF$5)</f>
        <v>0</v>
      </c>
      <c r="DG49" s="47" t="n">
        <f aca="false">$E49*MAX(0,(MIN(In_Decision_Date+In_PB_Days-1,DG$4)-MAX($F49,DG$3)+1)/DG$5)</f>
        <v>0</v>
      </c>
      <c r="DH49" s="47" t="n">
        <f aca="false">$E49*MAX(0,(MIN(In_Decision_Date+In_PB_Days-1,DH$4)-MAX($F49,DH$3)+1)/DH$5)</f>
        <v>0</v>
      </c>
      <c r="DI49" s="47" t="n">
        <f aca="false">$E49*MAX(0,(MIN(In_Decision_Date+In_PB_Days-1,DI$4)-MAX($F49,DI$3)+1)/DI$5)</f>
        <v>0</v>
      </c>
      <c r="DJ49" s="47" t="n">
        <f aca="false">$E49*MAX(0,(MIN(In_Decision_Date+In_PB_Days-1,DJ$4)-MAX($F49,DJ$3)+1)/DJ$5)</f>
        <v>0</v>
      </c>
      <c r="DK49" s="47" t="n">
        <f aca="false">$E49*MAX(0,(MIN(In_Decision_Date+In_PB_Days-1,DK$4)-MAX($F49,DK$3)+1)/DK$5)</f>
        <v>0</v>
      </c>
      <c r="DL49" s="47" t="n">
        <f aca="false">$E49*MAX(0,(MIN(In_Decision_Date+In_PB_Days-1,DL$4)-MAX($F49,DL$3)+1)/DL$5)</f>
        <v>0</v>
      </c>
      <c r="DM49" s="47" t="n">
        <f aca="false">$E49*MAX(0,(MIN(In_Decision_Date+In_PB_Days-1,DM$4)-MAX($F49,DM$3)+1)/DM$5)</f>
        <v>0</v>
      </c>
      <c r="DN49" s="47" t="n">
        <f aca="false">$E49*MAX(0,(MIN(In_Decision_Date+In_PB_Days-1,DN$4)-MAX($F49,DN$3)+1)/DN$5)</f>
        <v>0</v>
      </c>
      <c r="DO49" s="47" t="n">
        <f aca="false">$E49*MAX(0,(MIN(In_Decision_Date+In_PB_Days-1,DO$4)-MAX($F49,DO$3)+1)/DO$5)</f>
        <v>0</v>
      </c>
      <c r="DP49" s="47" t="n">
        <f aca="false">$E49*MAX(0,(MIN(In_Decision_Date+In_PB_Days-1,DP$4)-MAX($F49,DP$3)+1)/DP$5)</f>
        <v>0</v>
      </c>
      <c r="DQ49" s="47" t="n">
        <f aca="false">$E49*MAX(0,(MIN(In_Decision_Date+In_PB_Days-1,DQ$4)-MAX($F49,DQ$3)+1)/DQ$5)</f>
        <v>0</v>
      </c>
      <c r="DR49" s="47" t="n">
        <f aca="false">$E49*MAX(0,(MIN(In_Decision_Date+In_PB_Days-1,DR$4)-MAX($F49,DR$3)+1)/DR$5)</f>
        <v>0</v>
      </c>
      <c r="DS49" s="47" t="n">
        <f aca="false">$E49*MAX(0,(MIN(In_Decision_Date+In_PB_Days-1,DS$4)-MAX($F49,DS$3)+1)/DS$5)</f>
        <v>0</v>
      </c>
      <c r="DT49" s="47" t="n">
        <f aca="false">$E49*MAX(0,(MIN(In_Decision_Date+In_PB_Days-1,DT$4)-MAX($F49,DT$3)+1)/DT$5)</f>
        <v>0</v>
      </c>
      <c r="DU49" s="47" t="n">
        <f aca="false">$E49*MAX(0,(MIN(In_Decision_Date+In_PB_Days-1,DU$4)-MAX($F49,DU$3)+1)/DU$5)</f>
        <v>0</v>
      </c>
      <c r="DV49" s="47" t="n">
        <f aca="false">$E49*MAX(0,(MIN(In_Decision_Date+In_PB_Days-1,DV$4)-MAX($F49,DV$3)+1)/DV$5)</f>
        <v>0</v>
      </c>
      <c r="DW49" s="47" t="n">
        <f aca="false">$E49*MAX(0,(MIN(In_Decision_Date+In_PB_Days-1,DW$4)-MAX($F49,DW$3)+1)/DW$5)</f>
        <v>0</v>
      </c>
      <c r="DX49" s="47" t="n">
        <f aca="false">$E49*MAX(0,(MIN(In_Decision_Date+In_PB_Days-1,DX$4)-MAX($F49,DX$3)+1)/DX$5)</f>
        <v>0</v>
      </c>
      <c r="DY49" s="47" t="n">
        <f aca="false">$E49*MAX(0,(MIN(In_Decision_Date+In_PB_Days-1,DY$4)-MAX($F49,DY$3)+1)/DY$5)</f>
        <v>0</v>
      </c>
      <c r="DZ49" s="47" t="n">
        <f aca="false">$E49*MAX(0,(MIN(In_Decision_Date+In_PB_Days-1,DZ$4)-MAX($F49,DZ$3)+1)/DZ$5)</f>
        <v>0</v>
      </c>
      <c r="EA49" s="47" t="n">
        <f aca="false">$E49*MAX(0,(MIN(In_Decision_Date+In_PB_Days-1,EA$4)-MAX($F49,EA$3)+1)/EA$5)</f>
        <v>0</v>
      </c>
      <c r="EB49" s="47" t="n">
        <f aca="false">$E49*MAX(0,(MIN(In_Decision_Date+In_PB_Days-1,EB$4)-MAX($F49,EB$3)+1)/EB$5)</f>
        <v>0</v>
      </c>
      <c r="EC49" s="47" t="n">
        <f aca="false">$E49*MAX(0,(MIN(In_Decision_Date+In_PB_Days-1,EC$4)-MAX($F49,EC$3)+1)/EC$5)</f>
        <v>0</v>
      </c>
      <c r="ED49" s="47" t="n">
        <f aca="false">$E49*MAX(0,(MIN(In_Decision_Date+In_PB_Days-1,ED$4)-MAX($F49,ED$3)+1)/ED$5)</f>
        <v>0</v>
      </c>
      <c r="EE49" s="47" t="n">
        <f aca="false">$E49*MAX(0,(MIN(In_Decision_Date+In_PB_Days-1,EE$4)-MAX($F49,EE$3)+1)/EE$5)</f>
        <v>0</v>
      </c>
      <c r="EF49" s="47" t="n">
        <f aca="false">$E49*MAX(0,(MIN(In_Decision_Date+In_PB_Days-1,EF$4)-MAX($F49,EF$3)+1)/EF$5)</f>
        <v>0</v>
      </c>
      <c r="EG49" s="47" t="n">
        <f aca="false">$E49*MAX(0,(MIN(In_Decision_Date+In_PB_Days-1,EG$4)-MAX($F49,EG$3)+1)/EG$5)</f>
        <v>0</v>
      </c>
      <c r="EH49" s="47" t="n">
        <f aca="false">$E49*MAX(0,(MIN(In_Decision_Date+In_PB_Days-1,EH$4)-MAX($F49,EH$3)+1)/EH$5)</f>
        <v>0</v>
      </c>
      <c r="EI49" s="47" t="n">
        <f aca="false">$E49*MAX(0,(MIN(In_Decision_Date+In_PB_Days-1,EI$4)-MAX($F49,EI$3)+1)/EI$5)</f>
        <v>0</v>
      </c>
      <c r="EJ49" s="47" t="n">
        <f aca="false">$E49*MAX(0,(MIN(In_Decision_Date+In_PB_Days-1,EJ$4)-MAX($F49,EJ$3)+1)/EJ$5)</f>
        <v>0</v>
      </c>
      <c r="EK49" s="47" t="n">
        <f aca="false">$E49*MAX(0,(MIN(In_Decision_Date+In_PB_Days-1,EK$4)-MAX($F49,EK$3)+1)/EK$5)</f>
        <v>0</v>
      </c>
      <c r="EL49" s="47" t="n">
        <f aca="false">$E49*MAX(0,(MIN(In_Decision_Date+In_PB_Days-1,EL$4)-MAX($F49,EL$3)+1)/EL$5)</f>
        <v>0</v>
      </c>
      <c r="EM49" s="47" t="n">
        <f aca="false">$E49*MAX(0,(MIN(In_Decision_Date+In_PB_Days-1,EM$4)-MAX($F49,EM$3)+1)/EM$5)</f>
        <v>0</v>
      </c>
      <c r="EN49" s="47" t="n">
        <f aca="false">$E49*MAX(0,(MIN(In_Decision_Date+In_PB_Days-1,EN$4)-MAX($F49,EN$3)+1)/EN$5)</f>
        <v>0</v>
      </c>
      <c r="EO49" s="47" t="n">
        <f aca="false">$E49*MAX(0,(MIN(In_Decision_Date+In_PB_Days-1,EO$4)-MAX($F49,EO$3)+1)/EO$5)</f>
        <v>0</v>
      </c>
    </row>
    <row r="50" customFormat="false" ht="15" hidden="false" customHeight="false" outlineLevel="0" collapsed="false">
      <c r="C50" s="0" t="s">
        <v>403</v>
      </c>
      <c r="D50" s="11" t="s">
        <v>33</v>
      </c>
      <c r="E50" s="47" t="n">
        <f aca="false">In_PB_Rate*$E36*$E47*Thousand/In_FX</f>
        <v>2216.43835616438</v>
      </c>
      <c r="F50" s="45" t="n">
        <f aca="false">In_Decision_Date+In_PB_Days</f>
        <v>46433</v>
      </c>
      <c r="J50" s="47" t="n">
        <f aca="false">$E50*MAX(0,(MIN(In_PB_Release,J$4)-MAX($F50,J$3)+1)/J$5)</f>
        <v>0</v>
      </c>
      <c r="K50" s="47" t="n">
        <f aca="false">$E50*MAX(0,(MIN(In_PB_Release,K$4)-MAX($F50,K$3)+1)/K$5)</f>
        <v>1108.21917808219</v>
      </c>
      <c r="L50" s="47" t="n">
        <f aca="false">$E50*MAX(0,(MIN(In_PB_Release,L$4)-MAX($F50,L$3)+1)/L$5)</f>
        <v>2216.43835616438</v>
      </c>
      <c r="M50" s="47" t="n">
        <f aca="false">$E50*MAX(0,(MIN(In_PB_Release,M$4)-MAX($F50,M$3)+1)/M$5)</f>
        <v>2216.43835616438</v>
      </c>
      <c r="N50" s="47" t="n">
        <f aca="false">$E50*MAX(0,(MIN(In_PB_Release,N$4)-MAX($F50,N$3)+1)/N$5)</f>
        <v>2216.43835616438</v>
      </c>
      <c r="O50" s="47" t="n">
        <f aca="false">$E50*MAX(0,(MIN(In_PB_Release,O$4)-MAX($F50,O$3)+1)/O$5)</f>
        <v>2216.43835616438</v>
      </c>
      <c r="P50" s="47" t="n">
        <f aca="false">$E50*MAX(0,(MIN(In_PB_Release,P$4)-MAX($F50,P$3)+1)/P$5)</f>
        <v>2216.43835616438</v>
      </c>
      <c r="Q50" s="47" t="n">
        <f aca="false">$E50*MAX(0,(MIN(In_PB_Release,Q$4)-MAX($F50,Q$3)+1)/Q$5)</f>
        <v>2216.43835616438</v>
      </c>
      <c r="R50" s="47" t="n">
        <f aca="false">$E50*MAX(0,(MIN(In_PB_Release,R$4)-MAX($F50,R$3)+1)/R$5)</f>
        <v>2216.43835616438</v>
      </c>
      <c r="S50" s="47" t="n">
        <f aca="false">$E50*MAX(0,(MIN(In_PB_Release,S$4)-MAX($F50,S$3)+1)/S$5)</f>
        <v>2216.43835616438</v>
      </c>
      <c r="T50" s="47" t="n">
        <f aca="false">$E50*MAX(0,(MIN(In_PB_Release,T$4)-MAX($F50,T$3)+1)/T$5)</f>
        <v>2216.43835616438</v>
      </c>
      <c r="U50" s="47" t="n">
        <f aca="false">$E50*MAX(0,(MIN(In_PB_Release,U$4)-MAX($F50,U$3)+1)/U$5)</f>
        <v>2216.43835616438</v>
      </c>
      <c r="V50" s="47" t="n">
        <f aca="false">$E50*MAX(0,(MIN(In_PB_Release,V$4)-MAX($F50,V$3)+1)/V$5)</f>
        <v>2216.43835616438</v>
      </c>
      <c r="W50" s="47" t="n">
        <f aca="false">$E50*MAX(0,(MIN(In_PB_Release,W$4)-MAX($F50,W$3)+1)/W$5)</f>
        <v>2216.43835616438</v>
      </c>
      <c r="X50" s="47" t="n">
        <f aca="false">$E50*MAX(0,(MIN(In_PB_Release,X$4)-MAX($F50,X$3)+1)/X$5)</f>
        <v>2216.43835616438</v>
      </c>
      <c r="Y50" s="47" t="n">
        <f aca="false">$E50*MAX(0,(MIN(In_PB_Release,Y$4)-MAX($F50,Y$3)+1)/Y$5)</f>
        <v>2216.43835616438</v>
      </c>
      <c r="Z50" s="47" t="n">
        <f aca="false">$E50*MAX(0,(MIN(In_PB_Release,Z$4)-MAX($F50,Z$3)+1)/Z$5)</f>
        <v>2216.43835616438</v>
      </c>
      <c r="AA50" s="47" t="n">
        <f aca="false">$E50*MAX(0,(MIN(In_PB_Release,AA$4)-MAX($F50,AA$3)+1)/AA$5)</f>
        <v>2216.43835616438</v>
      </c>
      <c r="AB50" s="47" t="n">
        <f aca="false">$E50*MAX(0,(MIN(In_PB_Release,AB$4)-MAX($F50,AB$3)+1)/AB$5)</f>
        <v>2216.43835616438</v>
      </c>
      <c r="AC50" s="47" t="n">
        <f aca="false">$E50*MAX(0,(MIN(In_PB_Release,AC$4)-MAX($F50,AC$3)+1)/AC$5)</f>
        <v>2216.43835616438</v>
      </c>
      <c r="AD50" s="47" t="n">
        <f aca="false">$E50*MAX(0,(MIN(In_PB_Release,AD$4)-MAX($F50,AD$3)+1)/AD$5)</f>
        <v>2216.43835616438</v>
      </c>
      <c r="AE50" s="47" t="n">
        <f aca="false">$E50*MAX(0,(MIN(In_PB_Release,AE$4)-MAX($F50,AE$3)+1)/AE$5)</f>
        <v>2216.43835616438</v>
      </c>
      <c r="AF50" s="47" t="n">
        <f aca="false">$E50*MAX(0,(MIN(In_PB_Release,AF$4)-MAX($F50,AF$3)+1)/AF$5)</f>
        <v>2216.43835616438</v>
      </c>
      <c r="AG50" s="47" t="n">
        <f aca="false">$E50*MAX(0,(MIN(In_PB_Release,AG$4)-MAX($F50,AG$3)+1)/AG$5)</f>
        <v>2216.43835616438</v>
      </c>
      <c r="AH50" s="47" t="n">
        <f aca="false">$E50*MAX(0,(MIN(In_PB_Release,AH$4)-MAX($F50,AH$3)+1)/AH$5)</f>
        <v>2216.43835616438</v>
      </c>
      <c r="AI50" s="47" t="n">
        <f aca="false">$E50*MAX(0,(MIN(In_PB_Release,AI$4)-MAX($F50,AI$3)+1)/AI$5)</f>
        <v>2216.43835616438</v>
      </c>
      <c r="AJ50" s="47" t="n">
        <f aca="false">$E50*MAX(0,(MIN(In_PB_Release,AJ$4)-MAX($F50,AJ$3)+1)/AJ$5)</f>
        <v>0</v>
      </c>
      <c r="AK50" s="47" t="n">
        <f aca="false">$E50*MAX(0,(MIN(In_PB_Release,AK$4)-MAX($F50,AK$3)+1)/AK$5)</f>
        <v>0</v>
      </c>
      <c r="AL50" s="47" t="n">
        <f aca="false">$E50*MAX(0,(MIN(In_PB_Release,AL$4)-MAX($F50,AL$3)+1)/AL$5)</f>
        <v>0</v>
      </c>
      <c r="AM50" s="47" t="n">
        <f aca="false">$E50*MAX(0,(MIN(In_PB_Release,AM$4)-MAX($F50,AM$3)+1)/AM$5)</f>
        <v>0</v>
      </c>
      <c r="AN50" s="47" t="n">
        <f aca="false">$E50*MAX(0,(MIN(In_PB_Release,AN$4)-MAX($F50,AN$3)+1)/AN$5)</f>
        <v>0</v>
      </c>
      <c r="AO50" s="47" t="n">
        <f aca="false">$E50*MAX(0,(MIN(In_PB_Release,AO$4)-MAX($F50,AO$3)+1)/AO$5)</f>
        <v>0</v>
      </c>
      <c r="AP50" s="47" t="n">
        <f aca="false">$E50*MAX(0,(MIN(In_PB_Release,AP$4)-MAX($F50,AP$3)+1)/AP$5)</f>
        <v>0</v>
      </c>
      <c r="AQ50" s="47" t="n">
        <f aca="false">$E50*MAX(0,(MIN(In_PB_Release,AQ$4)-MAX($F50,AQ$3)+1)/AQ$5)</f>
        <v>0</v>
      </c>
      <c r="AR50" s="47" t="n">
        <f aca="false">$E50*MAX(0,(MIN(In_PB_Release,AR$4)-MAX($F50,AR$3)+1)/AR$5)</f>
        <v>0</v>
      </c>
      <c r="AS50" s="47" t="n">
        <f aca="false">$E50*MAX(0,(MIN(In_PB_Release,AS$4)-MAX($F50,AS$3)+1)/AS$5)</f>
        <v>0</v>
      </c>
      <c r="AT50" s="47" t="n">
        <f aca="false">$E50*MAX(0,(MIN(In_PB_Release,AT$4)-MAX($F50,AT$3)+1)/AT$5)</f>
        <v>0</v>
      </c>
      <c r="AU50" s="47" t="n">
        <f aca="false">$E50*MAX(0,(MIN(In_PB_Release,AU$4)-MAX($F50,AU$3)+1)/AU$5)</f>
        <v>0</v>
      </c>
      <c r="AV50" s="47" t="n">
        <f aca="false">$E50*MAX(0,(MIN(In_PB_Release,AV$4)-MAX($F50,AV$3)+1)/AV$5)</f>
        <v>0</v>
      </c>
      <c r="AW50" s="47" t="n">
        <f aca="false">$E50*MAX(0,(MIN(In_PB_Release,AW$4)-MAX($F50,AW$3)+1)/AW$5)</f>
        <v>0</v>
      </c>
      <c r="AX50" s="47" t="n">
        <f aca="false">$E50*MAX(0,(MIN(In_PB_Release,AX$4)-MAX($F50,AX$3)+1)/AX$5)</f>
        <v>0</v>
      </c>
      <c r="AY50" s="47" t="n">
        <f aca="false">$E50*MAX(0,(MIN(In_PB_Release,AY$4)-MAX($F50,AY$3)+1)/AY$5)</f>
        <v>0</v>
      </c>
      <c r="AZ50" s="47" t="n">
        <f aca="false">$E50*MAX(0,(MIN(In_PB_Release,AZ$4)-MAX($F50,AZ$3)+1)/AZ$5)</f>
        <v>0</v>
      </c>
      <c r="BA50" s="47" t="n">
        <f aca="false">$E50*MAX(0,(MIN(In_PB_Release,BA$4)-MAX($F50,BA$3)+1)/BA$5)</f>
        <v>0</v>
      </c>
      <c r="BB50" s="47" t="n">
        <f aca="false">$E50*MAX(0,(MIN(In_PB_Release,BB$4)-MAX($F50,BB$3)+1)/BB$5)</f>
        <v>0</v>
      </c>
      <c r="BC50" s="47" t="n">
        <f aca="false">$E50*MAX(0,(MIN(In_PB_Release,BC$4)-MAX($F50,BC$3)+1)/BC$5)</f>
        <v>0</v>
      </c>
      <c r="BD50" s="47" t="n">
        <f aca="false">$E50*MAX(0,(MIN(In_PB_Release,BD$4)-MAX($F50,BD$3)+1)/BD$5)</f>
        <v>0</v>
      </c>
      <c r="BE50" s="47" t="n">
        <f aca="false">$E50*MAX(0,(MIN(In_PB_Release,BE$4)-MAX($F50,BE$3)+1)/BE$5)</f>
        <v>0</v>
      </c>
      <c r="BF50" s="47" t="n">
        <f aca="false">$E50*MAX(0,(MIN(In_PB_Release,BF$4)-MAX($F50,BF$3)+1)/BF$5)</f>
        <v>0</v>
      </c>
      <c r="BG50" s="47" t="n">
        <f aca="false">$E50*MAX(0,(MIN(In_PB_Release,BG$4)-MAX($F50,BG$3)+1)/BG$5)</f>
        <v>0</v>
      </c>
      <c r="BH50" s="47" t="n">
        <f aca="false">$E50*MAX(0,(MIN(In_PB_Release,BH$4)-MAX($F50,BH$3)+1)/BH$5)</f>
        <v>0</v>
      </c>
      <c r="BI50" s="47" t="n">
        <f aca="false">$E50*MAX(0,(MIN(In_PB_Release,BI$4)-MAX($F50,BI$3)+1)/BI$5)</f>
        <v>0</v>
      </c>
      <c r="BJ50" s="47" t="n">
        <f aca="false">$E50*MAX(0,(MIN(In_PB_Release,BJ$4)-MAX($F50,BJ$3)+1)/BJ$5)</f>
        <v>0</v>
      </c>
      <c r="BK50" s="47" t="n">
        <f aca="false">$E50*MAX(0,(MIN(In_PB_Release,BK$4)-MAX($F50,BK$3)+1)/BK$5)</f>
        <v>0</v>
      </c>
      <c r="BL50" s="47" t="n">
        <f aca="false">$E50*MAX(0,(MIN(In_PB_Release,BL$4)-MAX($F50,BL$3)+1)/BL$5)</f>
        <v>0</v>
      </c>
      <c r="BM50" s="47" t="n">
        <f aca="false">$E50*MAX(0,(MIN(In_PB_Release,BM$4)-MAX($F50,BM$3)+1)/BM$5)</f>
        <v>0</v>
      </c>
      <c r="BN50" s="47" t="n">
        <f aca="false">$E50*MAX(0,(MIN(In_PB_Release,BN$4)-MAX($F50,BN$3)+1)/BN$5)</f>
        <v>0</v>
      </c>
      <c r="BO50" s="47" t="n">
        <f aca="false">$E50*MAX(0,(MIN(In_PB_Release,BO$4)-MAX($F50,BO$3)+1)/BO$5)</f>
        <v>0</v>
      </c>
      <c r="BP50" s="47" t="n">
        <f aca="false">$E50*MAX(0,(MIN(In_PB_Release,BP$4)-MAX($F50,BP$3)+1)/BP$5)</f>
        <v>0</v>
      </c>
      <c r="BQ50" s="47" t="n">
        <f aca="false">$E50*MAX(0,(MIN(In_PB_Release,BQ$4)-MAX($F50,BQ$3)+1)/BQ$5)</f>
        <v>0</v>
      </c>
      <c r="BR50" s="47" t="n">
        <f aca="false">$E50*MAX(0,(MIN(In_PB_Release,BR$4)-MAX($F50,BR$3)+1)/BR$5)</f>
        <v>0</v>
      </c>
      <c r="BS50" s="47" t="n">
        <f aca="false">$E50*MAX(0,(MIN(In_PB_Release,BS$4)-MAX($F50,BS$3)+1)/BS$5)</f>
        <v>0</v>
      </c>
      <c r="BT50" s="47" t="n">
        <f aca="false">$E50*MAX(0,(MIN(In_PB_Release,BT$4)-MAX($F50,BT$3)+1)/BT$5)</f>
        <v>0</v>
      </c>
      <c r="BU50" s="47" t="n">
        <f aca="false">$E50*MAX(0,(MIN(In_PB_Release,BU$4)-MAX($F50,BU$3)+1)/BU$5)</f>
        <v>0</v>
      </c>
      <c r="BV50" s="47" t="n">
        <f aca="false">$E50*MAX(0,(MIN(In_PB_Release,BV$4)-MAX($F50,BV$3)+1)/BV$5)</f>
        <v>0</v>
      </c>
      <c r="BW50" s="47" t="n">
        <f aca="false">$E50*MAX(0,(MIN(In_PB_Release,BW$4)-MAX($F50,BW$3)+1)/BW$5)</f>
        <v>0</v>
      </c>
      <c r="BX50" s="47" t="n">
        <f aca="false">$E50*MAX(0,(MIN(In_PB_Release,BX$4)-MAX($F50,BX$3)+1)/BX$5)</f>
        <v>0</v>
      </c>
      <c r="BY50" s="47" t="n">
        <f aca="false">$E50*MAX(0,(MIN(In_PB_Release,BY$4)-MAX($F50,BY$3)+1)/BY$5)</f>
        <v>0</v>
      </c>
      <c r="BZ50" s="47" t="n">
        <f aca="false">$E50*MAX(0,(MIN(In_PB_Release,BZ$4)-MAX($F50,BZ$3)+1)/BZ$5)</f>
        <v>0</v>
      </c>
      <c r="CA50" s="47" t="n">
        <f aca="false">$E50*MAX(0,(MIN(In_PB_Release,CA$4)-MAX($F50,CA$3)+1)/CA$5)</f>
        <v>0</v>
      </c>
      <c r="CB50" s="47" t="n">
        <f aca="false">$E50*MAX(0,(MIN(In_PB_Release,CB$4)-MAX($F50,CB$3)+1)/CB$5)</f>
        <v>0</v>
      </c>
      <c r="CC50" s="47" t="n">
        <f aca="false">$E50*MAX(0,(MIN(In_PB_Release,CC$4)-MAX($F50,CC$3)+1)/CC$5)</f>
        <v>0</v>
      </c>
      <c r="CD50" s="47" t="n">
        <f aca="false">$E50*MAX(0,(MIN(In_PB_Release,CD$4)-MAX($F50,CD$3)+1)/CD$5)</f>
        <v>0</v>
      </c>
      <c r="CE50" s="47" t="n">
        <f aca="false">$E50*MAX(0,(MIN(In_PB_Release,CE$4)-MAX($F50,CE$3)+1)/CE$5)</f>
        <v>0</v>
      </c>
      <c r="CF50" s="47" t="n">
        <f aca="false">$E50*MAX(0,(MIN(In_PB_Release,CF$4)-MAX($F50,CF$3)+1)/CF$5)</f>
        <v>0</v>
      </c>
      <c r="CG50" s="47" t="n">
        <f aca="false">$E50*MAX(0,(MIN(In_PB_Release,CG$4)-MAX($F50,CG$3)+1)/CG$5)</f>
        <v>0</v>
      </c>
      <c r="CH50" s="47" t="n">
        <f aca="false">$E50*MAX(0,(MIN(In_PB_Release,CH$4)-MAX($F50,CH$3)+1)/CH$5)</f>
        <v>0</v>
      </c>
      <c r="CI50" s="47" t="n">
        <f aca="false">$E50*MAX(0,(MIN(In_PB_Release,CI$4)-MAX($F50,CI$3)+1)/CI$5)</f>
        <v>0</v>
      </c>
      <c r="CJ50" s="47" t="n">
        <f aca="false">$E50*MAX(0,(MIN(In_PB_Release,CJ$4)-MAX($F50,CJ$3)+1)/CJ$5)</f>
        <v>0</v>
      </c>
      <c r="CK50" s="47" t="n">
        <f aca="false">$E50*MAX(0,(MIN(In_PB_Release,CK$4)-MAX($F50,CK$3)+1)/CK$5)</f>
        <v>0</v>
      </c>
      <c r="CL50" s="47" t="n">
        <f aca="false">$E50*MAX(0,(MIN(In_PB_Release,CL$4)-MAX($F50,CL$3)+1)/CL$5)</f>
        <v>0</v>
      </c>
      <c r="CM50" s="47" t="n">
        <f aca="false">$E50*MAX(0,(MIN(In_PB_Release,CM$4)-MAX($F50,CM$3)+1)/CM$5)</f>
        <v>0</v>
      </c>
      <c r="CN50" s="47" t="n">
        <f aca="false">$E50*MAX(0,(MIN(In_PB_Release,CN$4)-MAX($F50,CN$3)+1)/CN$5)</f>
        <v>0</v>
      </c>
      <c r="CO50" s="47" t="n">
        <f aca="false">$E50*MAX(0,(MIN(In_PB_Release,CO$4)-MAX($F50,CO$3)+1)/CO$5)</f>
        <v>0</v>
      </c>
      <c r="CP50" s="47" t="n">
        <f aca="false">$E50*MAX(0,(MIN(In_PB_Release,CP$4)-MAX($F50,CP$3)+1)/CP$5)</f>
        <v>0</v>
      </c>
      <c r="CQ50" s="47" t="n">
        <f aca="false">$E50*MAX(0,(MIN(In_PB_Release,CQ$4)-MAX($F50,CQ$3)+1)/CQ$5)</f>
        <v>0</v>
      </c>
      <c r="CR50" s="47" t="n">
        <f aca="false">$E50*MAX(0,(MIN(In_PB_Release,CR$4)-MAX($F50,CR$3)+1)/CR$5)</f>
        <v>0</v>
      </c>
      <c r="CS50" s="47" t="n">
        <f aca="false">$E50*MAX(0,(MIN(In_PB_Release,CS$4)-MAX($F50,CS$3)+1)/CS$5)</f>
        <v>0</v>
      </c>
      <c r="CT50" s="47" t="n">
        <f aca="false">$E50*MAX(0,(MIN(In_PB_Release,CT$4)-MAX($F50,CT$3)+1)/CT$5)</f>
        <v>0</v>
      </c>
      <c r="CU50" s="47" t="n">
        <f aca="false">$E50*MAX(0,(MIN(In_PB_Release,CU$4)-MAX($F50,CU$3)+1)/CU$5)</f>
        <v>0</v>
      </c>
      <c r="CV50" s="47" t="n">
        <f aca="false">$E50*MAX(0,(MIN(In_PB_Release,CV$4)-MAX($F50,CV$3)+1)/CV$5)</f>
        <v>0</v>
      </c>
      <c r="CW50" s="47" t="n">
        <f aca="false">$E50*MAX(0,(MIN(In_PB_Release,CW$4)-MAX($F50,CW$3)+1)/CW$5)</f>
        <v>0</v>
      </c>
      <c r="CX50" s="47" t="n">
        <f aca="false">$E50*MAX(0,(MIN(In_PB_Release,CX$4)-MAX($F50,CX$3)+1)/CX$5)</f>
        <v>0</v>
      </c>
      <c r="CY50" s="47" t="n">
        <f aca="false">$E50*MAX(0,(MIN(In_PB_Release,CY$4)-MAX($F50,CY$3)+1)/CY$5)</f>
        <v>0</v>
      </c>
      <c r="CZ50" s="47" t="n">
        <f aca="false">$E50*MAX(0,(MIN(In_PB_Release,CZ$4)-MAX($F50,CZ$3)+1)/CZ$5)</f>
        <v>0</v>
      </c>
      <c r="DA50" s="47" t="n">
        <f aca="false">$E50*MAX(0,(MIN(In_PB_Release,DA$4)-MAX($F50,DA$3)+1)/DA$5)</f>
        <v>0</v>
      </c>
      <c r="DB50" s="47" t="n">
        <f aca="false">$E50*MAX(0,(MIN(In_PB_Release,DB$4)-MAX($F50,DB$3)+1)/DB$5)</f>
        <v>0</v>
      </c>
      <c r="DC50" s="47" t="n">
        <f aca="false">$E50*MAX(0,(MIN(In_PB_Release,DC$4)-MAX($F50,DC$3)+1)/DC$5)</f>
        <v>0</v>
      </c>
      <c r="DD50" s="47" t="n">
        <f aca="false">$E50*MAX(0,(MIN(In_PB_Release,DD$4)-MAX($F50,DD$3)+1)/DD$5)</f>
        <v>0</v>
      </c>
      <c r="DE50" s="47" t="n">
        <f aca="false">$E50*MAX(0,(MIN(In_PB_Release,DE$4)-MAX($F50,DE$3)+1)/DE$5)</f>
        <v>0</v>
      </c>
      <c r="DF50" s="47" t="n">
        <f aca="false">$E50*MAX(0,(MIN(In_PB_Release,DF$4)-MAX($F50,DF$3)+1)/DF$5)</f>
        <v>0</v>
      </c>
      <c r="DG50" s="47" t="n">
        <f aca="false">$E50*MAX(0,(MIN(In_PB_Release,DG$4)-MAX($F50,DG$3)+1)/DG$5)</f>
        <v>0</v>
      </c>
      <c r="DH50" s="47" t="n">
        <f aca="false">$E50*MAX(0,(MIN(In_PB_Release,DH$4)-MAX($F50,DH$3)+1)/DH$5)</f>
        <v>0</v>
      </c>
      <c r="DI50" s="47" t="n">
        <f aca="false">$E50*MAX(0,(MIN(In_PB_Release,DI$4)-MAX($F50,DI$3)+1)/DI$5)</f>
        <v>0</v>
      </c>
      <c r="DJ50" s="47" t="n">
        <f aca="false">$E50*MAX(0,(MIN(In_PB_Release,DJ$4)-MAX($F50,DJ$3)+1)/DJ$5)</f>
        <v>0</v>
      </c>
      <c r="DK50" s="47" t="n">
        <f aca="false">$E50*MAX(0,(MIN(In_PB_Release,DK$4)-MAX($F50,DK$3)+1)/DK$5)</f>
        <v>0</v>
      </c>
      <c r="DL50" s="47" t="n">
        <f aca="false">$E50*MAX(0,(MIN(In_PB_Release,DL$4)-MAX($F50,DL$3)+1)/DL$5)</f>
        <v>0</v>
      </c>
      <c r="DM50" s="47" t="n">
        <f aca="false">$E50*MAX(0,(MIN(In_PB_Release,DM$4)-MAX($F50,DM$3)+1)/DM$5)</f>
        <v>0</v>
      </c>
      <c r="DN50" s="47" t="n">
        <f aca="false">$E50*MAX(0,(MIN(In_PB_Release,DN$4)-MAX($F50,DN$3)+1)/DN$5)</f>
        <v>0</v>
      </c>
      <c r="DO50" s="47" t="n">
        <f aca="false">$E50*MAX(0,(MIN(In_PB_Release,DO$4)-MAX($F50,DO$3)+1)/DO$5)</f>
        <v>0</v>
      </c>
      <c r="DP50" s="47" t="n">
        <f aca="false">$E50*MAX(0,(MIN(In_PB_Release,DP$4)-MAX($F50,DP$3)+1)/DP$5)</f>
        <v>0</v>
      </c>
      <c r="DQ50" s="47" t="n">
        <f aca="false">$E50*MAX(0,(MIN(In_PB_Release,DQ$4)-MAX($F50,DQ$3)+1)/DQ$5)</f>
        <v>0</v>
      </c>
      <c r="DR50" s="47" t="n">
        <f aca="false">$E50*MAX(0,(MIN(In_PB_Release,DR$4)-MAX($F50,DR$3)+1)/DR$5)</f>
        <v>0</v>
      </c>
      <c r="DS50" s="47" t="n">
        <f aca="false">$E50*MAX(0,(MIN(In_PB_Release,DS$4)-MAX($F50,DS$3)+1)/DS$5)</f>
        <v>0</v>
      </c>
      <c r="DT50" s="47" t="n">
        <f aca="false">$E50*MAX(0,(MIN(In_PB_Release,DT$4)-MAX($F50,DT$3)+1)/DT$5)</f>
        <v>0</v>
      </c>
      <c r="DU50" s="47" t="n">
        <f aca="false">$E50*MAX(0,(MIN(In_PB_Release,DU$4)-MAX($F50,DU$3)+1)/DU$5)</f>
        <v>0</v>
      </c>
      <c r="DV50" s="47" t="n">
        <f aca="false">$E50*MAX(0,(MIN(In_PB_Release,DV$4)-MAX($F50,DV$3)+1)/DV$5)</f>
        <v>0</v>
      </c>
      <c r="DW50" s="47" t="n">
        <f aca="false">$E50*MAX(0,(MIN(In_PB_Release,DW$4)-MAX($F50,DW$3)+1)/DW$5)</f>
        <v>0</v>
      </c>
      <c r="DX50" s="47" t="n">
        <f aca="false">$E50*MAX(0,(MIN(In_PB_Release,DX$4)-MAX($F50,DX$3)+1)/DX$5)</f>
        <v>0</v>
      </c>
      <c r="DY50" s="47" t="n">
        <f aca="false">$E50*MAX(0,(MIN(In_PB_Release,DY$4)-MAX($F50,DY$3)+1)/DY$5)</f>
        <v>0</v>
      </c>
      <c r="DZ50" s="47" t="n">
        <f aca="false">$E50*MAX(0,(MIN(In_PB_Release,DZ$4)-MAX($F50,DZ$3)+1)/DZ$5)</f>
        <v>0</v>
      </c>
      <c r="EA50" s="47" t="n">
        <f aca="false">$E50*MAX(0,(MIN(In_PB_Release,EA$4)-MAX($F50,EA$3)+1)/EA$5)</f>
        <v>0</v>
      </c>
      <c r="EB50" s="47" t="n">
        <f aca="false">$E50*MAX(0,(MIN(In_PB_Release,EB$4)-MAX($F50,EB$3)+1)/EB$5)</f>
        <v>0</v>
      </c>
      <c r="EC50" s="47" t="n">
        <f aca="false">$E50*MAX(0,(MIN(In_PB_Release,EC$4)-MAX($F50,EC$3)+1)/EC$5)</f>
        <v>0</v>
      </c>
      <c r="ED50" s="47" t="n">
        <f aca="false">$E50*MAX(0,(MIN(In_PB_Release,ED$4)-MAX($F50,ED$3)+1)/ED$5)</f>
        <v>0</v>
      </c>
      <c r="EE50" s="47" t="n">
        <f aca="false">$E50*MAX(0,(MIN(In_PB_Release,EE$4)-MAX($F50,EE$3)+1)/EE$5)</f>
        <v>0</v>
      </c>
      <c r="EF50" s="47" t="n">
        <f aca="false">$E50*MAX(0,(MIN(In_PB_Release,EF$4)-MAX($F50,EF$3)+1)/EF$5)</f>
        <v>0</v>
      </c>
      <c r="EG50" s="47" t="n">
        <f aca="false">$E50*MAX(0,(MIN(In_PB_Release,EG$4)-MAX($F50,EG$3)+1)/EG$5)</f>
        <v>0</v>
      </c>
      <c r="EH50" s="47" t="n">
        <f aca="false">$E50*MAX(0,(MIN(In_PB_Release,EH$4)-MAX($F50,EH$3)+1)/EH$5)</f>
        <v>0</v>
      </c>
      <c r="EI50" s="47" t="n">
        <f aca="false">$E50*MAX(0,(MIN(In_PB_Release,EI$4)-MAX($F50,EI$3)+1)/EI$5)</f>
        <v>0</v>
      </c>
      <c r="EJ50" s="47" t="n">
        <f aca="false">$E50*MAX(0,(MIN(In_PB_Release,EJ$4)-MAX($F50,EJ$3)+1)/EJ$5)</f>
        <v>0</v>
      </c>
      <c r="EK50" s="47" t="n">
        <f aca="false">$E50*MAX(0,(MIN(In_PB_Release,EK$4)-MAX($F50,EK$3)+1)/EK$5)</f>
        <v>0</v>
      </c>
      <c r="EL50" s="47" t="n">
        <f aca="false">$E50*MAX(0,(MIN(In_PB_Release,EL$4)-MAX($F50,EL$3)+1)/EL$5)</f>
        <v>0</v>
      </c>
      <c r="EM50" s="47" t="n">
        <f aca="false">$E50*MAX(0,(MIN(In_PB_Release,EM$4)-MAX($F50,EM$3)+1)/EM$5)</f>
        <v>0</v>
      </c>
      <c r="EN50" s="47" t="n">
        <f aca="false">$E50*MAX(0,(MIN(In_PB_Release,EN$4)-MAX($F50,EN$3)+1)/EN$5)</f>
        <v>0</v>
      </c>
      <c r="EO50" s="47" t="n">
        <f aca="false">$E50*MAX(0,(MIN(In_PB_Release,EO$4)-MAX($F50,EO$3)+1)/EO$5)</f>
        <v>0</v>
      </c>
    </row>
    <row r="51" customFormat="false" ht="15" hidden="false" customHeight="false" outlineLevel="0" collapsed="false">
      <c r="C51" s="0" t="s">
        <v>404</v>
      </c>
      <c r="D51" s="11" t="s">
        <v>33</v>
      </c>
      <c r="E51" s="47" t="n">
        <f aca="false">In_TSO_Security*In_MVA*Thousand/In_FX</f>
        <v>616.438356164384</v>
      </c>
      <c r="F51" s="45" t="n">
        <f aca="false">In_Decision_Date+In_PB_Days</f>
        <v>46433</v>
      </c>
      <c r="I51" s="47" t="n">
        <f aca="false">SUM(J51:EO51)</f>
        <v>-616.438356164384</v>
      </c>
      <c r="J51" s="47" t="n">
        <f aca="false">-$E51*N(AND(J$3&lt;=$F51,J$4&gt;=$F51))</f>
        <v>-0</v>
      </c>
      <c r="K51" s="47" t="n">
        <f aca="false">-$E51*N(AND(K$3&lt;=$F51,K$4&gt;=$F51))</f>
        <v>-616.438356164384</v>
      </c>
      <c r="L51" s="47" t="n">
        <f aca="false">-$E51*N(AND(L$3&lt;=$F51,L$4&gt;=$F51))</f>
        <v>-0</v>
      </c>
      <c r="M51" s="47" t="n">
        <f aca="false">-$E51*N(AND(M$3&lt;=$F51,M$4&gt;=$F51))</f>
        <v>-0</v>
      </c>
      <c r="N51" s="47" t="n">
        <f aca="false">-$E51*N(AND(N$3&lt;=$F51,N$4&gt;=$F51))</f>
        <v>-0</v>
      </c>
      <c r="O51" s="47" t="n">
        <f aca="false">-$E51*N(AND(O$3&lt;=$F51,O$4&gt;=$F51))</f>
        <v>-0</v>
      </c>
      <c r="P51" s="47" t="n">
        <f aca="false">-$E51*N(AND(P$3&lt;=$F51,P$4&gt;=$F51))</f>
        <v>-0</v>
      </c>
      <c r="Q51" s="47" t="n">
        <f aca="false">-$E51*N(AND(Q$3&lt;=$F51,Q$4&gt;=$F51))</f>
        <v>-0</v>
      </c>
      <c r="R51" s="47" t="n">
        <f aca="false">-$E51*N(AND(R$3&lt;=$F51,R$4&gt;=$F51))</f>
        <v>-0</v>
      </c>
      <c r="S51" s="47" t="n">
        <f aca="false">-$E51*N(AND(S$3&lt;=$F51,S$4&gt;=$F51))</f>
        <v>-0</v>
      </c>
      <c r="T51" s="47" t="n">
        <f aca="false">-$E51*N(AND(T$3&lt;=$F51,T$4&gt;=$F51))</f>
        <v>-0</v>
      </c>
      <c r="U51" s="47" t="n">
        <f aca="false">-$E51*N(AND(U$3&lt;=$F51,U$4&gt;=$F51))</f>
        <v>-0</v>
      </c>
      <c r="V51" s="47" t="n">
        <f aca="false">-$E51*N(AND(V$3&lt;=$F51,V$4&gt;=$F51))</f>
        <v>-0</v>
      </c>
      <c r="W51" s="47" t="n">
        <f aca="false">-$E51*N(AND(W$3&lt;=$F51,W$4&gt;=$F51))</f>
        <v>-0</v>
      </c>
      <c r="X51" s="47" t="n">
        <f aca="false">-$E51*N(AND(X$3&lt;=$F51,X$4&gt;=$F51))</f>
        <v>-0</v>
      </c>
      <c r="Y51" s="47" t="n">
        <f aca="false">-$E51*N(AND(Y$3&lt;=$F51,Y$4&gt;=$F51))</f>
        <v>-0</v>
      </c>
      <c r="Z51" s="47" t="n">
        <f aca="false">-$E51*N(AND(Z$3&lt;=$F51,Z$4&gt;=$F51))</f>
        <v>-0</v>
      </c>
      <c r="AA51" s="47" t="n">
        <f aca="false">-$E51*N(AND(AA$3&lt;=$F51,AA$4&gt;=$F51))</f>
        <v>-0</v>
      </c>
      <c r="AB51" s="47" t="n">
        <f aca="false">-$E51*N(AND(AB$3&lt;=$F51,AB$4&gt;=$F51))</f>
        <v>-0</v>
      </c>
      <c r="AC51" s="47" t="n">
        <f aca="false">-$E51*N(AND(AC$3&lt;=$F51,AC$4&gt;=$F51))</f>
        <v>-0</v>
      </c>
      <c r="AD51" s="47" t="n">
        <f aca="false">-$E51*N(AND(AD$3&lt;=$F51,AD$4&gt;=$F51))</f>
        <v>-0</v>
      </c>
      <c r="AE51" s="47" t="n">
        <f aca="false">-$E51*N(AND(AE$3&lt;=$F51,AE$4&gt;=$F51))</f>
        <v>-0</v>
      </c>
      <c r="AF51" s="47" t="n">
        <f aca="false">-$E51*N(AND(AF$3&lt;=$F51,AF$4&gt;=$F51))</f>
        <v>-0</v>
      </c>
      <c r="AG51" s="47" t="n">
        <f aca="false">-$E51*N(AND(AG$3&lt;=$F51,AG$4&gt;=$F51))</f>
        <v>-0</v>
      </c>
      <c r="AH51" s="47" t="n">
        <f aca="false">-$E51*N(AND(AH$3&lt;=$F51,AH$4&gt;=$F51))</f>
        <v>-0</v>
      </c>
      <c r="AI51" s="47" t="n">
        <f aca="false">-$E51*N(AND(AI$3&lt;=$F51,AI$4&gt;=$F51))</f>
        <v>-0</v>
      </c>
      <c r="AJ51" s="47" t="n">
        <f aca="false">-$E51*N(AND(AJ$3&lt;=$F51,AJ$4&gt;=$F51))</f>
        <v>-0</v>
      </c>
      <c r="AK51" s="47" t="n">
        <f aca="false">-$E51*N(AND(AK$3&lt;=$F51,AK$4&gt;=$F51))</f>
        <v>-0</v>
      </c>
      <c r="AL51" s="47" t="n">
        <f aca="false">-$E51*N(AND(AL$3&lt;=$F51,AL$4&gt;=$F51))</f>
        <v>-0</v>
      </c>
      <c r="AM51" s="47" t="n">
        <f aca="false">-$E51*N(AND(AM$3&lt;=$F51,AM$4&gt;=$F51))</f>
        <v>-0</v>
      </c>
      <c r="AN51" s="47" t="n">
        <f aca="false">-$E51*N(AND(AN$3&lt;=$F51,AN$4&gt;=$F51))</f>
        <v>-0</v>
      </c>
      <c r="AO51" s="47" t="n">
        <f aca="false">-$E51*N(AND(AO$3&lt;=$F51,AO$4&gt;=$F51))</f>
        <v>-0</v>
      </c>
      <c r="AP51" s="47" t="n">
        <f aca="false">-$E51*N(AND(AP$3&lt;=$F51,AP$4&gt;=$F51))</f>
        <v>-0</v>
      </c>
      <c r="AQ51" s="47" t="n">
        <f aca="false">-$E51*N(AND(AQ$3&lt;=$F51,AQ$4&gt;=$F51))</f>
        <v>-0</v>
      </c>
      <c r="AR51" s="47" t="n">
        <f aca="false">-$E51*N(AND(AR$3&lt;=$F51,AR$4&gt;=$F51))</f>
        <v>-0</v>
      </c>
      <c r="AS51" s="47" t="n">
        <f aca="false">-$E51*N(AND(AS$3&lt;=$F51,AS$4&gt;=$F51))</f>
        <v>-0</v>
      </c>
      <c r="AT51" s="47" t="n">
        <f aca="false">-$E51*N(AND(AT$3&lt;=$F51,AT$4&gt;=$F51))</f>
        <v>-0</v>
      </c>
      <c r="AU51" s="47" t="n">
        <f aca="false">-$E51*N(AND(AU$3&lt;=$F51,AU$4&gt;=$F51))</f>
        <v>-0</v>
      </c>
      <c r="AV51" s="47" t="n">
        <f aca="false">-$E51*N(AND(AV$3&lt;=$F51,AV$4&gt;=$F51))</f>
        <v>-0</v>
      </c>
      <c r="AW51" s="47" t="n">
        <f aca="false">-$E51*N(AND(AW$3&lt;=$F51,AW$4&gt;=$F51))</f>
        <v>-0</v>
      </c>
      <c r="AX51" s="47" t="n">
        <f aca="false">-$E51*N(AND(AX$3&lt;=$F51,AX$4&gt;=$F51))</f>
        <v>-0</v>
      </c>
      <c r="AY51" s="47" t="n">
        <f aca="false">-$E51*N(AND(AY$3&lt;=$F51,AY$4&gt;=$F51))</f>
        <v>-0</v>
      </c>
      <c r="AZ51" s="47" t="n">
        <f aca="false">-$E51*N(AND(AZ$3&lt;=$F51,AZ$4&gt;=$F51))</f>
        <v>-0</v>
      </c>
      <c r="BA51" s="47" t="n">
        <f aca="false">-$E51*N(AND(BA$3&lt;=$F51,BA$4&gt;=$F51))</f>
        <v>-0</v>
      </c>
      <c r="BB51" s="47" t="n">
        <f aca="false">-$E51*N(AND(BB$3&lt;=$F51,BB$4&gt;=$F51))</f>
        <v>-0</v>
      </c>
      <c r="BC51" s="47" t="n">
        <f aca="false">-$E51*N(AND(BC$3&lt;=$F51,BC$4&gt;=$F51))</f>
        <v>-0</v>
      </c>
      <c r="BD51" s="47" t="n">
        <f aca="false">-$E51*N(AND(BD$3&lt;=$F51,BD$4&gt;=$F51))</f>
        <v>-0</v>
      </c>
      <c r="BE51" s="47" t="n">
        <f aca="false">-$E51*N(AND(BE$3&lt;=$F51,BE$4&gt;=$F51))</f>
        <v>-0</v>
      </c>
      <c r="BF51" s="47" t="n">
        <f aca="false">-$E51*N(AND(BF$3&lt;=$F51,BF$4&gt;=$F51))</f>
        <v>-0</v>
      </c>
      <c r="BG51" s="47" t="n">
        <f aca="false">-$E51*N(AND(BG$3&lt;=$F51,BG$4&gt;=$F51))</f>
        <v>-0</v>
      </c>
      <c r="BH51" s="47" t="n">
        <f aca="false">-$E51*N(AND(BH$3&lt;=$F51,BH$4&gt;=$F51))</f>
        <v>-0</v>
      </c>
      <c r="BI51" s="47" t="n">
        <f aca="false">-$E51*N(AND(BI$3&lt;=$F51,BI$4&gt;=$F51))</f>
        <v>-0</v>
      </c>
      <c r="BJ51" s="47" t="n">
        <f aca="false">-$E51*N(AND(BJ$3&lt;=$F51,BJ$4&gt;=$F51))</f>
        <v>-0</v>
      </c>
      <c r="BK51" s="47" t="n">
        <f aca="false">-$E51*N(AND(BK$3&lt;=$F51,BK$4&gt;=$F51))</f>
        <v>-0</v>
      </c>
      <c r="BL51" s="47" t="n">
        <f aca="false">-$E51*N(AND(BL$3&lt;=$F51,BL$4&gt;=$F51))</f>
        <v>-0</v>
      </c>
      <c r="BM51" s="47" t="n">
        <f aca="false">-$E51*N(AND(BM$3&lt;=$F51,BM$4&gt;=$F51))</f>
        <v>-0</v>
      </c>
      <c r="BN51" s="47" t="n">
        <f aca="false">-$E51*N(AND(BN$3&lt;=$F51,BN$4&gt;=$F51))</f>
        <v>-0</v>
      </c>
      <c r="BO51" s="47" t="n">
        <f aca="false">-$E51*N(AND(BO$3&lt;=$F51,BO$4&gt;=$F51))</f>
        <v>-0</v>
      </c>
      <c r="BP51" s="47" t="n">
        <f aca="false">-$E51*N(AND(BP$3&lt;=$F51,BP$4&gt;=$F51))</f>
        <v>-0</v>
      </c>
      <c r="BQ51" s="47" t="n">
        <f aca="false">-$E51*N(AND(BQ$3&lt;=$F51,BQ$4&gt;=$F51))</f>
        <v>-0</v>
      </c>
      <c r="BR51" s="47" t="n">
        <f aca="false">-$E51*N(AND(BR$3&lt;=$F51,BR$4&gt;=$F51))</f>
        <v>-0</v>
      </c>
      <c r="BS51" s="47" t="n">
        <f aca="false">-$E51*N(AND(BS$3&lt;=$F51,BS$4&gt;=$F51))</f>
        <v>-0</v>
      </c>
      <c r="BT51" s="47" t="n">
        <f aca="false">-$E51*N(AND(BT$3&lt;=$F51,BT$4&gt;=$F51))</f>
        <v>-0</v>
      </c>
      <c r="BU51" s="47" t="n">
        <f aca="false">-$E51*N(AND(BU$3&lt;=$F51,BU$4&gt;=$F51))</f>
        <v>-0</v>
      </c>
      <c r="BV51" s="47" t="n">
        <f aca="false">-$E51*N(AND(BV$3&lt;=$F51,BV$4&gt;=$F51))</f>
        <v>-0</v>
      </c>
      <c r="BW51" s="47" t="n">
        <f aca="false">-$E51*N(AND(BW$3&lt;=$F51,BW$4&gt;=$F51))</f>
        <v>-0</v>
      </c>
      <c r="BX51" s="47" t="n">
        <f aca="false">-$E51*N(AND(BX$3&lt;=$F51,BX$4&gt;=$F51))</f>
        <v>-0</v>
      </c>
      <c r="BY51" s="47" t="n">
        <f aca="false">-$E51*N(AND(BY$3&lt;=$F51,BY$4&gt;=$F51))</f>
        <v>-0</v>
      </c>
      <c r="BZ51" s="47" t="n">
        <f aca="false">-$E51*N(AND(BZ$3&lt;=$F51,BZ$4&gt;=$F51))</f>
        <v>-0</v>
      </c>
      <c r="CA51" s="47" t="n">
        <f aca="false">-$E51*N(AND(CA$3&lt;=$F51,CA$4&gt;=$F51))</f>
        <v>-0</v>
      </c>
      <c r="CB51" s="47" t="n">
        <f aca="false">-$E51*N(AND(CB$3&lt;=$F51,CB$4&gt;=$F51))</f>
        <v>-0</v>
      </c>
      <c r="CC51" s="47" t="n">
        <f aca="false">-$E51*N(AND(CC$3&lt;=$F51,CC$4&gt;=$F51))</f>
        <v>-0</v>
      </c>
      <c r="CD51" s="47" t="n">
        <f aca="false">-$E51*N(AND(CD$3&lt;=$F51,CD$4&gt;=$F51))</f>
        <v>-0</v>
      </c>
      <c r="CE51" s="47" t="n">
        <f aca="false">-$E51*N(AND(CE$3&lt;=$F51,CE$4&gt;=$F51))</f>
        <v>-0</v>
      </c>
      <c r="CF51" s="47" t="n">
        <f aca="false">-$E51*N(AND(CF$3&lt;=$F51,CF$4&gt;=$F51))</f>
        <v>-0</v>
      </c>
      <c r="CG51" s="47" t="n">
        <f aca="false">-$E51*N(AND(CG$3&lt;=$F51,CG$4&gt;=$F51))</f>
        <v>-0</v>
      </c>
      <c r="CH51" s="47" t="n">
        <f aca="false">-$E51*N(AND(CH$3&lt;=$F51,CH$4&gt;=$F51))</f>
        <v>-0</v>
      </c>
      <c r="CI51" s="47" t="n">
        <f aca="false">-$E51*N(AND(CI$3&lt;=$F51,CI$4&gt;=$F51))</f>
        <v>-0</v>
      </c>
      <c r="CJ51" s="47" t="n">
        <f aca="false">-$E51*N(AND(CJ$3&lt;=$F51,CJ$4&gt;=$F51))</f>
        <v>-0</v>
      </c>
      <c r="CK51" s="47" t="n">
        <f aca="false">-$E51*N(AND(CK$3&lt;=$F51,CK$4&gt;=$F51))</f>
        <v>-0</v>
      </c>
      <c r="CL51" s="47" t="n">
        <f aca="false">-$E51*N(AND(CL$3&lt;=$F51,CL$4&gt;=$F51))</f>
        <v>-0</v>
      </c>
      <c r="CM51" s="47" t="n">
        <f aca="false">-$E51*N(AND(CM$3&lt;=$F51,CM$4&gt;=$F51))</f>
        <v>-0</v>
      </c>
      <c r="CN51" s="47" t="n">
        <f aca="false">-$E51*N(AND(CN$3&lt;=$F51,CN$4&gt;=$F51))</f>
        <v>-0</v>
      </c>
      <c r="CO51" s="47" t="n">
        <f aca="false">-$E51*N(AND(CO$3&lt;=$F51,CO$4&gt;=$F51))</f>
        <v>-0</v>
      </c>
      <c r="CP51" s="47" t="n">
        <f aca="false">-$E51*N(AND(CP$3&lt;=$F51,CP$4&gt;=$F51))</f>
        <v>-0</v>
      </c>
      <c r="CQ51" s="47" t="n">
        <f aca="false">-$E51*N(AND(CQ$3&lt;=$F51,CQ$4&gt;=$F51))</f>
        <v>-0</v>
      </c>
      <c r="CR51" s="47" t="n">
        <f aca="false">-$E51*N(AND(CR$3&lt;=$F51,CR$4&gt;=$F51))</f>
        <v>-0</v>
      </c>
      <c r="CS51" s="47" t="n">
        <f aca="false">-$E51*N(AND(CS$3&lt;=$F51,CS$4&gt;=$F51))</f>
        <v>-0</v>
      </c>
      <c r="CT51" s="47" t="n">
        <f aca="false">-$E51*N(AND(CT$3&lt;=$F51,CT$4&gt;=$F51))</f>
        <v>-0</v>
      </c>
      <c r="CU51" s="47" t="n">
        <f aca="false">-$E51*N(AND(CU$3&lt;=$F51,CU$4&gt;=$F51))</f>
        <v>-0</v>
      </c>
      <c r="CV51" s="47" t="n">
        <f aca="false">-$E51*N(AND(CV$3&lt;=$F51,CV$4&gt;=$F51))</f>
        <v>-0</v>
      </c>
      <c r="CW51" s="47" t="n">
        <f aca="false">-$E51*N(AND(CW$3&lt;=$F51,CW$4&gt;=$F51))</f>
        <v>-0</v>
      </c>
      <c r="CX51" s="47" t="n">
        <f aca="false">-$E51*N(AND(CX$3&lt;=$F51,CX$4&gt;=$F51))</f>
        <v>-0</v>
      </c>
      <c r="CY51" s="47" t="n">
        <f aca="false">-$E51*N(AND(CY$3&lt;=$F51,CY$4&gt;=$F51))</f>
        <v>-0</v>
      </c>
      <c r="CZ51" s="47" t="n">
        <f aca="false">-$E51*N(AND(CZ$3&lt;=$F51,CZ$4&gt;=$F51))</f>
        <v>-0</v>
      </c>
      <c r="DA51" s="47" t="n">
        <f aca="false">-$E51*N(AND(DA$3&lt;=$F51,DA$4&gt;=$F51))</f>
        <v>-0</v>
      </c>
      <c r="DB51" s="47" t="n">
        <f aca="false">-$E51*N(AND(DB$3&lt;=$F51,DB$4&gt;=$F51))</f>
        <v>-0</v>
      </c>
      <c r="DC51" s="47" t="n">
        <f aca="false">-$E51*N(AND(DC$3&lt;=$F51,DC$4&gt;=$F51))</f>
        <v>-0</v>
      </c>
      <c r="DD51" s="47" t="n">
        <f aca="false">-$E51*N(AND(DD$3&lt;=$F51,DD$4&gt;=$F51))</f>
        <v>-0</v>
      </c>
      <c r="DE51" s="47" t="n">
        <f aca="false">-$E51*N(AND(DE$3&lt;=$F51,DE$4&gt;=$F51))</f>
        <v>-0</v>
      </c>
      <c r="DF51" s="47" t="n">
        <f aca="false">-$E51*N(AND(DF$3&lt;=$F51,DF$4&gt;=$F51))</f>
        <v>-0</v>
      </c>
      <c r="DG51" s="47" t="n">
        <f aca="false">-$E51*N(AND(DG$3&lt;=$F51,DG$4&gt;=$F51))</f>
        <v>-0</v>
      </c>
      <c r="DH51" s="47" t="n">
        <f aca="false">-$E51*N(AND(DH$3&lt;=$F51,DH$4&gt;=$F51))</f>
        <v>-0</v>
      </c>
      <c r="DI51" s="47" t="n">
        <f aca="false">-$E51*N(AND(DI$3&lt;=$F51,DI$4&gt;=$F51))</f>
        <v>-0</v>
      </c>
      <c r="DJ51" s="47" t="n">
        <f aca="false">-$E51*N(AND(DJ$3&lt;=$F51,DJ$4&gt;=$F51))</f>
        <v>-0</v>
      </c>
      <c r="DK51" s="47" t="n">
        <f aca="false">-$E51*N(AND(DK$3&lt;=$F51,DK$4&gt;=$F51))</f>
        <v>-0</v>
      </c>
      <c r="DL51" s="47" t="n">
        <f aca="false">-$E51*N(AND(DL$3&lt;=$F51,DL$4&gt;=$F51))</f>
        <v>-0</v>
      </c>
      <c r="DM51" s="47" t="n">
        <f aca="false">-$E51*N(AND(DM$3&lt;=$F51,DM$4&gt;=$F51))</f>
        <v>-0</v>
      </c>
      <c r="DN51" s="47" t="n">
        <f aca="false">-$E51*N(AND(DN$3&lt;=$F51,DN$4&gt;=$F51))</f>
        <v>-0</v>
      </c>
      <c r="DO51" s="47" t="n">
        <f aca="false">-$E51*N(AND(DO$3&lt;=$F51,DO$4&gt;=$F51))</f>
        <v>-0</v>
      </c>
      <c r="DP51" s="47" t="n">
        <f aca="false">-$E51*N(AND(DP$3&lt;=$F51,DP$4&gt;=$F51))</f>
        <v>-0</v>
      </c>
      <c r="DQ51" s="47" t="n">
        <f aca="false">-$E51*N(AND(DQ$3&lt;=$F51,DQ$4&gt;=$F51))</f>
        <v>-0</v>
      </c>
      <c r="DR51" s="47" t="n">
        <f aca="false">-$E51*N(AND(DR$3&lt;=$F51,DR$4&gt;=$F51))</f>
        <v>-0</v>
      </c>
      <c r="DS51" s="47" t="n">
        <f aca="false">-$E51*N(AND(DS$3&lt;=$F51,DS$4&gt;=$F51))</f>
        <v>-0</v>
      </c>
      <c r="DT51" s="47" t="n">
        <f aca="false">-$E51*N(AND(DT$3&lt;=$F51,DT$4&gt;=$F51))</f>
        <v>-0</v>
      </c>
      <c r="DU51" s="47" t="n">
        <f aca="false">-$E51*N(AND(DU$3&lt;=$F51,DU$4&gt;=$F51))</f>
        <v>-0</v>
      </c>
      <c r="DV51" s="47" t="n">
        <f aca="false">-$E51*N(AND(DV$3&lt;=$F51,DV$4&gt;=$F51))</f>
        <v>-0</v>
      </c>
      <c r="DW51" s="47" t="n">
        <f aca="false">-$E51*N(AND(DW$3&lt;=$F51,DW$4&gt;=$F51))</f>
        <v>-0</v>
      </c>
      <c r="DX51" s="47" t="n">
        <f aca="false">-$E51*N(AND(DX$3&lt;=$F51,DX$4&gt;=$F51))</f>
        <v>-0</v>
      </c>
      <c r="DY51" s="47" t="n">
        <f aca="false">-$E51*N(AND(DY$3&lt;=$F51,DY$4&gt;=$F51))</f>
        <v>-0</v>
      </c>
      <c r="DZ51" s="47" t="n">
        <f aca="false">-$E51*N(AND(DZ$3&lt;=$F51,DZ$4&gt;=$F51))</f>
        <v>-0</v>
      </c>
      <c r="EA51" s="47" t="n">
        <f aca="false">-$E51*N(AND(EA$3&lt;=$F51,EA$4&gt;=$F51))</f>
        <v>-0</v>
      </c>
      <c r="EB51" s="47" t="n">
        <f aca="false">-$E51*N(AND(EB$3&lt;=$F51,EB$4&gt;=$F51))</f>
        <v>-0</v>
      </c>
      <c r="EC51" s="47" t="n">
        <f aca="false">-$E51*N(AND(EC$3&lt;=$F51,EC$4&gt;=$F51))</f>
        <v>-0</v>
      </c>
      <c r="ED51" s="47" t="n">
        <f aca="false">-$E51*N(AND(ED$3&lt;=$F51,ED$4&gt;=$F51))</f>
        <v>-0</v>
      </c>
      <c r="EE51" s="47" t="n">
        <f aca="false">-$E51*N(AND(EE$3&lt;=$F51,EE$4&gt;=$F51))</f>
        <v>-0</v>
      </c>
      <c r="EF51" s="47" t="n">
        <f aca="false">-$E51*N(AND(EF$3&lt;=$F51,EF$4&gt;=$F51))</f>
        <v>-0</v>
      </c>
      <c r="EG51" s="47" t="n">
        <f aca="false">-$E51*N(AND(EG$3&lt;=$F51,EG$4&gt;=$F51))</f>
        <v>-0</v>
      </c>
      <c r="EH51" s="47" t="n">
        <f aca="false">-$E51*N(AND(EH$3&lt;=$F51,EH$4&gt;=$F51))</f>
        <v>-0</v>
      </c>
      <c r="EI51" s="47" t="n">
        <f aca="false">-$E51*N(AND(EI$3&lt;=$F51,EI$4&gt;=$F51))</f>
        <v>-0</v>
      </c>
      <c r="EJ51" s="47" t="n">
        <f aca="false">-$E51*N(AND(EJ$3&lt;=$F51,EJ$4&gt;=$F51))</f>
        <v>-0</v>
      </c>
      <c r="EK51" s="47" t="n">
        <f aca="false">-$E51*N(AND(EK$3&lt;=$F51,EK$4&gt;=$F51))</f>
        <v>-0</v>
      </c>
      <c r="EL51" s="47" t="n">
        <f aca="false">-$E51*N(AND(EL$3&lt;=$F51,EL$4&gt;=$F51))</f>
        <v>-0</v>
      </c>
      <c r="EM51" s="47" t="n">
        <f aca="false">-$E51*N(AND(EM$3&lt;=$F51,EM$4&gt;=$F51))</f>
        <v>-0</v>
      </c>
      <c r="EN51" s="47" t="n">
        <f aca="false">-$E51*N(AND(EN$3&lt;=$F51,EN$4&gt;=$F51))</f>
        <v>-0</v>
      </c>
      <c r="EO51" s="47" t="n">
        <f aca="false">-$E51*N(AND(EO$3&lt;=$F51,EO$4&gt;=$F51))</f>
        <v>-0</v>
      </c>
    </row>
    <row r="52" customFormat="false" ht="15" hidden="false" customHeight="false" outlineLevel="0" collapsed="false">
      <c r="C52" s="0" t="s">
        <v>405</v>
      </c>
      <c r="D52" s="11" t="s">
        <v>33</v>
      </c>
      <c r="E52" s="47" t="n">
        <f aca="false">In_Direct_Fee*Thousand/In_FX</f>
        <v>1260.27397260274</v>
      </c>
      <c r="F52" s="20" t="n">
        <f aca="false">In_HCSSZ_Date</f>
        <v>47126</v>
      </c>
      <c r="I52" s="47" t="n">
        <f aca="false">SUM(J52:EO52)</f>
        <v>-1260.27397260274</v>
      </c>
      <c r="J52" s="47" t="n">
        <f aca="false">-$E52*N(AND(J$3&lt;=$F52,J$4&gt;=$F52))</f>
        <v>-0</v>
      </c>
      <c r="K52" s="47" t="n">
        <f aca="false">-$E52*N(AND(K$3&lt;=$F52,K$4&gt;=$F52))</f>
        <v>-0</v>
      </c>
      <c r="L52" s="47" t="n">
        <f aca="false">-$E52*N(AND(L$3&lt;=$F52,L$4&gt;=$F52))</f>
        <v>-0</v>
      </c>
      <c r="M52" s="47" t="n">
        <f aca="false">-$E52*N(AND(M$3&lt;=$F52,M$4&gt;=$F52))</f>
        <v>-0</v>
      </c>
      <c r="N52" s="47" t="n">
        <f aca="false">-$E52*N(AND(N$3&lt;=$F52,N$4&gt;=$F52))</f>
        <v>-0</v>
      </c>
      <c r="O52" s="47" t="n">
        <f aca="false">-$E52*N(AND(O$3&lt;=$F52,O$4&gt;=$F52))</f>
        <v>-0</v>
      </c>
      <c r="P52" s="47" t="n">
        <f aca="false">-$E52*N(AND(P$3&lt;=$F52,P$4&gt;=$F52))</f>
        <v>-0</v>
      </c>
      <c r="Q52" s="47" t="n">
        <f aca="false">-$E52*N(AND(Q$3&lt;=$F52,Q$4&gt;=$F52))</f>
        <v>-0</v>
      </c>
      <c r="R52" s="47" t="n">
        <f aca="false">-$E52*N(AND(R$3&lt;=$F52,R$4&gt;=$F52))</f>
        <v>-0</v>
      </c>
      <c r="S52" s="47" t="n">
        <f aca="false">-$E52*N(AND(S$3&lt;=$F52,S$4&gt;=$F52))</f>
        <v>-1260.27397260274</v>
      </c>
      <c r="T52" s="47" t="n">
        <f aca="false">-$E52*N(AND(T$3&lt;=$F52,T$4&gt;=$F52))</f>
        <v>-0</v>
      </c>
      <c r="U52" s="47" t="n">
        <f aca="false">-$E52*N(AND(U$3&lt;=$F52,U$4&gt;=$F52))</f>
        <v>-0</v>
      </c>
      <c r="V52" s="47" t="n">
        <f aca="false">-$E52*N(AND(V$3&lt;=$F52,V$4&gt;=$F52))</f>
        <v>-0</v>
      </c>
      <c r="W52" s="47" t="n">
        <f aca="false">-$E52*N(AND(W$3&lt;=$F52,W$4&gt;=$F52))</f>
        <v>-0</v>
      </c>
      <c r="X52" s="47" t="n">
        <f aca="false">-$E52*N(AND(X$3&lt;=$F52,X$4&gt;=$F52))</f>
        <v>-0</v>
      </c>
      <c r="Y52" s="47" t="n">
        <f aca="false">-$E52*N(AND(Y$3&lt;=$F52,Y$4&gt;=$F52))</f>
        <v>-0</v>
      </c>
      <c r="Z52" s="47" t="n">
        <f aca="false">-$E52*N(AND(Z$3&lt;=$F52,Z$4&gt;=$F52))</f>
        <v>-0</v>
      </c>
      <c r="AA52" s="47" t="n">
        <f aca="false">-$E52*N(AND(AA$3&lt;=$F52,AA$4&gt;=$F52))</f>
        <v>-0</v>
      </c>
      <c r="AB52" s="47" t="n">
        <f aca="false">-$E52*N(AND(AB$3&lt;=$F52,AB$4&gt;=$F52))</f>
        <v>-0</v>
      </c>
      <c r="AC52" s="47" t="n">
        <f aca="false">-$E52*N(AND(AC$3&lt;=$F52,AC$4&gt;=$F52))</f>
        <v>-0</v>
      </c>
      <c r="AD52" s="47" t="n">
        <f aca="false">-$E52*N(AND(AD$3&lt;=$F52,AD$4&gt;=$F52))</f>
        <v>-0</v>
      </c>
      <c r="AE52" s="47" t="n">
        <f aca="false">-$E52*N(AND(AE$3&lt;=$F52,AE$4&gt;=$F52))</f>
        <v>-0</v>
      </c>
      <c r="AF52" s="47" t="n">
        <f aca="false">-$E52*N(AND(AF$3&lt;=$F52,AF$4&gt;=$F52))</f>
        <v>-0</v>
      </c>
      <c r="AG52" s="47" t="n">
        <f aca="false">-$E52*N(AND(AG$3&lt;=$F52,AG$4&gt;=$F52))</f>
        <v>-0</v>
      </c>
      <c r="AH52" s="47" t="n">
        <f aca="false">-$E52*N(AND(AH$3&lt;=$F52,AH$4&gt;=$F52))</f>
        <v>-0</v>
      </c>
      <c r="AI52" s="47" t="n">
        <f aca="false">-$E52*N(AND(AI$3&lt;=$F52,AI$4&gt;=$F52))</f>
        <v>-0</v>
      </c>
      <c r="AJ52" s="47" t="n">
        <f aca="false">-$E52*N(AND(AJ$3&lt;=$F52,AJ$4&gt;=$F52))</f>
        <v>-0</v>
      </c>
      <c r="AK52" s="47" t="n">
        <f aca="false">-$E52*N(AND(AK$3&lt;=$F52,AK$4&gt;=$F52))</f>
        <v>-0</v>
      </c>
      <c r="AL52" s="47" t="n">
        <f aca="false">-$E52*N(AND(AL$3&lt;=$F52,AL$4&gt;=$F52))</f>
        <v>-0</v>
      </c>
      <c r="AM52" s="47" t="n">
        <f aca="false">-$E52*N(AND(AM$3&lt;=$F52,AM$4&gt;=$F52))</f>
        <v>-0</v>
      </c>
      <c r="AN52" s="47" t="n">
        <f aca="false">-$E52*N(AND(AN$3&lt;=$F52,AN$4&gt;=$F52))</f>
        <v>-0</v>
      </c>
      <c r="AO52" s="47" t="n">
        <f aca="false">-$E52*N(AND(AO$3&lt;=$F52,AO$4&gt;=$F52))</f>
        <v>-0</v>
      </c>
      <c r="AP52" s="47" t="n">
        <f aca="false">-$E52*N(AND(AP$3&lt;=$F52,AP$4&gt;=$F52))</f>
        <v>-0</v>
      </c>
      <c r="AQ52" s="47" t="n">
        <f aca="false">-$E52*N(AND(AQ$3&lt;=$F52,AQ$4&gt;=$F52))</f>
        <v>-0</v>
      </c>
      <c r="AR52" s="47" t="n">
        <f aca="false">-$E52*N(AND(AR$3&lt;=$F52,AR$4&gt;=$F52))</f>
        <v>-0</v>
      </c>
      <c r="AS52" s="47" t="n">
        <f aca="false">-$E52*N(AND(AS$3&lt;=$F52,AS$4&gt;=$F52))</f>
        <v>-0</v>
      </c>
      <c r="AT52" s="47" t="n">
        <f aca="false">-$E52*N(AND(AT$3&lt;=$F52,AT$4&gt;=$F52))</f>
        <v>-0</v>
      </c>
      <c r="AU52" s="47" t="n">
        <f aca="false">-$E52*N(AND(AU$3&lt;=$F52,AU$4&gt;=$F52))</f>
        <v>-0</v>
      </c>
      <c r="AV52" s="47" t="n">
        <f aca="false">-$E52*N(AND(AV$3&lt;=$F52,AV$4&gt;=$F52))</f>
        <v>-0</v>
      </c>
      <c r="AW52" s="47" t="n">
        <f aca="false">-$E52*N(AND(AW$3&lt;=$F52,AW$4&gt;=$F52))</f>
        <v>-0</v>
      </c>
      <c r="AX52" s="47" t="n">
        <f aca="false">-$E52*N(AND(AX$3&lt;=$F52,AX$4&gt;=$F52))</f>
        <v>-0</v>
      </c>
      <c r="AY52" s="47" t="n">
        <f aca="false">-$E52*N(AND(AY$3&lt;=$F52,AY$4&gt;=$F52))</f>
        <v>-0</v>
      </c>
      <c r="AZ52" s="47" t="n">
        <f aca="false">-$E52*N(AND(AZ$3&lt;=$F52,AZ$4&gt;=$F52))</f>
        <v>-0</v>
      </c>
      <c r="BA52" s="47" t="n">
        <f aca="false">-$E52*N(AND(BA$3&lt;=$F52,BA$4&gt;=$F52))</f>
        <v>-0</v>
      </c>
      <c r="BB52" s="47" t="n">
        <f aca="false">-$E52*N(AND(BB$3&lt;=$F52,BB$4&gt;=$F52))</f>
        <v>-0</v>
      </c>
      <c r="BC52" s="47" t="n">
        <f aca="false">-$E52*N(AND(BC$3&lt;=$F52,BC$4&gt;=$F52))</f>
        <v>-0</v>
      </c>
      <c r="BD52" s="47" t="n">
        <f aca="false">-$E52*N(AND(BD$3&lt;=$F52,BD$4&gt;=$F52))</f>
        <v>-0</v>
      </c>
      <c r="BE52" s="47" t="n">
        <f aca="false">-$E52*N(AND(BE$3&lt;=$F52,BE$4&gt;=$F52))</f>
        <v>-0</v>
      </c>
      <c r="BF52" s="47" t="n">
        <f aca="false">-$E52*N(AND(BF$3&lt;=$F52,BF$4&gt;=$F52))</f>
        <v>-0</v>
      </c>
      <c r="BG52" s="47" t="n">
        <f aca="false">-$E52*N(AND(BG$3&lt;=$F52,BG$4&gt;=$F52))</f>
        <v>-0</v>
      </c>
      <c r="BH52" s="47" t="n">
        <f aca="false">-$E52*N(AND(BH$3&lt;=$F52,BH$4&gt;=$F52))</f>
        <v>-0</v>
      </c>
      <c r="BI52" s="47" t="n">
        <f aca="false">-$E52*N(AND(BI$3&lt;=$F52,BI$4&gt;=$F52))</f>
        <v>-0</v>
      </c>
      <c r="BJ52" s="47" t="n">
        <f aca="false">-$E52*N(AND(BJ$3&lt;=$F52,BJ$4&gt;=$F52))</f>
        <v>-0</v>
      </c>
      <c r="BK52" s="47" t="n">
        <f aca="false">-$E52*N(AND(BK$3&lt;=$F52,BK$4&gt;=$F52))</f>
        <v>-0</v>
      </c>
      <c r="BL52" s="47" t="n">
        <f aca="false">-$E52*N(AND(BL$3&lt;=$F52,BL$4&gt;=$F52))</f>
        <v>-0</v>
      </c>
      <c r="BM52" s="47" t="n">
        <f aca="false">-$E52*N(AND(BM$3&lt;=$F52,BM$4&gt;=$F52))</f>
        <v>-0</v>
      </c>
      <c r="BN52" s="47" t="n">
        <f aca="false">-$E52*N(AND(BN$3&lt;=$F52,BN$4&gt;=$F52))</f>
        <v>-0</v>
      </c>
      <c r="BO52" s="47" t="n">
        <f aca="false">-$E52*N(AND(BO$3&lt;=$F52,BO$4&gt;=$F52))</f>
        <v>-0</v>
      </c>
      <c r="BP52" s="47" t="n">
        <f aca="false">-$E52*N(AND(BP$3&lt;=$F52,BP$4&gt;=$F52))</f>
        <v>-0</v>
      </c>
      <c r="BQ52" s="47" t="n">
        <f aca="false">-$E52*N(AND(BQ$3&lt;=$F52,BQ$4&gt;=$F52))</f>
        <v>-0</v>
      </c>
      <c r="BR52" s="47" t="n">
        <f aca="false">-$E52*N(AND(BR$3&lt;=$F52,BR$4&gt;=$F52))</f>
        <v>-0</v>
      </c>
      <c r="BS52" s="47" t="n">
        <f aca="false">-$E52*N(AND(BS$3&lt;=$F52,BS$4&gt;=$F52))</f>
        <v>-0</v>
      </c>
      <c r="BT52" s="47" t="n">
        <f aca="false">-$E52*N(AND(BT$3&lt;=$F52,BT$4&gt;=$F52))</f>
        <v>-0</v>
      </c>
      <c r="BU52" s="47" t="n">
        <f aca="false">-$E52*N(AND(BU$3&lt;=$F52,BU$4&gt;=$F52))</f>
        <v>-0</v>
      </c>
      <c r="BV52" s="47" t="n">
        <f aca="false">-$E52*N(AND(BV$3&lt;=$F52,BV$4&gt;=$F52))</f>
        <v>-0</v>
      </c>
      <c r="BW52" s="47" t="n">
        <f aca="false">-$E52*N(AND(BW$3&lt;=$F52,BW$4&gt;=$F52))</f>
        <v>-0</v>
      </c>
      <c r="BX52" s="47" t="n">
        <f aca="false">-$E52*N(AND(BX$3&lt;=$F52,BX$4&gt;=$F52))</f>
        <v>-0</v>
      </c>
      <c r="BY52" s="47" t="n">
        <f aca="false">-$E52*N(AND(BY$3&lt;=$F52,BY$4&gt;=$F52))</f>
        <v>-0</v>
      </c>
      <c r="BZ52" s="47" t="n">
        <f aca="false">-$E52*N(AND(BZ$3&lt;=$F52,BZ$4&gt;=$F52))</f>
        <v>-0</v>
      </c>
      <c r="CA52" s="47" t="n">
        <f aca="false">-$E52*N(AND(CA$3&lt;=$F52,CA$4&gt;=$F52))</f>
        <v>-0</v>
      </c>
      <c r="CB52" s="47" t="n">
        <f aca="false">-$E52*N(AND(CB$3&lt;=$F52,CB$4&gt;=$F52))</f>
        <v>-0</v>
      </c>
      <c r="CC52" s="47" t="n">
        <f aca="false">-$E52*N(AND(CC$3&lt;=$F52,CC$4&gt;=$F52))</f>
        <v>-0</v>
      </c>
      <c r="CD52" s="47" t="n">
        <f aca="false">-$E52*N(AND(CD$3&lt;=$F52,CD$4&gt;=$F52))</f>
        <v>-0</v>
      </c>
      <c r="CE52" s="47" t="n">
        <f aca="false">-$E52*N(AND(CE$3&lt;=$F52,CE$4&gt;=$F52))</f>
        <v>-0</v>
      </c>
      <c r="CF52" s="47" t="n">
        <f aca="false">-$E52*N(AND(CF$3&lt;=$F52,CF$4&gt;=$F52))</f>
        <v>-0</v>
      </c>
      <c r="CG52" s="47" t="n">
        <f aca="false">-$E52*N(AND(CG$3&lt;=$F52,CG$4&gt;=$F52))</f>
        <v>-0</v>
      </c>
      <c r="CH52" s="47" t="n">
        <f aca="false">-$E52*N(AND(CH$3&lt;=$F52,CH$4&gt;=$F52))</f>
        <v>-0</v>
      </c>
      <c r="CI52" s="47" t="n">
        <f aca="false">-$E52*N(AND(CI$3&lt;=$F52,CI$4&gt;=$F52))</f>
        <v>-0</v>
      </c>
      <c r="CJ52" s="47" t="n">
        <f aca="false">-$E52*N(AND(CJ$3&lt;=$F52,CJ$4&gt;=$F52))</f>
        <v>-0</v>
      </c>
      <c r="CK52" s="47" t="n">
        <f aca="false">-$E52*N(AND(CK$3&lt;=$F52,CK$4&gt;=$F52))</f>
        <v>-0</v>
      </c>
      <c r="CL52" s="47" t="n">
        <f aca="false">-$E52*N(AND(CL$3&lt;=$F52,CL$4&gt;=$F52))</f>
        <v>-0</v>
      </c>
      <c r="CM52" s="47" t="n">
        <f aca="false">-$E52*N(AND(CM$3&lt;=$F52,CM$4&gt;=$F52))</f>
        <v>-0</v>
      </c>
      <c r="CN52" s="47" t="n">
        <f aca="false">-$E52*N(AND(CN$3&lt;=$F52,CN$4&gt;=$F52))</f>
        <v>-0</v>
      </c>
      <c r="CO52" s="47" t="n">
        <f aca="false">-$E52*N(AND(CO$3&lt;=$F52,CO$4&gt;=$F52))</f>
        <v>-0</v>
      </c>
      <c r="CP52" s="47" t="n">
        <f aca="false">-$E52*N(AND(CP$3&lt;=$F52,CP$4&gt;=$F52))</f>
        <v>-0</v>
      </c>
      <c r="CQ52" s="47" t="n">
        <f aca="false">-$E52*N(AND(CQ$3&lt;=$F52,CQ$4&gt;=$F52))</f>
        <v>-0</v>
      </c>
      <c r="CR52" s="47" t="n">
        <f aca="false">-$E52*N(AND(CR$3&lt;=$F52,CR$4&gt;=$F52))</f>
        <v>-0</v>
      </c>
      <c r="CS52" s="47" t="n">
        <f aca="false">-$E52*N(AND(CS$3&lt;=$F52,CS$4&gt;=$F52))</f>
        <v>-0</v>
      </c>
      <c r="CT52" s="47" t="n">
        <f aca="false">-$E52*N(AND(CT$3&lt;=$F52,CT$4&gt;=$F52))</f>
        <v>-0</v>
      </c>
      <c r="CU52" s="47" t="n">
        <f aca="false">-$E52*N(AND(CU$3&lt;=$F52,CU$4&gt;=$F52))</f>
        <v>-0</v>
      </c>
      <c r="CV52" s="47" t="n">
        <f aca="false">-$E52*N(AND(CV$3&lt;=$F52,CV$4&gt;=$F52))</f>
        <v>-0</v>
      </c>
      <c r="CW52" s="47" t="n">
        <f aca="false">-$E52*N(AND(CW$3&lt;=$F52,CW$4&gt;=$F52))</f>
        <v>-0</v>
      </c>
      <c r="CX52" s="47" t="n">
        <f aca="false">-$E52*N(AND(CX$3&lt;=$F52,CX$4&gt;=$F52))</f>
        <v>-0</v>
      </c>
      <c r="CY52" s="47" t="n">
        <f aca="false">-$E52*N(AND(CY$3&lt;=$F52,CY$4&gt;=$F52))</f>
        <v>-0</v>
      </c>
      <c r="CZ52" s="47" t="n">
        <f aca="false">-$E52*N(AND(CZ$3&lt;=$F52,CZ$4&gt;=$F52))</f>
        <v>-0</v>
      </c>
      <c r="DA52" s="47" t="n">
        <f aca="false">-$E52*N(AND(DA$3&lt;=$F52,DA$4&gt;=$F52))</f>
        <v>-0</v>
      </c>
      <c r="DB52" s="47" t="n">
        <f aca="false">-$E52*N(AND(DB$3&lt;=$F52,DB$4&gt;=$F52))</f>
        <v>-0</v>
      </c>
      <c r="DC52" s="47" t="n">
        <f aca="false">-$E52*N(AND(DC$3&lt;=$F52,DC$4&gt;=$F52))</f>
        <v>-0</v>
      </c>
      <c r="DD52" s="47" t="n">
        <f aca="false">-$E52*N(AND(DD$3&lt;=$F52,DD$4&gt;=$F52))</f>
        <v>-0</v>
      </c>
      <c r="DE52" s="47" t="n">
        <f aca="false">-$E52*N(AND(DE$3&lt;=$F52,DE$4&gt;=$F52))</f>
        <v>-0</v>
      </c>
      <c r="DF52" s="47" t="n">
        <f aca="false">-$E52*N(AND(DF$3&lt;=$F52,DF$4&gt;=$F52))</f>
        <v>-0</v>
      </c>
      <c r="DG52" s="47" t="n">
        <f aca="false">-$E52*N(AND(DG$3&lt;=$F52,DG$4&gt;=$F52))</f>
        <v>-0</v>
      </c>
      <c r="DH52" s="47" t="n">
        <f aca="false">-$E52*N(AND(DH$3&lt;=$F52,DH$4&gt;=$F52))</f>
        <v>-0</v>
      </c>
      <c r="DI52" s="47" t="n">
        <f aca="false">-$E52*N(AND(DI$3&lt;=$F52,DI$4&gt;=$F52))</f>
        <v>-0</v>
      </c>
      <c r="DJ52" s="47" t="n">
        <f aca="false">-$E52*N(AND(DJ$3&lt;=$F52,DJ$4&gt;=$F52))</f>
        <v>-0</v>
      </c>
      <c r="DK52" s="47" t="n">
        <f aca="false">-$E52*N(AND(DK$3&lt;=$F52,DK$4&gt;=$F52))</f>
        <v>-0</v>
      </c>
      <c r="DL52" s="47" t="n">
        <f aca="false">-$E52*N(AND(DL$3&lt;=$F52,DL$4&gt;=$F52))</f>
        <v>-0</v>
      </c>
      <c r="DM52" s="47" t="n">
        <f aca="false">-$E52*N(AND(DM$3&lt;=$F52,DM$4&gt;=$F52))</f>
        <v>-0</v>
      </c>
      <c r="DN52" s="47" t="n">
        <f aca="false">-$E52*N(AND(DN$3&lt;=$F52,DN$4&gt;=$F52))</f>
        <v>-0</v>
      </c>
      <c r="DO52" s="47" t="n">
        <f aca="false">-$E52*N(AND(DO$3&lt;=$F52,DO$4&gt;=$F52))</f>
        <v>-0</v>
      </c>
      <c r="DP52" s="47" t="n">
        <f aca="false">-$E52*N(AND(DP$3&lt;=$F52,DP$4&gt;=$F52))</f>
        <v>-0</v>
      </c>
      <c r="DQ52" s="47" t="n">
        <f aca="false">-$E52*N(AND(DQ$3&lt;=$F52,DQ$4&gt;=$F52))</f>
        <v>-0</v>
      </c>
      <c r="DR52" s="47" t="n">
        <f aca="false">-$E52*N(AND(DR$3&lt;=$F52,DR$4&gt;=$F52))</f>
        <v>-0</v>
      </c>
      <c r="DS52" s="47" t="n">
        <f aca="false">-$E52*N(AND(DS$3&lt;=$F52,DS$4&gt;=$F52))</f>
        <v>-0</v>
      </c>
      <c r="DT52" s="47" t="n">
        <f aca="false">-$E52*N(AND(DT$3&lt;=$F52,DT$4&gt;=$F52))</f>
        <v>-0</v>
      </c>
      <c r="DU52" s="47" t="n">
        <f aca="false">-$E52*N(AND(DU$3&lt;=$F52,DU$4&gt;=$F52))</f>
        <v>-0</v>
      </c>
      <c r="DV52" s="47" t="n">
        <f aca="false">-$E52*N(AND(DV$3&lt;=$F52,DV$4&gt;=$F52))</f>
        <v>-0</v>
      </c>
      <c r="DW52" s="47" t="n">
        <f aca="false">-$E52*N(AND(DW$3&lt;=$F52,DW$4&gt;=$F52))</f>
        <v>-0</v>
      </c>
      <c r="DX52" s="47" t="n">
        <f aca="false">-$E52*N(AND(DX$3&lt;=$F52,DX$4&gt;=$F52))</f>
        <v>-0</v>
      </c>
      <c r="DY52" s="47" t="n">
        <f aca="false">-$E52*N(AND(DY$3&lt;=$F52,DY$4&gt;=$F52))</f>
        <v>-0</v>
      </c>
      <c r="DZ52" s="47" t="n">
        <f aca="false">-$E52*N(AND(DZ$3&lt;=$F52,DZ$4&gt;=$F52))</f>
        <v>-0</v>
      </c>
      <c r="EA52" s="47" t="n">
        <f aca="false">-$E52*N(AND(EA$3&lt;=$F52,EA$4&gt;=$F52))</f>
        <v>-0</v>
      </c>
      <c r="EB52" s="47" t="n">
        <f aca="false">-$E52*N(AND(EB$3&lt;=$F52,EB$4&gt;=$F52))</f>
        <v>-0</v>
      </c>
      <c r="EC52" s="47" t="n">
        <f aca="false">-$E52*N(AND(EC$3&lt;=$F52,EC$4&gt;=$F52))</f>
        <v>-0</v>
      </c>
      <c r="ED52" s="47" t="n">
        <f aca="false">-$E52*N(AND(ED$3&lt;=$F52,ED$4&gt;=$F52))</f>
        <v>-0</v>
      </c>
      <c r="EE52" s="47" t="n">
        <f aca="false">-$E52*N(AND(EE$3&lt;=$F52,EE$4&gt;=$F52))</f>
        <v>-0</v>
      </c>
      <c r="EF52" s="47" t="n">
        <f aca="false">-$E52*N(AND(EF$3&lt;=$F52,EF$4&gt;=$F52))</f>
        <v>-0</v>
      </c>
      <c r="EG52" s="47" t="n">
        <f aca="false">-$E52*N(AND(EG$3&lt;=$F52,EG$4&gt;=$F52))</f>
        <v>-0</v>
      </c>
      <c r="EH52" s="47" t="n">
        <f aca="false">-$E52*N(AND(EH$3&lt;=$F52,EH$4&gt;=$F52))</f>
        <v>-0</v>
      </c>
      <c r="EI52" s="47" t="n">
        <f aca="false">-$E52*N(AND(EI$3&lt;=$F52,EI$4&gt;=$F52))</f>
        <v>-0</v>
      </c>
      <c r="EJ52" s="47" t="n">
        <f aca="false">-$E52*N(AND(EJ$3&lt;=$F52,EJ$4&gt;=$F52))</f>
        <v>-0</v>
      </c>
      <c r="EK52" s="47" t="n">
        <f aca="false">-$E52*N(AND(EK$3&lt;=$F52,EK$4&gt;=$F52))</f>
        <v>-0</v>
      </c>
      <c r="EL52" s="47" t="n">
        <f aca="false">-$E52*N(AND(EL$3&lt;=$F52,EL$4&gt;=$F52))</f>
        <v>-0</v>
      </c>
      <c r="EM52" s="47" t="n">
        <f aca="false">-$E52*N(AND(EM$3&lt;=$F52,EM$4&gt;=$F52))</f>
        <v>-0</v>
      </c>
      <c r="EN52" s="47" t="n">
        <f aca="false">-$E52*N(AND(EN$3&lt;=$F52,EN$4&gt;=$F52))</f>
        <v>-0</v>
      </c>
      <c r="EO52" s="47" t="n">
        <f aca="false">-$E52*N(AND(EO$3&lt;=$F52,EO$4&gt;=$F52))</f>
        <v>-0</v>
      </c>
    </row>
    <row r="53" customFormat="false" ht="15" hidden="false" customHeight="false" outlineLevel="0" collapsed="false">
      <c r="C53" s="0" t="s">
        <v>406</v>
      </c>
      <c r="D53" s="11" t="s">
        <v>33</v>
      </c>
      <c r="E53" s="47" t="n">
        <f aca="false">(In_Indirect_Fee-In_TSO_Security)*In_MVA*Thousand/In_FX</f>
        <v>6894.54917808219</v>
      </c>
      <c r="F53" s="20" t="n">
        <f aca="false">In_HCSSZ_Date</f>
        <v>47126</v>
      </c>
      <c r="I53" s="47" t="n">
        <f aca="false">SUM(J53:EO53)</f>
        <v>-6894.54917808219</v>
      </c>
      <c r="J53" s="47" t="n">
        <f aca="false">-$E53*N(AND(J$3&lt;=$F53,J$4&gt;=$F53))</f>
        <v>-0</v>
      </c>
      <c r="K53" s="47" t="n">
        <f aca="false">-$E53*N(AND(K$3&lt;=$F53,K$4&gt;=$F53))</f>
        <v>-0</v>
      </c>
      <c r="L53" s="47" t="n">
        <f aca="false">-$E53*N(AND(L$3&lt;=$F53,L$4&gt;=$F53))</f>
        <v>-0</v>
      </c>
      <c r="M53" s="47" t="n">
        <f aca="false">-$E53*N(AND(M$3&lt;=$F53,M$4&gt;=$F53))</f>
        <v>-0</v>
      </c>
      <c r="N53" s="47" t="n">
        <f aca="false">-$E53*N(AND(N$3&lt;=$F53,N$4&gt;=$F53))</f>
        <v>-0</v>
      </c>
      <c r="O53" s="47" t="n">
        <f aca="false">-$E53*N(AND(O$3&lt;=$F53,O$4&gt;=$F53))</f>
        <v>-0</v>
      </c>
      <c r="P53" s="47" t="n">
        <f aca="false">-$E53*N(AND(P$3&lt;=$F53,P$4&gt;=$F53))</f>
        <v>-0</v>
      </c>
      <c r="Q53" s="47" t="n">
        <f aca="false">-$E53*N(AND(Q$3&lt;=$F53,Q$4&gt;=$F53))</f>
        <v>-0</v>
      </c>
      <c r="R53" s="47" t="n">
        <f aca="false">-$E53*N(AND(R$3&lt;=$F53,R$4&gt;=$F53))</f>
        <v>-0</v>
      </c>
      <c r="S53" s="47" t="n">
        <f aca="false">-$E53*N(AND(S$3&lt;=$F53,S$4&gt;=$F53))</f>
        <v>-6894.54917808219</v>
      </c>
      <c r="T53" s="47" t="n">
        <f aca="false">-$E53*N(AND(T$3&lt;=$F53,T$4&gt;=$F53))</f>
        <v>-0</v>
      </c>
      <c r="U53" s="47" t="n">
        <f aca="false">-$E53*N(AND(U$3&lt;=$F53,U$4&gt;=$F53))</f>
        <v>-0</v>
      </c>
      <c r="V53" s="47" t="n">
        <f aca="false">-$E53*N(AND(V$3&lt;=$F53,V$4&gt;=$F53))</f>
        <v>-0</v>
      </c>
      <c r="W53" s="47" t="n">
        <f aca="false">-$E53*N(AND(W$3&lt;=$F53,W$4&gt;=$F53))</f>
        <v>-0</v>
      </c>
      <c r="X53" s="47" t="n">
        <f aca="false">-$E53*N(AND(X$3&lt;=$F53,X$4&gt;=$F53))</f>
        <v>-0</v>
      </c>
      <c r="Y53" s="47" t="n">
        <f aca="false">-$E53*N(AND(Y$3&lt;=$F53,Y$4&gt;=$F53))</f>
        <v>-0</v>
      </c>
      <c r="Z53" s="47" t="n">
        <f aca="false">-$E53*N(AND(Z$3&lt;=$F53,Z$4&gt;=$F53))</f>
        <v>-0</v>
      </c>
      <c r="AA53" s="47" t="n">
        <f aca="false">-$E53*N(AND(AA$3&lt;=$F53,AA$4&gt;=$F53))</f>
        <v>-0</v>
      </c>
      <c r="AB53" s="47" t="n">
        <f aca="false">-$E53*N(AND(AB$3&lt;=$F53,AB$4&gt;=$F53))</f>
        <v>-0</v>
      </c>
      <c r="AC53" s="47" t="n">
        <f aca="false">-$E53*N(AND(AC$3&lt;=$F53,AC$4&gt;=$F53))</f>
        <v>-0</v>
      </c>
      <c r="AD53" s="47" t="n">
        <f aca="false">-$E53*N(AND(AD$3&lt;=$F53,AD$4&gt;=$F53))</f>
        <v>-0</v>
      </c>
      <c r="AE53" s="47" t="n">
        <f aca="false">-$E53*N(AND(AE$3&lt;=$F53,AE$4&gt;=$F53))</f>
        <v>-0</v>
      </c>
      <c r="AF53" s="47" t="n">
        <f aca="false">-$E53*N(AND(AF$3&lt;=$F53,AF$4&gt;=$F53))</f>
        <v>-0</v>
      </c>
      <c r="AG53" s="47" t="n">
        <f aca="false">-$E53*N(AND(AG$3&lt;=$F53,AG$4&gt;=$F53))</f>
        <v>-0</v>
      </c>
      <c r="AH53" s="47" t="n">
        <f aca="false">-$E53*N(AND(AH$3&lt;=$F53,AH$4&gt;=$F53))</f>
        <v>-0</v>
      </c>
      <c r="AI53" s="47" t="n">
        <f aca="false">-$E53*N(AND(AI$3&lt;=$F53,AI$4&gt;=$F53))</f>
        <v>-0</v>
      </c>
      <c r="AJ53" s="47" t="n">
        <f aca="false">-$E53*N(AND(AJ$3&lt;=$F53,AJ$4&gt;=$F53))</f>
        <v>-0</v>
      </c>
      <c r="AK53" s="47" t="n">
        <f aca="false">-$E53*N(AND(AK$3&lt;=$F53,AK$4&gt;=$F53))</f>
        <v>-0</v>
      </c>
      <c r="AL53" s="47" t="n">
        <f aca="false">-$E53*N(AND(AL$3&lt;=$F53,AL$4&gt;=$F53))</f>
        <v>-0</v>
      </c>
      <c r="AM53" s="47" t="n">
        <f aca="false">-$E53*N(AND(AM$3&lt;=$F53,AM$4&gt;=$F53))</f>
        <v>-0</v>
      </c>
      <c r="AN53" s="47" t="n">
        <f aca="false">-$E53*N(AND(AN$3&lt;=$F53,AN$4&gt;=$F53))</f>
        <v>-0</v>
      </c>
      <c r="AO53" s="47" t="n">
        <f aca="false">-$E53*N(AND(AO$3&lt;=$F53,AO$4&gt;=$F53))</f>
        <v>-0</v>
      </c>
      <c r="AP53" s="47" t="n">
        <f aca="false">-$E53*N(AND(AP$3&lt;=$F53,AP$4&gt;=$F53))</f>
        <v>-0</v>
      </c>
      <c r="AQ53" s="47" t="n">
        <f aca="false">-$E53*N(AND(AQ$3&lt;=$F53,AQ$4&gt;=$F53))</f>
        <v>-0</v>
      </c>
      <c r="AR53" s="47" t="n">
        <f aca="false">-$E53*N(AND(AR$3&lt;=$F53,AR$4&gt;=$F53))</f>
        <v>-0</v>
      </c>
      <c r="AS53" s="47" t="n">
        <f aca="false">-$E53*N(AND(AS$3&lt;=$F53,AS$4&gt;=$F53))</f>
        <v>-0</v>
      </c>
      <c r="AT53" s="47" t="n">
        <f aca="false">-$E53*N(AND(AT$3&lt;=$F53,AT$4&gt;=$F53))</f>
        <v>-0</v>
      </c>
      <c r="AU53" s="47" t="n">
        <f aca="false">-$E53*N(AND(AU$3&lt;=$F53,AU$4&gt;=$F53))</f>
        <v>-0</v>
      </c>
      <c r="AV53" s="47" t="n">
        <f aca="false">-$E53*N(AND(AV$3&lt;=$F53,AV$4&gt;=$F53))</f>
        <v>-0</v>
      </c>
      <c r="AW53" s="47" t="n">
        <f aca="false">-$E53*N(AND(AW$3&lt;=$F53,AW$4&gt;=$F53))</f>
        <v>-0</v>
      </c>
      <c r="AX53" s="47" t="n">
        <f aca="false">-$E53*N(AND(AX$3&lt;=$F53,AX$4&gt;=$F53))</f>
        <v>-0</v>
      </c>
      <c r="AY53" s="47" t="n">
        <f aca="false">-$E53*N(AND(AY$3&lt;=$F53,AY$4&gt;=$F53))</f>
        <v>-0</v>
      </c>
      <c r="AZ53" s="47" t="n">
        <f aca="false">-$E53*N(AND(AZ$3&lt;=$F53,AZ$4&gt;=$F53))</f>
        <v>-0</v>
      </c>
      <c r="BA53" s="47" t="n">
        <f aca="false">-$E53*N(AND(BA$3&lt;=$F53,BA$4&gt;=$F53))</f>
        <v>-0</v>
      </c>
      <c r="BB53" s="47" t="n">
        <f aca="false">-$E53*N(AND(BB$3&lt;=$F53,BB$4&gt;=$F53))</f>
        <v>-0</v>
      </c>
      <c r="BC53" s="47" t="n">
        <f aca="false">-$E53*N(AND(BC$3&lt;=$F53,BC$4&gt;=$F53))</f>
        <v>-0</v>
      </c>
      <c r="BD53" s="47" t="n">
        <f aca="false">-$E53*N(AND(BD$3&lt;=$F53,BD$4&gt;=$F53))</f>
        <v>-0</v>
      </c>
      <c r="BE53" s="47" t="n">
        <f aca="false">-$E53*N(AND(BE$3&lt;=$F53,BE$4&gt;=$F53))</f>
        <v>-0</v>
      </c>
      <c r="BF53" s="47" t="n">
        <f aca="false">-$E53*N(AND(BF$3&lt;=$F53,BF$4&gt;=$F53))</f>
        <v>-0</v>
      </c>
      <c r="BG53" s="47" t="n">
        <f aca="false">-$E53*N(AND(BG$3&lt;=$F53,BG$4&gt;=$F53))</f>
        <v>-0</v>
      </c>
      <c r="BH53" s="47" t="n">
        <f aca="false">-$E53*N(AND(BH$3&lt;=$F53,BH$4&gt;=$F53))</f>
        <v>-0</v>
      </c>
      <c r="BI53" s="47" t="n">
        <f aca="false">-$E53*N(AND(BI$3&lt;=$F53,BI$4&gt;=$F53))</f>
        <v>-0</v>
      </c>
      <c r="BJ53" s="47" t="n">
        <f aca="false">-$E53*N(AND(BJ$3&lt;=$F53,BJ$4&gt;=$F53))</f>
        <v>-0</v>
      </c>
      <c r="BK53" s="47" t="n">
        <f aca="false">-$E53*N(AND(BK$3&lt;=$F53,BK$4&gt;=$F53))</f>
        <v>-0</v>
      </c>
      <c r="BL53" s="47" t="n">
        <f aca="false">-$E53*N(AND(BL$3&lt;=$F53,BL$4&gt;=$F53))</f>
        <v>-0</v>
      </c>
      <c r="BM53" s="47" t="n">
        <f aca="false">-$E53*N(AND(BM$3&lt;=$F53,BM$4&gt;=$F53))</f>
        <v>-0</v>
      </c>
      <c r="BN53" s="47" t="n">
        <f aca="false">-$E53*N(AND(BN$3&lt;=$F53,BN$4&gt;=$F53))</f>
        <v>-0</v>
      </c>
      <c r="BO53" s="47" t="n">
        <f aca="false">-$E53*N(AND(BO$3&lt;=$F53,BO$4&gt;=$F53))</f>
        <v>-0</v>
      </c>
      <c r="BP53" s="47" t="n">
        <f aca="false">-$E53*N(AND(BP$3&lt;=$F53,BP$4&gt;=$F53))</f>
        <v>-0</v>
      </c>
      <c r="BQ53" s="47" t="n">
        <f aca="false">-$E53*N(AND(BQ$3&lt;=$F53,BQ$4&gt;=$F53))</f>
        <v>-0</v>
      </c>
      <c r="BR53" s="47" t="n">
        <f aca="false">-$E53*N(AND(BR$3&lt;=$F53,BR$4&gt;=$F53))</f>
        <v>-0</v>
      </c>
      <c r="BS53" s="47" t="n">
        <f aca="false">-$E53*N(AND(BS$3&lt;=$F53,BS$4&gt;=$F53))</f>
        <v>-0</v>
      </c>
      <c r="BT53" s="47" t="n">
        <f aca="false">-$E53*N(AND(BT$3&lt;=$F53,BT$4&gt;=$F53))</f>
        <v>-0</v>
      </c>
      <c r="BU53" s="47" t="n">
        <f aca="false">-$E53*N(AND(BU$3&lt;=$F53,BU$4&gt;=$F53))</f>
        <v>-0</v>
      </c>
      <c r="BV53" s="47" t="n">
        <f aca="false">-$E53*N(AND(BV$3&lt;=$F53,BV$4&gt;=$F53))</f>
        <v>-0</v>
      </c>
      <c r="BW53" s="47" t="n">
        <f aca="false">-$E53*N(AND(BW$3&lt;=$F53,BW$4&gt;=$F53))</f>
        <v>-0</v>
      </c>
      <c r="BX53" s="47" t="n">
        <f aca="false">-$E53*N(AND(BX$3&lt;=$F53,BX$4&gt;=$F53))</f>
        <v>-0</v>
      </c>
      <c r="BY53" s="47" t="n">
        <f aca="false">-$E53*N(AND(BY$3&lt;=$F53,BY$4&gt;=$F53))</f>
        <v>-0</v>
      </c>
      <c r="BZ53" s="47" t="n">
        <f aca="false">-$E53*N(AND(BZ$3&lt;=$F53,BZ$4&gt;=$F53))</f>
        <v>-0</v>
      </c>
      <c r="CA53" s="47" t="n">
        <f aca="false">-$E53*N(AND(CA$3&lt;=$F53,CA$4&gt;=$F53))</f>
        <v>-0</v>
      </c>
      <c r="CB53" s="47" t="n">
        <f aca="false">-$E53*N(AND(CB$3&lt;=$F53,CB$4&gt;=$F53))</f>
        <v>-0</v>
      </c>
      <c r="CC53" s="47" t="n">
        <f aca="false">-$E53*N(AND(CC$3&lt;=$F53,CC$4&gt;=$F53))</f>
        <v>-0</v>
      </c>
      <c r="CD53" s="47" t="n">
        <f aca="false">-$E53*N(AND(CD$3&lt;=$F53,CD$4&gt;=$F53))</f>
        <v>-0</v>
      </c>
      <c r="CE53" s="47" t="n">
        <f aca="false">-$E53*N(AND(CE$3&lt;=$F53,CE$4&gt;=$F53))</f>
        <v>-0</v>
      </c>
      <c r="CF53" s="47" t="n">
        <f aca="false">-$E53*N(AND(CF$3&lt;=$F53,CF$4&gt;=$F53))</f>
        <v>-0</v>
      </c>
      <c r="CG53" s="47" t="n">
        <f aca="false">-$E53*N(AND(CG$3&lt;=$F53,CG$4&gt;=$F53))</f>
        <v>-0</v>
      </c>
      <c r="CH53" s="47" t="n">
        <f aca="false">-$E53*N(AND(CH$3&lt;=$F53,CH$4&gt;=$F53))</f>
        <v>-0</v>
      </c>
      <c r="CI53" s="47" t="n">
        <f aca="false">-$E53*N(AND(CI$3&lt;=$F53,CI$4&gt;=$F53))</f>
        <v>-0</v>
      </c>
      <c r="CJ53" s="47" t="n">
        <f aca="false">-$E53*N(AND(CJ$3&lt;=$F53,CJ$4&gt;=$F53))</f>
        <v>-0</v>
      </c>
      <c r="CK53" s="47" t="n">
        <f aca="false">-$E53*N(AND(CK$3&lt;=$F53,CK$4&gt;=$F53))</f>
        <v>-0</v>
      </c>
      <c r="CL53" s="47" t="n">
        <f aca="false">-$E53*N(AND(CL$3&lt;=$F53,CL$4&gt;=$F53))</f>
        <v>-0</v>
      </c>
      <c r="CM53" s="47" t="n">
        <f aca="false">-$E53*N(AND(CM$3&lt;=$F53,CM$4&gt;=$F53))</f>
        <v>-0</v>
      </c>
      <c r="CN53" s="47" t="n">
        <f aca="false">-$E53*N(AND(CN$3&lt;=$F53,CN$4&gt;=$F53))</f>
        <v>-0</v>
      </c>
      <c r="CO53" s="47" t="n">
        <f aca="false">-$E53*N(AND(CO$3&lt;=$F53,CO$4&gt;=$F53))</f>
        <v>-0</v>
      </c>
      <c r="CP53" s="47" t="n">
        <f aca="false">-$E53*N(AND(CP$3&lt;=$F53,CP$4&gt;=$F53))</f>
        <v>-0</v>
      </c>
      <c r="CQ53" s="47" t="n">
        <f aca="false">-$E53*N(AND(CQ$3&lt;=$F53,CQ$4&gt;=$F53))</f>
        <v>-0</v>
      </c>
      <c r="CR53" s="47" t="n">
        <f aca="false">-$E53*N(AND(CR$3&lt;=$F53,CR$4&gt;=$F53))</f>
        <v>-0</v>
      </c>
      <c r="CS53" s="47" t="n">
        <f aca="false">-$E53*N(AND(CS$3&lt;=$F53,CS$4&gt;=$F53))</f>
        <v>-0</v>
      </c>
      <c r="CT53" s="47" t="n">
        <f aca="false">-$E53*N(AND(CT$3&lt;=$F53,CT$4&gt;=$F53))</f>
        <v>-0</v>
      </c>
      <c r="CU53" s="47" t="n">
        <f aca="false">-$E53*N(AND(CU$3&lt;=$F53,CU$4&gt;=$F53))</f>
        <v>-0</v>
      </c>
      <c r="CV53" s="47" t="n">
        <f aca="false">-$E53*N(AND(CV$3&lt;=$F53,CV$4&gt;=$F53))</f>
        <v>-0</v>
      </c>
      <c r="CW53" s="47" t="n">
        <f aca="false">-$E53*N(AND(CW$3&lt;=$F53,CW$4&gt;=$F53))</f>
        <v>-0</v>
      </c>
      <c r="CX53" s="47" t="n">
        <f aca="false">-$E53*N(AND(CX$3&lt;=$F53,CX$4&gt;=$F53))</f>
        <v>-0</v>
      </c>
      <c r="CY53" s="47" t="n">
        <f aca="false">-$E53*N(AND(CY$3&lt;=$F53,CY$4&gt;=$F53))</f>
        <v>-0</v>
      </c>
      <c r="CZ53" s="47" t="n">
        <f aca="false">-$E53*N(AND(CZ$3&lt;=$F53,CZ$4&gt;=$F53))</f>
        <v>-0</v>
      </c>
      <c r="DA53" s="47" t="n">
        <f aca="false">-$E53*N(AND(DA$3&lt;=$F53,DA$4&gt;=$F53))</f>
        <v>-0</v>
      </c>
      <c r="DB53" s="47" t="n">
        <f aca="false">-$E53*N(AND(DB$3&lt;=$F53,DB$4&gt;=$F53))</f>
        <v>-0</v>
      </c>
      <c r="DC53" s="47" t="n">
        <f aca="false">-$E53*N(AND(DC$3&lt;=$F53,DC$4&gt;=$F53))</f>
        <v>-0</v>
      </c>
      <c r="DD53" s="47" t="n">
        <f aca="false">-$E53*N(AND(DD$3&lt;=$F53,DD$4&gt;=$F53))</f>
        <v>-0</v>
      </c>
      <c r="DE53" s="47" t="n">
        <f aca="false">-$E53*N(AND(DE$3&lt;=$F53,DE$4&gt;=$F53))</f>
        <v>-0</v>
      </c>
      <c r="DF53" s="47" t="n">
        <f aca="false">-$E53*N(AND(DF$3&lt;=$F53,DF$4&gt;=$F53))</f>
        <v>-0</v>
      </c>
      <c r="DG53" s="47" t="n">
        <f aca="false">-$E53*N(AND(DG$3&lt;=$F53,DG$4&gt;=$F53))</f>
        <v>-0</v>
      </c>
      <c r="DH53" s="47" t="n">
        <f aca="false">-$E53*N(AND(DH$3&lt;=$F53,DH$4&gt;=$F53))</f>
        <v>-0</v>
      </c>
      <c r="DI53" s="47" t="n">
        <f aca="false">-$E53*N(AND(DI$3&lt;=$F53,DI$4&gt;=$F53))</f>
        <v>-0</v>
      </c>
      <c r="DJ53" s="47" t="n">
        <f aca="false">-$E53*N(AND(DJ$3&lt;=$F53,DJ$4&gt;=$F53))</f>
        <v>-0</v>
      </c>
      <c r="DK53" s="47" t="n">
        <f aca="false">-$E53*N(AND(DK$3&lt;=$F53,DK$4&gt;=$F53))</f>
        <v>-0</v>
      </c>
      <c r="DL53" s="47" t="n">
        <f aca="false">-$E53*N(AND(DL$3&lt;=$F53,DL$4&gt;=$F53))</f>
        <v>-0</v>
      </c>
      <c r="DM53" s="47" t="n">
        <f aca="false">-$E53*N(AND(DM$3&lt;=$F53,DM$4&gt;=$F53))</f>
        <v>-0</v>
      </c>
      <c r="DN53" s="47" t="n">
        <f aca="false">-$E53*N(AND(DN$3&lt;=$F53,DN$4&gt;=$F53))</f>
        <v>-0</v>
      </c>
      <c r="DO53" s="47" t="n">
        <f aca="false">-$E53*N(AND(DO$3&lt;=$F53,DO$4&gt;=$F53))</f>
        <v>-0</v>
      </c>
      <c r="DP53" s="47" t="n">
        <f aca="false">-$E53*N(AND(DP$3&lt;=$F53,DP$4&gt;=$F53))</f>
        <v>-0</v>
      </c>
      <c r="DQ53" s="47" t="n">
        <f aca="false">-$E53*N(AND(DQ$3&lt;=$F53,DQ$4&gt;=$F53))</f>
        <v>-0</v>
      </c>
      <c r="DR53" s="47" t="n">
        <f aca="false">-$E53*N(AND(DR$3&lt;=$F53,DR$4&gt;=$F53))</f>
        <v>-0</v>
      </c>
      <c r="DS53" s="47" t="n">
        <f aca="false">-$E53*N(AND(DS$3&lt;=$F53,DS$4&gt;=$F53))</f>
        <v>-0</v>
      </c>
      <c r="DT53" s="47" t="n">
        <f aca="false">-$E53*N(AND(DT$3&lt;=$F53,DT$4&gt;=$F53))</f>
        <v>-0</v>
      </c>
      <c r="DU53" s="47" t="n">
        <f aca="false">-$E53*N(AND(DU$3&lt;=$F53,DU$4&gt;=$F53))</f>
        <v>-0</v>
      </c>
      <c r="DV53" s="47" t="n">
        <f aca="false">-$E53*N(AND(DV$3&lt;=$F53,DV$4&gt;=$F53))</f>
        <v>-0</v>
      </c>
      <c r="DW53" s="47" t="n">
        <f aca="false">-$E53*N(AND(DW$3&lt;=$F53,DW$4&gt;=$F53))</f>
        <v>-0</v>
      </c>
      <c r="DX53" s="47" t="n">
        <f aca="false">-$E53*N(AND(DX$3&lt;=$F53,DX$4&gt;=$F53))</f>
        <v>-0</v>
      </c>
      <c r="DY53" s="47" t="n">
        <f aca="false">-$E53*N(AND(DY$3&lt;=$F53,DY$4&gt;=$F53))</f>
        <v>-0</v>
      </c>
      <c r="DZ53" s="47" t="n">
        <f aca="false">-$E53*N(AND(DZ$3&lt;=$F53,DZ$4&gt;=$F53))</f>
        <v>-0</v>
      </c>
      <c r="EA53" s="47" t="n">
        <f aca="false">-$E53*N(AND(EA$3&lt;=$F53,EA$4&gt;=$F53))</f>
        <v>-0</v>
      </c>
      <c r="EB53" s="47" t="n">
        <f aca="false">-$E53*N(AND(EB$3&lt;=$F53,EB$4&gt;=$F53))</f>
        <v>-0</v>
      </c>
      <c r="EC53" s="47" t="n">
        <f aca="false">-$E53*N(AND(EC$3&lt;=$F53,EC$4&gt;=$F53))</f>
        <v>-0</v>
      </c>
      <c r="ED53" s="47" t="n">
        <f aca="false">-$E53*N(AND(ED$3&lt;=$F53,ED$4&gt;=$F53))</f>
        <v>-0</v>
      </c>
      <c r="EE53" s="47" t="n">
        <f aca="false">-$E53*N(AND(EE$3&lt;=$F53,EE$4&gt;=$F53))</f>
        <v>-0</v>
      </c>
      <c r="EF53" s="47" t="n">
        <f aca="false">-$E53*N(AND(EF$3&lt;=$F53,EF$4&gt;=$F53))</f>
        <v>-0</v>
      </c>
      <c r="EG53" s="47" t="n">
        <f aca="false">-$E53*N(AND(EG$3&lt;=$F53,EG$4&gt;=$F53))</f>
        <v>-0</v>
      </c>
      <c r="EH53" s="47" t="n">
        <f aca="false">-$E53*N(AND(EH$3&lt;=$F53,EH$4&gt;=$F53))</f>
        <v>-0</v>
      </c>
      <c r="EI53" s="47" t="n">
        <f aca="false">-$E53*N(AND(EI$3&lt;=$F53,EI$4&gt;=$F53))</f>
        <v>-0</v>
      </c>
      <c r="EJ53" s="47" t="n">
        <f aca="false">-$E53*N(AND(EJ$3&lt;=$F53,EJ$4&gt;=$F53))</f>
        <v>-0</v>
      </c>
      <c r="EK53" s="47" t="n">
        <f aca="false">-$E53*N(AND(EK$3&lt;=$F53,EK$4&gt;=$F53))</f>
        <v>-0</v>
      </c>
      <c r="EL53" s="47" t="n">
        <f aca="false">-$E53*N(AND(EL$3&lt;=$F53,EL$4&gt;=$F53))</f>
        <v>-0</v>
      </c>
      <c r="EM53" s="47" t="n">
        <f aca="false">-$E53*N(AND(EM$3&lt;=$F53,EM$4&gt;=$F53))</f>
        <v>-0</v>
      </c>
      <c r="EN53" s="47" t="n">
        <f aca="false">-$E53*N(AND(EN$3&lt;=$F53,EN$4&gt;=$F53))</f>
        <v>-0</v>
      </c>
      <c r="EO53" s="47" t="n">
        <f aca="false">-$E53*N(AND(EO$3&lt;=$F53,EO$4&gt;=$F53))</f>
        <v>-0</v>
      </c>
    </row>
    <row r="54" customFormat="false" ht="15" hidden="false" customHeight="false" outlineLevel="0" collapsed="false">
      <c r="C54" s="0" t="s">
        <v>407</v>
      </c>
      <c r="D54" s="11" t="s">
        <v>33</v>
      </c>
      <c r="I54" s="47" t="n">
        <f aca="false">SUM(J54:EO54)</f>
        <v>-8154.82315068493</v>
      </c>
      <c r="J54" s="47" t="n">
        <f aca="false">J52+J53</f>
        <v>-0</v>
      </c>
      <c r="K54" s="47" t="n">
        <f aca="false">K52+K53</f>
        <v>-0</v>
      </c>
      <c r="L54" s="47" t="n">
        <f aca="false">L52+L53</f>
        <v>-0</v>
      </c>
      <c r="M54" s="47" t="n">
        <f aca="false">M52+M53</f>
        <v>-0</v>
      </c>
      <c r="N54" s="47" t="n">
        <f aca="false">N52+N53</f>
        <v>-0</v>
      </c>
      <c r="O54" s="47" t="n">
        <f aca="false">O52+O53</f>
        <v>-0</v>
      </c>
      <c r="P54" s="47" t="n">
        <f aca="false">P52+P53</f>
        <v>-0</v>
      </c>
      <c r="Q54" s="47" t="n">
        <f aca="false">Q52+Q53</f>
        <v>-0</v>
      </c>
      <c r="R54" s="47" t="n">
        <f aca="false">R52+R53</f>
        <v>-0</v>
      </c>
      <c r="S54" s="47" t="n">
        <f aca="false">S52+S53</f>
        <v>-8154.82315068493</v>
      </c>
      <c r="T54" s="47" t="n">
        <f aca="false">T52+T53</f>
        <v>-0</v>
      </c>
      <c r="U54" s="47" t="n">
        <f aca="false">U52+U53</f>
        <v>-0</v>
      </c>
      <c r="V54" s="47" t="n">
        <f aca="false">V52+V53</f>
        <v>-0</v>
      </c>
      <c r="W54" s="47" t="n">
        <f aca="false">W52+W53</f>
        <v>-0</v>
      </c>
      <c r="X54" s="47" t="n">
        <f aca="false">X52+X53</f>
        <v>-0</v>
      </c>
      <c r="Y54" s="47" t="n">
        <f aca="false">Y52+Y53</f>
        <v>-0</v>
      </c>
      <c r="Z54" s="47" t="n">
        <f aca="false">Z52+Z53</f>
        <v>-0</v>
      </c>
      <c r="AA54" s="47" t="n">
        <f aca="false">AA52+AA53</f>
        <v>-0</v>
      </c>
      <c r="AB54" s="47" t="n">
        <f aca="false">AB52+AB53</f>
        <v>-0</v>
      </c>
      <c r="AC54" s="47" t="n">
        <f aca="false">AC52+AC53</f>
        <v>-0</v>
      </c>
      <c r="AD54" s="47" t="n">
        <f aca="false">AD52+AD53</f>
        <v>-0</v>
      </c>
      <c r="AE54" s="47" t="n">
        <f aca="false">AE52+AE53</f>
        <v>-0</v>
      </c>
      <c r="AF54" s="47" t="n">
        <f aca="false">AF52+AF53</f>
        <v>-0</v>
      </c>
      <c r="AG54" s="47" t="n">
        <f aca="false">AG52+AG53</f>
        <v>-0</v>
      </c>
      <c r="AH54" s="47" t="n">
        <f aca="false">AH52+AH53</f>
        <v>-0</v>
      </c>
      <c r="AI54" s="47" t="n">
        <f aca="false">AI52+AI53</f>
        <v>-0</v>
      </c>
      <c r="AJ54" s="47" t="n">
        <f aca="false">AJ52+AJ53</f>
        <v>-0</v>
      </c>
      <c r="AK54" s="47" t="n">
        <f aca="false">AK52+AK53</f>
        <v>-0</v>
      </c>
      <c r="AL54" s="47" t="n">
        <f aca="false">AL52+AL53</f>
        <v>-0</v>
      </c>
      <c r="AM54" s="47" t="n">
        <f aca="false">AM52+AM53</f>
        <v>-0</v>
      </c>
      <c r="AN54" s="47" t="n">
        <f aca="false">AN52+AN53</f>
        <v>-0</v>
      </c>
      <c r="AO54" s="47" t="n">
        <f aca="false">AO52+AO53</f>
        <v>-0</v>
      </c>
      <c r="AP54" s="47" t="n">
        <f aca="false">AP52+AP53</f>
        <v>-0</v>
      </c>
      <c r="AQ54" s="47" t="n">
        <f aca="false">AQ52+AQ53</f>
        <v>-0</v>
      </c>
      <c r="AR54" s="47" t="n">
        <f aca="false">AR52+AR53</f>
        <v>-0</v>
      </c>
      <c r="AS54" s="47" t="n">
        <f aca="false">AS52+AS53</f>
        <v>-0</v>
      </c>
      <c r="AT54" s="47" t="n">
        <f aca="false">AT52+AT53</f>
        <v>-0</v>
      </c>
      <c r="AU54" s="47" t="n">
        <f aca="false">AU52+AU53</f>
        <v>-0</v>
      </c>
      <c r="AV54" s="47" t="n">
        <f aca="false">AV52+AV53</f>
        <v>-0</v>
      </c>
      <c r="AW54" s="47" t="n">
        <f aca="false">AW52+AW53</f>
        <v>-0</v>
      </c>
      <c r="AX54" s="47" t="n">
        <f aca="false">AX52+AX53</f>
        <v>-0</v>
      </c>
      <c r="AY54" s="47" t="n">
        <f aca="false">AY52+AY53</f>
        <v>-0</v>
      </c>
      <c r="AZ54" s="47" t="n">
        <f aca="false">AZ52+AZ53</f>
        <v>-0</v>
      </c>
      <c r="BA54" s="47" t="n">
        <f aca="false">BA52+BA53</f>
        <v>-0</v>
      </c>
      <c r="BB54" s="47" t="n">
        <f aca="false">BB52+BB53</f>
        <v>-0</v>
      </c>
      <c r="BC54" s="47" t="n">
        <f aca="false">BC52+BC53</f>
        <v>-0</v>
      </c>
      <c r="BD54" s="47" t="n">
        <f aca="false">BD52+BD53</f>
        <v>-0</v>
      </c>
      <c r="BE54" s="47" t="n">
        <f aca="false">BE52+BE53</f>
        <v>-0</v>
      </c>
      <c r="BF54" s="47" t="n">
        <f aca="false">BF52+BF53</f>
        <v>-0</v>
      </c>
      <c r="BG54" s="47" t="n">
        <f aca="false">BG52+BG53</f>
        <v>-0</v>
      </c>
      <c r="BH54" s="47" t="n">
        <f aca="false">BH52+BH53</f>
        <v>-0</v>
      </c>
      <c r="BI54" s="47" t="n">
        <f aca="false">BI52+BI53</f>
        <v>-0</v>
      </c>
      <c r="BJ54" s="47" t="n">
        <f aca="false">BJ52+BJ53</f>
        <v>-0</v>
      </c>
      <c r="BK54" s="47" t="n">
        <f aca="false">BK52+BK53</f>
        <v>-0</v>
      </c>
      <c r="BL54" s="47" t="n">
        <f aca="false">BL52+BL53</f>
        <v>-0</v>
      </c>
      <c r="BM54" s="47" t="n">
        <f aca="false">BM52+BM53</f>
        <v>-0</v>
      </c>
      <c r="BN54" s="47" t="n">
        <f aca="false">BN52+BN53</f>
        <v>-0</v>
      </c>
      <c r="BO54" s="47" t="n">
        <f aca="false">BO52+BO53</f>
        <v>-0</v>
      </c>
      <c r="BP54" s="47" t="n">
        <f aca="false">BP52+BP53</f>
        <v>-0</v>
      </c>
      <c r="BQ54" s="47" t="n">
        <f aca="false">BQ52+BQ53</f>
        <v>-0</v>
      </c>
      <c r="BR54" s="47" t="n">
        <f aca="false">BR52+BR53</f>
        <v>-0</v>
      </c>
      <c r="BS54" s="47" t="n">
        <f aca="false">BS52+BS53</f>
        <v>-0</v>
      </c>
      <c r="BT54" s="47" t="n">
        <f aca="false">BT52+BT53</f>
        <v>-0</v>
      </c>
      <c r="BU54" s="47" t="n">
        <f aca="false">BU52+BU53</f>
        <v>-0</v>
      </c>
      <c r="BV54" s="47" t="n">
        <f aca="false">BV52+BV53</f>
        <v>-0</v>
      </c>
      <c r="BW54" s="47" t="n">
        <f aca="false">BW52+BW53</f>
        <v>-0</v>
      </c>
      <c r="BX54" s="47" t="n">
        <f aca="false">BX52+BX53</f>
        <v>-0</v>
      </c>
      <c r="BY54" s="47" t="n">
        <f aca="false">BY52+BY53</f>
        <v>-0</v>
      </c>
      <c r="BZ54" s="47" t="n">
        <f aca="false">BZ52+BZ53</f>
        <v>-0</v>
      </c>
      <c r="CA54" s="47" t="n">
        <f aca="false">CA52+CA53</f>
        <v>-0</v>
      </c>
      <c r="CB54" s="47" t="n">
        <f aca="false">CB52+CB53</f>
        <v>-0</v>
      </c>
      <c r="CC54" s="47" t="n">
        <f aca="false">CC52+CC53</f>
        <v>-0</v>
      </c>
      <c r="CD54" s="47" t="n">
        <f aca="false">CD52+CD53</f>
        <v>-0</v>
      </c>
      <c r="CE54" s="47" t="n">
        <f aca="false">CE52+CE53</f>
        <v>-0</v>
      </c>
      <c r="CF54" s="47" t="n">
        <f aca="false">CF52+CF53</f>
        <v>-0</v>
      </c>
      <c r="CG54" s="47" t="n">
        <f aca="false">CG52+CG53</f>
        <v>-0</v>
      </c>
      <c r="CH54" s="47" t="n">
        <f aca="false">CH52+CH53</f>
        <v>-0</v>
      </c>
      <c r="CI54" s="47" t="n">
        <f aca="false">CI52+CI53</f>
        <v>-0</v>
      </c>
      <c r="CJ54" s="47" t="n">
        <f aca="false">CJ52+CJ53</f>
        <v>-0</v>
      </c>
      <c r="CK54" s="47" t="n">
        <f aca="false">CK52+CK53</f>
        <v>-0</v>
      </c>
      <c r="CL54" s="47" t="n">
        <f aca="false">CL52+CL53</f>
        <v>-0</v>
      </c>
      <c r="CM54" s="47" t="n">
        <f aca="false">CM52+CM53</f>
        <v>-0</v>
      </c>
      <c r="CN54" s="47" t="n">
        <f aca="false">CN52+CN53</f>
        <v>-0</v>
      </c>
      <c r="CO54" s="47" t="n">
        <f aca="false">CO52+CO53</f>
        <v>-0</v>
      </c>
      <c r="CP54" s="47" t="n">
        <f aca="false">CP52+CP53</f>
        <v>-0</v>
      </c>
      <c r="CQ54" s="47" t="n">
        <f aca="false">CQ52+CQ53</f>
        <v>-0</v>
      </c>
      <c r="CR54" s="47" t="n">
        <f aca="false">CR52+CR53</f>
        <v>-0</v>
      </c>
      <c r="CS54" s="47" t="n">
        <f aca="false">CS52+CS53</f>
        <v>-0</v>
      </c>
      <c r="CT54" s="47" t="n">
        <f aca="false">CT52+CT53</f>
        <v>-0</v>
      </c>
      <c r="CU54" s="47" t="n">
        <f aca="false">CU52+CU53</f>
        <v>-0</v>
      </c>
      <c r="CV54" s="47" t="n">
        <f aca="false">CV52+CV53</f>
        <v>-0</v>
      </c>
      <c r="CW54" s="47" t="n">
        <f aca="false">CW52+CW53</f>
        <v>-0</v>
      </c>
      <c r="CX54" s="47" t="n">
        <f aca="false">CX52+CX53</f>
        <v>-0</v>
      </c>
      <c r="CY54" s="47" t="n">
        <f aca="false">CY52+CY53</f>
        <v>-0</v>
      </c>
      <c r="CZ54" s="47" t="n">
        <f aca="false">CZ52+CZ53</f>
        <v>-0</v>
      </c>
      <c r="DA54" s="47" t="n">
        <f aca="false">DA52+DA53</f>
        <v>-0</v>
      </c>
      <c r="DB54" s="47" t="n">
        <f aca="false">DB52+DB53</f>
        <v>-0</v>
      </c>
      <c r="DC54" s="47" t="n">
        <f aca="false">DC52+DC53</f>
        <v>-0</v>
      </c>
      <c r="DD54" s="47" t="n">
        <f aca="false">DD52+DD53</f>
        <v>-0</v>
      </c>
      <c r="DE54" s="47" t="n">
        <f aca="false">DE52+DE53</f>
        <v>-0</v>
      </c>
      <c r="DF54" s="47" t="n">
        <f aca="false">DF52+DF53</f>
        <v>-0</v>
      </c>
      <c r="DG54" s="47" t="n">
        <f aca="false">DG52+DG53</f>
        <v>-0</v>
      </c>
      <c r="DH54" s="47" t="n">
        <f aca="false">DH52+DH53</f>
        <v>-0</v>
      </c>
      <c r="DI54" s="47" t="n">
        <f aca="false">DI52+DI53</f>
        <v>-0</v>
      </c>
      <c r="DJ54" s="47" t="n">
        <f aca="false">DJ52+DJ53</f>
        <v>-0</v>
      </c>
      <c r="DK54" s="47" t="n">
        <f aca="false">DK52+DK53</f>
        <v>-0</v>
      </c>
      <c r="DL54" s="47" t="n">
        <f aca="false">DL52+DL53</f>
        <v>-0</v>
      </c>
      <c r="DM54" s="47" t="n">
        <f aca="false">DM52+DM53</f>
        <v>-0</v>
      </c>
      <c r="DN54" s="47" t="n">
        <f aca="false">DN52+DN53</f>
        <v>-0</v>
      </c>
      <c r="DO54" s="47" t="n">
        <f aca="false">DO52+DO53</f>
        <v>-0</v>
      </c>
      <c r="DP54" s="47" t="n">
        <f aca="false">DP52+DP53</f>
        <v>-0</v>
      </c>
      <c r="DQ54" s="47" t="n">
        <f aca="false">DQ52+DQ53</f>
        <v>-0</v>
      </c>
      <c r="DR54" s="47" t="n">
        <f aca="false">DR52+DR53</f>
        <v>-0</v>
      </c>
      <c r="DS54" s="47" t="n">
        <f aca="false">DS52+DS53</f>
        <v>-0</v>
      </c>
      <c r="DT54" s="47" t="n">
        <f aca="false">DT52+DT53</f>
        <v>-0</v>
      </c>
      <c r="DU54" s="47" t="n">
        <f aca="false">DU52+DU53</f>
        <v>-0</v>
      </c>
      <c r="DV54" s="47" t="n">
        <f aca="false">DV52+DV53</f>
        <v>-0</v>
      </c>
      <c r="DW54" s="47" t="n">
        <f aca="false">DW52+DW53</f>
        <v>-0</v>
      </c>
      <c r="DX54" s="47" t="n">
        <f aca="false">DX52+DX53</f>
        <v>-0</v>
      </c>
      <c r="DY54" s="47" t="n">
        <f aca="false">DY52+DY53</f>
        <v>-0</v>
      </c>
      <c r="DZ54" s="47" t="n">
        <f aca="false">DZ52+DZ53</f>
        <v>-0</v>
      </c>
      <c r="EA54" s="47" t="n">
        <f aca="false">EA52+EA53</f>
        <v>-0</v>
      </c>
      <c r="EB54" s="47" t="n">
        <f aca="false">EB52+EB53</f>
        <v>-0</v>
      </c>
      <c r="EC54" s="47" t="n">
        <f aca="false">EC52+EC53</f>
        <v>-0</v>
      </c>
      <c r="ED54" s="47" t="n">
        <f aca="false">ED52+ED53</f>
        <v>-0</v>
      </c>
      <c r="EE54" s="47" t="n">
        <f aca="false">EE52+EE53</f>
        <v>-0</v>
      </c>
      <c r="EF54" s="47" t="n">
        <f aca="false">EF52+EF53</f>
        <v>-0</v>
      </c>
      <c r="EG54" s="47" t="n">
        <f aca="false">EG52+EG53</f>
        <v>-0</v>
      </c>
      <c r="EH54" s="47" t="n">
        <f aca="false">EH52+EH53</f>
        <v>-0</v>
      </c>
      <c r="EI54" s="47" t="n">
        <f aca="false">EI52+EI53</f>
        <v>-0</v>
      </c>
      <c r="EJ54" s="47" t="n">
        <f aca="false">EJ52+EJ53</f>
        <v>-0</v>
      </c>
      <c r="EK54" s="47" t="n">
        <f aca="false">EK52+EK53</f>
        <v>-0</v>
      </c>
      <c r="EL54" s="47" t="n">
        <f aca="false">EL52+EL53</f>
        <v>-0</v>
      </c>
      <c r="EM54" s="47" t="n">
        <f aca="false">EM52+EM53</f>
        <v>-0</v>
      </c>
      <c r="EN54" s="47" t="n">
        <f aca="false">EN52+EN53</f>
        <v>-0</v>
      </c>
      <c r="EO54" s="47" t="n">
        <f aca="false">EO52+EO53</f>
        <v>-0</v>
      </c>
    </row>
    <row r="55" customFormat="false" ht="15" hidden="false" customHeight="false" outlineLevel="0" collapsed="false">
      <c r="C55" s="0" t="s">
        <v>408</v>
      </c>
      <c r="D55" s="11" t="s">
        <v>33</v>
      </c>
      <c r="E55" s="47" t="n">
        <f aca="false">SUMIF($J$4:$EO$4,"&lt;="&amp;In_COD,$J55:$EO55)</f>
        <v>-490.264019515857</v>
      </c>
      <c r="I55" s="47" t="n">
        <f aca="false">SUM(J55:EO55)</f>
        <v>-822.911945956089</v>
      </c>
      <c r="J55" s="47" t="n">
        <f aca="false">-(J49+J50)*In_Guarantee_Fee*J$5/Days_In_Year</f>
        <v>-4.5907599924939</v>
      </c>
      <c r="K55" s="47" t="n">
        <f aca="false">-(K49+K50)*In_Guarantee_Fee*K$5/Days_In_Year</f>
        <v>-19.6746856821167</v>
      </c>
      <c r="L55" s="47" t="n">
        <f aca="false">-(L49+L50)*In_Guarantee_Fee*L$5/Days_In_Year</f>
        <v>-33.1554888346782</v>
      </c>
      <c r="M55" s="47" t="n">
        <f aca="false">-(M49+M50)*In_Guarantee_Fee*M$5/Days_In_Year</f>
        <v>-33.5198348658285</v>
      </c>
      <c r="N55" s="47" t="n">
        <f aca="false">-(N49+N50)*In_Guarantee_Fee*N$5/Days_In_Year</f>
        <v>-33.5198348658285</v>
      </c>
      <c r="O55" s="47" t="n">
        <f aca="false">-(O49+O50)*In_Guarantee_Fee*O$5/Days_In_Year</f>
        <v>-33.1554888346782</v>
      </c>
      <c r="P55" s="47" t="n">
        <f aca="false">-(P49+P50)*In_Guarantee_Fee*P$5/Days_In_Year</f>
        <v>-33.1554888346782</v>
      </c>
      <c r="Q55" s="47" t="n">
        <f aca="false">-(Q49+Q50)*In_Guarantee_Fee*Q$5/Days_In_Year</f>
        <v>-33.5198348658285</v>
      </c>
      <c r="R55" s="47" t="n">
        <f aca="false">-(R49+R50)*In_Guarantee_Fee*R$5/Days_In_Year</f>
        <v>-33.5198348658285</v>
      </c>
      <c r="S55" s="47" t="n">
        <f aca="false">-(S49+S50)*In_Guarantee_Fee*S$5/Days_In_Year</f>
        <v>-32.7911428035279</v>
      </c>
      <c r="T55" s="47" t="n">
        <f aca="false">-(T49+T50)*In_Guarantee_Fee*T$5/Days_In_Year</f>
        <v>-33.1554888346782</v>
      </c>
      <c r="U55" s="47" t="n">
        <f aca="false">-(U49+U50)*In_Guarantee_Fee*U$5/Days_In_Year</f>
        <v>-33.5198348658285</v>
      </c>
      <c r="V55" s="47" t="n">
        <f aca="false">-(V49+V50)*In_Guarantee_Fee*V$5/Days_In_Year</f>
        <v>-33.5198348658285</v>
      </c>
      <c r="W55" s="47" t="n">
        <f aca="false">-(W49+W50)*In_Guarantee_Fee*W$5/Days_In_Year</f>
        <v>-32.7911428035279</v>
      </c>
      <c r="X55" s="47" t="n">
        <f aca="false">-(X49+X50)*In_Guarantee_Fee*X$5/Days_In_Year</f>
        <v>-33.1554888346782</v>
      </c>
      <c r="Y55" s="47" t="n">
        <f aca="false">-(Y49+Y50)*In_Guarantee_Fee*Y$5/Days_In_Year</f>
        <v>-33.5198348658285</v>
      </c>
      <c r="Z55" s="47" t="n">
        <f aca="false">-(Z49+Z50)*In_Guarantee_Fee*Z$5/Days_In_Year</f>
        <v>-33.5198348658285</v>
      </c>
      <c r="AA55" s="47" t="n">
        <f aca="false">-(AA49+AA50)*In_Guarantee_Fee*AA$5/Days_In_Year</f>
        <v>-32.7911428035279</v>
      </c>
      <c r="AB55" s="47" t="n">
        <f aca="false">-(AB49+AB50)*In_Guarantee_Fee*AB$5/Days_In_Year</f>
        <v>-33.1554888346782</v>
      </c>
      <c r="AC55" s="47" t="n">
        <f aca="false">-(AC49+AC50)*In_Guarantee_Fee*AC$5/Days_In_Year</f>
        <v>-33.5198348658285</v>
      </c>
      <c r="AD55" s="47" t="n">
        <f aca="false">-(AD49+AD50)*In_Guarantee_Fee*AD$5/Days_In_Year</f>
        <v>-33.5198348658285</v>
      </c>
      <c r="AE55" s="47" t="n">
        <f aca="false">-(AE49+AE50)*In_Guarantee_Fee*AE$5/Days_In_Year</f>
        <v>-33.1554888346782</v>
      </c>
      <c r="AF55" s="47" t="n">
        <f aca="false">-(AF49+AF50)*In_Guarantee_Fee*AF$5/Days_In_Year</f>
        <v>-33.1554888346782</v>
      </c>
      <c r="AG55" s="47" t="n">
        <f aca="false">-(AG49+AG50)*In_Guarantee_Fee*AG$5/Days_In_Year</f>
        <v>-33.5198348658285</v>
      </c>
      <c r="AH55" s="47" t="n">
        <f aca="false">-(AH49+AH50)*In_Guarantee_Fee*AH$5/Days_In_Year</f>
        <v>-33.5198348658285</v>
      </c>
      <c r="AI55" s="47" t="n">
        <f aca="false">-(AI49+AI50)*In_Guarantee_Fee*AI$5/Days_In_Year</f>
        <v>-32.7911428035279</v>
      </c>
      <c r="AJ55" s="47" t="n">
        <f aca="false">-(AJ49+AJ50)*In_Guarantee_Fee*AJ$5/Days_In_Year</f>
        <v>-0</v>
      </c>
      <c r="AK55" s="47" t="n">
        <f aca="false">-(AK49+AK50)*In_Guarantee_Fee*AK$5/Days_In_Year</f>
        <v>-0</v>
      </c>
      <c r="AL55" s="47" t="n">
        <f aca="false">-(AL49+AL50)*In_Guarantee_Fee*AL$5/Days_In_Year</f>
        <v>-0</v>
      </c>
      <c r="AM55" s="47" t="n">
        <f aca="false">-(AM49+AM50)*In_Guarantee_Fee*AM$5/Days_In_Year</f>
        <v>-0</v>
      </c>
      <c r="AN55" s="47" t="n">
        <f aca="false">-(AN49+AN50)*In_Guarantee_Fee*AN$5/Days_In_Year</f>
        <v>-0</v>
      </c>
      <c r="AO55" s="47" t="n">
        <f aca="false">-(AO49+AO50)*In_Guarantee_Fee*AO$5/Days_In_Year</f>
        <v>-0</v>
      </c>
      <c r="AP55" s="47" t="n">
        <f aca="false">-(AP49+AP50)*In_Guarantee_Fee*AP$5/Days_In_Year</f>
        <v>-0</v>
      </c>
      <c r="AQ55" s="47" t="n">
        <f aca="false">-(AQ49+AQ50)*In_Guarantee_Fee*AQ$5/Days_In_Year</f>
        <v>-0</v>
      </c>
      <c r="AR55" s="47" t="n">
        <f aca="false">-(AR49+AR50)*In_Guarantee_Fee*AR$5/Days_In_Year</f>
        <v>-0</v>
      </c>
      <c r="AS55" s="47" t="n">
        <f aca="false">-(AS49+AS50)*In_Guarantee_Fee*AS$5/Days_In_Year</f>
        <v>-0</v>
      </c>
      <c r="AT55" s="47" t="n">
        <f aca="false">-(AT49+AT50)*In_Guarantee_Fee*AT$5/Days_In_Year</f>
        <v>-0</v>
      </c>
      <c r="AU55" s="47" t="n">
        <f aca="false">-(AU49+AU50)*In_Guarantee_Fee*AU$5/Days_In_Year</f>
        <v>-0</v>
      </c>
      <c r="AV55" s="47" t="n">
        <f aca="false">-(AV49+AV50)*In_Guarantee_Fee*AV$5/Days_In_Year</f>
        <v>-0</v>
      </c>
      <c r="AW55" s="47" t="n">
        <f aca="false">-(AW49+AW50)*In_Guarantee_Fee*AW$5/Days_In_Year</f>
        <v>-0</v>
      </c>
      <c r="AX55" s="47" t="n">
        <f aca="false">-(AX49+AX50)*In_Guarantee_Fee*AX$5/Days_In_Year</f>
        <v>-0</v>
      </c>
      <c r="AY55" s="47" t="n">
        <f aca="false">-(AY49+AY50)*In_Guarantee_Fee*AY$5/Days_In_Year</f>
        <v>-0</v>
      </c>
      <c r="AZ55" s="47" t="n">
        <f aca="false">-(AZ49+AZ50)*In_Guarantee_Fee*AZ$5/Days_In_Year</f>
        <v>-0</v>
      </c>
      <c r="BA55" s="47" t="n">
        <f aca="false">-(BA49+BA50)*In_Guarantee_Fee*BA$5/Days_In_Year</f>
        <v>-0</v>
      </c>
      <c r="BB55" s="47" t="n">
        <f aca="false">-(BB49+BB50)*In_Guarantee_Fee*BB$5/Days_In_Year</f>
        <v>-0</v>
      </c>
      <c r="BC55" s="47" t="n">
        <f aca="false">-(BC49+BC50)*In_Guarantee_Fee*BC$5/Days_In_Year</f>
        <v>-0</v>
      </c>
      <c r="BD55" s="47" t="n">
        <f aca="false">-(BD49+BD50)*In_Guarantee_Fee*BD$5/Days_In_Year</f>
        <v>-0</v>
      </c>
      <c r="BE55" s="47" t="n">
        <f aca="false">-(BE49+BE50)*In_Guarantee_Fee*BE$5/Days_In_Year</f>
        <v>-0</v>
      </c>
      <c r="BF55" s="47" t="n">
        <f aca="false">-(BF49+BF50)*In_Guarantee_Fee*BF$5/Days_In_Year</f>
        <v>-0</v>
      </c>
      <c r="BG55" s="47" t="n">
        <f aca="false">-(BG49+BG50)*In_Guarantee_Fee*BG$5/Days_In_Year</f>
        <v>-0</v>
      </c>
      <c r="BH55" s="47" t="n">
        <f aca="false">-(BH49+BH50)*In_Guarantee_Fee*BH$5/Days_In_Year</f>
        <v>-0</v>
      </c>
      <c r="BI55" s="47" t="n">
        <f aca="false">-(BI49+BI50)*In_Guarantee_Fee*BI$5/Days_In_Year</f>
        <v>-0</v>
      </c>
      <c r="BJ55" s="47" t="n">
        <f aca="false">-(BJ49+BJ50)*In_Guarantee_Fee*BJ$5/Days_In_Year</f>
        <v>-0</v>
      </c>
      <c r="BK55" s="47" t="n">
        <f aca="false">-(BK49+BK50)*In_Guarantee_Fee*BK$5/Days_In_Year</f>
        <v>-0</v>
      </c>
      <c r="BL55" s="47" t="n">
        <f aca="false">-(BL49+BL50)*In_Guarantee_Fee*BL$5/Days_In_Year</f>
        <v>-0</v>
      </c>
      <c r="BM55" s="47" t="n">
        <f aca="false">-(BM49+BM50)*In_Guarantee_Fee*BM$5/Days_In_Year</f>
        <v>-0</v>
      </c>
      <c r="BN55" s="47" t="n">
        <f aca="false">-(BN49+BN50)*In_Guarantee_Fee*BN$5/Days_In_Year</f>
        <v>-0</v>
      </c>
      <c r="BO55" s="47" t="n">
        <f aca="false">-(BO49+BO50)*In_Guarantee_Fee*BO$5/Days_In_Year</f>
        <v>-0</v>
      </c>
      <c r="BP55" s="47" t="n">
        <f aca="false">-(BP49+BP50)*In_Guarantee_Fee*BP$5/Days_In_Year</f>
        <v>-0</v>
      </c>
      <c r="BQ55" s="47" t="n">
        <f aca="false">-(BQ49+BQ50)*In_Guarantee_Fee*BQ$5/Days_In_Year</f>
        <v>-0</v>
      </c>
      <c r="BR55" s="47" t="n">
        <f aca="false">-(BR49+BR50)*In_Guarantee_Fee*BR$5/Days_In_Year</f>
        <v>-0</v>
      </c>
      <c r="BS55" s="47" t="n">
        <f aca="false">-(BS49+BS50)*In_Guarantee_Fee*BS$5/Days_In_Year</f>
        <v>-0</v>
      </c>
      <c r="BT55" s="47" t="n">
        <f aca="false">-(BT49+BT50)*In_Guarantee_Fee*BT$5/Days_In_Year</f>
        <v>-0</v>
      </c>
      <c r="BU55" s="47" t="n">
        <f aca="false">-(BU49+BU50)*In_Guarantee_Fee*BU$5/Days_In_Year</f>
        <v>-0</v>
      </c>
      <c r="BV55" s="47" t="n">
        <f aca="false">-(BV49+BV50)*In_Guarantee_Fee*BV$5/Days_In_Year</f>
        <v>-0</v>
      </c>
      <c r="BW55" s="47" t="n">
        <f aca="false">-(BW49+BW50)*In_Guarantee_Fee*BW$5/Days_In_Year</f>
        <v>-0</v>
      </c>
      <c r="BX55" s="47" t="n">
        <f aca="false">-(BX49+BX50)*In_Guarantee_Fee*BX$5/Days_In_Year</f>
        <v>-0</v>
      </c>
      <c r="BY55" s="47" t="n">
        <f aca="false">-(BY49+BY50)*In_Guarantee_Fee*BY$5/Days_In_Year</f>
        <v>-0</v>
      </c>
      <c r="BZ55" s="47" t="n">
        <f aca="false">-(BZ49+BZ50)*In_Guarantee_Fee*BZ$5/Days_In_Year</f>
        <v>-0</v>
      </c>
      <c r="CA55" s="47" t="n">
        <f aca="false">-(CA49+CA50)*In_Guarantee_Fee*CA$5/Days_In_Year</f>
        <v>-0</v>
      </c>
      <c r="CB55" s="47" t="n">
        <f aca="false">-(CB49+CB50)*In_Guarantee_Fee*CB$5/Days_In_Year</f>
        <v>-0</v>
      </c>
      <c r="CC55" s="47" t="n">
        <f aca="false">-(CC49+CC50)*In_Guarantee_Fee*CC$5/Days_In_Year</f>
        <v>-0</v>
      </c>
      <c r="CD55" s="47" t="n">
        <f aca="false">-(CD49+CD50)*In_Guarantee_Fee*CD$5/Days_In_Year</f>
        <v>-0</v>
      </c>
      <c r="CE55" s="47" t="n">
        <f aca="false">-(CE49+CE50)*In_Guarantee_Fee*CE$5/Days_In_Year</f>
        <v>-0</v>
      </c>
      <c r="CF55" s="47" t="n">
        <f aca="false">-(CF49+CF50)*In_Guarantee_Fee*CF$5/Days_In_Year</f>
        <v>-0</v>
      </c>
      <c r="CG55" s="47" t="n">
        <f aca="false">-(CG49+CG50)*In_Guarantee_Fee*CG$5/Days_In_Year</f>
        <v>-0</v>
      </c>
      <c r="CH55" s="47" t="n">
        <f aca="false">-(CH49+CH50)*In_Guarantee_Fee*CH$5/Days_In_Year</f>
        <v>-0</v>
      </c>
      <c r="CI55" s="47" t="n">
        <f aca="false">-(CI49+CI50)*In_Guarantee_Fee*CI$5/Days_In_Year</f>
        <v>-0</v>
      </c>
      <c r="CJ55" s="47" t="n">
        <f aca="false">-(CJ49+CJ50)*In_Guarantee_Fee*CJ$5/Days_In_Year</f>
        <v>-0</v>
      </c>
      <c r="CK55" s="47" t="n">
        <f aca="false">-(CK49+CK50)*In_Guarantee_Fee*CK$5/Days_In_Year</f>
        <v>-0</v>
      </c>
      <c r="CL55" s="47" t="n">
        <f aca="false">-(CL49+CL50)*In_Guarantee_Fee*CL$5/Days_In_Year</f>
        <v>-0</v>
      </c>
      <c r="CM55" s="47" t="n">
        <f aca="false">-(CM49+CM50)*In_Guarantee_Fee*CM$5/Days_In_Year</f>
        <v>-0</v>
      </c>
      <c r="CN55" s="47" t="n">
        <f aca="false">-(CN49+CN50)*In_Guarantee_Fee*CN$5/Days_In_Year</f>
        <v>-0</v>
      </c>
      <c r="CO55" s="47" t="n">
        <f aca="false">-(CO49+CO50)*In_Guarantee_Fee*CO$5/Days_In_Year</f>
        <v>-0</v>
      </c>
      <c r="CP55" s="47" t="n">
        <f aca="false">-(CP49+CP50)*In_Guarantee_Fee*CP$5/Days_In_Year</f>
        <v>-0</v>
      </c>
      <c r="CQ55" s="47" t="n">
        <f aca="false">-(CQ49+CQ50)*In_Guarantee_Fee*CQ$5/Days_In_Year</f>
        <v>-0</v>
      </c>
      <c r="CR55" s="47" t="n">
        <f aca="false">-(CR49+CR50)*In_Guarantee_Fee*CR$5/Days_In_Year</f>
        <v>-0</v>
      </c>
      <c r="CS55" s="47" t="n">
        <f aca="false">-(CS49+CS50)*In_Guarantee_Fee*CS$5/Days_In_Year</f>
        <v>-0</v>
      </c>
      <c r="CT55" s="47" t="n">
        <f aca="false">-(CT49+CT50)*In_Guarantee_Fee*CT$5/Days_In_Year</f>
        <v>-0</v>
      </c>
      <c r="CU55" s="47" t="n">
        <f aca="false">-(CU49+CU50)*In_Guarantee_Fee*CU$5/Days_In_Year</f>
        <v>-0</v>
      </c>
      <c r="CV55" s="47" t="n">
        <f aca="false">-(CV49+CV50)*In_Guarantee_Fee*CV$5/Days_In_Year</f>
        <v>-0</v>
      </c>
      <c r="CW55" s="47" t="n">
        <f aca="false">-(CW49+CW50)*In_Guarantee_Fee*CW$5/Days_In_Year</f>
        <v>-0</v>
      </c>
      <c r="CX55" s="47" t="n">
        <f aca="false">-(CX49+CX50)*In_Guarantee_Fee*CX$5/Days_In_Year</f>
        <v>-0</v>
      </c>
      <c r="CY55" s="47" t="n">
        <f aca="false">-(CY49+CY50)*In_Guarantee_Fee*CY$5/Days_In_Year</f>
        <v>-0</v>
      </c>
      <c r="CZ55" s="47" t="n">
        <f aca="false">-(CZ49+CZ50)*In_Guarantee_Fee*CZ$5/Days_In_Year</f>
        <v>-0</v>
      </c>
      <c r="DA55" s="47" t="n">
        <f aca="false">-(DA49+DA50)*In_Guarantee_Fee*DA$5/Days_In_Year</f>
        <v>-0</v>
      </c>
      <c r="DB55" s="47" t="n">
        <f aca="false">-(DB49+DB50)*In_Guarantee_Fee*DB$5/Days_In_Year</f>
        <v>-0</v>
      </c>
      <c r="DC55" s="47" t="n">
        <f aca="false">-(DC49+DC50)*In_Guarantee_Fee*DC$5/Days_In_Year</f>
        <v>-0</v>
      </c>
      <c r="DD55" s="47" t="n">
        <f aca="false">-(DD49+DD50)*In_Guarantee_Fee*DD$5/Days_In_Year</f>
        <v>-0</v>
      </c>
      <c r="DE55" s="47" t="n">
        <f aca="false">-(DE49+DE50)*In_Guarantee_Fee*DE$5/Days_In_Year</f>
        <v>-0</v>
      </c>
      <c r="DF55" s="47" t="n">
        <f aca="false">-(DF49+DF50)*In_Guarantee_Fee*DF$5/Days_In_Year</f>
        <v>-0</v>
      </c>
      <c r="DG55" s="47" t="n">
        <f aca="false">-(DG49+DG50)*In_Guarantee_Fee*DG$5/Days_In_Year</f>
        <v>-0</v>
      </c>
      <c r="DH55" s="47" t="n">
        <f aca="false">-(DH49+DH50)*In_Guarantee_Fee*DH$5/Days_In_Year</f>
        <v>-0</v>
      </c>
      <c r="DI55" s="47" t="n">
        <f aca="false">-(DI49+DI50)*In_Guarantee_Fee*DI$5/Days_In_Year</f>
        <v>-0</v>
      </c>
      <c r="DJ55" s="47" t="n">
        <f aca="false">-(DJ49+DJ50)*In_Guarantee_Fee*DJ$5/Days_In_Year</f>
        <v>-0</v>
      </c>
      <c r="DK55" s="47" t="n">
        <f aca="false">-(DK49+DK50)*In_Guarantee_Fee*DK$5/Days_In_Year</f>
        <v>-0</v>
      </c>
      <c r="DL55" s="47" t="n">
        <f aca="false">-(DL49+DL50)*In_Guarantee_Fee*DL$5/Days_In_Year</f>
        <v>-0</v>
      </c>
      <c r="DM55" s="47" t="n">
        <f aca="false">-(DM49+DM50)*In_Guarantee_Fee*DM$5/Days_In_Year</f>
        <v>-0</v>
      </c>
      <c r="DN55" s="47" t="n">
        <f aca="false">-(DN49+DN50)*In_Guarantee_Fee*DN$5/Days_In_Year</f>
        <v>-0</v>
      </c>
      <c r="DO55" s="47" t="n">
        <f aca="false">-(DO49+DO50)*In_Guarantee_Fee*DO$5/Days_In_Year</f>
        <v>-0</v>
      </c>
      <c r="DP55" s="47" t="n">
        <f aca="false">-(DP49+DP50)*In_Guarantee_Fee*DP$5/Days_In_Year</f>
        <v>-0</v>
      </c>
      <c r="DQ55" s="47" t="n">
        <f aca="false">-(DQ49+DQ50)*In_Guarantee_Fee*DQ$5/Days_In_Year</f>
        <v>-0</v>
      </c>
      <c r="DR55" s="47" t="n">
        <f aca="false">-(DR49+DR50)*In_Guarantee_Fee*DR$5/Days_In_Year</f>
        <v>-0</v>
      </c>
      <c r="DS55" s="47" t="n">
        <f aca="false">-(DS49+DS50)*In_Guarantee_Fee*DS$5/Days_In_Year</f>
        <v>-0</v>
      </c>
      <c r="DT55" s="47" t="n">
        <f aca="false">-(DT49+DT50)*In_Guarantee_Fee*DT$5/Days_In_Year</f>
        <v>-0</v>
      </c>
      <c r="DU55" s="47" t="n">
        <f aca="false">-(DU49+DU50)*In_Guarantee_Fee*DU$5/Days_In_Year</f>
        <v>-0</v>
      </c>
      <c r="DV55" s="47" t="n">
        <f aca="false">-(DV49+DV50)*In_Guarantee_Fee*DV$5/Days_In_Year</f>
        <v>-0</v>
      </c>
      <c r="DW55" s="47" t="n">
        <f aca="false">-(DW49+DW50)*In_Guarantee_Fee*DW$5/Days_In_Year</f>
        <v>-0</v>
      </c>
      <c r="DX55" s="47" t="n">
        <f aca="false">-(DX49+DX50)*In_Guarantee_Fee*DX$5/Days_In_Year</f>
        <v>-0</v>
      </c>
      <c r="DY55" s="47" t="n">
        <f aca="false">-(DY49+DY50)*In_Guarantee_Fee*DY$5/Days_In_Year</f>
        <v>-0</v>
      </c>
      <c r="DZ55" s="47" t="n">
        <f aca="false">-(DZ49+DZ50)*In_Guarantee_Fee*DZ$5/Days_In_Year</f>
        <v>-0</v>
      </c>
      <c r="EA55" s="47" t="n">
        <f aca="false">-(EA49+EA50)*In_Guarantee_Fee*EA$5/Days_In_Year</f>
        <v>-0</v>
      </c>
      <c r="EB55" s="47" t="n">
        <f aca="false">-(EB49+EB50)*In_Guarantee_Fee*EB$5/Days_In_Year</f>
        <v>-0</v>
      </c>
      <c r="EC55" s="47" t="n">
        <f aca="false">-(EC49+EC50)*In_Guarantee_Fee*EC$5/Days_In_Year</f>
        <v>-0</v>
      </c>
      <c r="ED55" s="47" t="n">
        <f aca="false">-(ED49+ED50)*In_Guarantee_Fee*ED$5/Days_In_Year</f>
        <v>-0</v>
      </c>
      <c r="EE55" s="47" t="n">
        <f aca="false">-(EE49+EE50)*In_Guarantee_Fee*EE$5/Days_In_Year</f>
        <v>-0</v>
      </c>
      <c r="EF55" s="47" t="n">
        <f aca="false">-(EF49+EF50)*In_Guarantee_Fee*EF$5/Days_In_Year</f>
        <v>-0</v>
      </c>
      <c r="EG55" s="47" t="n">
        <f aca="false">-(EG49+EG50)*In_Guarantee_Fee*EG$5/Days_In_Year</f>
        <v>-0</v>
      </c>
      <c r="EH55" s="47" t="n">
        <f aca="false">-(EH49+EH50)*In_Guarantee_Fee*EH$5/Days_In_Year</f>
        <v>-0</v>
      </c>
      <c r="EI55" s="47" t="n">
        <f aca="false">-(EI49+EI50)*In_Guarantee_Fee*EI$5/Days_In_Year</f>
        <v>-0</v>
      </c>
      <c r="EJ55" s="47" t="n">
        <f aca="false">-(EJ49+EJ50)*In_Guarantee_Fee*EJ$5/Days_In_Year</f>
        <v>-0</v>
      </c>
      <c r="EK55" s="47" t="n">
        <f aca="false">-(EK49+EK50)*In_Guarantee_Fee*EK$5/Days_In_Year</f>
        <v>-0</v>
      </c>
      <c r="EL55" s="47" t="n">
        <f aca="false">-(EL49+EL50)*In_Guarantee_Fee*EL$5/Days_In_Year</f>
        <v>-0</v>
      </c>
      <c r="EM55" s="47" t="n">
        <f aca="false">-(EM49+EM50)*In_Guarantee_Fee*EM$5/Days_In_Year</f>
        <v>-0</v>
      </c>
      <c r="EN55" s="47" t="n">
        <f aca="false">-(EN49+EN50)*In_Guarantee_Fee*EN$5/Days_In_Year</f>
        <v>-0</v>
      </c>
      <c r="EO55" s="47" t="n">
        <f aca="false">-(EO49+EO50)*In_Guarantee_Fee*EO$5/Days_In_Year</f>
        <v>-0</v>
      </c>
    </row>
    <row r="56" customFormat="false" ht="15" hidden="false" customHeight="false" outlineLevel="0" collapsed="false">
      <c r="C56" s="0" t="s">
        <v>409</v>
      </c>
      <c r="D56" s="11" t="s">
        <v>33</v>
      </c>
      <c r="E56" s="47" t="n">
        <f aca="false">$E50*$E24*In_Bench_Wind/$E47</f>
        <v>1668.49315068493</v>
      </c>
      <c r="F56" s="47" t="n">
        <f aca="false">$E50-$E56</f>
        <v>547.945205479452</v>
      </c>
    </row>
    <row r="57" customFormat="false" ht="15" hidden="false" customHeight="false" outlineLevel="0" collapsed="false">
      <c r="C57" s="0" t="s">
        <v>410</v>
      </c>
      <c r="D57" s="11" t="s">
        <v>33</v>
      </c>
      <c r="E57" s="47" t="n">
        <f aca="false">($E28&gt;In_Tolerance_Cap)*$E28*$E56+($F28&gt;In_Tolerance_Cap)*$F28*$F56</f>
        <v>0</v>
      </c>
      <c r="F57" s="47" t="n">
        <f aca="false">($E28+$F28&gt;0)*$E50</f>
        <v>2216.43835616438</v>
      </c>
    </row>
    <row r="58" customFormat="false" ht="15" hidden="false" customHeight="false" outlineLevel="0" collapsed="false">
      <c r="C58" s="0" t="s">
        <v>411</v>
      </c>
      <c r="D58" s="11" t="s">
        <v>33</v>
      </c>
      <c r="E58" s="45" t="n">
        <f aca="false">EDATE(In_COD,In_Sanction_Lag)</f>
        <v>47937</v>
      </c>
      <c r="I58" s="47" t="n">
        <f aca="false">SUM(J58:EO58)</f>
        <v>0</v>
      </c>
      <c r="J58" s="47" t="n">
        <f aca="false">-CHOOSE(In_Sanction_Regime,$E57,$F57)*N(AND(J$3&lt;=$E58,J$4&gt;=$E58))</f>
        <v>-0</v>
      </c>
      <c r="K58" s="47" t="n">
        <f aca="false">-CHOOSE(In_Sanction_Regime,$E57,$F57)*N(AND(K$3&lt;=$E58,K$4&gt;=$E58))</f>
        <v>-0</v>
      </c>
      <c r="L58" s="47" t="n">
        <f aca="false">-CHOOSE(In_Sanction_Regime,$E57,$F57)*N(AND(L$3&lt;=$E58,L$4&gt;=$E58))</f>
        <v>-0</v>
      </c>
      <c r="M58" s="47" t="n">
        <f aca="false">-CHOOSE(In_Sanction_Regime,$E57,$F57)*N(AND(M$3&lt;=$E58,M$4&gt;=$E58))</f>
        <v>-0</v>
      </c>
      <c r="N58" s="47" t="n">
        <f aca="false">-CHOOSE(In_Sanction_Regime,$E57,$F57)*N(AND(N$3&lt;=$E58,N$4&gt;=$E58))</f>
        <v>-0</v>
      </c>
      <c r="O58" s="47" t="n">
        <f aca="false">-CHOOSE(In_Sanction_Regime,$E57,$F57)*N(AND(O$3&lt;=$E58,O$4&gt;=$E58))</f>
        <v>-0</v>
      </c>
      <c r="P58" s="47" t="n">
        <f aca="false">-CHOOSE(In_Sanction_Regime,$E57,$F57)*N(AND(P$3&lt;=$E58,P$4&gt;=$E58))</f>
        <v>-0</v>
      </c>
      <c r="Q58" s="47" t="n">
        <f aca="false">-CHOOSE(In_Sanction_Regime,$E57,$F57)*N(AND(Q$3&lt;=$E58,Q$4&gt;=$E58))</f>
        <v>-0</v>
      </c>
      <c r="R58" s="47" t="n">
        <f aca="false">-CHOOSE(In_Sanction_Regime,$E57,$F57)*N(AND(R$3&lt;=$E58,R$4&gt;=$E58))</f>
        <v>-0</v>
      </c>
      <c r="S58" s="47" t="n">
        <f aca="false">-CHOOSE(In_Sanction_Regime,$E57,$F57)*N(AND(S$3&lt;=$E58,S$4&gt;=$E58))</f>
        <v>-0</v>
      </c>
      <c r="T58" s="47" t="n">
        <f aca="false">-CHOOSE(In_Sanction_Regime,$E57,$F57)*N(AND(T$3&lt;=$E58,T$4&gt;=$E58))</f>
        <v>-0</v>
      </c>
      <c r="U58" s="47" t="n">
        <f aca="false">-CHOOSE(In_Sanction_Regime,$E57,$F57)*N(AND(U$3&lt;=$E58,U$4&gt;=$E58))</f>
        <v>-0</v>
      </c>
      <c r="V58" s="47" t="n">
        <f aca="false">-CHOOSE(In_Sanction_Regime,$E57,$F57)*N(AND(V$3&lt;=$E58,V$4&gt;=$E58))</f>
        <v>-0</v>
      </c>
      <c r="W58" s="47" t="n">
        <f aca="false">-CHOOSE(In_Sanction_Regime,$E57,$F57)*N(AND(W$3&lt;=$E58,W$4&gt;=$E58))</f>
        <v>-0</v>
      </c>
      <c r="X58" s="47" t="n">
        <f aca="false">-CHOOSE(In_Sanction_Regime,$E57,$F57)*N(AND(X$3&lt;=$E58,X$4&gt;=$E58))</f>
        <v>-0</v>
      </c>
      <c r="Y58" s="47" t="n">
        <f aca="false">-CHOOSE(In_Sanction_Regime,$E57,$F57)*N(AND(Y$3&lt;=$E58,Y$4&gt;=$E58))</f>
        <v>-0</v>
      </c>
      <c r="Z58" s="47" t="n">
        <f aca="false">-CHOOSE(In_Sanction_Regime,$E57,$F57)*N(AND(Z$3&lt;=$E58,Z$4&gt;=$E58))</f>
        <v>-0</v>
      </c>
      <c r="AA58" s="47" t="n">
        <f aca="false">-CHOOSE(In_Sanction_Regime,$E57,$F57)*N(AND(AA$3&lt;=$E58,AA$4&gt;=$E58))</f>
        <v>-0</v>
      </c>
      <c r="AB58" s="47" t="n">
        <f aca="false">-CHOOSE(In_Sanction_Regime,$E57,$F57)*N(AND(AB$3&lt;=$E58,AB$4&gt;=$E58))</f>
        <v>-0</v>
      </c>
      <c r="AC58" s="47" t="n">
        <f aca="false">-CHOOSE(In_Sanction_Regime,$E57,$F57)*N(AND(AC$3&lt;=$E58,AC$4&gt;=$E58))</f>
        <v>-0</v>
      </c>
      <c r="AD58" s="47" t="n">
        <f aca="false">-CHOOSE(In_Sanction_Regime,$E57,$F57)*N(AND(AD$3&lt;=$E58,AD$4&gt;=$E58))</f>
        <v>-0</v>
      </c>
      <c r="AE58" s="47" t="n">
        <f aca="false">-CHOOSE(In_Sanction_Regime,$E57,$F57)*N(AND(AE$3&lt;=$E58,AE$4&gt;=$E58))</f>
        <v>-0</v>
      </c>
      <c r="AF58" s="47" t="n">
        <f aca="false">-CHOOSE(In_Sanction_Regime,$E57,$F57)*N(AND(AF$3&lt;=$E58,AF$4&gt;=$E58))</f>
        <v>-0</v>
      </c>
      <c r="AG58" s="47" t="n">
        <f aca="false">-CHOOSE(In_Sanction_Regime,$E57,$F57)*N(AND(AG$3&lt;=$E58,AG$4&gt;=$E58))</f>
        <v>-0</v>
      </c>
      <c r="AH58" s="47" t="n">
        <f aca="false">-CHOOSE(In_Sanction_Regime,$E57,$F57)*N(AND(AH$3&lt;=$E58,AH$4&gt;=$E58))</f>
        <v>-0</v>
      </c>
      <c r="AI58" s="47" t="n">
        <f aca="false">-CHOOSE(In_Sanction_Regime,$E57,$F57)*N(AND(AI$3&lt;=$E58,AI$4&gt;=$E58))</f>
        <v>-0</v>
      </c>
      <c r="AJ58" s="47" t="n">
        <f aca="false">-CHOOSE(In_Sanction_Regime,$E57,$F57)*N(AND(AJ$3&lt;=$E58,AJ$4&gt;=$E58))</f>
        <v>-0</v>
      </c>
      <c r="AK58" s="47" t="n">
        <f aca="false">-CHOOSE(In_Sanction_Regime,$E57,$F57)*N(AND(AK$3&lt;=$E58,AK$4&gt;=$E58))</f>
        <v>-0</v>
      </c>
      <c r="AL58" s="47" t="n">
        <f aca="false">-CHOOSE(In_Sanction_Regime,$E57,$F57)*N(AND(AL$3&lt;=$E58,AL$4&gt;=$E58))</f>
        <v>-0</v>
      </c>
      <c r="AM58" s="47" t="n">
        <f aca="false">-CHOOSE(In_Sanction_Regime,$E57,$F57)*N(AND(AM$3&lt;=$E58,AM$4&gt;=$E58))</f>
        <v>-0</v>
      </c>
      <c r="AN58" s="47" t="n">
        <f aca="false">-CHOOSE(In_Sanction_Regime,$E57,$F57)*N(AND(AN$3&lt;=$E58,AN$4&gt;=$E58))</f>
        <v>-0</v>
      </c>
      <c r="AO58" s="47" t="n">
        <f aca="false">-CHOOSE(In_Sanction_Regime,$E57,$F57)*N(AND(AO$3&lt;=$E58,AO$4&gt;=$E58))</f>
        <v>-0</v>
      </c>
      <c r="AP58" s="47" t="n">
        <f aca="false">-CHOOSE(In_Sanction_Regime,$E57,$F57)*N(AND(AP$3&lt;=$E58,AP$4&gt;=$E58))</f>
        <v>-0</v>
      </c>
      <c r="AQ58" s="47" t="n">
        <f aca="false">-CHOOSE(In_Sanction_Regime,$E57,$F57)*N(AND(AQ$3&lt;=$E58,AQ$4&gt;=$E58))</f>
        <v>-0</v>
      </c>
      <c r="AR58" s="47" t="n">
        <f aca="false">-CHOOSE(In_Sanction_Regime,$E57,$F57)*N(AND(AR$3&lt;=$E58,AR$4&gt;=$E58))</f>
        <v>-0</v>
      </c>
      <c r="AS58" s="47" t="n">
        <f aca="false">-CHOOSE(In_Sanction_Regime,$E57,$F57)*N(AND(AS$3&lt;=$E58,AS$4&gt;=$E58))</f>
        <v>-0</v>
      </c>
      <c r="AT58" s="47" t="n">
        <f aca="false">-CHOOSE(In_Sanction_Regime,$E57,$F57)*N(AND(AT$3&lt;=$E58,AT$4&gt;=$E58))</f>
        <v>-0</v>
      </c>
      <c r="AU58" s="47" t="n">
        <f aca="false">-CHOOSE(In_Sanction_Regime,$E57,$F57)*N(AND(AU$3&lt;=$E58,AU$4&gt;=$E58))</f>
        <v>-0</v>
      </c>
      <c r="AV58" s="47" t="n">
        <f aca="false">-CHOOSE(In_Sanction_Regime,$E57,$F57)*N(AND(AV$3&lt;=$E58,AV$4&gt;=$E58))</f>
        <v>-0</v>
      </c>
      <c r="AW58" s="47" t="n">
        <f aca="false">-CHOOSE(In_Sanction_Regime,$E57,$F57)*N(AND(AW$3&lt;=$E58,AW$4&gt;=$E58))</f>
        <v>-0</v>
      </c>
      <c r="AX58" s="47" t="n">
        <f aca="false">-CHOOSE(In_Sanction_Regime,$E57,$F57)*N(AND(AX$3&lt;=$E58,AX$4&gt;=$E58))</f>
        <v>-0</v>
      </c>
      <c r="AY58" s="47" t="n">
        <f aca="false">-CHOOSE(In_Sanction_Regime,$E57,$F57)*N(AND(AY$3&lt;=$E58,AY$4&gt;=$E58))</f>
        <v>-0</v>
      </c>
      <c r="AZ58" s="47" t="n">
        <f aca="false">-CHOOSE(In_Sanction_Regime,$E57,$F57)*N(AND(AZ$3&lt;=$E58,AZ$4&gt;=$E58))</f>
        <v>-0</v>
      </c>
      <c r="BA58" s="47" t="n">
        <f aca="false">-CHOOSE(In_Sanction_Regime,$E57,$F57)*N(AND(BA$3&lt;=$E58,BA$4&gt;=$E58))</f>
        <v>-0</v>
      </c>
      <c r="BB58" s="47" t="n">
        <f aca="false">-CHOOSE(In_Sanction_Regime,$E57,$F57)*N(AND(BB$3&lt;=$E58,BB$4&gt;=$E58))</f>
        <v>-0</v>
      </c>
      <c r="BC58" s="47" t="n">
        <f aca="false">-CHOOSE(In_Sanction_Regime,$E57,$F57)*N(AND(BC$3&lt;=$E58,BC$4&gt;=$E58))</f>
        <v>-0</v>
      </c>
      <c r="BD58" s="47" t="n">
        <f aca="false">-CHOOSE(In_Sanction_Regime,$E57,$F57)*N(AND(BD$3&lt;=$E58,BD$4&gt;=$E58))</f>
        <v>-0</v>
      </c>
      <c r="BE58" s="47" t="n">
        <f aca="false">-CHOOSE(In_Sanction_Regime,$E57,$F57)*N(AND(BE$3&lt;=$E58,BE$4&gt;=$E58))</f>
        <v>-0</v>
      </c>
      <c r="BF58" s="47" t="n">
        <f aca="false">-CHOOSE(In_Sanction_Regime,$E57,$F57)*N(AND(BF$3&lt;=$E58,BF$4&gt;=$E58))</f>
        <v>-0</v>
      </c>
      <c r="BG58" s="47" t="n">
        <f aca="false">-CHOOSE(In_Sanction_Regime,$E57,$F57)*N(AND(BG$3&lt;=$E58,BG$4&gt;=$E58))</f>
        <v>-0</v>
      </c>
      <c r="BH58" s="47" t="n">
        <f aca="false">-CHOOSE(In_Sanction_Regime,$E57,$F57)*N(AND(BH$3&lt;=$E58,BH$4&gt;=$E58))</f>
        <v>-0</v>
      </c>
      <c r="BI58" s="47" t="n">
        <f aca="false">-CHOOSE(In_Sanction_Regime,$E57,$F57)*N(AND(BI$3&lt;=$E58,BI$4&gt;=$E58))</f>
        <v>-0</v>
      </c>
      <c r="BJ58" s="47" t="n">
        <f aca="false">-CHOOSE(In_Sanction_Regime,$E57,$F57)*N(AND(BJ$3&lt;=$E58,BJ$4&gt;=$E58))</f>
        <v>-0</v>
      </c>
      <c r="BK58" s="47" t="n">
        <f aca="false">-CHOOSE(In_Sanction_Regime,$E57,$F57)*N(AND(BK$3&lt;=$E58,BK$4&gt;=$E58))</f>
        <v>-0</v>
      </c>
      <c r="BL58" s="47" t="n">
        <f aca="false">-CHOOSE(In_Sanction_Regime,$E57,$F57)*N(AND(BL$3&lt;=$E58,BL$4&gt;=$E58))</f>
        <v>-0</v>
      </c>
      <c r="BM58" s="47" t="n">
        <f aca="false">-CHOOSE(In_Sanction_Regime,$E57,$F57)*N(AND(BM$3&lt;=$E58,BM$4&gt;=$E58))</f>
        <v>-0</v>
      </c>
      <c r="BN58" s="47" t="n">
        <f aca="false">-CHOOSE(In_Sanction_Regime,$E57,$F57)*N(AND(BN$3&lt;=$E58,BN$4&gt;=$E58))</f>
        <v>-0</v>
      </c>
      <c r="BO58" s="47" t="n">
        <f aca="false">-CHOOSE(In_Sanction_Regime,$E57,$F57)*N(AND(BO$3&lt;=$E58,BO$4&gt;=$E58))</f>
        <v>-0</v>
      </c>
      <c r="BP58" s="47" t="n">
        <f aca="false">-CHOOSE(In_Sanction_Regime,$E57,$F57)*N(AND(BP$3&lt;=$E58,BP$4&gt;=$E58))</f>
        <v>-0</v>
      </c>
      <c r="BQ58" s="47" t="n">
        <f aca="false">-CHOOSE(In_Sanction_Regime,$E57,$F57)*N(AND(BQ$3&lt;=$E58,BQ$4&gt;=$E58))</f>
        <v>-0</v>
      </c>
      <c r="BR58" s="47" t="n">
        <f aca="false">-CHOOSE(In_Sanction_Regime,$E57,$F57)*N(AND(BR$3&lt;=$E58,BR$4&gt;=$E58))</f>
        <v>-0</v>
      </c>
      <c r="BS58" s="47" t="n">
        <f aca="false">-CHOOSE(In_Sanction_Regime,$E57,$F57)*N(AND(BS$3&lt;=$E58,BS$4&gt;=$E58))</f>
        <v>-0</v>
      </c>
      <c r="BT58" s="47" t="n">
        <f aca="false">-CHOOSE(In_Sanction_Regime,$E57,$F57)*N(AND(BT$3&lt;=$E58,BT$4&gt;=$E58))</f>
        <v>-0</v>
      </c>
      <c r="BU58" s="47" t="n">
        <f aca="false">-CHOOSE(In_Sanction_Regime,$E57,$F57)*N(AND(BU$3&lt;=$E58,BU$4&gt;=$E58))</f>
        <v>-0</v>
      </c>
      <c r="BV58" s="47" t="n">
        <f aca="false">-CHOOSE(In_Sanction_Regime,$E57,$F57)*N(AND(BV$3&lt;=$E58,BV$4&gt;=$E58))</f>
        <v>-0</v>
      </c>
      <c r="BW58" s="47" t="n">
        <f aca="false">-CHOOSE(In_Sanction_Regime,$E57,$F57)*N(AND(BW$3&lt;=$E58,BW$4&gt;=$E58))</f>
        <v>-0</v>
      </c>
      <c r="BX58" s="47" t="n">
        <f aca="false">-CHOOSE(In_Sanction_Regime,$E57,$F57)*N(AND(BX$3&lt;=$E58,BX$4&gt;=$E58))</f>
        <v>-0</v>
      </c>
      <c r="BY58" s="47" t="n">
        <f aca="false">-CHOOSE(In_Sanction_Regime,$E57,$F57)*N(AND(BY$3&lt;=$E58,BY$4&gt;=$E58))</f>
        <v>-0</v>
      </c>
      <c r="BZ58" s="47" t="n">
        <f aca="false">-CHOOSE(In_Sanction_Regime,$E57,$F57)*N(AND(BZ$3&lt;=$E58,BZ$4&gt;=$E58))</f>
        <v>-0</v>
      </c>
      <c r="CA58" s="47" t="n">
        <f aca="false">-CHOOSE(In_Sanction_Regime,$E57,$F57)*N(AND(CA$3&lt;=$E58,CA$4&gt;=$E58))</f>
        <v>-0</v>
      </c>
      <c r="CB58" s="47" t="n">
        <f aca="false">-CHOOSE(In_Sanction_Regime,$E57,$F57)*N(AND(CB$3&lt;=$E58,CB$4&gt;=$E58))</f>
        <v>-0</v>
      </c>
      <c r="CC58" s="47" t="n">
        <f aca="false">-CHOOSE(In_Sanction_Regime,$E57,$F57)*N(AND(CC$3&lt;=$E58,CC$4&gt;=$E58))</f>
        <v>-0</v>
      </c>
      <c r="CD58" s="47" t="n">
        <f aca="false">-CHOOSE(In_Sanction_Regime,$E57,$F57)*N(AND(CD$3&lt;=$E58,CD$4&gt;=$E58))</f>
        <v>-0</v>
      </c>
      <c r="CE58" s="47" t="n">
        <f aca="false">-CHOOSE(In_Sanction_Regime,$E57,$F57)*N(AND(CE$3&lt;=$E58,CE$4&gt;=$E58))</f>
        <v>-0</v>
      </c>
      <c r="CF58" s="47" t="n">
        <f aca="false">-CHOOSE(In_Sanction_Regime,$E57,$F57)*N(AND(CF$3&lt;=$E58,CF$4&gt;=$E58))</f>
        <v>-0</v>
      </c>
      <c r="CG58" s="47" t="n">
        <f aca="false">-CHOOSE(In_Sanction_Regime,$E57,$F57)*N(AND(CG$3&lt;=$E58,CG$4&gt;=$E58))</f>
        <v>-0</v>
      </c>
      <c r="CH58" s="47" t="n">
        <f aca="false">-CHOOSE(In_Sanction_Regime,$E57,$F57)*N(AND(CH$3&lt;=$E58,CH$4&gt;=$E58))</f>
        <v>-0</v>
      </c>
      <c r="CI58" s="47" t="n">
        <f aca="false">-CHOOSE(In_Sanction_Regime,$E57,$F57)*N(AND(CI$3&lt;=$E58,CI$4&gt;=$E58))</f>
        <v>-0</v>
      </c>
      <c r="CJ58" s="47" t="n">
        <f aca="false">-CHOOSE(In_Sanction_Regime,$E57,$F57)*N(AND(CJ$3&lt;=$E58,CJ$4&gt;=$E58))</f>
        <v>-0</v>
      </c>
      <c r="CK58" s="47" t="n">
        <f aca="false">-CHOOSE(In_Sanction_Regime,$E57,$F57)*N(AND(CK$3&lt;=$E58,CK$4&gt;=$E58))</f>
        <v>-0</v>
      </c>
      <c r="CL58" s="47" t="n">
        <f aca="false">-CHOOSE(In_Sanction_Regime,$E57,$F57)*N(AND(CL$3&lt;=$E58,CL$4&gt;=$E58))</f>
        <v>-0</v>
      </c>
      <c r="CM58" s="47" t="n">
        <f aca="false">-CHOOSE(In_Sanction_Regime,$E57,$F57)*N(AND(CM$3&lt;=$E58,CM$4&gt;=$E58))</f>
        <v>-0</v>
      </c>
      <c r="CN58" s="47" t="n">
        <f aca="false">-CHOOSE(In_Sanction_Regime,$E57,$F57)*N(AND(CN$3&lt;=$E58,CN$4&gt;=$E58))</f>
        <v>-0</v>
      </c>
      <c r="CO58" s="47" t="n">
        <f aca="false">-CHOOSE(In_Sanction_Regime,$E57,$F57)*N(AND(CO$3&lt;=$E58,CO$4&gt;=$E58))</f>
        <v>-0</v>
      </c>
      <c r="CP58" s="47" t="n">
        <f aca="false">-CHOOSE(In_Sanction_Regime,$E57,$F57)*N(AND(CP$3&lt;=$E58,CP$4&gt;=$E58))</f>
        <v>-0</v>
      </c>
      <c r="CQ58" s="47" t="n">
        <f aca="false">-CHOOSE(In_Sanction_Regime,$E57,$F57)*N(AND(CQ$3&lt;=$E58,CQ$4&gt;=$E58))</f>
        <v>-0</v>
      </c>
      <c r="CR58" s="47" t="n">
        <f aca="false">-CHOOSE(In_Sanction_Regime,$E57,$F57)*N(AND(CR$3&lt;=$E58,CR$4&gt;=$E58))</f>
        <v>-0</v>
      </c>
      <c r="CS58" s="47" t="n">
        <f aca="false">-CHOOSE(In_Sanction_Regime,$E57,$F57)*N(AND(CS$3&lt;=$E58,CS$4&gt;=$E58))</f>
        <v>-0</v>
      </c>
      <c r="CT58" s="47" t="n">
        <f aca="false">-CHOOSE(In_Sanction_Regime,$E57,$F57)*N(AND(CT$3&lt;=$E58,CT$4&gt;=$E58))</f>
        <v>-0</v>
      </c>
      <c r="CU58" s="47" t="n">
        <f aca="false">-CHOOSE(In_Sanction_Regime,$E57,$F57)*N(AND(CU$3&lt;=$E58,CU$4&gt;=$E58))</f>
        <v>-0</v>
      </c>
      <c r="CV58" s="47" t="n">
        <f aca="false">-CHOOSE(In_Sanction_Regime,$E57,$F57)*N(AND(CV$3&lt;=$E58,CV$4&gt;=$E58))</f>
        <v>-0</v>
      </c>
      <c r="CW58" s="47" t="n">
        <f aca="false">-CHOOSE(In_Sanction_Regime,$E57,$F57)*N(AND(CW$3&lt;=$E58,CW$4&gt;=$E58))</f>
        <v>-0</v>
      </c>
      <c r="CX58" s="47" t="n">
        <f aca="false">-CHOOSE(In_Sanction_Regime,$E57,$F57)*N(AND(CX$3&lt;=$E58,CX$4&gt;=$E58))</f>
        <v>-0</v>
      </c>
      <c r="CY58" s="47" t="n">
        <f aca="false">-CHOOSE(In_Sanction_Regime,$E57,$F57)*N(AND(CY$3&lt;=$E58,CY$4&gt;=$E58))</f>
        <v>-0</v>
      </c>
      <c r="CZ58" s="47" t="n">
        <f aca="false">-CHOOSE(In_Sanction_Regime,$E57,$F57)*N(AND(CZ$3&lt;=$E58,CZ$4&gt;=$E58))</f>
        <v>-0</v>
      </c>
      <c r="DA58" s="47" t="n">
        <f aca="false">-CHOOSE(In_Sanction_Regime,$E57,$F57)*N(AND(DA$3&lt;=$E58,DA$4&gt;=$E58))</f>
        <v>-0</v>
      </c>
      <c r="DB58" s="47" t="n">
        <f aca="false">-CHOOSE(In_Sanction_Regime,$E57,$F57)*N(AND(DB$3&lt;=$E58,DB$4&gt;=$E58))</f>
        <v>-0</v>
      </c>
      <c r="DC58" s="47" t="n">
        <f aca="false">-CHOOSE(In_Sanction_Regime,$E57,$F57)*N(AND(DC$3&lt;=$E58,DC$4&gt;=$E58))</f>
        <v>-0</v>
      </c>
      <c r="DD58" s="47" t="n">
        <f aca="false">-CHOOSE(In_Sanction_Regime,$E57,$F57)*N(AND(DD$3&lt;=$E58,DD$4&gt;=$E58))</f>
        <v>-0</v>
      </c>
      <c r="DE58" s="47" t="n">
        <f aca="false">-CHOOSE(In_Sanction_Regime,$E57,$F57)*N(AND(DE$3&lt;=$E58,DE$4&gt;=$E58))</f>
        <v>-0</v>
      </c>
      <c r="DF58" s="47" t="n">
        <f aca="false">-CHOOSE(In_Sanction_Regime,$E57,$F57)*N(AND(DF$3&lt;=$E58,DF$4&gt;=$E58))</f>
        <v>-0</v>
      </c>
      <c r="DG58" s="47" t="n">
        <f aca="false">-CHOOSE(In_Sanction_Regime,$E57,$F57)*N(AND(DG$3&lt;=$E58,DG$4&gt;=$E58))</f>
        <v>-0</v>
      </c>
      <c r="DH58" s="47" t="n">
        <f aca="false">-CHOOSE(In_Sanction_Regime,$E57,$F57)*N(AND(DH$3&lt;=$E58,DH$4&gt;=$E58))</f>
        <v>-0</v>
      </c>
      <c r="DI58" s="47" t="n">
        <f aca="false">-CHOOSE(In_Sanction_Regime,$E57,$F57)*N(AND(DI$3&lt;=$E58,DI$4&gt;=$E58))</f>
        <v>-0</v>
      </c>
      <c r="DJ58" s="47" t="n">
        <f aca="false">-CHOOSE(In_Sanction_Regime,$E57,$F57)*N(AND(DJ$3&lt;=$E58,DJ$4&gt;=$E58))</f>
        <v>-0</v>
      </c>
      <c r="DK58" s="47" t="n">
        <f aca="false">-CHOOSE(In_Sanction_Regime,$E57,$F57)*N(AND(DK$3&lt;=$E58,DK$4&gt;=$E58))</f>
        <v>-0</v>
      </c>
      <c r="DL58" s="47" t="n">
        <f aca="false">-CHOOSE(In_Sanction_Regime,$E57,$F57)*N(AND(DL$3&lt;=$E58,DL$4&gt;=$E58))</f>
        <v>-0</v>
      </c>
      <c r="DM58" s="47" t="n">
        <f aca="false">-CHOOSE(In_Sanction_Regime,$E57,$F57)*N(AND(DM$3&lt;=$E58,DM$4&gt;=$E58))</f>
        <v>-0</v>
      </c>
      <c r="DN58" s="47" t="n">
        <f aca="false">-CHOOSE(In_Sanction_Regime,$E57,$F57)*N(AND(DN$3&lt;=$E58,DN$4&gt;=$E58))</f>
        <v>-0</v>
      </c>
      <c r="DO58" s="47" t="n">
        <f aca="false">-CHOOSE(In_Sanction_Regime,$E57,$F57)*N(AND(DO$3&lt;=$E58,DO$4&gt;=$E58))</f>
        <v>-0</v>
      </c>
      <c r="DP58" s="47" t="n">
        <f aca="false">-CHOOSE(In_Sanction_Regime,$E57,$F57)*N(AND(DP$3&lt;=$E58,DP$4&gt;=$E58))</f>
        <v>-0</v>
      </c>
      <c r="DQ58" s="47" t="n">
        <f aca="false">-CHOOSE(In_Sanction_Regime,$E57,$F57)*N(AND(DQ$3&lt;=$E58,DQ$4&gt;=$E58))</f>
        <v>-0</v>
      </c>
      <c r="DR58" s="47" t="n">
        <f aca="false">-CHOOSE(In_Sanction_Regime,$E57,$F57)*N(AND(DR$3&lt;=$E58,DR$4&gt;=$E58))</f>
        <v>-0</v>
      </c>
      <c r="DS58" s="47" t="n">
        <f aca="false">-CHOOSE(In_Sanction_Regime,$E57,$F57)*N(AND(DS$3&lt;=$E58,DS$4&gt;=$E58))</f>
        <v>-0</v>
      </c>
      <c r="DT58" s="47" t="n">
        <f aca="false">-CHOOSE(In_Sanction_Regime,$E57,$F57)*N(AND(DT$3&lt;=$E58,DT$4&gt;=$E58))</f>
        <v>-0</v>
      </c>
      <c r="DU58" s="47" t="n">
        <f aca="false">-CHOOSE(In_Sanction_Regime,$E57,$F57)*N(AND(DU$3&lt;=$E58,DU$4&gt;=$E58))</f>
        <v>-0</v>
      </c>
      <c r="DV58" s="47" t="n">
        <f aca="false">-CHOOSE(In_Sanction_Regime,$E57,$F57)*N(AND(DV$3&lt;=$E58,DV$4&gt;=$E58))</f>
        <v>-0</v>
      </c>
      <c r="DW58" s="47" t="n">
        <f aca="false">-CHOOSE(In_Sanction_Regime,$E57,$F57)*N(AND(DW$3&lt;=$E58,DW$4&gt;=$E58))</f>
        <v>-0</v>
      </c>
      <c r="DX58" s="47" t="n">
        <f aca="false">-CHOOSE(In_Sanction_Regime,$E57,$F57)*N(AND(DX$3&lt;=$E58,DX$4&gt;=$E58))</f>
        <v>-0</v>
      </c>
      <c r="DY58" s="47" t="n">
        <f aca="false">-CHOOSE(In_Sanction_Regime,$E57,$F57)*N(AND(DY$3&lt;=$E58,DY$4&gt;=$E58))</f>
        <v>-0</v>
      </c>
      <c r="DZ58" s="47" t="n">
        <f aca="false">-CHOOSE(In_Sanction_Regime,$E57,$F57)*N(AND(DZ$3&lt;=$E58,DZ$4&gt;=$E58))</f>
        <v>-0</v>
      </c>
      <c r="EA58" s="47" t="n">
        <f aca="false">-CHOOSE(In_Sanction_Regime,$E57,$F57)*N(AND(EA$3&lt;=$E58,EA$4&gt;=$E58))</f>
        <v>-0</v>
      </c>
      <c r="EB58" s="47" t="n">
        <f aca="false">-CHOOSE(In_Sanction_Regime,$E57,$F57)*N(AND(EB$3&lt;=$E58,EB$4&gt;=$E58))</f>
        <v>-0</v>
      </c>
      <c r="EC58" s="47" t="n">
        <f aca="false">-CHOOSE(In_Sanction_Regime,$E57,$F57)*N(AND(EC$3&lt;=$E58,EC$4&gt;=$E58))</f>
        <v>-0</v>
      </c>
      <c r="ED58" s="47" t="n">
        <f aca="false">-CHOOSE(In_Sanction_Regime,$E57,$F57)*N(AND(ED$3&lt;=$E58,ED$4&gt;=$E58))</f>
        <v>-0</v>
      </c>
      <c r="EE58" s="47" t="n">
        <f aca="false">-CHOOSE(In_Sanction_Regime,$E57,$F57)*N(AND(EE$3&lt;=$E58,EE$4&gt;=$E58))</f>
        <v>-0</v>
      </c>
      <c r="EF58" s="47" t="n">
        <f aca="false">-CHOOSE(In_Sanction_Regime,$E57,$F57)*N(AND(EF$3&lt;=$E58,EF$4&gt;=$E58))</f>
        <v>-0</v>
      </c>
      <c r="EG58" s="47" t="n">
        <f aca="false">-CHOOSE(In_Sanction_Regime,$E57,$F57)*N(AND(EG$3&lt;=$E58,EG$4&gt;=$E58))</f>
        <v>-0</v>
      </c>
      <c r="EH58" s="47" t="n">
        <f aca="false">-CHOOSE(In_Sanction_Regime,$E57,$F57)*N(AND(EH$3&lt;=$E58,EH$4&gt;=$E58))</f>
        <v>-0</v>
      </c>
      <c r="EI58" s="47" t="n">
        <f aca="false">-CHOOSE(In_Sanction_Regime,$E57,$F57)*N(AND(EI$3&lt;=$E58,EI$4&gt;=$E58))</f>
        <v>-0</v>
      </c>
      <c r="EJ58" s="47" t="n">
        <f aca="false">-CHOOSE(In_Sanction_Regime,$E57,$F57)*N(AND(EJ$3&lt;=$E58,EJ$4&gt;=$E58))</f>
        <v>-0</v>
      </c>
      <c r="EK58" s="47" t="n">
        <f aca="false">-CHOOSE(In_Sanction_Regime,$E57,$F57)*N(AND(EK$3&lt;=$E58,EK$4&gt;=$E58))</f>
        <v>-0</v>
      </c>
      <c r="EL58" s="47" t="n">
        <f aca="false">-CHOOSE(In_Sanction_Regime,$E57,$F57)*N(AND(EL$3&lt;=$E58,EL$4&gt;=$E58))</f>
        <v>-0</v>
      </c>
      <c r="EM58" s="47" t="n">
        <f aca="false">-CHOOSE(In_Sanction_Regime,$E57,$F57)*N(AND(EM$3&lt;=$E58,EM$4&gt;=$E58))</f>
        <v>-0</v>
      </c>
      <c r="EN58" s="47" t="n">
        <f aca="false">-CHOOSE(In_Sanction_Regime,$E57,$F57)*N(AND(EN$3&lt;=$E58,EN$4&gt;=$E58))</f>
        <v>-0</v>
      </c>
      <c r="EO58" s="47" t="n">
        <f aca="false">-CHOOSE(In_Sanction_Regime,$E57,$F57)*N(AND(EO$3&lt;=$E58,EO$4&gt;=$E58))</f>
        <v>-0</v>
      </c>
    </row>
    <row r="59" customFormat="false" ht="15" hidden="false" customHeight="false" outlineLevel="0" collapsed="false">
      <c r="C59" s="25" t="s">
        <v>412</v>
      </c>
      <c r="D59" s="11" t="s">
        <v>33</v>
      </c>
      <c r="I59" s="56" t="n">
        <f aca="false">SUM(J59:EO59)</f>
        <v>-6597.56948020267</v>
      </c>
      <c r="J59" s="56" t="n">
        <f aca="false">J44+J45+J46+J48+J51+J55</f>
        <v>-4662.80993807469</v>
      </c>
      <c r="K59" s="56" t="n">
        <f aca="false">K44+K45+K46+K48+K51+K55</f>
        <v>-706.535577057768</v>
      </c>
      <c r="L59" s="56" t="n">
        <f aca="false">L44+L45+L46+L48+L51+L55</f>
        <v>-104.360496659404</v>
      </c>
      <c r="M59" s="56" t="n">
        <f aca="false">M44+M45+M46+M48+M51+M55</f>
        <v>-105.507315304013</v>
      </c>
      <c r="N59" s="56" t="n">
        <f aca="false">N44+N45+N46+N48+N51+N55</f>
        <v>-105.507315304013</v>
      </c>
      <c r="O59" s="56" t="n">
        <f aca="false">O44+O45+O46+O48+O51+O55</f>
        <v>-104.360496659404</v>
      </c>
      <c r="P59" s="56" t="n">
        <f aca="false">P44+P45+P46+P48+P51+P55</f>
        <v>-104.360496659404</v>
      </c>
      <c r="Q59" s="56" t="n">
        <f aca="false">Q44+Q45+Q46+Q48+Q51+Q55</f>
        <v>-105.507315304013</v>
      </c>
      <c r="R59" s="56" t="n">
        <f aca="false">R44+R45+R46+R48+R51+R55</f>
        <v>-33.5198348658285</v>
      </c>
      <c r="S59" s="56" t="n">
        <f aca="false">S44+S45+S46+S48+S51+S55</f>
        <v>-32.7911428035279</v>
      </c>
      <c r="T59" s="56" t="n">
        <f aca="false">T44+T45+T46+T48+T51+T55</f>
        <v>-33.1554888346782</v>
      </c>
      <c r="U59" s="56" t="n">
        <f aca="false">U44+U45+U46+U48+U51+U55</f>
        <v>-33.5198348658285</v>
      </c>
      <c r="V59" s="56" t="n">
        <f aca="false">V44+V45+V46+V48+V51+V55</f>
        <v>-33.5198348658285</v>
      </c>
      <c r="W59" s="56" t="n">
        <f aca="false">W44+W45+W46+W48+W51+W55</f>
        <v>-32.7911428035279</v>
      </c>
      <c r="X59" s="56" t="n">
        <f aca="false">X44+X45+X46+X48+X51+X55</f>
        <v>-33.1554888346782</v>
      </c>
      <c r="Y59" s="56" t="n">
        <f aca="false">Y44+Y45+Y46+Y48+Y51+Y55</f>
        <v>-33.5198348658285</v>
      </c>
      <c r="Z59" s="56" t="n">
        <f aca="false">Z44+Z45+Z46+Z48+Z51+Z55</f>
        <v>-33.5198348658285</v>
      </c>
      <c r="AA59" s="56" t="n">
        <f aca="false">AA44+AA45+AA46+AA48+AA51+AA55</f>
        <v>-32.7911428035279</v>
      </c>
      <c r="AB59" s="56" t="n">
        <f aca="false">AB44+AB45+AB46+AB48+AB51+AB55</f>
        <v>-33.1554888346782</v>
      </c>
      <c r="AC59" s="56" t="n">
        <f aca="false">AC44+AC45+AC46+AC48+AC51+AC55</f>
        <v>-33.5198348658285</v>
      </c>
      <c r="AD59" s="56" t="n">
        <f aca="false">AD44+AD45+AD46+AD48+AD51+AD55</f>
        <v>-33.5198348658285</v>
      </c>
      <c r="AE59" s="56" t="n">
        <f aca="false">AE44+AE45+AE46+AE48+AE51+AE55</f>
        <v>-33.1554888346782</v>
      </c>
      <c r="AF59" s="56" t="n">
        <f aca="false">AF44+AF45+AF46+AF48+AF51+AF55</f>
        <v>-33.1554888346782</v>
      </c>
      <c r="AG59" s="56" t="n">
        <f aca="false">AG44+AG45+AG46+AG48+AG51+AG55</f>
        <v>-33.5198348658285</v>
      </c>
      <c r="AH59" s="56" t="n">
        <f aca="false">AH44+AH45+AH46+AH48+AH51+AH55</f>
        <v>-33.5198348658285</v>
      </c>
      <c r="AI59" s="56" t="n">
        <f aca="false">AI44+AI45+AI46+AI48+AI51+AI55</f>
        <v>-32.7911428035279</v>
      </c>
      <c r="AJ59" s="56" t="n">
        <f aca="false">AJ44+AJ45+AJ46+AJ48+AJ51+AJ55</f>
        <v>-0</v>
      </c>
      <c r="AK59" s="56" t="n">
        <f aca="false">AK44+AK45+AK46+AK48+AK51+AK55</f>
        <v>-0</v>
      </c>
      <c r="AL59" s="56" t="n">
        <f aca="false">AL44+AL45+AL46+AL48+AL51+AL55</f>
        <v>-0</v>
      </c>
      <c r="AM59" s="56" t="n">
        <f aca="false">AM44+AM45+AM46+AM48+AM51+AM55</f>
        <v>-0</v>
      </c>
      <c r="AN59" s="56" t="n">
        <f aca="false">AN44+AN45+AN46+AN48+AN51+AN55</f>
        <v>-0</v>
      </c>
      <c r="AO59" s="56" t="n">
        <f aca="false">AO44+AO45+AO46+AO48+AO51+AO55</f>
        <v>-0</v>
      </c>
      <c r="AP59" s="56" t="n">
        <f aca="false">AP44+AP45+AP46+AP48+AP51+AP55</f>
        <v>-0</v>
      </c>
      <c r="AQ59" s="56" t="n">
        <f aca="false">AQ44+AQ45+AQ46+AQ48+AQ51+AQ55</f>
        <v>-0</v>
      </c>
      <c r="AR59" s="56" t="n">
        <f aca="false">AR44+AR45+AR46+AR48+AR51+AR55</f>
        <v>-0</v>
      </c>
      <c r="AS59" s="56" t="n">
        <f aca="false">AS44+AS45+AS46+AS48+AS51+AS55</f>
        <v>-0</v>
      </c>
      <c r="AT59" s="56" t="n">
        <f aca="false">AT44+AT45+AT46+AT48+AT51+AT55</f>
        <v>-0</v>
      </c>
      <c r="AU59" s="56" t="n">
        <f aca="false">AU44+AU45+AU46+AU48+AU51+AU55</f>
        <v>-0</v>
      </c>
      <c r="AV59" s="56" t="n">
        <f aca="false">AV44+AV45+AV46+AV48+AV51+AV55</f>
        <v>-0</v>
      </c>
      <c r="AW59" s="56" t="n">
        <f aca="false">AW44+AW45+AW46+AW48+AW51+AW55</f>
        <v>-0</v>
      </c>
      <c r="AX59" s="56" t="n">
        <f aca="false">AX44+AX45+AX46+AX48+AX51+AX55</f>
        <v>-0</v>
      </c>
      <c r="AY59" s="56" t="n">
        <f aca="false">AY44+AY45+AY46+AY48+AY51+AY55</f>
        <v>-0</v>
      </c>
      <c r="AZ59" s="56" t="n">
        <f aca="false">AZ44+AZ45+AZ46+AZ48+AZ51+AZ55</f>
        <v>-0</v>
      </c>
      <c r="BA59" s="56" t="n">
        <f aca="false">BA44+BA45+BA46+BA48+BA51+BA55</f>
        <v>-0</v>
      </c>
      <c r="BB59" s="56" t="n">
        <f aca="false">BB44+BB45+BB46+BB48+BB51+BB55</f>
        <v>-0</v>
      </c>
      <c r="BC59" s="56" t="n">
        <f aca="false">BC44+BC45+BC46+BC48+BC51+BC55</f>
        <v>-0</v>
      </c>
      <c r="BD59" s="56" t="n">
        <f aca="false">BD44+BD45+BD46+BD48+BD51+BD55</f>
        <v>-0</v>
      </c>
      <c r="BE59" s="56" t="n">
        <f aca="false">BE44+BE45+BE46+BE48+BE51+BE55</f>
        <v>-0</v>
      </c>
      <c r="BF59" s="56" t="n">
        <f aca="false">BF44+BF45+BF46+BF48+BF51+BF55</f>
        <v>-0</v>
      </c>
      <c r="BG59" s="56" t="n">
        <f aca="false">BG44+BG45+BG46+BG48+BG51+BG55</f>
        <v>-0</v>
      </c>
      <c r="BH59" s="56" t="n">
        <f aca="false">BH44+BH45+BH46+BH48+BH51+BH55</f>
        <v>-0</v>
      </c>
      <c r="BI59" s="56" t="n">
        <f aca="false">BI44+BI45+BI46+BI48+BI51+BI55</f>
        <v>-0</v>
      </c>
      <c r="BJ59" s="56" t="n">
        <f aca="false">BJ44+BJ45+BJ46+BJ48+BJ51+BJ55</f>
        <v>-0</v>
      </c>
      <c r="BK59" s="56" t="n">
        <f aca="false">BK44+BK45+BK46+BK48+BK51+BK55</f>
        <v>-0</v>
      </c>
      <c r="BL59" s="56" t="n">
        <f aca="false">BL44+BL45+BL46+BL48+BL51+BL55</f>
        <v>-0</v>
      </c>
      <c r="BM59" s="56" t="n">
        <f aca="false">BM44+BM45+BM46+BM48+BM51+BM55</f>
        <v>-0</v>
      </c>
      <c r="BN59" s="56" t="n">
        <f aca="false">BN44+BN45+BN46+BN48+BN51+BN55</f>
        <v>-0</v>
      </c>
      <c r="BO59" s="56" t="n">
        <f aca="false">BO44+BO45+BO46+BO48+BO51+BO55</f>
        <v>-0</v>
      </c>
      <c r="BP59" s="56" t="n">
        <f aca="false">BP44+BP45+BP46+BP48+BP51+BP55</f>
        <v>-0</v>
      </c>
      <c r="BQ59" s="56" t="n">
        <f aca="false">BQ44+BQ45+BQ46+BQ48+BQ51+BQ55</f>
        <v>-0</v>
      </c>
      <c r="BR59" s="56" t="n">
        <f aca="false">BR44+BR45+BR46+BR48+BR51+BR55</f>
        <v>-0</v>
      </c>
      <c r="BS59" s="56" t="n">
        <f aca="false">BS44+BS45+BS46+BS48+BS51+BS55</f>
        <v>-0</v>
      </c>
      <c r="BT59" s="56" t="n">
        <f aca="false">BT44+BT45+BT46+BT48+BT51+BT55</f>
        <v>-0</v>
      </c>
      <c r="BU59" s="56" t="n">
        <f aca="false">BU44+BU45+BU46+BU48+BU51+BU55</f>
        <v>-0</v>
      </c>
      <c r="BV59" s="56" t="n">
        <f aca="false">BV44+BV45+BV46+BV48+BV51+BV55</f>
        <v>-0</v>
      </c>
      <c r="BW59" s="56" t="n">
        <f aca="false">BW44+BW45+BW46+BW48+BW51+BW55</f>
        <v>-0</v>
      </c>
      <c r="BX59" s="56" t="n">
        <f aca="false">BX44+BX45+BX46+BX48+BX51+BX55</f>
        <v>-0</v>
      </c>
      <c r="BY59" s="56" t="n">
        <f aca="false">BY44+BY45+BY46+BY48+BY51+BY55</f>
        <v>-0</v>
      </c>
      <c r="BZ59" s="56" t="n">
        <f aca="false">BZ44+BZ45+BZ46+BZ48+BZ51+BZ55</f>
        <v>-0</v>
      </c>
      <c r="CA59" s="56" t="n">
        <f aca="false">CA44+CA45+CA46+CA48+CA51+CA55</f>
        <v>-0</v>
      </c>
      <c r="CB59" s="56" t="n">
        <f aca="false">CB44+CB45+CB46+CB48+CB51+CB55</f>
        <v>-0</v>
      </c>
      <c r="CC59" s="56" t="n">
        <f aca="false">CC44+CC45+CC46+CC48+CC51+CC55</f>
        <v>-0</v>
      </c>
      <c r="CD59" s="56" t="n">
        <f aca="false">CD44+CD45+CD46+CD48+CD51+CD55</f>
        <v>-0</v>
      </c>
      <c r="CE59" s="56" t="n">
        <f aca="false">CE44+CE45+CE46+CE48+CE51+CE55</f>
        <v>-0</v>
      </c>
      <c r="CF59" s="56" t="n">
        <f aca="false">CF44+CF45+CF46+CF48+CF51+CF55</f>
        <v>-0</v>
      </c>
      <c r="CG59" s="56" t="n">
        <f aca="false">CG44+CG45+CG46+CG48+CG51+CG55</f>
        <v>-0</v>
      </c>
      <c r="CH59" s="56" t="n">
        <f aca="false">CH44+CH45+CH46+CH48+CH51+CH55</f>
        <v>-0</v>
      </c>
      <c r="CI59" s="56" t="n">
        <f aca="false">CI44+CI45+CI46+CI48+CI51+CI55</f>
        <v>-0</v>
      </c>
      <c r="CJ59" s="56" t="n">
        <f aca="false">CJ44+CJ45+CJ46+CJ48+CJ51+CJ55</f>
        <v>-0</v>
      </c>
      <c r="CK59" s="56" t="n">
        <f aca="false">CK44+CK45+CK46+CK48+CK51+CK55</f>
        <v>-0</v>
      </c>
      <c r="CL59" s="56" t="n">
        <f aca="false">CL44+CL45+CL46+CL48+CL51+CL55</f>
        <v>-0</v>
      </c>
      <c r="CM59" s="56" t="n">
        <f aca="false">CM44+CM45+CM46+CM48+CM51+CM55</f>
        <v>-0</v>
      </c>
      <c r="CN59" s="56" t="n">
        <f aca="false">CN44+CN45+CN46+CN48+CN51+CN55</f>
        <v>-0</v>
      </c>
      <c r="CO59" s="56" t="n">
        <f aca="false">CO44+CO45+CO46+CO48+CO51+CO55</f>
        <v>-0</v>
      </c>
      <c r="CP59" s="56" t="n">
        <f aca="false">CP44+CP45+CP46+CP48+CP51+CP55</f>
        <v>-0</v>
      </c>
      <c r="CQ59" s="56" t="n">
        <f aca="false">CQ44+CQ45+CQ46+CQ48+CQ51+CQ55</f>
        <v>-0</v>
      </c>
      <c r="CR59" s="56" t="n">
        <f aca="false">CR44+CR45+CR46+CR48+CR51+CR55</f>
        <v>-0</v>
      </c>
      <c r="CS59" s="56" t="n">
        <f aca="false">CS44+CS45+CS46+CS48+CS51+CS55</f>
        <v>-0</v>
      </c>
      <c r="CT59" s="56" t="n">
        <f aca="false">CT44+CT45+CT46+CT48+CT51+CT55</f>
        <v>-0</v>
      </c>
      <c r="CU59" s="56" t="n">
        <f aca="false">CU44+CU45+CU46+CU48+CU51+CU55</f>
        <v>-0</v>
      </c>
      <c r="CV59" s="56" t="n">
        <f aca="false">CV44+CV45+CV46+CV48+CV51+CV55</f>
        <v>-0</v>
      </c>
      <c r="CW59" s="56" t="n">
        <f aca="false">CW44+CW45+CW46+CW48+CW51+CW55</f>
        <v>-0</v>
      </c>
      <c r="CX59" s="56" t="n">
        <f aca="false">CX44+CX45+CX46+CX48+CX51+CX55</f>
        <v>-0</v>
      </c>
      <c r="CY59" s="56" t="n">
        <f aca="false">CY44+CY45+CY46+CY48+CY51+CY55</f>
        <v>-0</v>
      </c>
      <c r="CZ59" s="56" t="n">
        <f aca="false">CZ44+CZ45+CZ46+CZ48+CZ51+CZ55</f>
        <v>-0</v>
      </c>
      <c r="DA59" s="56" t="n">
        <f aca="false">DA44+DA45+DA46+DA48+DA51+DA55</f>
        <v>-0</v>
      </c>
      <c r="DB59" s="56" t="n">
        <f aca="false">DB44+DB45+DB46+DB48+DB51+DB55</f>
        <v>-0</v>
      </c>
      <c r="DC59" s="56" t="n">
        <f aca="false">DC44+DC45+DC46+DC48+DC51+DC55</f>
        <v>-0</v>
      </c>
      <c r="DD59" s="56" t="n">
        <f aca="false">DD44+DD45+DD46+DD48+DD51+DD55</f>
        <v>-0</v>
      </c>
      <c r="DE59" s="56" t="n">
        <f aca="false">DE44+DE45+DE46+DE48+DE51+DE55</f>
        <v>-0</v>
      </c>
      <c r="DF59" s="56" t="n">
        <f aca="false">DF44+DF45+DF46+DF48+DF51+DF55</f>
        <v>-0</v>
      </c>
      <c r="DG59" s="56" t="n">
        <f aca="false">DG44+DG45+DG46+DG48+DG51+DG55</f>
        <v>-0</v>
      </c>
      <c r="DH59" s="56" t="n">
        <f aca="false">DH44+DH45+DH46+DH48+DH51+DH55</f>
        <v>-0</v>
      </c>
      <c r="DI59" s="56" t="n">
        <f aca="false">DI44+DI45+DI46+DI48+DI51+DI55</f>
        <v>-0</v>
      </c>
      <c r="DJ59" s="56" t="n">
        <f aca="false">DJ44+DJ45+DJ46+DJ48+DJ51+DJ55</f>
        <v>-0</v>
      </c>
      <c r="DK59" s="56" t="n">
        <f aca="false">DK44+DK45+DK46+DK48+DK51+DK55</f>
        <v>-0</v>
      </c>
      <c r="DL59" s="56" t="n">
        <f aca="false">DL44+DL45+DL46+DL48+DL51+DL55</f>
        <v>-0</v>
      </c>
      <c r="DM59" s="56" t="n">
        <f aca="false">DM44+DM45+DM46+DM48+DM51+DM55</f>
        <v>-0</v>
      </c>
      <c r="DN59" s="56" t="n">
        <f aca="false">DN44+DN45+DN46+DN48+DN51+DN55</f>
        <v>-0</v>
      </c>
      <c r="DO59" s="56" t="n">
        <f aca="false">DO44+DO45+DO46+DO48+DO51+DO55</f>
        <v>-0</v>
      </c>
      <c r="DP59" s="56" t="n">
        <f aca="false">DP44+DP45+DP46+DP48+DP51+DP55</f>
        <v>-0</v>
      </c>
      <c r="DQ59" s="56" t="n">
        <f aca="false">DQ44+DQ45+DQ46+DQ48+DQ51+DQ55</f>
        <v>-0</v>
      </c>
      <c r="DR59" s="56" t="n">
        <f aca="false">DR44+DR45+DR46+DR48+DR51+DR55</f>
        <v>-0</v>
      </c>
      <c r="DS59" s="56" t="n">
        <f aca="false">DS44+DS45+DS46+DS48+DS51+DS55</f>
        <v>-0</v>
      </c>
      <c r="DT59" s="56" t="n">
        <f aca="false">DT44+DT45+DT46+DT48+DT51+DT55</f>
        <v>-0</v>
      </c>
      <c r="DU59" s="56" t="n">
        <f aca="false">DU44+DU45+DU46+DU48+DU51+DU55</f>
        <v>-0</v>
      </c>
      <c r="DV59" s="56" t="n">
        <f aca="false">DV44+DV45+DV46+DV48+DV51+DV55</f>
        <v>-0</v>
      </c>
      <c r="DW59" s="56" t="n">
        <f aca="false">DW44+DW45+DW46+DW48+DW51+DW55</f>
        <v>-0</v>
      </c>
      <c r="DX59" s="56" t="n">
        <f aca="false">DX44+DX45+DX46+DX48+DX51+DX55</f>
        <v>-0</v>
      </c>
      <c r="DY59" s="56" t="n">
        <f aca="false">DY44+DY45+DY46+DY48+DY51+DY55</f>
        <v>-0</v>
      </c>
      <c r="DZ59" s="56" t="n">
        <f aca="false">DZ44+DZ45+DZ46+DZ48+DZ51+DZ55</f>
        <v>-0</v>
      </c>
      <c r="EA59" s="56" t="n">
        <f aca="false">EA44+EA45+EA46+EA48+EA51+EA55</f>
        <v>-0</v>
      </c>
      <c r="EB59" s="56" t="n">
        <f aca="false">EB44+EB45+EB46+EB48+EB51+EB55</f>
        <v>-0</v>
      </c>
      <c r="EC59" s="56" t="n">
        <f aca="false">EC44+EC45+EC46+EC48+EC51+EC55</f>
        <v>-0</v>
      </c>
      <c r="ED59" s="56" t="n">
        <f aca="false">ED44+ED45+ED46+ED48+ED51+ED55</f>
        <v>-0</v>
      </c>
      <c r="EE59" s="56" t="n">
        <f aca="false">EE44+EE45+EE46+EE48+EE51+EE55</f>
        <v>-0</v>
      </c>
      <c r="EF59" s="56" t="n">
        <f aca="false">EF44+EF45+EF46+EF48+EF51+EF55</f>
        <v>-0</v>
      </c>
      <c r="EG59" s="56" t="n">
        <f aca="false">EG44+EG45+EG46+EG48+EG51+EG55</f>
        <v>-0</v>
      </c>
      <c r="EH59" s="56" t="n">
        <f aca="false">EH44+EH45+EH46+EH48+EH51+EH55</f>
        <v>-0</v>
      </c>
      <c r="EI59" s="56" t="n">
        <f aca="false">EI44+EI45+EI46+EI48+EI51+EI55</f>
        <v>-0</v>
      </c>
      <c r="EJ59" s="56" t="n">
        <f aca="false">EJ44+EJ45+EJ46+EJ48+EJ51+EJ55</f>
        <v>-0</v>
      </c>
      <c r="EK59" s="56" t="n">
        <f aca="false">EK44+EK45+EK46+EK48+EK51+EK55</f>
        <v>-0</v>
      </c>
      <c r="EL59" s="56" t="n">
        <f aca="false">EL44+EL45+EL46+EL48+EL51+EL55</f>
        <v>-0</v>
      </c>
      <c r="EM59" s="56" t="n">
        <f aca="false">EM44+EM45+EM46+EM48+EM51+EM55</f>
        <v>-0</v>
      </c>
      <c r="EN59" s="56" t="n">
        <f aca="false">EN44+EN45+EN46+EN48+EN51+EN55</f>
        <v>-0</v>
      </c>
      <c r="EO59" s="56" t="n">
        <f aca="false">EO44+EO45+EO46+EO48+EO51+EO55</f>
        <v>-0</v>
      </c>
    </row>
    <row r="61" customFormat="false" ht="15" hidden="false" customHeight="false" outlineLevel="0" collapsed="false">
      <c r="A61" s="9" t="s">
        <v>13</v>
      </c>
      <c r="B61" s="9"/>
      <c r="C61" s="9" t="s">
        <v>413</v>
      </c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</row>
    <row r="62" customFormat="false" ht="15" hidden="false" customHeight="false" outlineLevel="0" collapsed="false">
      <c r="C62" s="0" t="s">
        <v>414</v>
      </c>
      <c r="D62" s="11" t="s">
        <v>19</v>
      </c>
      <c r="E62" s="47" t="n">
        <f aca="false">IF($E38=1,In_Turbine,In_Turbine_CN)</f>
        <v>600</v>
      </c>
    </row>
    <row r="63" customFormat="false" ht="15" hidden="false" customHeight="false" outlineLevel="0" collapsed="false">
      <c r="C63" s="0" t="s">
        <v>415</v>
      </c>
      <c r="D63" s="11" t="s">
        <v>33</v>
      </c>
      <c r="E63" s="47" t="n">
        <f aca="false">IF($E38=1,In_Substation,In_Substation_CN)</f>
        <v>12000</v>
      </c>
    </row>
    <row r="64" customFormat="false" ht="15" hidden="false" customHeight="false" outlineLevel="0" collapsed="false">
      <c r="C64" s="0" t="s">
        <v>416</v>
      </c>
      <c r="D64" s="11" t="s">
        <v>33</v>
      </c>
      <c r="E64" s="47" t="n">
        <f aca="false">(($E62+In_Other_Wind)*$F24+$E63)*(1+In_Capex_Contingency)+In_BESS_Capex*$F25</f>
        <v>70151.25</v>
      </c>
      <c r="I64" s="47" t="n">
        <f aca="false">SUM(J64:EO64)</f>
        <v>-70151.25</v>
      </c>
      <c r="J64" s="47" t="n">
        <f aca="false">-$E64*J12</f>
        <v>-0</v>
      </c>
      <c r="K64" s="47" t="n">
        <f aca="false">-$E64*K12</f>
        <v>-0</v>
      </c>
      <c r="L64" s="47" t="n">
        <f aca="false">-$E64*L12</f>
        <v>-0</v>
      </c>
      <c r="M64" s="47" t="n">
        <f aca="false">-$E64*M12</f>
        <v>-0</v>
      </c>
      <c r="N64" s="47" t="n">
        <f aca="false">-$E64*N12</f>
        <v>-0</v>
      </c>
      <c r="O64" s="47" t="n">
        <f aca="false">-$E64*O12</f>
        <v>-0</v>
      </c>
      <c r="P64" s="47" t="n">
        <f aca="false">-$E64*P12</f>
        <v>-0</v>
      </c>
      <c r="Q64" s="47" t="n">
        <f aca="false">-$E64*Q12</f>
        <v>-0</v>
      </c>
      <c r="R64" s="47" t="n">
        <f aca="false">-$E64*R12</f>
        <v>-8840.9794520548</v>
      </c>
      <c r="S64" s="47" t="n">
        <f aca="false">-$E64*S12</f>
        <v>-8648.78424657534</v>
      </c>
      <c r="T64" s="47" t="n">
        <f aca="false">-$E64*T12</f>
        <v>-8744.88184931507</v>
      </c>
      <c r="U64" s="47" t="n">
        <f aca="false">-$E64*U12</f>
        <v>-8840.9794520548</v>
      </c>
      <c r="V64" s="47" t="n">
        <f aca="false">-$E64*V12</f>
        <v>-8840.9794520548</v>
      </c>
      <c r="W64" s="47" t="n">
        <f aca="false">-$E64*W12</f>
        <v>-8648.78424657534</v>
      </c>
      <c r="X64" s="47" t="n">
        <f aca="false">-$E64*X12</f>
        <v>-8744.88184931507</v>
      </c>
      <c r="Y64" s="47" t="n">
        <f aca="false">-$E64*Y12</f>
        <v>-8840.9794520548</v>
      </c>
      <c r="Z64" s="47" t="n">
        <f aca="false">-$E64*Z12</f>
        <v>-0</v>
      </c>
      <c r="AA64" s="47" t="n">
        <f aca="false">-$E64*AA12</f>
        <v>-0</v>
      </c>
      <c r="AB64" s="47" t="n">
        <f aca="false">-$E64*AB12</f>
        <v>-0</v>
      </c>
      <c r="AC64" s="47" t="n">
        <f aca="false">-$E64*AC12</f>
        <v>-0</v>
      </c>
      <c r="AD64" s="47" t="n">
        <f aca="false">-$E64*AD12</f>
        <v>-0</v>
      </c>
      <c r="AE64" s="47" t="n">
        <f aca="false">-$E64*AE12</f>
        <v>-0</v>
      </c>
      <c r="AF64" s="47" t="n">
        <f aca="false">-$E64*AF12</f>
        <v>-0</v>
      </c>
      <c r="AG64" s="47" t="n">
        <f aca="false">-$E64*AG12</f>
        <v>-0</v>
      </c>
      <c r="AH64" s="47" t="n">
        <f aca="false">-$E64*AH12</f>
        <v>-0</v>
      </c>
      <c r="AI64" s="47" t="n">
        <f aca="false">-$E64*AI12</f>
        <v>-0</v>
      </c>
      <c r="AJ64" s="47" t="n">
        <f aca="false">-$E64*AJ12</f>
        <v>-0</v>
      </c>
      <c r="AK64" s="47" t="n">
        <f aca="false">-$E64*AK12</f>
        <v>-0</v>
      </c>
      <c r="AL64" s="47" t="n">
        <f aca="false">-$E64*AL12</f>
        <v>-0</v>
      </c>
      <c r="AM64" s="47" t="n">
        <f aca="false">-$E64*AM12</f>
        <v>-0</v>
      </c>
      <c r="AN64" s="47" t="n">
        <f aca="false">-$E64*AN12</f>
        <v>-0</v>
      </c>
      <c r="AO64" s="47" t="n">
        <f aca="false">-$E64*AO12</f>
        <v>-0</v>
      </c>
      <c r="AP64" s="47" t="n">
        <f aca="false">-$E64*AP12</f>
        <v>-0</v>
      </c>
      <c r="AQ64" s="47" t="n">
        <f aca="false">-$E64*AQ12</f>
        <v>-0</v>
      </c>
      <c r="AR64" s="47" t="n">
        <f aca="false">-$E64*AR12</f>
        <v>-0</v>
      </c>
      <c r="AS64" s="47" t="n">
        <f aca="false">-$E64*AS12</f>
        <v>-0</v>
      </c>
      <c r="AT64" s="47" t="n">
        <f aca="false">-$E64*AT12</f>
        <v>-0</v>
      </c>
      <c r="AU64" s="47" t="n">
        <f aca="false">-$E64*AU12</f>
        <v>-0</v>
      </c>
      <c r="AV64" s="47" t="n">
        <f aca="false">-$E64*AV12</f>
        <v>-0</v>
      </c>
      <c r="AW64" s="47" t="n">
        <f aca="false">-$E64*AW12</f>
        <v>-0</v>
      </c>
      <c r="AX64" s="47" t="n">
        <f aca="false">-$E64*AX12</f>
        <v>-0</v>
      </c>
      <c r="AY64" s="47" t="n">
        <f aca="false">-$E64*AY12</f>
        <v>-0</v>
      </c>
      <c r="AZ64" s="47" t="n">
        <f aca="false">-$E64*AZ12</f>
        <v>-0</v>
      </c>
      <c r="BA64" s="47" t="n">
        <f aca="false">-$E64*BA12</f>
        <v>-0</v>
      </c>
      <c r="BB64" s="47" t="n">
        <f aca="false">-$E64*BB12</f>
        <v>-0</v>
      </c>
      <c r="BC64" s="47" t="n">
        <f aca="false">-$E64*BC12</f>
        <v>-0</v>
      </c>
      <c r="BD64" s="47" t="n">
        <f aca="false">-$E64*BD12</f>
        <v>-0</v>
      </c>
      <c r="BE64" s="47" t="n">
        <f aca="false">-$E64*BE12</f>
        <v>-0</v>
      </c>
      <c r="BF64" s="47" t="n">
        <f aca="false">-$E64*BF12</f>
        <v>-0</v>
      </c>
      <c r="BG64" s="47" t="n">
        <f aca="false">-$E64*BG12</f>
        <v>-0</v>
      </c>
      <c r="BH64" s="47" t="n">
        <f aca="false">-$E64*BH12</f>
        <v>-0</v>
      </c>
      <c r="BI64" s="47" t="n">
        <f aca="false">-$E64*BI12</f>
        <v>-0</v>
      </c>
      <c r="BJ64" s="47" t="n">
        <f aca="false">-$E64*BJ12</f>
        <v>-0</v>
      </c>
      <c r="BK64" s="47" t="n">
        <f aca="false">-$E64*BK12</f>
        <v>-0</v>
      </c>
      <c r="BL64" s="47" t="n">
        <f aca="false">-$E64*BL12</f>
        <v>-0</v>
      </c>
      <c r="BM64" s="47" t="n">
        <f aca="false">-$E64*BM12</f>
        <v>-0</v>
      </c>
      <c r="BN64" s="47" t="n">
        <f aca="false">-$E64*BN12</f>
        <v>-0</v>
      </c>
      <c r="BO64" s="47" t="n">
        <f aca="false">-$E64*BO12</f>
        <v>-0</v>
      </c>
      <c r="BP64" s="47" t="n">
        <f aca="false">-$E64*BP12</f>
        <v>-0</v>
      </c>
      <c r="BQ64" s="47" t="n">
        <f aca="false">-$E64*BQ12</f>
        <v>-0</v>
      </c>
      <c r="BR64" s="47" t="n">
        <f aca="false">-$E64*BR12</f>
        <v>-0</v>
      </c>
      <c r="BS64" s="47" t="n">
        <f aca="false">-$E64*BS12</f>
        <v>-0</v>
      </c>
      <c r="BT64" s="47" t="n">
        <f aca="false">-$E64*BT12</f>
        <v>-0</v>
      </c>
      <c r="BU64" s="47" t="n">
        <f aca="false">-$E64*BU12</f>
        <v>-0</v>
      </c>
      <c r="BV64" s="47" t="n">
        <f aca="false">-$E64*BV12</f>
        <v>-0</v>
      </c>
      <c r="BW64" s="47" t="n">
        <f aca="false">-$E64*BW12</f>
        <v>-0</v>
      </c>
      <c r="BX64" s="47" t="n">
        <f aca="false">-$E64*BX12</f>
        <v>-0</v>
      </c>
      <c r="BY64" s="47" t="n">
        <f aca="false">-$E64*BY12</f>
        <v>-0</v>
      </c>
      <c r="BZ64" s="47" t="n">
        <f aca="false">-$E64*BZ12</f>
        <v>-0</v>
      </c>
      <c r="CA64" s="47" t="n">
        <f aca="false">-$E64*CA12</f>
        <v>-0</v>
      </c>
      <c r="CB64" s="47" t="n">
        <f aca="false">-$E64*CB12</f>
        <v>-0</v>
      </c>
      <c r="CC64" s="47" t="n">
        <f aca="false">-$E64*CC12</f>
        <v>-0</v>
      </c>
      <c r="CD64" s="47" t="n">
        <f aca="false">-$E64*CD12</f>
        <v>-0</v>
      </c>
      <c r="CE64" s="47" t="n">
        <f aca="false">-$E64*CE12</f>
        <v>-0</v>
      </c>
      <c r="CF64" s="47" t="n">
        <f aca="false">-$E64*CF12</f>
        <v>-0</v>
      </c>
      <c r="CG64" s="47" t="n">
        <f aca="false">-$E64*CG12</f>
        <v>-0</v>
      </c>
      <c r="CH64" s="47" t="n">
        <f aca="false">-$E64*CH12</f>
        <v>-0</v>
      </c>
      <c r="CI64" s="47" t="n">
        <f aca="false">-$E64*CI12</f>
        <v>-0</v>
      </c>
      <c r="CJ64" s="47" t="n">
        <f aca="false">-$E64*CJ12</f>
        <v>-0</v>
      </c>
      <c r="CK64" s="47" t="n">
        <f aca="false">-$E64*CK12</f>
        <v>-0</v>
      </c>
      <c r="CL64" s="47" t="n">
        <f aca="false">-$E64*CL12</f>
        <v>-0</v>
      </c>
      <c r="CM64" s="47" t="n">
        <f aca="false">-$E64*CM12</f>
        <v>-0</v>
      </c>
      <c r="CN64" s="47" t="n">
        <f aca="false">-$E64*CN12</f>
        <v>-0</v>
      </c>
      <c r="CO64" s="47" t="n">
        <f aca="false">-$E64*CO12</f>
        <v>-0</v>
      </c>
      <c r="CP64" s="47" t="n">
        <f aca="false">-$E64*CP12</f>
        <v>-0</v>
      </c>
      <c r="CQ64" s="47" t="n">
        <f aca="false">-$E64*CQ12</f>
        <v>-0</v>
      </c>
      <c r="CR64" s="47" t="n">
        <f aca="false">-$E64*CR12</f>
        <v>-0</v>
      </c>
      <c r="CS64" s="47" t="n">
        <f aca="false">-$E64*CS12</f>
        <v>-0</v>
      </c>
      <c r="CT64" s="47" t="n">
        <f aca="false">-$E64*CT12</f>
        <v>-0</v>
      </c>
      <c r="CU64" s="47" t="n">
        <f aca="false">-$E64*CU12</f>
        <v>-0</v>
      </c>
      <c r="CV64" s="47" t="n">
        <f aca="false">-$E64*CV12</f>
        <v>-0</v>
      </c>
      <c r="CW64" s="47" t="n">
        <f aca="false">-$E64*CW12</f>
        <v>-0</v>
      </c>
      <c r="CX64" s="47" t="n">
        <f aca="false">-$E64*CX12</f>
        <v>-0</v>
      </c>
      <c r="CY64" s="47" t="n">
        <f aca="false">-$E64*CY12</f>
        <v>-0</v>
      </c>
      <c r="CZ64" s="47" t="n">
        <f aca="false">-$E64*CZ12</f>
        <v>-0</v>
      </c>
      <c r="DA64" s="47" t="n">
        <f aca="false">-$E64*DA12</f>
        <v>-0</v>
      </c>
      <c r="DB64" s="47" t="n">
        <f aca="false">-$E64*DB12</f>
        <v>-0</v>
      </c>
      <c r="DC64" s="47" t="n">
        <f aca="false">-$E64*DC12</f>
        <v>-0</v>
      </c>
      <c r="DD64" s="47" t="n">
        <f aca="false">-$E64*DD12</f>
        <v>-0</v>
      </c>
      <c r="DE64" s="47" t="n">
        <f aca="false">-$E64*DE12</f>
        <v>-0</v>
      </c>
      <c r="DF64" s="47" t="n">
        <f aca="false">-$E64*DF12</f>
        <v>-0</v>
      </c>
      <c r="DG64" s="47" t="n">
        <f aca="false">-$E64*DG12</f>
        <v>-0</v>
      </c>
      <c r="DH64" s="47" t="n">
        <f aca="false">-$E64*DH12</f>
        <v>-0</v>
      </c>
      <c r="DI64" s="47" t="n">
        <f aca="false">-$E64*DI12</f>
        <v>-0</v>
      </c>
      <c r="DJ64" s="47" t="n">
        <f aca="false">-$E64*DJ12</f>
        <v>-0</v>
      </c>
      <c r="DK64" s="47" t="n">
        <f aca="false">-$E64*DK12</f>
        <v>-0</v>
      </c>
      <c r="DL64" s="47" t="n">
        <f aca="false">-$E64*DL12</f>
        <v>-0</v>
      </c>
      <c r="DM64" s="47" t="n">
        <f aca="false">-$E64*DM12</f>
        <v>-0</v>
      </c>
      <c r="DN64" s="47" t="n">
        <f aca="false">-$E64*DN12</f>
        <v>-0</v>
      </c>
      <c r="DO64" s="47" t="n">
        <f aca="false">-$E64*DO12</f>
        <v>-0</v>
      </c>
      <c r="DP64" s="47" t="n">
        <f aca="false">-$E64*DP12</f>
        <v>-0</v>
      </c>
      <c r="DQ64" s="47" t="n">
        <f aca="false">-$E64*DQ12</f>
        <v>-0</v>
      </c>
      <c r="DR64" s="47" t="n">
        <f aca="false">-$E64*DR12</f>
        <v>-0</v>
      </c>
      <c r="DS64" s="47" t="n">
        <f aca="false">-$E64*DS12</f>
        <v>-0</v>
      </c>
      <c r="DT64" s="47" t="n">
        <f aca="false">-$E64*DT12</f>
        <v>-0</v>
      </c>
      <c r="DU64" s="47" t="n">
        <f aca="false">-$E64*DU12</f>
        <v>-0</v>
      </c>
      <c r="DV64" s="47" t="n">
        <f aca="false">-$E64*DV12</f>
        <v>-0</v>
      </c>
      <c r="DW64" s="47" t="n">
        <f aca="false">-$E64*DW12</f>
        <v>-0</v>
      </c>
      <c r="DX64" s="47" t="n">
        <f aca="false">-$E64*DX12</f>
        <v>-0</v>
      </c>
      <c r="DY64" s="47" t="n">
        <f aca="false">-$E64*DY12</f>
        <v>-0</v>
      </c>
      <c r="DZ64" s="47" t="n">
        <f aca="false">-$E64*DZ12</f>
        <v>-0</v>
      </c>
      <c r="EA64" s="47" t="n">
        <f aca="false">-$E64*EA12</f>
        <v>-0</v>
      </c>
      <c r="EB64" s="47" t="n">
        <f aca="false">-$E64*EB12</f>
        <v>-0</v>
      </c>
      <c r="EC64" s="47" t="n">
        <f aca="false">-$E64*EC12</f>
        <v>-0</v>
      </c>
      <c r="ED64" s="47" t="n">
        <f aca="false">-$E64*ED12</f>
        <v>-0</v>
      </c>
      <c r="EE64" s="47" t="n">
        <f aca="false">-$E64*EE12</f>
        <v>-0</v>
      </c>
      <c r="EF64" s="47" t="n">
        <f aca="false">-$E64*EF12</f>
        <v>-0</v>
      </c>
      <c r="EG64" s="47" t="n">
        <f aca="false">-$E64*EG12</f>
        <v>-0</v>
      </c>
      <c r="EH64" s="47" t="n">
        <f aca="false">-$E64*EH12</f>
        <v>-0</v>
      </c>
      <c r="EI64" s="47" t="n">
        <f aca="false">-$E64*EI12</f>
        <v>-0</v>
      </c>
      <c r="EJ64" s="47" t="n">
        <f aca="false">-$E64*EJ12</f>
        <v>-0</v>
      </c>
      <c r="EK64" s="47" t="n">
        <f aca="false">-$E64*EK12</f>
        <v>-0</v>
      </c>
      <c r="EL64" s="47" t="n">
        <f aca="false">-$E64*EL12</f>
        <v>-0</v>
      </c>
      <c r="EM64" s="47" t="n">
        <f aca="false">-$E64*EM12</f>
        <v>-0</v>
      </c>
      <c r="EN64" s="47" t="n">
        <f aca="false">-$E64*EN12</f>
        <v>-0</v>
      </c>
      <c r="EO64" s="47" t="n">
        <f aca="false">-$E64*EO12</f>
        <v>-0</v>
      </c>
    </row>
    <row r="65" customFormat="false" ht="15" hidden="false" customHeight="false" outlineLevel="0" collapsed="false">
      <c r="C65" s="0" t="s">
        <v>417</v>
      </c>
      <c r="D65" s="11" t="s">
        <v>33</v>
      </c>
      <c r="E65" s="47" t="n">
        <f aca="false">$E31*In_MVA</f>
        <v>2500</v>
      </c>
      <c r="I65" s="47" t="n">
        <f aca="false">SUM(J65:EO65)</f>
        <v>-2500</v>
      </c>
      <c r="J65" s="47" t="n">
        <f aca="false">-$E65*J14</f>
        <v>-0</v>
      </c>
      <c r="K65" s="47" t="n">
        <f aca="false">-$E65*K14</f>
        <v>-0</v>
      </c>
      <c r="L65" s="47" t="n">
        <f aca="false">-$E65*L14</f>
        <v>-0</v>
      </c>
      <c r="M65" s="47" t="n">
        <f aca="false">-$E65*M14</f>
        <v>-0</v>
      </c>
      <c r="N65" s="47" t="n">
        <f aca="false">-$E65*N14</f>
        <v>-0</v>
      </c>
      <c r="O65" s="47" t="n">
        <f aca="false">-$E65*O14</f>
        <v>-0</v>
      </c>
      <c r="P65" s="47" t="n">
        <f aca="false">-$E65*P14</f>
        <v>-0</v>
      </c>
      <c r="Q65" s="47" t="n">
        <f aca="false">-$E65*Q14</f>
        <v>-0</v>
      </c>
      <c r="R65" s="47" t="n">
        <f aca="false">-$E65*R14</f>
        <v>-0</v>
      </c>
      <c r="S65" s="47" t="n">
        <f aca="false">-$E65*S14</f>
        <v>-0</v>
      </c>
      <c r="T65" s="47" t="n">
        <f aca="false">-$E65*T14</f>
        <v>-0</v>
      </c>
      <c r="U65" s="47" t="n">
        <f aca="false">-$E65*U14</f>
        <v>-0</v>
      </c>
      <c r="V65" s="47" t="n">
        <f aca="false">-$E65*V14</f>
        <v>-0</v>
      </c>
      <c r="W65" s="47" t="n">
        <f aca="false">-$E65*W14</f>
        <v>-0</v>
      </c>
      <c r="X65" s="47" t="n">
        <f aca="false">-$E65*X14</f>
        <v>-0</v>
      </c>
      <c r="Y65" s="47" t="n">
        <f aca="false">-$E65*Y14</f>
        <v>-2500</v>
      </c>
      <c r="Z65" s="47" t="n">
        <f aca="false">-$E65*Z14</f>
        <v>-0</v>
      </c>
      <c r="AA65" s="47" t="n">
        <f aca="false">-$E65*AA14</f>
        <v>-0</v>
      </c>
      <c r="AB65" s="47" t="n">
        <f aca="false">-$E65*AB14</f>
        <v>-0</v>
      </c>
      <c r="AC65" s="47" t="n">
        <f aca="false">-$E65*AC14</f>
        <v>-0</v>
      </c>
      <c r="AD65" s="47" t="n">
        <f aca="false">-$E65*AD14</f>
        <v>-0</v>
      </c>
      <c r="AE65" s="47" t="n">
        <f aca="false">-$E65*AE14</f>
        <v>-0</v>
      </c>
      <c r="AF65" s="47" t="n">
        <f aca="false">-$E65*AF14</f>
        <v>-0</v>
      </c>
      <c r="AG65" s="47" t="n">
        <f aca="false">-$E65*AG14</f>
        <v>-0</v>
      </c>
      <c r="AH65" s="47" t="n">
        <f aca="false">-$E65*AH14</f>
        <v>-0</v>
      </c>
      <c r="AI65" s="47" t="n">
        <f aca="false">-$E65*AI14</f>
        <v>-0</v>
      </c>
      <c r="AJ65" s="47" t="n">
        <f aca="false">-$E65*AJ14</f>
        <v>-0</v>
      </c>
      <c r="AK65" s="47" t="n">
        <f aca="false">-$E65*AK14</f>
        <v>-0</v>
      </c>
      <c r="AL65" s="47" t="n">
        <f aca="false">-$E65*AL14</f>
        <v>-0</v>
      </c>
      <c r="AM65" s="47" t="n">
        <f aca="false">-$E65*AM14</f>
        <v>-0</v>
      </c>
      <c r="AN65" s="47" t="n">
        <f aca="false">-$E65*AN14</f>
        <v>-0</v>
      </c>
      <c r="AO65" s="47" t="n">
        <f aca="false">-$E65*AO14</f>
        <v>-0</v>
      </c>
      <c r="AP65" s="47" t="n">
        <f aca="false">-$E65*AP14</f>
        <v>-0</v>
      </c>
      <c r="AQ65" s="47" t="n">
        <f aca="false">-$E65*AQ14</f>
        <v>-0</v>
      </c>
      <c r="AR65" s="47" t="n">
        <f aca="false">-$E65*AR14</f>
        <v>-0</v>
      </c>
      <c r="AS65" s="47" t="n">
        <f aca="false">-$E65*AS14</f>
        <v>-0</v>
      </c>
      <c r="AT65" s="47" t="n">
        <f aca="false">-$E65*AT14</f>
        <v>-0</v>
      </c>
      <c r="AU65" s="47" t="n">
        <f aca="false">-$E65*AU14</f>
        <v>-0</v>
      </c>
      <c r="AV65" s="47" t="n">
        <f aca="false">-$E65*AV14</f>
        <v>-0</v>
      </c>
      <c r="AW65" s="47" t="n">
        <f aca="false">-$E65*AW14</f>
        <v>-0</v>
      </c>
      <c r="AX65" s="47" t="n">
        <f aca="false">-$E65*AX14</f>
        <v>-0</v>
      </c>
      <c r="AY65" s="47" t="n">
        <f aca="false">-$E65*AY14</f>
        <v>-0</v>
      </c>
      <c r="AZ65" s="47" t="n">
        <f aca="false">-$E65*AZ14</f>
        <v>-0</v>
      </c>
      <c r="BA65" s="47" t="n">
        <f aca="false">-$E65*BA14</f>
        <v>-0</v>
      </c>
      <c r="BB65" s="47" t="n">
        <f aca="false">-$E65*BB14</f>
        <v>-0</v>
      </c>
      <c r="BC65" s="47" t="n">
        <f aca="false">-$E65*BC14</f>
        <v>-0</v>
      </c>
      <c r="BD65" s="47" t="n">
        <f aca="false">-$E65*BD14</f>
        <v>-0</v>
      </c>
      <c r="BE65" s="47" t="n">
        <f aca="false">-$E65*BE14</f>
        <v>-0</v>
      </c>
      <c r="BF65" s="47" t="n">
        <f aca="false">-$E65*BF14</f>
        <v>-0</v>
      </c>
      <c r="BG65" s="47" t="n">
        <f aca="false">-$E65*BG14</f>
        <v>-0</v>
      </c>
      <c r="BH65" s="47" t="n">
        <f aca="false">-$E65*BH14</f>
        <v>-0</v>
      </c>
      <c r="BI65" s="47" t="n">
        <f aca="false">-$E65*BI14</f>
        <v>-0</v>
      </c>
      <c r="BJ65" s="47" t="n">
        <f aca="false">-$E65*BJ14</f>
        <v>-0</v>
      </c>
      <c r="BK65" s="47" t="n">
        <f aca="false">-$E65*BK14</f>
        <v>-0</v>
      </c>
      <c r="BL65" s="47" t="n">
        <f aca="false">-$E65*BL14</f>
        <v>-0</v>
      </c>
      <c r="BM65" s="47" t="n">
        <f aca="false">-$E65*BM14</f>
        <v>-0</v>
      </c>
      <c r="BN65" s="47" t="n">
        <f aca="false">-$E65*BN14</f>
        <v>-0</v>
      </c>
      <c r="BO65" s="47" t="n">
        <f aca="false">-$E65*BO14</f>
        <v>-0</v>
      </c>
      <c r="BP65" s="47" t="n">
        <f aca="false">-$E65*BP14</f>
        <v>-0</v>
      </c>
      <c r="BQ65" s="47" t="n">
        <f aca="false">-$E65*BQ14</f>
        <v>-0</v>
      </c>
      <c r="BR65" s="47" t="n">
        <f aca="false">-$E65*BR14</f>
        <v>-0</v>
      </c>
      <c r="BS65" s="47" t="n">
        <f aca="false">-$E65*BS14</f>
        <v>-0</v>
      </c>
      <c r="BT65" s="47" t="n">
        <f aca="false">-$E65*BT14</f>
        <v>-0</v>
      </c>
      <c r="BU65" s="47" t="n">
        <f aca="false">-$E65*BU14</f>
        <v>-0</v>
      </c>
      <c r="BV65" s="47" t="n">
        <f aca="false">-$E65*BV14</f>
        <v>-0</v>
      </c>
      <c r="BW65" s="47" t="n">
        <f aca="false">-$E65*BW14</f>
        <v>-0</v>
      </c>
      <c r="BX65" s="47" t="n">
        <f aca="false">-$E65*BX14</f>
        <v>-0</v>
      </c>
      <c r="BY65" s="47" t="n">
        <f aca="false">-$E65*BY14</f>
        <v>-0</v>
      </c>
      <c r="BZ65" s="47" t="n">
        <f aca="false">-$E65*BZ14</f>
        <v>-0</v>
      </c>
      <c r="CA65" s="47" t="n">
        <f aca="false">-$E65*CA14</f>
        <v>-0</v>
      </c>
      <c r="CB65" s="47" t="n">
        <f aca="false">-$E65*CB14</f>
        <v>-0</v>
      </c>
      <c r="CC65" s="47" t="n">
        <f aca="false">-$E65*CC14</f>
        <v>-0</v>
      </c>
      <c r="CD65" s="47" t="n">
        <f aca="false">-$E65*CD14</f>
        <v>-0</v>
      </c>
      <c r="CE65" s="47" t="n">
        <f aca="false">-$E65*CE14</f>
        <v>-0</v>
      </c>
      <c r="CF65" s="47" t="n">
        <f aca="false">-$E65*CF14</f>
        <v>-0</v>
      </c>
      <c r="CG65" s="47" t="n">
        <f aca="false">-$E65*CG14</f>
        <v>-0</v>
      </c>
      <c r="CH65" s="47" t="n">
        <f aca="false">-$E65*CH14</f>
        <v>-0</v>
      </c>
      <c r="CI65" s="47" t="n">
        <f aca="false">-$E65*CI14</f>
        <v>-0</v>
      </c>
      <c r="CJ65" s="47" t="n">
        <f aca="false">-$E65*CJ14</f>
        <v>-0</v>
      </c>
      <c r="CK65" s="47" t="n">
        <f aca="false">-$E65*CK14</f>
        <v>-0</v>
      </c>
      <c r="CL65" s="47" t="n">
        <f aca="false">-$E65*CL14</f>
        <v>-0</v>
      </c>
      <c r="CM65" s="47" t="n">
        <f aca="false">-$E65*CM14</f>
        <v>-0</v>
      </c>
      <c r="CN65" s="47" t="n">
        <f aca="false">-$E65*CN14</f>
        <v>-0</v>
      </c>
      <c r="CO65" s="47" t="n">
        <f aca="false">-$E65*CO14</f>
        <v>-0</v>
      </c>
      <c r="CP65" s="47" t="n">
        <f aca="false">-$E65*CP14</f>
        <v>-0</v>
      </c>
      <c r="CQ65" s="47" t="n">
        <f aca="false">-$E65*CQ14</f>
        <v>-0</v>
      </c>
      <c r="CR65" s="47" t="n">
        <f aca="false">-$E65*CR14</f>
        <v>-0</v>
      </c>
      <c r="CS65" s="47" t="n">
        <f aca="false">-$E65*CS14</f>
        <v>-0</v>
      </c>
      <c r="CT65" s="47" t="n">
        <f aca="false">-$E65*CT14</f>
        <v>-0</v>
      </c>
      <c r="CU65" s="47" t="n">
        <f aca="false">-$E65*CU14</f>
        <v>-0</v>
      </c>
      <c r="CV65" s="47" t="n">
        <f aca="false">-$E65*CV14</f>
        <v>-0</v>
      </c>
      <c r="CW65" s="47" t="n">
        <f aca="false">-$E65*CW14</f>
        <v>-0</v>
      </c>
      <c r="CX65" s="47" t="n">
        <f aca="false">-$E65*CX14</f>
        <v>-0</v>
      </c>
      <c r="CY65" s="47" t="n">
        <f aca="false">-$E65*CY14</f>
        <v>-0</v>
      </c>
      <c r="CZ65" s="47" t="n">
        <f aca="false">-$E65*CZ14</f>
        <v>-0</v>
      </c>
      <c r="DA65" s="47" t="n">
        <f aca="false">-$E65*DA14</f>
        <v>-0</v>
      </c>
      <c r="DB65" s="47" t="n">
        <f aca="false">-$E65*DB14</f>
        <v>-0</v>
      </c>
      <c r="DC65" s="47" t="n">
        <f aca="false">-$E65*DC14</f>
        <v>-0</v>
      </c>
      <c r="DD65" s="47" t="n">
        <f aca="false">-$E65*DD14</f>
        <v>-0</v>
      </c>
      <c r="DE65" s="47" t="n">
        <f aca="false">-$E65*DE14</f>
        <v>-0</v>
      </c>
      <c r="DF65" s="47" t="n">
        <f aca="false">-$E65*DF14</f>
        <v>-0</v>
      </c>
      <c r="DG65" s="47" t="n">
        <f aca="false">-$E65*DG14</f>
        <v>-0</v>
      </c>
      <c r="DH65" s="47" t="n">
        <f aca="false">-$E65*DH14</f>
        <v>-0</v>
      </c>
      <c r="DI65" s="47" t="n">
        <f aca="false">-$E65*DI14</f>
        <v>-0</v>
      </c>
      <c r="DJ65" s="47" t="n">
        <f aca="false">-$E65*DJ14</f>
        <v>-0</v>
      </c>
      <c r="DK65" s="47" t="n">
        <f aca="false">-$E65*DK14</f>
        <v>-0</v>
      </c>
      <c r="DL65" s="47" t="n">
        <f aca="false">-$E65*DL14</f>
        <v>-0</v>
      </c>
      <c r="DM65" s="47" t="n">
        <f aca="false">-$E65*DM14</f>
        <v>-0</v>
      </c>
      <c r="DN65" s="47" t="n">
        <f aca="false">-$E65*DN14</f>
        <v>-0</v>
      </c>
      <c r="DO65" s="47" t="n">
        <f aca="false">-$E65*DO14</f>
        <v>-0</v>
      </c>
      <c r="DP65" s="47" t="n">
        <f aca="false">-$E65*DP14</f>
        <v>-0</v>
      </c>
      <c r="DQ65" s="47" t="n">
        <f aca="false">-$E65*DQ14</f>
        <v>-0</v>
      </c>
      <c r="DR65" s="47" t="n">
        <f aca="false">-$E65*DR14</f>
        <v>-0</v>
      </c>
      <c r="DS65" s="47" t="n">
        <f aca="false">-$E65*DS14</f>
        <v>-0</v>
      </c>
      <c r="DT65" s="47" t="n">
        <f aca="false">-$E65*DT14</f>
        <v>-0</v>
      </c>
      <c r="DU65" s="47" t="n">
        <f aca="false">-$E65*DU14</f>
        <v>-0</v>
      </c>
      <c r="DV65" s="47" t="n">
        <f aca="false">-$E65*DV14</f>
        <v>-0</v>
      </c>
      <c r="DW65" s="47" t="n">
        <f aca="false">-$E65*DW14</f>
        <v>-0</v>
      </c>
      <c r="DX65" s="47" t="n">
        <f aca="false">-$E65*DX14</f>
        <v>-0</v>
      </c>
      <c r="DY65" s="47" t="n">
        <f aca="false">-$E65*DY14</f>
        <v>-0</v>
      </c>
      <c r="DZ65" s="47" t="n">
        <f aca="false">-$E65*DZ14</f>
        <v>-0</v>
      </c>
      <c r="EA65" s="47" t="n">
        <f aca="false">-$E65*EA14</f>
        <v>-0</v>
      </c>
      <c r="EB65" s="47" t="n">
        <f aca="false">-$E65*EB14</f>
        <v>-0</v>
      </c>
      <c r="EC65" s="47" t="n">
        <f aca="false">-$E65*EC14</f>
        <v>-0</v>
      </c>
      <c r="ED65" s="47" t="n">
        <f aca="false">-$E65*ED14</f>
        <v>-0</v>
      </c>
      <c r="EE65" s="47" t="n">
        <f aca="false">-$E65*EE14</f>
        <v>-0</v>
      </c>
      <c r="EF65" s="47" t="n">
        <f aca="false">-$E65*EF14</f>
        <v>-0</v>
      </c>
      <c r="EG65" s="47" t="n">
        <f aca="false">-$E65*EG14</f>
        <v>-0</v>
      </c>
      <c r="EH65" s="47" t="n">
        <f aca="false">-$E65*EH14</f>
        <v>-0</v>
      </c>
      <c r="EI65" s="47" t="n">
        <f aca="false">-$E65*EI14</f>
        <v>-0</v>
      </c>
      <c r="EJ65" s="47" t="n">
        <f aca="false">-$E65*EJ14</f>
        <v>-0</v>
      </c>
      <c r="EK65" s="47" t="n">
        <f aca="false">-$E65*EK14</f>
        <v>-0</v>
      </c>
      <c r="EL65" s="47" t="n">
        <f aca="false">-$E65*EL14</f>
        <v>-0</v>
      </c>
      <c r="EM65" s="47" t="n">
        <f aca="false">-$E65*EM14</f>
        <v>-0</v>
      </c>
      <c r="EN65" s="47" t="n">
        <f aca="false">-$E65*EN14</f>
        <v>-0</v>
      </c>
      <c r="EO65" s="47" t="n">
        <f aca="false">-$E65*EO14</f>
        <v>-0</v>
      </c>
    </row>
    <row r="66" customFormat="false" ht="15" hidden="false" customHeight="false" outlineLevel="0" collapsed="false">
      <c r="C66" s="25" t="s">
        <v>418</v>
      </c>
      <c r="D66" s="11" t="s">
        <v>33</v>
      </c>
      <c r="E66" s="56" t="n">
        <f aca="false">SUMPRODUCT($J66:$EO66/$J21:$EO21)*$E21</f>
        <v>-84582.9746237504</v>
      </c>
      <c r="I66" s="56" t="n">
        <f aca="false">SUM(J66:EO66)</f>
        <v>-80806.073150685</v>
      </c>
      <c r="J66" s="56" t="n">
        <f aca="false">J64+J54+J65</f>
        <v>-0</v>
      </c>
      <c r="K66" s="56" t="n">
        <f aca="false">K64+K54+K65</f>
        <v>-0</v>
      </c>
      <c r="L66" s="56" t="n">
        <f aca="false">L64+L54+L65</f>
        <v>-0</v>
      </c>
      <c r="M66" s="56" t="n">
        <f aca="false">M64+M54+M65</f>
        <v>-0</v>
      </c>
      <c r="N66" s="56" t="n">
        <f aca="false">N64+N54+N65</f>
        <v>-0</v>
      </c>
      <c r="O66" s="56" t="n">
        <f aca="false">O64+O54+O65</f>
        <v>-0</v>
      </c>
      <c r="P66" s="56" t="n">
        <f aca="false">P64+P54+P65</f>
        <v>-0</v>
      </c>
      <c r="Q66" s="56" t="n">
        <f aca="false">Q64+Q54+Q65</f>
        <v>-0</v>
      </c>
      <c r="R66" s="56" t="n">
        <f aca="false">R64+R54+R65</f>
        <v>-8840.9794520548</v>
      </c>
      <c r="S66" s="56" t="n">
        <f aca="false">S64+S54+S65</f>
        <v>-16803.6073972603</v>
      </c>
      <c r="T66" s="56" t="n">
        <f aca="false">T64+T54+T65</f>
        <v>-8744.88184931507</v>
      </c>
      <c r="U66" s="56" t="n">
        <f aca="false">U64+U54+U65</f>
        <v>-8840.9794520548</v>
      </c>
      <c r="V66" s="56" t="n">
        <f aca="false">V64+V54+V65</f>
        <v>-8840.9794520548</v>
      </c>
      <c r="W66" s="56" t="n">
        <f aca="false">W64+W54+W65</f>
        <v>-8648.78424657534</v>
      </c>
      <c r="X66" s="56" t="n">
        <f aca="false">X64+X54+X65</f>
        <v>-8744.88184931507</v>
      </c>
      <c r="Y66" s="56" t="n">
        <f aca="false">Y64+Y54+Y65</f>
        <v>-11340.9794520548</v>
      </c>
      <c r="Z66" s="56" t="n">
        <f aca="false">Z64+Z54+Z65</f>
        <v>-0</v>
      </c>
      <c r="AA66" s="56" t="n">
        <f aca="false">AA64+AA54+AA65</f>
        <v>-0</v>
      </c>
      <c r="AB66" s="56" t="n">
        <f aca="false">AB64+AB54+AB65</f>
        <v>-0</v>
      </c>
      <c r="AC66" s="56" t="n">
        <f aca="false">AC64+AC54+AC65</f>
        <v>-0</v>
      </c>
      <c r="AD66" s="56" t="n">
        <f aca="false">AD64+AD54+AD65</f>
        <v>-0</v>
      </c>
      <c r="AE66" s="56" t="n">
        <f aca="false">AE64+AE54+AE65</f>
        <v>-0</v>
      </c>
      <c r="AF66" s="56" t="n">
        <f aca="false">AF64+AF54+AF65</f>
        <v>-0</v>
      </c>
      <c r="AG66" s="56" t="n">
        <f aca="false">AG64+AG54+AG65</f>
        <v>-0</v>
      </c>
      <c r="AH66" s="56" t="n">
        <f aca="false">AH64+AH54+AH65</f>
        <v>-0</v>
      </c>
      <c r="AI66" s="56" t="n">
        <f aca="false">AI64+AI54+AI65</f>
        <v>-0</v>
      </c>
      <c r="AJ66" s="56" t="n">
        <f aca="false">AJ64+AJ54+AJ65</f>
        <v>-0</v>
      </c>
      <c r="AK66" s="56" t="n">
        <f aca="false">AK64+AK54+AK65</f>
        <v>-0</v>
      </c>
      <c r="AL66" s="56" t="n">
        <f aca="false">AL64+AL54+AL65</f>
        <v>-0</v>
      </c>
      <c r="AM66" s="56" t="n">
        <f aca="false">AM64+AM54+AM65</f>
        <v>-0</v>
      </c>
      <c r="AN66" s="56" t="n">
        <f aca="false">AN64+AN54+AN65</f>
        <v>-0</v>
      </c>
      <c r="AO66" s="56" t="n">
        <f aca="false">AO64+AO54+AO65</f>
        <v>-0</v>
      </c>
      <c r="AP66" s="56" t="n">
        <f aca="false">AP64+AP54+AP65</f>
        <v>-0</v>
      </c>
      <c r="AQ66" s="56" t="n">
        <f aca="false">AQ64+AQ54+AQ65</f>
        <v>-0</v>
      </c>
      <c r="AR66" s="56" t="n">
        <f aca="false">AR64+AR54+AR65</f>
        <v>-0</v>
      </c>
      <c r="AS66" s="56" t="n">
        <f aca="false">AS64+AS54+AS65</f>
        <v>-0</v>
      </c>
      <c r="AT66" s="56" t="n">
        <f aca="false">AT64+AT54+AT65</f>
        <v>-0</v>
      </c>
      <c r="AU66" s="56" t="n">
        <f aca="false">AU64+AU54+AU65</f>
        <v>-0</v>
      </c>
      <c r="AV66" s="56" t="n">
        <f aca="false">AV64+AV54+AV65</f>
        <v>-0</v>
      </c>
      <c r="AW66" s="56" t="n">
        <f aca="false">AW64+AW54+AW65</f>
        <v>-0</v>
      </c>
      <c r="AX66" s="56" t="n">
        <f aca="false">AX64+AX54+AX65</f>
        <v>-0</v>
      </c>
      <c r="AY66" s="56" t="n">
        <f aca="false">AY64+AY54+AY65</f>
        <v>-0</v>
      </c>
      <c r="AZ66" s="56" t="n">
        <f aca="false">AZ64+AZ54+AZ65</f>
        <v>-0</v>
      </c>
      <c r="BA66" s="56" t="n">
        <f aca="false">BA64+BA54+BA65</f>
        <v>-0</v>
      </c>
      <c r="BB66" s="56" t="n">
        <f aca="false">BB64+BB54+BB65</f>
        <v>-0</v>
      </c>
      <c r="BC66" s="56" t="n">
        <f aca="false">BC64+BC54+BC65</f>
        <v>-0</v>
      </c>
      <c r="BD66" s="56" t="n">
        <f aca="false">BD64+BD54+BD65</f>
        <v>-0</v>
      </c>
      <c r="BE66" s="56" t="n">
        <f aca="false">BE64+BE54+BE65</f>
        <v>-0</v>
      </c>
      <c r="BF66" s="56" t="n">
        <f aca="false">BF64+BF54+BF65</f>
        <v>-0</v>
      </c>
      <c r="BG66" s="56" t="n">
        <f aca="false">BG64+BG54+BG65</f>
        <v>-0</v>
      </c>
      <c r="BH66" s="56" t="n">
        <f aca="false">BH64+BH54+BH65</f>
        <v>-0</v>
      </c>
      <c r="BI66" s="56" t="n">
        <f aca="false">BI64+BI54+BI65</f>
        <v>-0</v>
      </c>
      <c r="BJ66" s="56" t="n">
        <f aca="false">BJ64+BJ54+BJ65</f>
        <v>-0</v>
      </c>
      <c r="BK66" s="56" t="n">
        <f aca="false">BK64+BK54+BK65</f>
        <v>-0</v>
      </c>
      <c r="BL66" s="56" t="n">
        <f aca="false">BL64+BL54+BL65</f>
        <v>-0</v>
      </c>
      <c r="BM66" s="56" t="n">
        <f aca="false">BM64+BM54+BM65</f>
        <v>-0</v>
      </c>
      <c r="BN66" s="56" t="n">
        <f aca="false">BN64+BN54+BN65</f>
        <v>-0</v>
      </c>
      <c r="BO66" s="56" t="n">
        <f aca="false">BO64+BO54+BO65</f>
        <v>-0</v>
      </c>
      <c r="BP66" s="56" t="n">
        <f aca="false">BP64+BP54+BP65</f>
        <v>-0</v>
      </c>
      <c r="BQ66" s="56" t="n">
        <f aca="false">BQ64+BQ54+BQ65</f>
        <v>-0</v>
      </c>
      <c r="BR66" s="56" t="n">
        <f aca="false">BR64+BR54+BR65</f>
        <v>-0</v>
      </c>
      <c r="BS66" s="56" t="n">
        <f aca="false">BS64+BS54+BS65</f>
        <v>-0</v>
      </c>
      <c r="BT66" s="56" t="n">
        <f aca="false">BT64+BT54+BT65</f>
        <v>-0</v>
      </c>
      <c r="BU66" s="56" t="n">
        <f aca="false">BU64+BU54+BU65</f>
        <v>-0</v>
      </c>
      <c r="BV66" s="56" t="n">
        <f aca="false">BV64+BV54+BV65</f>
        <v>-0</v>
      </c>
      <c r="BW66" s="56" t="n">
        <f aca="false">BW64+BW54+BW65</f>
        <v>-0</v>
      </c>
      <c r="BX66" s="56" t="n">
        <f aca="false">BX64+BX54+BX65</f>
        <v>-0</v>
      </c>
      <c r="BY66" s="56" t="n">
        <f aca="false">BY64+BY54+BY65</f>
        <v>-0</v>
      </c>
      <c r="BZ66" s="56" t="n">
        <f aca="false">BZ64+BZ54+BZ65</f>
        <v>-0</v>
      </c>
      <c r="CA66" s="56" t="n">
        <f aca="false">CA64+CA54+CA65</f>
        <v>-0</v>
      </c>
      <c r="CB66" s="56" t="n">
        <f aca="false">CB64+CB54+CB65</f>
        <v>-0</v>
      </c>
      <c r="CC66" s="56" t="n">
        <f aca="false">CC64+CC54+CC65</f>
        <v>-0</v>
      </c>
      <c r="CD66" s="56" t="n">
        <f aca="false">CD64+CD54+CD65</f>
        <v>-0</v>
      </c>
      <c r="CE66" s="56" t="n">
        <f aca="false">CE64+CE54+CE65</f>
        <v>-0</v>
      </c>
      <c r="CF66" s="56" t="n">
        <f aca="false">CF64+CF54+CF65</f>
        <v>-0</v>
      </c>
      <c r="CG66" s="56" t="n">
        <f aca="false">CG64+CG54+CG65</f>
        <v>-0</v>
      </c>
      <c r="CH66" s="56" t="n">
        <f aca="false">CH64+CH54+CH65</f>
        <v>-0</v>
      </c>
      <c r="CI66" s="56" t="n">
        <f aca="false">CI64+CI54+CI65</f>
        <v>-0</v>
      </c>
      <c r="CJ66" s="56" t="n">
        <f aca="false">CJ64+CJ54+CJ65</f>
        <v>-0</v>
      </c>
      <c r="CK66" s="56" t="n">
        <f aca="false">CK64+CK54+CK65</f>
        <v>-0</v>
      </c>
      <c r="CL66" s="56" t="n">
        <f aca="false">CL64+CL54+CL65</f>
        <v>-0</v>
      </c>
      <c r="CM66" s="56" t="n">
        <f aca="false">CM64+CM54+CM65</f>
        <v>-0</v>
      </c>
      <c r="CN66" s="56" t="n">
        <f aca="false">CN64+CN54+CN65</f>
        <v>-0</v>
      </c>
      <c r="CO66" s="56" t="n">
        <f aca="false">CO64+CO54+CO65</f>
        <v>-0</v>
      </c>
      <c r="CP66" s="56" t="n">
        <f aca="false">CP64+CP54+CP65</f>
        <v>-0</v>
      </c>
      <c r="CQ66" s="56" t="n">
        <f aca="false">CQ64+CQ54+CQ65</f>
        <v>-0</v>
      </c>
      <c r="CR66" s="56" t="n">
        <f aca="false">CR64+CR54+CR65</f>
        <v>-0</v>
      </c>
      <c r="CS66" s="56" t="n">
        <f aca="false">CS64+CS54+CS65</f>
        <v>-0</v>
      </c>
      <c r="CT66" s="56" t="n">
        <f aca="false">CT64+CT54+CT65</f>
        <v>-0</v>
      </c>
      <c r="CU66" s="56" t="n">
        <f aca="false">CU64+CU54+CU65</f>
        <v>-0</v>
      </c>
      <c r="CV66" s="56" t="n">
        <f aca="false">CV64+CV54+CV65</f>
        <v>-0</v>
      </c>
      <c r="CW66" s="56" t="n">
        <f aca="false">CW64+CW54+CW65</f>
        <v>-0</v>
      </c>
      <c r="CX66" s="56" t="n">
        <f aca="false">CX64+CX54+CX65</f>
        <v>-0</v>
      </c>
      <c r="CY66" s="56" t="n">
        <f aca="false">CY64+CY54+CY65</f>
        <v>-0</v>
      </c>
      <c r="CZ66" s="56" t="n">
        <f aca="false">CZ64+CZ54+CZ65</f>
        <v>-0</v>
      </c>
      <c r="DA66" s="56" t="n">
        <f aca="false">DA64+DA54+DA65</f>
        <v>-0</v>
      </c>
      <c r="DB66" s="56" t="n">
        <f aca="false">DB64+DB54+DB65</f>
        <v>-0</v>
      </c>
      <c r="DC66" s="56" t="n">
        <f aca="false">DC64+DC54+DC65</f>
        <v>-0</v>
      </c>
      <c r="DD66" s="56" t="n">
        <f aca="false">DD64+DD54+DD65</f>
        <v>-0</v>
      </c>
      <c r="DE66" s="56" t="n">
        <f aca="false">DE64+DE54+DE65</f>
        <v>-0</v>
      </c>
      <c r="DF66" s="56" t="n">
        <f aca="false">DF64+DF54+DF65</f>
        <v>-0</v>
      </c>
      <c r="DG66" s="56" t="n">
        <f aca="false">DG64+DG54+DG65</f>
        <v>-0</v>
      </c>
      <c r="DH66" s="56" t="n">
        <f aca="false">DH64+DH54+DH65</f>
        <v>-0</v>
      </c>
      <c r="DI66" s="56" t="n">
        <f aca="false">DI64+DI54+DI65</f>
        <v>-0</v>
      </c>
      <c r="DJ66" s="56" t="n">
        <f aca="false">DJ64+DJ54+DJ65</f>
        <v>-0</v>
      </c>
      <c r="DK66" s="56" t="n">
        <f aca="false">DK64+DK54+DK65</f>
        <v>-0</v>
      </c>
      <c r="DL66" s="56" t="n">
        <f aca="false">DL64+DL54+DL65</f>
        <v>-0</v>
      </c>
      <c r="DM66" s="56" t="n">
        <f aca="false">DM64+DM54+DM65</f>
        <v>-0</v>
      </c>
      <c r="DN66" s="56" t="n">
        <f aca="false">DN64+DN54+DN65</f>
        <v>-0</v>
      </c>
      <c r="DO66" s="56" t="n">
        <f aca="false">DO64+DO54+DO65</f>
        <v>-0</v>
      </c>
      <c r="DP66" s="56" t="n">
        <f aca="false">DP64+DP54+DP65</f>
        <v>-0</v>
      </c>
      <c r="DQ66" s="56" t="n">
        <f aca="false">DQ64+DQ54+DQ65</f>
        <v>-0</v>
      </c>
      <c r="DR66" s="56" t="n">
        <f aca="false">DR64+DR54+DR65</f>
        <v>-0</v>
      </c>
      <c r="DS66" s="56" t="n">
        <f aca="false">DS64+DS54+DS65</f>
        <v>-0</v>
      </c>
      <c r="DT66" s="56" t="n">
        <f aca="false">DT64+DT54+DT65</f>
        <v>-0</v>
      </c>
      <c r="DU66" s="56" t="n">
        <f aca="false">DU64+DU54+DU65</f>
        <v>-0</v>
      </c>
      <c r="DV66" s="56" t="n">
        <f aca="false">DV64+DV54+DV65</f>
        <v>-0</v>
      </c>
      <c r="DW66" s="56" t="n">
        <f aca="false">DW64+DW54+DW65</f>
        <v>-0</v>
      </c>
      <c r="DX66" s="56" t="n">
        <f aca="false">DX64+DX54+DX65</f>
        <v>-0</v>
      </c>
      <c r="DY66" s="56" t="n">
        <f aca="false">DY64+DY54+DY65</f>
        <v>-0</v>
      </c>
      <c r="DZ66" s="56" t="n">
        <f aca="false">DZ64+DZ54+DZ65</f>
        <v>-0</v>
      </c>
      <c r="EA66" s="56" t="n">
        <f aca="false">EA64+EA54+EA65</f>
        <v>-0</v>
      </c>
      <c r="EB66" s="56" t="n">
        <f aca="false">EB64+EB54+EB65</f>
        <v>-0</v>
      </c>
      <c r="EC66" s="56" t="n">
        <f aca="false">EC64+EC54+EC65</f>
        <v>-0</v>
      </c>
      <c r="ED66" s="56" t="n">
        <f aca="false">ED64+ED54+ED65</f>
        <v>-0</v>
      </c>
      <c r="EE66" s="56" t="n">
        <f aca="false">EE64+EE54+EE65</f>
        <v>-0</v>
      </c>
      <c r="EF66" s="56" t="n">
        <f aca="false">EF64+EF54+EF65</f>
        <v>-0</v>
      </c>
      <c r="EG66" s="56" t="n">
        <f aca="false">EG64+EG54+EG65</f>
        <v>-0</v>
      </c>
      <c r="EH66" s="56" t="n">
        <f aca="false">EH64+EH54+EH65</f>
        <v>-0</v>
      </c>
      <c r="EI66" s="56" t="n">
        <f aca="false">EI64+EI54+EI65</f>
        <v>-0</v>
      </c>
      <c r="EJ66" s="56" t="n">
        <f aca="false">EJ64+EJ54+EJ65</f>
        <v>-0</v>
      </c>
      <c r="EK66" s="56" t="n">
        <f aca="false">EK64+EK54+EK65</f>
        <v>-0</v>
      </c>
      <c r="EL66" s="56" t="n">
        <f aca="false">EL64+EL54+EL65</f>
        <v>-0</v>
      </c>
      <c r="EM66" s="56" t="n">
        <f aca="false">EM64+EM54+EM65</f>
        <v>-0</v>
      </c>
      <c r="EN66" s="56" t="n">
        <f aca="false">EN64+EN54+EN65</f>
        <v>-0</v>
      </c>
      <c r="EO66" s="56" t="n">
        <f aca="false">EO64+EO54+EO65</f>
        <v>-0</v>
      </c>
    </row>
    <row r="68" customFormat="false" ht="15" hidden="false" customHeight="false" outlineLevel="0" collapsed="false">
      <c r="A68" s="9" t="s">
        <v>13</v>
      </c>
      <c r="B68" s="9"/>
      <c r="C68" s="9" t="s">
        <v>290</v>
      </c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</row>
    <row r="69" customFormat="false" ht="15" hidden="false" customHeight="false" outlineLevel="0" collapsed="false">
      <c r="C69" s="0" t="s">
        <v>419</v>
      </c>
      <c r="D69" s="11" t="s">
        <v>368</v>
      </c>
      <c r="J69" s="54" t="n">
        <f aca="false">(1+In_Opex_Esc)^(J$7-YEAR(In_COD))</f>
        <v>0.905950644799755</v>
      </c>
      <c r="K69" s="54" t="n">
        <f aca="false">(1+In_Opex_Esc)^(K$7-YEAR(In_COD))</f>
        <v>0.928599410919749</v>
      </c>
      <c r="L69" s="54" t="n">
        <f aca="false">(1+In_Opex_Esc)^(L$7-YEAR(In_COD))</f>
        <v>0.928599410919749</v>
      </c>
      <c r="M69" s="54" t="n">
        <f aca="false">(1+In_Opex_Esc)^(M$7-YEAR(In_COD))</f>
        <v>0.928599410919749</v>
      </c>
      <c r="N69" s="54" t="n">
        <f aca="false">(1+In_Opex_Esc)^(N$7-YEAR(In_COD))</f>
        <v>0.928599410919749</v>
      </c>
      <c r="O69" s="54" t="n">
        <f aca="false">(1+In_Opex_Esc)^(O$7-YEAR(In_COD))</f>
        <v>0.951814396192743</v>
      </c>
      <c r="P69" s="54" t="n">
        <f aca="false">(1+In_Opex_Esc)^(P$7-YEAR(In_COD))</f>
        <v>0.951814396192743</v>
      </c>
      <c r="Q69" s="54" t="n">
        <f aca="false">(1+In_Opex_Esc)^(Q$7-YEAR(In_COD))</f>
        <v>0.951814396192743</v>
      </c>
      <c r="R69" s="54" t="n">
        <f aca="false">(1+In_Opex_Esc)^(R$7-YEAR(In_COD))</f>
        <v>0.951814396192743</v>
      </c>
      <c r="S69" s="54" t="n">
        <f aca="false">(1+In_Opex_Esc)^(S$7-YEAR(In_COD))</f>
        <v>0.975609756097561</v>
      </c>
      <c r="T69" s="54" t="n">
        <f aca="false">(1+In_Opex_Esc)^(T$7-YEAR(In_COD))</f>
        <v>0.975609756097561</v>
      </c>
      <c r="U69" s="54" t="n">
        <f aca="false">(1+In_Opex_Esc)^(U$7-YEAR(In_COD))</f>
        <v>0.975609756097561</v>
      </c>
      <c r="V69" s="54" t="n">
        <f aca="false">(1+In_Opex_Esc)^(V$7-YEAR(In_COD))</f>
        <v>0.975609756097561</v>
      </c>
      <c r="W69" s="54" t="n">
        <f aca="false">(1+In_Opex_Esc)^(W$7-YEAR(In_COD))</f>
        <v>1</v>
      </c>
      <c r="X69" s="54" t="n">
        <f aca="false">(1+In_Opex_Esc)^(X$7-YEAR(In_COD))</f>
        <v>1</v>
      </c>
      <c r="Y69" s="54" t="n">
        <f aca="false">(1+In_Opex_Esc)^(Y$7-YEAR(In_COD))</f>
        <v>1</v>
      </c>
      <c r="Z69" s="54" t="n">
        <f aca="false">(1+In_Opex_Esc)^(Z$7-YEAR(In_COD))</f>
        <v>1</v>
      </c>
      <c r="AA69" s="54" t="n">
        <f aca="false">(1+In_Opex_Esc)^(AA$7-YEAR(In_COD))</f>
        <v>1.025</v>
      </c>
      <c r="AB69" s="54" t="n">
        <f aca="false">(1+In_Opex_Esc)^(AB$7-YEAR(In_COD))</f>
        <v>1.025</v>
      </c>
      <c r="AC69" s="54" t="n">
        <f aca="false">(1+In_Opex_Esc)^(AC$7-YEAR(In_COD))</f>
        <v>1.025</v>
      </c>
      <c r="AD69" s="54" t="n">
        <f aca="false">(1+In_Opex_Esc)^(AD$7-YEAR(In_COD))</f>
        <v>1.025</v>
      </c>
      <c r="AE69" s="54" t="n">
        <f aca="false">(1+In_Opex_Esc)^(AE$7-YEAR(In_COD))</f>
        <v>1.050625</v>
      </c>
      <c r="AF69" s="54" t="n">
        <f aca="false">(1+In_Opex_Esc)^(AF$7-YEAR(In_COD))</f>
        <v>1.050625</v>
      </c>
      <c r="AG69" s="54" t="n">
        <f aca="false">(1+In_Opex_Esc)^(AG$7-YEAR(In_COD))</f>
        <v>1.050625</v>
      </c>
      <c r="AH69" s="54" t="n">
        <f aca="false">(1+In_Opex_Esc)^(AH$7-YEAR(In_COD))</f>
        <v>1.050625</v>
      </c>
      <c r="AI69" s="54" t="n">
        <f aca="false">(1+In_Opex_Esc)^(AI$7-YEAR(In_COD))</f>
        <v>1.076890625</v>
      </c>
      <c r="AJ69" s="54" t="n">
        <f aca="false">(1+In_Opex_Esc)^(AJ$7-YEAR(In_COD))</f>
        <v>1.076890625</v>
      </c>
      <c r="AK69" s="54" t="n">
        <f aca="false">(1+In_Opex_Esc)^(AK$7-YEAR(In_COD))</f>
        <v>1.076890625</v>
      </c>
      <c r="AL69" s="54" t="n">
        <f aca="false">(1+In_Opex_Esc)^(AL$7-YEAR(In_COD))</f>
        <v>1.076890625</v>
      </c>
      <c r="AM69" s="54" t="n">
        <f aca="false">(1+In_Opex_Esc)^(AM$7-YEAR(In_COD))</f>
        <v>1.103812890625</v>
      </c>
      <c r="AN69" s="54" t="n">
        <f aca="false">(1+In_Opex_Esc)^(AN$7-YEAR(In_COD))</f>
        <v>1.103812890625</v>
      </c>
      <c r="AO69" s="54" t="n">
        <f aca="false">(1+In_Opex_Esc)^(AO$7-YEAR(In_COD))</f>
        <v>1.103812890625</v>
      </c>
      <c r="AP69" s="54" t="n">
        <f aca="false">(1+In_Opex_Esc)^(AP$7-YEAR(In_COD))</f>
        <v>1.103812890625</v>
      </c>
      <c r="AQ69" s="54" t="n">
        <f aca="false">(1+In_Opex_Esc)^(AQ$7-YEAR(In_COD))</f>
        <v>1.13140821289062</v>
      </c>
      <c r="AR69" s="54" t="n">
        <f aca="false">(1+In_Opex_Esc)^(AR$7-YEAR(In_COD))</f>
        <v>1.13140821289062</v>
      </c>
      <c r="AS69" s="54" t="n">
        <f aca="false">(1+In_Opex_Esc)^(AS$7-YEAR(In_COD))</f>
        <v>1.13140821289062</v>
      </c>
      <c r="AT69" s="54" t="n">
        <f aca="false">(1+In_Opex_Esc)^(AT$7-YEAR(In_COD))</f>
        <v>1.13140821289062</v>
      </c>
      <c r="AU69" s="54" t="n">
        <f aca="false">(1+In_Opex_Esc)^(AU$7-YEAR(In_COD))</f>
        <v>1.15969341821289</v>
      </c>
      <c r="AV69" s="54" t="n">
        <f aca="false">(1+In_Opex_Esc)^(AV$7-YEAR(In_COD))</f>
        <v>1.15969341821289</v>
      </c>
      <c r="AW69" s="54" t="n">
        <f aca="false">(1+In_Opex_Esc)^(AW$7-YEAR(In_COD))</f>
        <v>1.15969341821289</v>
      </c>
      <c r="AX69" s="54" t="n">
        <f aca="false">(1+In_Opex_Esc)^(AX$7-YEAR(In_COD))</f>
        <v>1.15969341821289</v>
      </c>
      <c r="AY69" s="54" t="n">
        <f aca="false">(1+In_Opex_Esc)^(AY$7-YEAR(In_COD))</f>
        <v>1.18868575366821</v>
      </c>
      <c r="AZ69" s="54" t="n">
        <f aca="false">(1+In_Opex_Esc)^(AZ$7-YEAR(In_COD))</f>
        <v>1.18868575366821</v>
      </c>
      <c r="BA69" s="54" t="n">
        <f aca="false">(1+In_Opex_Esc)^(BA$7-YEAR(In_COD))</f>
        <v>1.18868575366821</v>
      </c>
      <c r="BB69" s="54" t="n">
        <f aca="false">(1+In_Opex_Esc)^(BB$7-YEAR(In_COD))</f>
        <v>1.18868575366821</v>
      </c>
      <c r="BC69" s="54" t="n">
        <f aca="false">(1+In_Opex_Esc)^(BC$7-YEAR(In_COD))</f>
        <v>1.21840289750992</v>
      </c>
      <c r="BD69" s="54" t="n">
        <f aca="false">(1+In_Opex_Esc)^(BD$7-YEAR(In_COD))</f>
        <v>1.21840289750992</v>
      </c>
      <c r="BE69" s="54" t="n">
        <f aca="false">(1+In_Opex_Esc)^(BE$7-YEAR(In_COD))</f>
        <v>1.21840289750992</v>
      </c>
      <c r="BF69" s="54" t="n">
        <f aca="false">(1+In_Opex_Esc)^(BF$7-YEAR(In_COD))</f>
        <v>1.21840289750992</v>
      </c>
      <c r="BG69" s="54" t="n">
        <f aca="false">(1+In_Opex_Esc)^(BG$7-YEAR(In_COD))</f>
        <v>1.24886296994767</v>
      </c>
      <c r="BH69" s="54" t="n">
        <f aca="false">(1+In_Opex_Esc)^(BH$7-YEAR(In_COD))</f>
        <v>1.24886296994767</v>
      </c>
      <c r="BI69" s="54" t="n">
        <f aca="false">(1+In_Opex_Esc)^(BI$7-YEAR(In_COD))</f>
        <v>1.24886296994767</v>
      </c>
      <c r="BJ69" s="54" t="n">
        <f aca="false">(1+In_Opex_Esc)^(BJ$7-YEAR(In_COD))</f>
        <v>1.24886296994767</v>
      </c>
      <c r="BK69" s="54" t="n">
        <f aca="false">(1+In_Opex_Esc)^(BK$7-YEAR(In_COD))</f>
        <v>1.28008454419636</v>
      </c>
      <c r="BL69" s="54" t="n">
        <f aca="false">(1+In_Opex_Esc)^(BL$7-YEAR(In_COD))</f>
        <v>1.28008454419636</v>
      </c>
      <c r="BM69" s="54" t="n">
        <f aca="false">(1+In_Opex_Esc)^(BM$7-YEAR(In_COD))</f>
        <v>1.28008454419636</v>
      </c>
      <c r="BN69" s="54" t="n">
        <f aca="false">(1+In_Opex_Esc)^(BN$7-YEAR(In_COD))</f>
        <v>1.28008454419636</v>
      </c>
      <c r="BO69" s="54" t="n">
        <f aca="false">(1+In_Opex_Esc)^(BO$7-YEAR(In_COD))</f>
        <v>1.31208665780127</v>
      </c>
      <c r="BP69" s="54" t="n">
        <f aca="false">(1+In_Opex_Esc)^(BP$7-YEAR(In_COD))</f>
        <v>1.31208665780127</v>
      </c>
      <c r="BQ69" s="54" t="n">
        <f aca="false">(1+In_Opex_Esc)^(BQ$7-YEAR(In_COD))</f>
        <v>1.31208665780127</v>
      </c>
      <c r="BR69" s="54" t="n">
        <f aca="false">(1+In_Opex_Esc)^(BR$7-YEAR(In_COD))</f>
        <v>1.31208665780127</v>
      </c>
      <c r="BS69" s="54" t="n">
        <f aca="false">(1+In_Opex_Esc)^(BS$7-YEAR(In_COD))</f>
        <v>1.3448888242463</v>
      </c>
      <c r="BT69" s="54" t="n">
        <f aca="false">(1+In_Opex_Esc)^(BT$7-YEAR(In_COD))</f>
        <v>1.3448888242463</v>
      </c>
      <c r="BU69" s="54" t="n">
        <f aca="false">(1+In_Opex_Esc)^(BU$7-YEAR(In_COD))</f>
        <v>1.3448888242463</v>
      </c>
      <c r="BV69" s="54" t="n">
        <f aca="false">(1+In_Opex_Esc)^(BV$7-YEAR(In_COD))</f>
        <v>1.3448888242463</v>
      </c>
      <c r="BW69" s="54" t="n">
        <f aca="false">(1+In_Opex_Esc)^(BW$7-YEAR(In_COD))</f>
        <v>1.37851104485245</v>
      </c>
      <c r="BX69" s="54" t="n">
        <f aca="false">(1+In_Opex_Esc)^(BX$7-YEAR(In_COD))</f>
        <v>1.37851104485245</v>
      </c>
      <c r="BY69" s="54" t="n">
        <f aca="false">(1+In_Opex_Esc)^(BY$7-YEAR(In_COD))</f>
        <v>1.37851104485245</v>
      </c>
      <c r="BZ69" s="54" t="n">
        <f aca="false">(1+In_Opex_Esc)^(BZ$7-YEAR(In_COD))</f>
        <v>1.37851104485245</v>
      </c>
      <c r="CA69" s="54" t="n">
        <f aca="false">(1+In_Opex_Esc)^(CA$7-YEAR(In_COD))</f>
        <v>1.41297382097377</v>
      </c>
      <c r="CB69" s="54" t="n">
        <f aca="false">(1+In_Opex_Esc)^(CB$7-YEAR(In_COD))</f>
        <v>1.41297382097377</v>
      </c>
      <c r="CC69" s="54" t="n">
        <f aca="false">(1+In_Opex_Esc)^(CC$7-YEAR(In_COD))</f>
        <v>1.41297382097377</v>
      </c>
      <c r="CD69" s="54" t="n">
        <f aca="false">(1+In_Opex_Esc)^(CD$7-YEAR(In_COD))</f>
        <v>1.41297382097377</v>
      </c>
      <c r="CE69" s="54" t="n">
        <f aca="false">(1+In_Opex_Esc)^(CE$7-YEAR(In_COD))</f>
        <v>1.44829816649811</v>
      </c>
      <c r="CF69" s="54" t="n">
        <f aca="false">(1+In_Opex_Esc)^(CF$7-YEAR(In_COD))</f>
        <v>1.44829816649811</v>
      </c>
      <c r="CG69" s="54" t="n">
        <f aca="false">(1+In_Opex_Esc)^(CG$7-YEAR(In_COD))</f>
        <v>1.44829816649811</v>
      </c>
      <c r="CH69" s="54" t="n">
        <f aca="false">(1+In_Opex_Esc)^(CH$7-YEAR(In_COD))</f>
        <v>1.44829816649811</v>
      </c>
      <c r="CI69" s="54" t="n">
        <f aca="false">(1+In_Opex_Esc)^(CI$7-YEAR(In_COD))</f>
        <v>1.48450562066056</v>
      </c>
      <c r="CJ69" s="54" t="n">
        <f aca="false">(1+In_Opex_Esc)^(CJ$7-YEAR(In_COD))</f>
        <v>1.48450562066056</v>
      </c>
      <c r="CK69" s="54" t="n">
        <f aca="false">(1+In_Opex_Esc)^(CK$7-YEAR(In_COD))</f>
        <v>1.48450562066056</v>
      </c>
      <c r="CL69" s="54" t="n">
        <f aca="false">(1+In_Opex_Esc)^(CL$7-YEAR(In_COD))</f>
        <v>1.48450562066056</v>
      </c>
      <c r="CM69" s="54" t="n">
        <f aca="false">(1+In_Opex_Esc)^(CM$7-YEAR(In_COD))</f>
        <v>1.52161826117708</v>
      </c>
      <c r="CN69" s="54" t="n">
        <f aca="false">(1+In_Opex_Esc)^(CN$7-YEAR(In_COD))</f>
        <v>1.52161826117708</v>
      </c>
      <c r="CO69" s="54" t="n">
        <f aca="false">(1+In_Opex_Esc)^(CO$7-YEAR(In_COD))</f>
        <v>1.52161826117708</v>
      </c>
      <c r="CP69" s="54" t="n">
        <f aca="false">(1+In_Opex_Esc)^(CP$7-YEAR(In_COD))</f>
        <v>1.52161826117708</v>
      </c>
      <c r="CQ69" s="54" t="n">
        <f aca="false">(1+In_Opex_Esc)^(CQ$7-YEAR(In_COD))</f>
        <v>1.5596587177065</v>
      </c>
      <c r="CR69" s="54" t="n">
        <f aca="false">(1+In_Opex_Esc)^(CR$7-YEAR(In_COD))</f>
        <v>1.5596587177065</v>
      </c>
      <c r="CS69" s="54" t="n">
        <f aca="false">(1+In_Opex_Esc)^(CS$7-YEAR(In_COD))</f>
        <v>1.5596587177065</v>
      </c>
      <c r="CT69" s="54" t="n">
        <f aca="false">(1+In_Opex_Esc)^(CT$7-YEAR(In_COD))</f>
        <v>1.5596587177065</v>
      </c>
      <c r="CU69" s="54" t="n">
        <f aca="false">(1+In_Opex_Esc)^(CU$7-YEAR(In_COD))</f>
        <v>1.59865018564917</v>
      </c>
      <c r="CV69" s="54" t="n">
        <f aca="false">(1+In_Opex_Esc)^(CV$7-YEAR(In_COD))</f>
        <v>1.59865018564917</v>
      </c>
      <c r="CW69" s="54" t="n">
        <f aca="false">(1+In_Opex_Esc)^(CW$7-YEAR(In_COD))</f>
        <v>1.59865018564917</v>
      </c>
      <c r="CX69" s="54" t="n">
        <f aca="false">(1+In_Opex_Esc)^(CX$7-YEAR(In_COD))</f>
        <v>1.59865018564917</v>
      </c>
      <c r="CY69" s="54" t="n">
        <f aca="false">(1+In_Opex_Esc)^(CY$7-YEAR(In_COD))</f>
        <v>1.63861644029039</v>
      </c>
      <c r="CZ69" s="54" t="n">
        <f aca="false">(1+In_Opex_Esc)^(CZ$7-YEAR(In_COD))</f>
        <v>1.63861644029039</v>
      </c>
      <c r="DA69" s="54" t="n">
        <f aca="false">(1+In_Opex_Esc)^(DA$7-YEAR(In_COD))</f>
        <v>1.63861644029039</v>
      </c>
      <c r="DB69" s="54" t="n">
        <f aca="false">(1+In_Opex_Esc)^(DB$7-YEAR(In_COD))</f>
        <v>1.63861644029039</v>
      </c>
      <c r="DC69" s="54" t="n">
        <f aca="false">(1+In_Opex_Esc)^(DC$7-YEAR(In_COD))</f>
        <v>1.67958185129765</v>
      </c>
      <c r="DD69" s="54" t="n">
        <f aca="false">(1+In_Opex_Esc)^(DD$7-YEAR(In_COD))</f>
        <v>1.67958185129765</v>
      </c>
      <c r="DE69" s="54" t="n">
        <f aca="false">(1+In_Opex_Esc)^(DE$7-YEAR(In_COD))</f>
        <v>1.67958185129765</v>
      </c>
      <c r="DF69" s="54" t="n">
        <f aca="false">(1+In_Opex_Esc)^(DF$7-YEAR(In_COD))</f>
        <v>1.67958185129765</v>
      </c>
      <c r="DG69" s="54" t="n">
        <f aca="false">(1+In_Opex_Esc)^(DG$7-YEAR(In_COD))</f>
        <v>1.7215713975801</v>
      </c>
      <c r="DH69" s="54" t="n">
        <f aca="false">(1+In_Opex_Esc)^(DH$7-YEAR(In_COD))</f>
        <v>1.7215713975801</v>
      </c>
      <c r="DI69" s="54" t="n">
        <f aca="false">(1+In_Opex_Esc)^(DI$7-YEAR(In_COD))</f>
        <v>1.7215713975801</v>
      </c>
      <c r="DJ69" s="54" t="n">
        <f aca="false">(1+In_Opex_Esc)^(DJ$7-YEAR(In_COD))</f>
        <v>1.7215713975801</v>
      </c>
      <c r="DK69" s="54" t="n">
        <f aca="false">(1+In_Opex_Esc)^(DK$7-YEAR(In_COD))</f>
        <v>1.7646106825196</v>
      </c>
      <c r="DL69" s="54" t="n">
        <f aca="false">(1+In_Opex_Esc)^(DL$7-YEAR(In_COD))</f>
        <v>1.7646106825196</v>
      </c>
      <c r="DM69" s="54" t="n">
        <f aca="false">(1+In_Opex_Esc)^(DM$7-YEAR(In_COD))</f>
        <v>1.7646106825196</v>
      </c>
      <c r="DN69" s="54" t="n">
        <f aca="false">(1+In_Opex_Esc)^(DN$7-YEAR(In_COD))</f>
        <v>1.7646106825196</v>
      </c>
      <c r="DO69" s="54" t="n">
        <f aca="false">(1+In_Opex_Esc)^(DO$7-YEAR(In_COD))</f>
        <v>1.80872594958259</v>
      </c>
      <c r="DP69" s="54" t="n">
        <f aca="false">(1+In_Opex_Esc)^(DP$7-YEAR(In_COD))</f>
        <v>1.80872594958259</v>
      </c>
      <c r="DQ69" s="54" t="n">
        <f aca="false">(1+In_Opex_Esc)^(DQ$7-YEAR(In_COD))</f>
        <v>1.80872594958259</v>
      </c>
      <c r="DR69" s="54" t="n">
        <f aca="false">(1+In_Opex_Esc)^(DR$7-YEAR(In_COD))</f>
        <v>1.80872594958259</v>
      </c>
      <c r="DS69" s="54" t="n">
        <f aca="false">(1+In_Opex_Esc)^(DS$7-YEAR(In_COD))</f>
        <v>1.85394409832215</v>
      </c>
      <c r="DT69" s="54" t="n">
        <f aca="false">(1+In_Opex_Esc)^(DT$7-YEAR(In_COD))</f>
        <v>1.85394409832215</v>
      </c>
      <c r="DU69" s="54" t="n">
        <f aca="false">(1+In_Opex_Esc)^(DU$7-YEAR(In_COD))</f>
        <v>1.85394409832215</v>
      </c>
      <c r="DV69" s="54" t="n">
        <f aca="false">(1+In_Opex_Esc)^(DV$7-YEAR(In_COD))</f>
        <v>1.85394409832215</v>
      </c>
      <c r="DW69" s="54" t="n">
        <f aca="false">(1+In_Opex_Esc)^(DW$7-YEAR(In_COD))</f>
        <v>1.90029270078021</v>
      </c>
      <c r="DX69" s="54" t="n">
        <f aca="false">(1+In_Opex_Esc)^(DX$7-YEAR(In_COD))</f>
        <v>1.90029270078021</v>
      </c>
      <c r="DY69" s="54" t="n">
        <f aca="false">(1+In_Opex_Esc)^(DY$7-YEAR(In_COD))</f>
        <v>1.90029270078021</v>
      </c>
      <c r="DZ69" s="54" t="n">
        <f aca="false">(1+In_Opex_Esc)^(DZ$7-YEAR(In_COD))</f>
        <v>1.90029270078021</v>
      </c>
      <c r="EA69" s="54" t="n">
        <f aca="false">(1+In_Opex_Esc)^(EA$7-YEAR(In_COD))</f>
        <v>1.94780001829971</v>
      </c>
      <c r="EB69" s="54" t="n">
        <f aca="false">(1+In_Opex_Esc)^(EB$7-YEAR(In_COD))</f>
        <v>1.94780001829971</v>
      </c>
      <c r="EC69" s="54" t="n">
        <f aca="false">(1+In_Opex_Esc)^(EC$7-YEAR(In_COD))</f>
        <v>1.94780001829971</v>
      </c>
      <c r="ED69" s="54" t="n">
        <f aca="false">(1+In_Opex_Esc)^(ED$7-YEAR(In_COD))</f>
        <v>1.94780001829971</v>
      </c>
      <c r="EE69" s="54" t="n">
        <f aca="false">(1+In_Opex_Esc)^(EE$7-YEAR(In_COD))</f>
        <v>1.9964950187572</v>
      </c>
      <c r="EF69" s="54" t="n">
        <f aca="false">(1+In_Opex_Esc)^(EF$7-YEAR(In_COD))</f>
        <v>1.9964950187572</v>
      </c>
      <c r="EG69" s="54" t="n">
        <f aca="false">(1+In_Opex_Esc)^(EG$7-YEAR(In_COD))</f>
        <v>1.9964950187572</v>
      </c>
      <c r="EH69" s="54" t="n">
        <f aca="false">(1+In_Opex_Esc)^(EH$7-YEAR(In_COD))</f>
        <v>1.9964950187572</v>
      </c>
      <c r="EI69" s="54" t="n">
        <f aca="false">(1+In_Opex_Esc)^(EI$7-YEAR(In_COD))</f>
        <v>2.04640739422613</v>
      </c>
      <c r="EJ69" s="54" t="n">
        <f aca="false">(1+In_Opex_Esc)^(EJ$7-YEAR(In_COD))</f>
        <v>2.04640739422613</v>
      </c>
      <c r="EK69" s="54" t="n">
        <f aca="false">(1+In_Opex_Esc)^(EK$7-YEAR(In_COD))</f>
        <v>2.04640739422613</v>
      </c>
      <c r="EL69" s="54" t="n">
        <f aca="false">(1+In_Opex_Esc)^(EL$7-YEAR(In_COD))</f>
        <v>2.04640739422613</v>
      </c>
      <c r="EM69" s="54" t="n">
        <f aca="false">(1+In_Opex_Esc)^(EM$7-YEAR(In_COD))</f>
        <v>2.09756757908179</v>
      </c>
      <c r="EN69" s="54" t="n">
        <f aca="false">(1+In_Opex_Esc)^(EN$7-YEAR(In_COD))</f>
        <v>2.09756757908179</v>
      </c>
      <c r="EO69" s="54" t="n">
        <f aca="false">(1+In_Opex_Esc)^(EO$7-YEAR(In_COD))</f>
        <v>2.09756757908179</v>
      </c>
    </row>
    <row r="70" customFormat="false" ht="15" hidden="false" customHeight="false" outlineLevel="0" collapsed="false">
      <c r="C70" s="0" t="s">
        <v>420</v>
      </c>
      <c r="D70" s="11" t="s">
        <v>24</v>
      </c>
      <c r="J70" s="32" t="n">
        <f aca="false">In_PPA_Price*(1+In_PPA_Esc)^(J$7-YEAR(In_COD))</f>
        <v>86.4882310034535</v>
      </c>
      <c r="K70" s="32" t="n">
        <f aca="false">In_PPA_Price*(1+In_PPA_Esc)^(K$7-YEAR(In_COD))</f>
        <v>87.353113313488</v>
      </c>
      <c r="L70" s="32" t="n">
        <f aca="false">In_PPA_Price*(1+In_PPA_Esc)^(L$7-YEAR(In_COD))</f>
        <v>87.353113313488</v>
      </c>
      <c r="M70" s="32" t="n">
        <f aca="false">In_PPA_Price*(1+In_PPA_Esc)^(M$7-YEAR(In_COD))</f>
        <v>87.353113313488</v>
      </c>
      <c r="N70" s="32" t="n">
        <f aca="false">In_PPA_Price*(1+In_PPA_Esc)^(N$7-YEAR(In_COD))</f>
        <v>87.353113313488</v>
      </c>
      <c r="O70" s="32" t="n">
        <f aca="false">In_PPA_Price*(1+In_PPA_Esc)^(O$7-YEAR(In_COD))</f>
        <v>88.2266444466229</v>
      </c>
      <c r="P70" s="32" t="n">
        <f aca="false">In_PPA_Price*(1+In_PPA_Esc)^(P$7-YEAR(In_COD))</f>
        <v>88.2266444466229</v>
      </c>
      <c r="Q70" s="32" t="n">
        <f aca="false">In_PPA_Price*(1+In_PPA_Esc)^(Q$7-YEAR(In_COD))</f>
        <v>88.2266444466229</v>
      </c>
      <c r="R70" s="32" t="n">
        <f aca="false">In_PPA_Price*(1+In_PPA_Esc)^(R$7-YEAR(In_COD))</f>
        <v>88.2266444466229</v>
      </c>
      <c r="S70" s="32" t="n">
        <f aca="false">In_PPA_Price*(1+In_PPA_Esc)^(S$7-YEAR(In_COD))</f>
        <v>89.1089108910891</v>
      </c>
      <c r="T70" s="32" t="n">
        <f aca="false">In_PPA_Price*(1+In_PPA_Esc)^(T$7-YEAR(In_COD))</f>
        <v>89.1089108910891</v>
      </c>
      <c r="U70" s="32" t="n">
        <f aca="false">In_PPA_Price*(1+In_PPA_Esc)^(U$7-YEAR(In_COD))</f>
        <v>89.1089108910891</v>
      </c>
      <c r="V70" s="32" t="n">
        <f aca="false">In_PPA_Price*(1+In_PPA_Esc)^(V$7-YEAR(In_COD))</f>
        <v>89.1089108910891</v>
      </c>
      <c r="W70" s="32" t="n">
        <f aca="false">In_PPA_Price*(1+In_PPA_Esc)^(W$7-YEAR(In_COD))</f>
        <v>90</v>
      </c>
      <c r="X70" s="32" t="n">
        <f aca="false">In_PPA_Price*(1+In_PPA_Esc)^(X$7-YEAR(In_COD))</f>
        <v>90</v>
      </c>
      <c r="Y70" s="32" t="n">
        <f aca="false">In_PPA_Price*(1+In_PPA_Esc)^(Y$7-YEAR(In_COD))</f>
        <v>90</v>
      </c>
      <c r="Z70" s="32" t="n">
        <f aca="false">In_PPA_Price*(1+In_PPA_Esc)^(Z$7-YEAR(In_COD))</f>
        <v>90</v>
      </c>
      <c r="AA70" s="32" t="n">
        <f aca="false">In_PPA_Price*(1+In_PPA_Esc)^(AA$7-YEAR(In_COD))</f>
        <v>90.9</v>
      </c>
      <c r="AB70" s="32" t="n">
        <f aca="false">In_PPA_Price*(1+In_PPA_Esc)^(AB$7-YEAR(In_COD))</f>
        <v>90.9</v>
      </c>
      <c r="AC70" s="32" t="n">
        <f aca="false">In_PPA_Price*(1+In_PPA_Esc)^(AC$7-YEAR(In_COD))</f>
        <v>90.9</v>
      </c>
      <c r="AD70" s="32" t="n">
        <f aca="false">In_PPA_Price*(1+In_PPA_Esc)^(AD$7-YEAR(In_COD))</f>
        <v>90.9</v>
      </c>
      <c r="AE70" s="32" t="n">
        <f aca="false">In_PPA_Price*(1+In_PPA_Esc)^(AE$7-YEAR(In_COD))</f>
        <v>91.809</v>
      </c>
      <c r="AF70" s="32" t="n">
        <f aca="false">In_PPA_Price*(1+In_PPA_Esc)^(AF$7-YEAR(In_COD))</f>
        <v>91.809</v>
      </c>
      <c r="AG70" s="32" t="n">
        <f aca="false">In_PPA_Price*(1+In_PPA_Esc)^(AG$7-YEAR(In_COD))</f>
        <v>91.809</v>
      </c>
      <c r="AH70" s="32" t="n">
        <f aca="false">In_PPA_Price*(1+In_PPA_Esc)^(AH$7-YEAR(In_COD))</f>
        <v>91.809</v>
      </c>
      <c r="AI70" s="32" t="n">
        <f aca="false">In_PPA_Price*(1+In_PPA_Esc)^(AI$7-YEAR(In_COD))</f>
        <v>92.72709</v>
      </c>
      <c r="AJ70" s="32" t="n">
        <f aca="false">In_PPA_Price*(1+In_PPA_Esc)^(AJ$7-YEAR(In_COD))</f>
        <v>92.72709</v>
      </c>
      <c r="AK70" s="32" t="n">
        <f aca="false">In_PPA_Price*(1+In_PPA_Esc)^(AK$7-YEAR(In_COD))</f>
        <v>92.72709</v>
      </c>
      <c r="AL70" s="32" t="n">
        <f aca="false">In_PPA_Price*(1+In_PPA_Esc)^(AL$7-YEAR(In_COD))</f>
        <v>92.72709</v>
      </c>
      <c r="AM70" s="32" t="n">
        <f aca="false">In_PPA_Price*(1+In_PPA_Esc)^(AM$7-YEAR(In_COD))</f>
        <v>93.6543609</v>
      </c>
      <c r="AN70" s="32" t="n">
        <f aca="false">In_PPA_Price*(1+In_PPA_Esc)^(AN$7-YEAR(In_COD))</f>
        <v>93.6543609</v>
      </c>
      <c r="AO70" s="32" t="n">
        <f aca="false">In_PPA_Price*(1+In_PPA_Esc)^(AO$7-YEAR(In_COD))</f>
        <v>93.6543609</v>
      </c>
      <c r="AP70" s="32" t="n">
        <f aca="false">In_PPA_Price*(1+In_PPA_Esc)^(AP$7-YEAR(In_COD))</f>
        <v>93.6543609</v>
      </c>
      <c r="AQ70" s="32" t="n">
        <f aca="false">In_PPA_Price*(1+In_PPA_Esc)^(AQ$7-YEAR(In_COD))</f>
        <v>94.590904509</v>
      </c>
      <c r="AR70" s="32" t="n">
        <f aca="false">In_PPA_Price*(1+In_PPA_Esc)^(AR$7-YEAR(In_COD))</f>
        <v>94.590904509</v>
      </c>
      <c r="AS70" s="32" t="n">
        <f aca="false">In_PPA_Price*(1+In_PPA_Esc)^(AS$7-YEAR(In_COD))</f>
        <v>94.590904509</v>
      </c>
      <c r="AT70" s="32" t="n">
        <f aca="false">In_PPA_Price*(1+In_PPA_Esc)^(AT$7-YEAR(In_COD))</f>
        <v>94.590904509</v>
      </c>
      <c r="AU70" s="32" t="n">
        <f aca="false">In_PPA_Price*(1+In_PPA_Esc)^(AU$7-YEAR(In_COD))</f>
        <v>95.53681355409</v>
      </c>
      <c r="AV70" s="32" t="n">
        <f aca="false">In_PPA_Price*(1+In_PPA_Esc)^(AV$7-YEAR(In_COD))</f>
        <v>95.53681355409</v>
      </c>
      <c r="AW70" s="32" t="n">
        <f aca="false">In_PPA_Price*(1+In_PPA_Esc)^(AW$7-YEAR(In_COD))</f>
        <v>95.53681355409</v>
      </c>
      <c r="AX70" s="32" t="n">
        <f aca="false">In_PPA_Price*(1+In_PPA_Esc)^(AX$7-YEAR(In_COD))</f>
        <v>95.53681355409</v>
      </c>
      <c r="AY70" s="32" t="n">
        <f aca="false">In_PPA_Price*(1+In_PPA_Esc)^(AY$7-YEAR(In_COD))</f>
        <v>96.4921816896309</v>
      </c>
      <c r="AZ70" s="32" t="n">
        <f aca="false">In_PPA_Price*(1+In_PPA_Esc)^(AZ$7-YEAR(In_COD))</f>
        <v>96.4921816896309</v>
      </c>
      <c r="BA70" s="32" t="n">
        <f aca="false">In_PPA_Price*(1+In_PPA_Esc)^(BA$7-YEAR(In_COD))</f>
        <v>96.4921816896309</v>
      </c>
      <c r="BB70" s="32" t="n">
        <f aca="false">In_PPA_Price*(1+In_PPA_Esc)^(BB$7-YEAR(In_COD))</f>
        <v>96.4921816896309</v>
      </c>
      <c r="BC70" s="32" t="n">
        <f aca="false">In_PPA_Price*(1+In_PPA_Esc)^(BC$7-YEAR(In_COD))</f>
        <v>97.4571035065272</v>
      </c>
      <c r="BD70" s="32" t="n">
        <f aca="false">In_PPA_Price*(1+In_PPA_Esc)^(BD$7-YEAR(In_COD))</f>
        <v>97.4571035065272</v>
      </c>
      <c r="BE70" s="32" t="n">
        <f aca="false">In_PPA_Price*(1+In_PPA_Esc)^(BE$7-YEAR(In_COD))</f>
        <v>97.4571035065272</v>
      </c>
      <c r="BF70" s="32" t="n">
        <f aca="false">In_PPA_Price*(1+In_PPA_Esc)^(BF$7-YEAR(In_COD))</f>
        <v>97.4571035065272</v>
      </c>
      <c r="BG70" s="32" t="n">
        <f aca="false">In_PPA_Price*(1+In_PPA_Esc)^(BG$7-YEAR(In_COD))</f>
        <v>98.4316745415925</v>
      </c>
      <c r="BH70" s="32" t="n">
        <f aca="false">In_PPA_Price*(1+In_PPA_Esc)^(BH$7-YEAR(In_COD))</f>
        <v>98.4316745415925</v>
      </c>
      <c r="BI70" s="32" t="n">
        <f aca="false">In_PPA_Price*(1+In_PPA_Esc)^(BI$7-YEAR(In_COD))</f>
        <v>98.4316745415925</v>
      </c>
      <c r="BJ70" s="32" t="n">
        <f aca="false">In_PPA_Price*(1+In_PPA_Esc)^(BJ$7-YEAR(In_COD))</f>
        <v>98.4316745415925</v>
      </c>
      <c r="BK70" s="32" t="n">
        <f aca="false">In_PPA_Price*(1+In_PPA_Esc)^(BK$7-YEAR(In_COD))</f>
        <v>99.4159912870084</v>
      </c>
      <c r="BL70" s="32" t="n">
        <f aca="false">In_PPA_Price*(1+In_PPA_Esc)^(BL$7-YEAR(In_COD))</f>
        <v>99.4159912870084</v>
      </c>
      <c r="BM70" s="32" t="n">
        <f aca="false">In_PPA_Price*(1+In_PPA_Esc)^(BM$7-YEAR(In_COD))</f>
        <v>99.4159912870084</v>
      </c>
      <c r="BN70" s="32" t="n">
        <f aca="false">In_PPA_Price*(1+In_PPA_Esc)^(BN$7-YEAR(In_COD))</f>
        <v>99.4159912870084</v>
      </c>
      <c r="BO70" s="32" t="n">
        <f aca="false">In_PPA_Price*(1+In_PPA_Esc)^(BO$7-YEAR(In_COD))</f>
        <v>100.410151199878</v>
      </c>
      <c r="BP70" s="32" t="n">
        <f aca="false">In_PPA_Price*(1+In_PPA_Esc)^(BP$7-YEAR(In_COD))</f>
        <v>100.410151199878</v>
      </c>
      <c r="BQ70" s="32" t="n">
        <f aca="false">In_PPA_Price*(1+In_PPA_Esc)^(BQ$7-YEAR(In_COD))</f>
        <v>100.410151199878</v>
      </c>
      <c r="BR70" s="32" t="n">
        <f aca="false">In_PPA_Price*(1+In_PPA_Esc)^(BR$7-YEAR(In_COD))</f>
        <v>100.410151199878</v>
      </c>
      <c r="BS70" s="32" t="n">
        <f aca="false">In_PPA_Price*(1+In_PPA_Esc)^(BS$7-YEAR(In_COD))</f>
        <v>101.414252711877</v>
      </c>
      <c r="BT70" s="32" t="n">
        <f aca="false">In_PPA_Price*(1+In_PPA_Esc)^(BT$7-YEAR(In_COD))</f>
        <v>101.414252711877</v>
      </c>
      <c r="BU70" s="32" t="n">
        <f aca="false">In_PPA_Price*(1+In_PPA_Esc)^(BU$7-YEAR(In_COD))</f>
        <v>101.414252711877</v>
      </c>
      <c r="BV70" s="32" t="n">
        <f aca="false">In_PPA_Price*(1+In_PPA_Esc)^(BV$7-YEAR(In_COD))</f>
        <v>101.414252711877</v>
      </c>
      <c r="BW70" s="32" t="n">
        <f aca="false">In_PPA_Price*(1+In_PPA_Esc)^(BW$7-YEAR(In_COD))</f>
        <v>102.428395238996</v>
      </c>
      <c r="BX70" s="32" t="n">
        <f aca="false">In_PPA_Price*(1+In_PPA_Esc)^(BX$7-YEAR(In_COD))</f>
        <v>102.428395238996</v>
      </c>
      <c r="BY70" s="32" t="n">
        <f aca="false">In_PPA_Price*(1+In_PPA_Esc)^(BY$7-YEAR(In_COD))</f>
        <v>102.428395238996</v>
      </c>
      <c r="BZ70" s="32" t="n">
        <f aca="false">In_PPA_Price*(1+In_PPA_Esc)^(BZ$7-YEAR(In_COD))</f>
        <v>102.428395238996</v>
      </c>
      <c r="CA70" s="32" t="n">
        <f aca="false">In_PPA_Price*(1+In_PPA_Esc)^(CA$7-YEAR(In_COD))</f>
        <v>103.452679191386</v>
      </c>
      <c r="CB70" s="32" t="n">
        <f aca="false">In_PPA_Price*(1+In_PPA_Esc)^(CB$7-YEAR(In_COD))</f>
        <v>103.452679191386</v>
      </c>
      <c r="CC70" s="32" t="n">
        <f aca="false">In_PPA_Price*(1+In_PPA_Esc)^(CC$7-YEAR(In_COD))</f>
        <v>103.452679191386</v>
      </c>
      <c r="CD70" s="32" t="n">
        <f aca="false">In_PPA_Price*(1+In_PPA_Esc)^(CD$7-YEAR(In_COD))</f>
        <v>103.452679191386</v>
      </c>
      <c r="CE70" s="32" t="n">
        <f aca="false">In_PPA_Price*(1+In_PPA_Esc)^(CE$7-YEAR(In_COD))</f>
        <v>104.4872059833</v>
      </c>
      <c r="CF70" s="32" t="n">
        <f aca="false">In_PPA_Price*(1+In_PPA_Esc)^(CF$7-YEAR(In_COD))</f>
        <v>104.4872059833</v>
      </c>
      <c r="CG70" s="32" t="n">
        <f aca="false">In_PPA_Price*(1+In_PPA_Esc)^(CG$7-YEAR(In_COD))</f>
        <v>104.4872059833</v>
      </c>
      <c r="CH70" s="32" t="n">
        <f aca="false">In_PPA_Price*(1+In_PPA_Esc)^(CH$7-YEAR(In_COD))</f>
        <v>104.4872059833</v>
      </c>
      <c r="CI70" s="32" t="n">
        <f aca="false">In_PPA_Price*(1+In_PPA_Esc)^(CI$7-YEAR(In_COD))</f>
        <v>105.532078043133</v>
      </c>
      <c r="CJ70" s="32" t="n">
        <f aca="false">In_PPA_Price*(1+In_PPA_Esc)^(CJ$7-YEAR(In_COD))</f>
        <v>105.532078043133</v>
      </c>
      <c r="CK70" s="32" t="n">
        <f aca="false">In_PPA_Price*(1+In_PPA_Esc)^(CK$7-YEAR(In_COD))</f>
        <v>105.532078043133</v>
      </c>
      <c r="CL70" s="32" t="n">
        <f aca="false">In_PPA_Price*(1+In_PPA_Esc)^(CL$7-YEAR(In_COD))</f>
        <v>105.532078043133</v>
      </c>
      <c r="CM70" s="32" t="n">
        <f aca="false">In_PPA_Price*(1+In_PPA_Esc)^(CM$7-YEAR(In_COD))</f>
        <v>106.587398823564</v>
      </c>
      <c r="CN70" s="32" t="n">
        <f aca="false">In_PPA_Price*(1+In_PPA_Esc)^(CN$7-YEAR(In_COD))</f>
        <v>106.587398823564</v>
      </c>
      <c r="CO70" s="32" t="n">
        <f aca="false">In_PPA_Price*(1+In_PPA_Esc)^(CO$7-YEAR(In_COD))</f>
        <v>106.587398823564</v>
      </c>
      <c r="CP70" s="32" t="n">
        <f aca="false">In_PPA_Price*(1+In_PPA_Esc)^(CP$7-YEAR(In_COD))</f>
        <v>106.587398823564</v>
      </c>
      <c r="CQ70" s="32" t="n">
        <f aca="false">In_PPA_Price*(1+In_PPA_Esc)^(CQ$7-YEAR(In_COD))</f>
        <v>107.6532728118</v>
      </c>
      <c r="CR70" s="32" t="n">
        <f aca="false">In_PPA_Price*(1+In_PPA_Esc)^(CR$7-YEAR(In_COD))</f>
        <v>107.6532728118</v>
      </c>
      <c r="CS70" s="32" t="n">
        <f aca="false">In_PPA_Price*(1+In_PPA_Esc)^(CS$7-YEAR(In_COD))</f>
        <v>107.6532728118</v>
      </c>
      <c r="CT70" s="32" t="n">
        <f aca="false">In_PPA_Price*(1+In_PPA_Esc)^(CT$7-YEAR(In_COD))</f>
        <v>107.6532728118</v>
      </c>
      <c r="CU70" s="32" t="n">
        <f aca="false">In_PPA_Price*(1+In_PPA_Esc)^(CU$7-YEAR(In_COD))</f>
        <v>108.729805539918</v>
      </c>
      <c r="CV70" s="32" t="n">
        <f aca="false">In_PPA_Price*(1+In_PPA_Esc)^(CV$7-YEAR(In_COD))</f>
        <v>108.729805539918</v>
      </c>
      <c r="CW70" s="32" t="n">
        <f aca="false">In_PPA_Price*(1+In_PPA_Esc)^(CW$7-YEAR(In_COD))</f>
        <v>108.729805539918</v>
      </c>
      <c r="CX70" s="32" t="n">
        <f aca="false">In_PPA_Price*(1+In_PPA_Esc)^(CX$7-YEAR(In_COD))</f>
        <v>108.729805539918</v>
      </c>
      <c r="CY70" s="32" t="n">
        <f aca="false">In_PPA_Price*(1+In_PPA_Esc)^(CY$7-YEAR(In_COD))</f>
        <v>109.817103595317</v>
      </c>
      <c r="CZ70" s="32" t="n">
        <f aca="false">In_PPA_Price*(1+In_PPA_Esc)^(CZ$7-YEAR(In_COD))</f>
        <v>109.817103595317</v>
      </c>
      <c r="DA70" s="32" t="n">
        <f aca="false">In_PPA_Price*(1+In_PPA_Esc)^(DA$7-YEAR(In_COD))</f>
        <v>109.817103595317</v>
      </c>
      <c r="DB70" s="32" t="n">
        <f aca="false">In_PPA_Price*(1+In_PPA_Esc)^(DB$7-YEAR(In_COD))</f>
        <v>109.817103595317</v>
      </c>
      <c r="DC70" s="32" t="n">
        <f aca="false">In_PPA_Price*(1+In_PPA_Esc)^(DC$7-YEAR(In_COD))</f>
        <v>110.91527463127</v>
      </c>
      <c r="DD70" s="32" t="n">
        <f aca="false">In_PPA_Price*(1+In_PPA_Esc)^(DD$7-YEAR(In_COD))</f>
        <v>110.91527463127</v>
      </c>
      <c r="DE70" s="32" t="n">
        <f aca="false">In_PPA_Price*(1+In_PPA_Esc)^(DE$7-YEAR(In_COD))</f>
        <v>110.91527463127</v>
      </c>
      <c r="DF70" s="32" t="n">
        <f aca="false">In_PPA_Price*(1+In_PPA_Esc)^(DF$7-YEAR(In_COD))</f>
        <v>110.91527463127</v>
      </c>
      <c r="DG70" s="32" t="n">
        <f aca="false">In_PPA_Price*(1+In_PPA_Esc)^(DG$7-YEAR(In_COD))</f>
        <v>112.024427377583</v>
      </c>
      <c r="DH70" s="32" t="n">
        <f aca="false">In_PPA_Price*(1+In_PPA_Esc)^(DH$7-YEAR(In_COD))</f>
        <v>112.024427377583</v>
      </c>
      <c r="DI70" s="32" t="n">
        <f aca="false">In_PPA_Price*(1+In_PPA_Esc)^(DI$7-YEAR(In_COD))</f>
        <v>112.024427377583</v>
      </c>
      <c r="DJ70" s="32" t="n">
        <f aca="false">In_PPA_Price*(1+In_PPA_Esc)^(DJ$7-YEAR(In_COD))</f>
        <v>112.024427377583</v>
      </c>
      <c r="DK70" s="32" t="n">
        <f aca="false">In_PPA_Price*(1+In_PPA_Esc)^(DK$7-YEAR(In_COD))</f>
        <v>113.144671651359</v>
      </c>
      <c r="DL70" s="32" t="n">
        <f aca="false">In_PPA_Price*(1+In_PPA_Esc)^(DL$7-YEAR(In_COD))</f>
        <v>113.144671651359</v>
      </c>
      <c r="DM70" s="32" t="n">
        <f aca="false">In_PPA_Price*(1+In_PPA_Esc)^(DM$7-YEAR(In_COD))</f>
        <v>113.144671651359</v>
      </c>
      <c r="DN70" s="32" t="n">
        <f aca="false">In_PPA_Price*(1+In_PPA_Esc)^(DN$7-YEAR(In_COD))</f>
        <v>113.144671651359</v>
      </c>
      <c r="DO70" s="32" t="n">
        <f aca="false">In_PPA_Price*(1+In_PPA_Esc)^(DO$7-YEAR(In_COD))</f>
        <v>114.276118367872</v>
      </c>
      <c r="DP70" s="32" t="n">
        <f aca="false">In_PPA_Price*(1+In_PPA_Esc)^(DP$7-YEAR(In_COD))</f>
        <v>114.276118367872</v>
      </c>
      <c r="DQ70" s="32" t="n">
        <f aca="false">In_PPA_Price*(1+In_PPA_Esc)^(DQ$7-YEAR(In_COD))</f>
        <v>114.276118367872</v>
      </c>
      <c r="DR70" s="32" t="n">
        <f aca="false">In_PPA_Price*(1+In_PPA_Esc)^(DR$7-YEAR(In_COD))</f>
        <v>114.276118367872</v>
      </c>
      <c r="DS70" s="32" t="n">
        <f aca="false">In_PPA_Price*(1+In_PPA_Esc)^(DS$7-YEAR(In_COD))</f>
        <v>115.418879551551</v>
      </c>
      <c r="DT70" s="32" t="n">
        <f aca="false">In_PPA_Price*(1+In_PPA_Esc)^(DT$7-YEAR(In_COD))</f>
        <v>115.418879551551</v>
      </c>
      <c r="DU70" s="32" t="n">
        <f aca="false">In_PPA_Price*(1+In_PPA_Esc)^(DU$7-YEAR(In_COD))</f>
        <v>115.418879551551</v>
      </c>
      <c r="DV70" s="32" t="n">
        <f aca="false">In_PPA_Price*(1+In_PPA_Esc)^(DV$7-YEAR(In_COD))</f>
        <v>115.418879551551</v>
      </c>
      <c r="DW70" s="32" t="n">
        <f aca="false">In_PPA_Price*(1+In_PPA_Esc)^(DW$7-YEAR(In_COD))</f>
        <v>116.573068347067</v>
      </c>
      <c r="DX70" s="32" t="n">
        <f aca="false">In_PPA_Price*(1+In_PPA_Esc)^(DX$7-YEAR(In_COD))</f>
        <v>116.573068347067</v>
      </c>
      <c r="DY70" s="32" t="n">
        <f aca="false">In_PPA_Price*(1+In_PPA_Esc)^(DY$7-YEAR(In_COD))</f>
        <v>116.573068347067</v>
      </c>
      <c r="DZ70" s="32" t="n">
        <f aca="false">In_PPA_Price*(1+In_PPA_Esc)^(DZ$7-YEAR(In_COD))</f>
        <v>116.573068347067</v>
      </c>
      <c r="EA70" s="32" t="n">
        <f aca="false">In_PPA_Price*(1+In_PPA_Esc)^(EA$7-YEAR(In_COD))</f>
        <v>117.738799030537</v>
      </c>
      <c r="EB70" s="32" t="n">
        <f aca="false">In_PPA_Price*(1+In_PPA_Esc)^(EB$7-YEAR(In_COD))</f>
        <v>117.738799030537</v>
      </c>
      <c r="EC70" s="32" t="n">
        <f aca="false">In_PPA_Price*(1+In_PPA_Esc)^(EC$7-YEAR(In_COD))</f>
        <v>117.738799030537</v>
      </c>
      <c r="ED70" s="32" t="n">
        <f aca="false">In_PPA_Price*(1+In_PPA_Esc)^(ED$7-YEAR(In_COD))</f>
        <v>117.738799030537</v>
      </c>
      <c r="EE70" s="32" t="n">
        <f aca="false">In_PPA_Price*(1+In_PPA_Esc)^(EE$7-YEAR(In_COD))</f>
        <v>118.916187020843</v>
      </c>
      <c r="EF70" s="32" t="n">
        <f aca="false">In_PPA_Price*(1+In_PPA_Esc)^(EF$7-YEAR(In_COD))</f>
        <v>118.916187020843</v>
      </c>
      <c r="EG70" s="32" t="n">
        <f aca="false">In_PPA_Price*(1+In_PPA_Esc)^(EG$7-YEAR(In_COD))</f>
        <v>118.916187020843</v>
      </c>
      <c r="EH70" s="32" t="n">
        <f aca="false">In_PPA_Price*(1+In_PPA_Esc)^(EH$7-YEAR(In_COD))</f>
        <v>118.916187020843</v>
      </c>
      <c r="EI70" s="32" t="n">
        <f aca="false">In_PPA_Price*(1+In_PPA_Esc)^(EI$7-YEAR(In_COD))</f>
        <v>120.105348891051</v>
      </c>
      <c r="EJ70" s="32" t="n">
        <f aca="false">In_PPA_Price*(1+In_PPA_Esc)^(EJ$7-YEAR(In_COD))</f>
        <v>120.105348891051</v>
      </c>
      <c r="EK70" s="32" t="n">
        <f aca="false">In_PPA_Price*(1+In_PPA_Esc)^(EK$7-YEAR(In_COD))</f>
        <v>120.105348891051</v>
      </c>
      <c r="EL70" s="32" t="n">
        <f aca="false">In_PPA_Price*(1+In_PPA_Esc)^(EL$7-YEAR(In_COD))</f>
        <v>120.105348891051</v>
      </c>
      <c r="EM70" s="32" t="n">
        <f aca="false">In_PPA_Price*(1+In_PPA_Esc)^(EM$7-YEAR(In_COD))</f>
        <v>121.306402379962</v>
      </c>
      <c r="EN70" s="32" t="n">
        <f aca="false">In_PPA_Price*(1+In_PPA_Esc)^(EN$7-YEAR(In_COD))</f>
        <v>121.306402379962</v>
      </c>
      <c r="EO70" s="32" t="n">
        <f aca="false">In_PPA_Price*(1+In_PPA_Esc)^(EO$7-YEAR(In_COD))</f>
        <v>121.306402379962</v>
      </c>
    </row>
    <row r="71" customFormat="false" ht="15" hidden="false" customHeight="false" outlineLevel="0" collapsed="false">
      <c r="C71" s="0" t="s">
        <v>421</v>
      </c>
      <c r="D71" s="11" t="s">
        <v>70</v>
      </c>
      <c r="E71" s="47" t="n">
        <f aca="false">SUMIF($J$7:$EO$7,YEAR(In_COD)+1,$J71:$EO71)</f>
        <v>131891.49288</v>
      </c>
      <c r="I71" s="47" t="n">
        <f aca="false">SUM(J71:EO71)</f>
        <v>3794983.6793788</v>
      </c>
      <c r="J71" s="47" t="n">
        <f aca="false">$F24*In_P50_Hours*(1-In_Curtailment)*(1-$E27)*(1-In_Degradation)^(J20-1)*J15*J$6</f>
        <v>0</v>
      </c>
      <c r="K71" s="47" t="n">
        <f aca="false">$F24*In_P50_Hours*(1-In_Curtailment)*(1-$E27)*(1-In_Degradation)^(K20-1)*K15*K$6</f>
        <v>0</v>
      </c>
      <c r="L71" s="47" t="n">
        <f aca="false">$F24*In_P50_Hours*(1-In_Curtailment)*(1-$E27)*(1-In_Degradation)^(L20-1)*L15*L$6</f>
        <v>0</v>
      </c>
      <c r="M71" s="47" t="n">
        <f aca="false">$F24*In_P50_Hours*(1-In_Curtailment)*(1-$E27)*(1-In_Degradation)^(M20-1)*M15*M$6</f>
        <v>0</v>
      </c>
      <c r="N71" s="47" t="n">
        <f aca="false">$F24*In_P50_Hours*(1-In_Curtailment)*(1-$E27)*(1-In_Degradation)^(N20-1)*N15*N$6</f>
        <v>0</v>
      </c>
      <c r="O71" s="47" t="n">
        <f aca="false">$F24*In_P50_Hours*(1-In_Curtailment)*(1-$E27)*(1-In_Degradation)^(O20-1)*O15*O$6</f>
        <v>0</v>
      </c>
      <c r="P71" s="47" t="n">
        <f aca="false">$F24*In_P50_Hours*(1-In_Curtailment)*(1-$E27)*(1-In_Degradation)^(P20-1)*P15*P$6</f>
        <v>0</v>
      </c>
      <c r="Q71" s="47" t="n">
        <f aca="false">$F24*In_P50_Hours*(1-In_Curtailment)*(1-$E27)*(1-In_Degradation)^(Q20-1)*Q15*Q$6</f>
        <v>0</v>
      </c>
      <c r="R71" s="47" t="n">
        <f aca="false">$F24*In_P50_Hours*(1-In_Curtailment)*(1-$E27)*(1-In_Degradation)^(R20-1)*R15*R$6</f>
        <v>0</v>
      </c>
      <c r="S71" s="47" t="n">
        <f aca="false">$F24*In_P50_Hours*(1-In_Curtailment)*(1-$E27)*(1-In_Degradation)^(S20-1)*S15*S$6</f>
        <v>0</v>
      </c>
      <c r="T71" s="47" t="n">
        <f aca="false">$F24*In_P50_Hours*(1-In_Curtailment)*(1-$E27)*(1-In_Degradation)^(T20-1)*T15*T$6</f>
        <v>0</v>
      </c>
      <c r="U71" s="47" t="n">
        <f aca="false">$F24*In_P50_Hours*(1-In_Curtailment)*(1-$E27)*(1-In_Degradation)^(U20-1)*U15*U$6</f>
        <v>0</v>
      </c>
      <c r="V71" s="47" t="n">
        <f aca="false">$F24*In_P50_Hours*(1-In_Curtailment)*(1-$E27)*(1-In_Degradation)^(V20-1)*V15*V$6</f>
        <v>0</v>
      </c>
      <c r="W71" s="47" t="n">
        <f aca="false">$F24*In_P50_Hours*(1-In_Curtailment)*(1-$E27)*(1-In_Degradation)^(W20-1)*W15*W$6</f>
        <v>0</v>
      </c>
      <c r="X71" s="47" t="n">
        <f aca="false">$F24*In_P50_Hours*(1-In_Curtailment)*(1-$E27)*(1-In_Degradation)^(X20-1)*X15*X$6</f>
        <v>0</v>
      </c>
      <c r="Y71" s="47" t="n">
        <f aca="false">$F24*In_P50_Hours*(1-In_Curtailment)*(1-$E27)*(1-In_Degradation)^(Y20-1)*Y15*Y$6</f>
        <v>0</v>
      </c>
      <c r="Z71" s="47" t="n">
        <f aca="false">$F24*In_P50_Hours*(1-In_Curtailment)*(1-$E27)*(1-In_Degradation)^(Z20-1)*Z15*Z$6</f>
        <v>33269.04</v>
      </c>
      <c r="AA71" s="47" t="n">
        <f aca="false">$F24*In_P50_Hours*(1-In_Curtailment)*(1-$E27)*(1-In_Degradation)^(AA20-1)*AA15*AA$6</f>
        <v>32545.8</v>
      </c>
      <c r="AB71" s="47" t="n">
        <f aca="false">$F24*In_P50_Hours*(1-In_Curtailment)*(1-$E27)*(1-In_Degradation)^(AB20-1)*AB15*AB$6</f>
        <v>32907.42</v>
      </c>
      <c r="AC71" s="47" t="n">
        <f aca="false">$F24*In_P50_Hours*(1-In_Curtailment)*(1-$E27)*(1-In_Degradation)^(AC20-1)*AC15*AC$6</f>
        <v>33269.04</v>
      </c>
      <c r="AD71" s="47" t="n">
        <f aca="false">$F24*In_P50_Hours*(1-In_Curtailment)*(1-$E27)*(1-In_Degradation)^(AD20-1)*AD15*AD$6</f>
        <v>33169.23288</v>
      </c>
      <c r="AE71" s="47" t="n">
        <f aca="false">$F24*In_P50_Hours*(1-In_Curtailment)*(1-$E27)*(1-In_Degradation)^(AE20-1)*AE15*AE$6</f>
        <v>32808.69774</v>
      </c>
      <c r="AF71" s="47" t="n">
        <f aca="false">$F24*In_P50_Hours*(1-In_Curtailment)*(1-$E27)*(1-In_Degradation)^(AF20-1)*AF15*AF$6</f>
        <v>32808.69774</v>
      </c>
      <c r="AG71" s="47" t="n">
        <f aca="false">$F24*In_P50_Hours*(1-In_Curtailment)*(1-$E27)*(1-In_Degradation)^(AG20-1)*AG15*AG$6</f>
        <v>33169.23288</v>
      </c>
      <c r="AH71" s="47" t="n">
        <f aca="false">$F24*In_P50_Hours*(1-In_Curtailment)*(1-$E27)*(1-In_Degradation)^(AH20-1)*AH15*AH$6</f>
        <v>33069.72518136</v>
      </c>
      <c r="AI71" s="47" t="n">
        <f aca="false">$F24*In_P50_Hours*(1-In_Curtailment)*(1-$E27)*(1-In_Degradation)^(AI20-1)*AI15*AI$6</f>
        <v>32350.8181122</v>
      </c>
      <c r="AJ71" s="47" t="n">
        <f aca="false">$F24*In_P50_Hours*(1-In_Curtailment)*(1-$E27)*(1-In_Degradation)^(AJ20-1)*AJ15*AJ$6</f>
        <v>32710.27164678</v>
      </c>
      <c r="AK71" s="47" t="n">
        <f aca="false">$F24*In_P50_Hours*(1-In_Curtailment)*(1-$E27)*(1-In_Degradation)^(AK20-1)*AK15*AK$6</f>
        <v>33069.72518136</v>
      </c>
      <c r="AL71" s="47" t="n">
        <f aca="false">$F24*In_P50_Hours*(1-In_Curtailment)*(1-$E27)*(1-In_Degradation)^(AL20-1)*AL15*AL$6</f>
        <v>32970.5160058159</v>
      </c>
      <c r="AM71" s="47" t="n">
        <f aca="false">$F24*In_P50_Hours*(1-In_Curtailment)*(1-$E27)*(1-In_Degradation)^(AM20-1)*AM15*AM$6</f>
        <v>32253.7656578634</v>
      </c>
      <c r="AN71" s="47" t="n">
        <f aca="false">$F24*In_P50_Hours*(1-In_Curtailment)*(1-$E27)*(1-In_Degradation)^(AN20-1)*AN15*AN$6</f>
        <v>32612.1408318397</v>
      </c>
      <c r="AO71" s="47" t="n">
        <f aca="false">$F24*In_P50_Hours*(1-In_Curtailment)*(1-$E27)*(1-In_Degradation)^(AO20-1)*AO15*AO$6</f>
        <v>32970.5160058159</v>
      </c>
      <c r="AP71" s="47" t="n">
        <f aca="false">$F24*In_P50_Hours*(1-In_Curtailment)*(1-$E27)*(1-In_Degradation)^(AP20-1)*AP15*AP$6</f>
        <v>32871.6044577985</v>
      </c>
      <c r="AQ71" s="47" t="n">
        <f aca="false">$F24*In_P50_Hours*(1-In_Curtailment)*(1-$E27)*(1-In_Degradation)^(AQ20-1)*AQ15*AQ$6</f>
        <v>32157.0043608898</v>
      </c>
      <c r="AR71" s="47" t="n">
        <f aca="false">$F24*In_P50_Hours*(1-In_Curtailment)*(1-$E27)*(1-In_Degradation)^(AR20-1)*AR15*AR$6</f>
        <v>32514.3044093442</v>
      </c>
      <c r="AS71" s="47" t="n">
        <f aca="false">$F24*In_P50_Hours*(1-In_Curtailment)*(1-$E27)*(1-In_Degradation)^(AS20-1)*AS15*AS$6</f>
        <v>32871.6044577985</v>
      </c>
      <c r="AT71" s="47" t="n">
        <f aca="false">$F24*In_P50_Hours*(1-In_Curtailment)*(1-$E27)*(1-In_Degradation)^(AT20-1)*AT15*AT$6</f>
        <v>32772.9896444251</v>
      </c>
      <c r="AU71" s="47" t="n">
        <f aca="false">$F24*In_P50_Hours*(1-In_Curtailment)*(1-$E27)*(1-In_Degradation)^(AU20-1)*AU15*AU$6</f>
        <v>32416.7614961161</v>
      </c>
      <c r="AV71" s="47" t="n">
        <f aca="false">$F24*In_P50_Hours*(1-In_Curtailment)*(1-$E27)*(1-In_Degradation)^(AV20-1)*AV15*AV$6</f>
        <v>32416.7614961161</v>
      </c>
      <c r="AW71" s="47" t="n">
        <f aca="false">$F24*In_P50_Hours*(1-In_Curtailment)*(1-$E27)*(1-In_Degradation)^(AW20-1)*AW15*AW$6</f>
        <v>32772.9896444251</v>
      </c>
      <c r="AX71" s="47" t="n">
        <f aca="false">$F24*In_P50_Hours*(1-In_Curtailment)*(1-$E27)*(1-In_Degradation)^(AX20-1)*AX15*AX$6</f>
        <v>32674.6706754918</v>
      </c>
      <c r="AY71" s="47" t="n">
        <f aca="false">$F24*In_P50_Hours*(1-In_Curtailment)*(1-$E27)*(1-In_Degradation)^(AY20-1)*AY15*AY$6</f>
        <v>31964.3517477637</v>
      </c>
      <c r="AZ71" s="47" t="n">
        <f aca="false">$F24*In_P50_Hours*(1-In_Curtailment)*(1-$E27)*(1-In_Degradation)^(AZ20-1)*AZ15*AZ$6</f>
        <v>32319.5112116278</v>
      </c>
      <c r="BA71" s="47" t="n">
        <f aca="false">$F24*In_P50_Hours*(1-In_Curtailment)*(1-$E27)*(1-In_Degradation)^(BA20-1)*BA15*BA$6</f>
        <v>32674.6706754918</v>
      </c>
      <c r="BB71" s="47" t="n">
        <f aca="false">$F24*In_P50_Hours*(1-In_Curtailment)*(1-$E27)*(1-In_Degradation)^(BB20-1)*BB15*BB$6</f>
        <v>32576.6466634653</v>
      </c>
      <c r="BC71" s="47" t="n">
        <f aca="false">$F24*In_P50_Hours*(1-In_Curtailment)*(1-$E27)*(1-In_Degradation)^(BC20-1)*BC15*BC$6</f>
        <v>31868.4586925204</v>
      </c>
      <c r="BD71" s="47" t="n">
        <f aca="false">$F24*In_P50_Hours*(1-In_Curtailment)*(1-$E27)*(1-In_Degradation)^(BD20-1)*BD15*BD$6</f>
        <v>32222.5526779929</v>
      </c>
      <c r="BE71" s="47" t="n">
        <f aca="false">$F24*In_P50_Hours*(1-In_Curtailment)*(1-$E27)*(1-In_Degradation)^(BE20-1)*BE15*BE$6</f>
        <v>32576.6466634653</v>
      </c>
      <c r="BF71" s="47" t="n">
        <f aca="false">$F24*In_P50_Hours*(1-In_Curtailment)*(1-$E27)*(1-In_Degradation)^(BF20-1)*BF15*BF$6</f>
        <v>32478.9167234749</v>
      </c>
      <c r="BG71" s="47" t="n">
        <f aca="false">$F24*In_P50_Hours*(1-In_Curtailment)*(1-$E27)*(1-In_Degradation)^(BG20-1)*BG15*BG$6</f>
        <v>31772.8533164429</v>
      </c>
      <c r="BH71" s="47" t="n">
        <f aca="false">$F24*In_P50_Hours*(1-In_Curtailment)*(1-$E27)*(1-In_Degradation)^(BH20-1)*BH15*BH$6</f>
        <v>32125.8850199589</v>
      </c>
      <c r="BI71" s="47" t="n">
        <f aca="false">$F24*In_P50_Hours*(1-In_Curtailment)*(1-$E27)*(1-In_Degradation)^(BI20-1)*BI15*BI$6</f>
        <v>32478.9167234749</v>
      </c>
      <c r="BJ71" s="47" t="n">
        <f aca="false">$F24*In_P50_Hours*(1-In_Curtailment)*(1-$E27)*(1-In_Degradation)^(BJ20-1)*BJ15*BJ$6</f>
        <v>32381.4799733045</v>
      </c>
      <c r="BK71" s="47" t="n">
        <f aca="false">$F24*In_P50_Hours*(1-In_Curtailment)*(1-$E27)*(1-In_Degradation)^(BK20-1)*BK15*BK$6</f>
        <v>32029.507364899</v>
      </c>
      <c r="BL71" s="47" t="n">
        <f aca="false">$F24*In_P50_Hours*(1-In_Curtailment)*(1-$E27)*(1-In_Degradation)^(BL20-1)*BL15*BL$6</f>
        <v>32029.507364899</v>
      </c>
      <c r="BM71" s="47" t="n">
        <f aca="false">$F24*In_P50_Hours*(1-In_Curtailment)*(1-$E27)*(1-In_Degradation)^(BM20-1)*BM15*BM$6</f>
        <v>32381.4799733045</v>
      </c>
      <c r="BN71" s="47" t="n">
        <f aca="false">$F24*In_P50_Hours*(1-In_Curtailment)*(1-$E27)*(1-In_Degradation)^(BN20-1)*BN15*BN$6</f>
        <v>32284.3355333846</v>
      </c>
      <c r="BO71" s="47" t="n">
        <f aca="false">$F24*In_P50_Hours*(1-In_Curtailment)*(1-$E27)*(1-In_Degradation)^(BO20-1)*BO15*BO$6</f>
        <v>31582.5021522241</v>
      </c>
      <c r="BP71" s="47" t="n">
        <f aca="false">$F24*In_P50_Hours*(1-In_Curtailment)*(1-$E27)*(1-In_Degradation)^(BP20-1)*BP15*BP$6</f>
        <v>31933.4188428043</v>
      </c>
      <c r="BQ71" s="47" t="n">
        <f aca="false">$F24*In_P50_Hours*(1-In_Curtailment)*(1-$E27)*(1-In_Degradation)^(BQ20-1)*BQ15*BQ$6</f>
        <v>32284.3355333846</v>
      </c>
      <c r="BR71" s="47" t="n">
        <f aca="false">$F24*In_P50_Hours*(1-In_Curtailment)*(1-$E27)*(1-In_Degradation)^(BR20-1)*BR15*BR$6</f>
        <v>32187.4825267845</v>
      </c>
      <c r="BS71" s="47" t="n">
        <f aca="false">$F24*In_P50_Hours*(1-In_Curtailment)*(1-$E27)*(1-In_Degradation)^(BS20-1)*BS15*BS$6</f>
        <v>31487.7546457674</v>
      </c>
      <c r="BT71" s="47" t="n">
        <f aca="false">$F24*In_P50_Hours*(1-In_Curtailment)*(1-$E27)*(1-In_Degradation)^(BT20-1)*BT15*BT$6</f>
        <v>31837.6185862759</v>
      </c>
      <c r="BU71" s="47" t="n">
        <f aca="false">$F24*In_P50_Hours*(1-In_Curtailment)*(1-$E27)*(1-In_Degradation)^(BU20-1)*BU15*BU$6</f>
        <v>32187.4825267845</v>
      </c>
      <c r="BV71" s="47" t="n">
        <f aca="false">$F24*In_P50_Hours*(1-In_Curtailment)*(1-$E27)*(1-In_Degradation)^(BV20-1)*BV15*BV$6</f>
        <v>32090.9200792041</v>
      </c>
      <c r="BW71" s="47" t="n">
        <f aca="false">$F24*In_P50_Hours*(1-In_Curtailment)*(1-$E27)*(1-In_Degradation)^(BW20-1)*BW15*BW$6</f>
        <v>31393.2913818301</v>
      </c>
      <c r="BX71" s="47" t="n">
        <f aca="false">$F24*In_P50_Hours*(1-In_Curtailment)*(1-$E27)*(1-In_Degradation)^(BX20-1)*BX15*BX$6</f>
        <v>31742.1057305171</v>
      </c>
      <c r="BY71" s="47" t="n">
        <f aca="false">$F24*In_P50_Hours*(1-In_Curtailment)*(1-$E27)*(1-In_Degradation)^(BY20-1)*BY15*BY$6</f>
        <v>32090.9200792041</v>
      </c>
      <c r="BZ71" s="47" t="n">
        <f aca="false">$F24*In_P50_Hours*(1-In_Curtailment)*(1-$E27)*(1-In_Degradation)^(BZ20-1)*BZ15*BZ$6</f>
        <v>31994.6473189665</v>
      </c>
      <c r="CA71" s="47" t="n">
        <f aca="false">$F24*In_P50_Hours*(1-In_Curtailment)*(1-$E27)*(1-In_Degradation)^(CA20-1)*CA15*CA$6</f>
        <v>31646.8794133255</v>
      </c>
      <c r="CB71" s="47" t="n">
        <f aca="false">$F24*In_P50_Hours*(1-In_Curtailment)*(1-$E27)*(1-In_Degradation)^(CB20-1)*CB15*CB$6</f>
        <v>31646.8794133255</v>
      </c>
      <c r="CC71" s="47" t="n">
        <f aca="false">$F24*In_P50_Hours*(1-In_Curtailment)*(1-$E27)*(1-In_Degradation)^(CC20-1)*CC15*CC$6</f>
        <v>31994.6473189665</v>
      </c>
      <c r="CD71" s="47" t="n">
        <f aca="false">$F24*In_P50_Hours*(1-In_Curtailment)*(1-$E27)*(1-In_Degradation)^(CD20-1)*CD15*CD$6</f>
        <v>31898.6633770096</v>
      </c>
      <c r="CE71" s="47" t="n">
        <f aca="false">$F24*In_P50_Hours*(1-In_Curtailment)*(1-$E27)*(1-In_Degradation)^(CE20-1)*CE15*CE$6</f>
        <v>31205.2141731616</v>
      </c>
      <c r="CF71" s="47" t="n">
        <f aca="false">$F24*In_P50_Hours*(1-In_Curtailment)*(1-$E27)*(1-In_Degradation)^(CF20-1)*CF15*CF$6</f>
        <v>31551.9387750856</v>
      </c>
      <c r="CG71" s="47" t="n">
        <f aca="false">$F24*In_P50_Hours*(1-In_Curtailment)*(1-$E27)*(1-In_Degradation)^(CG20-1)*CG15*CG$6</f>
        <v>31898.6633770096</v>
      </c>
      <c r="CH71" s="47" t="n">
        <f aca="false">$F24*In_P50_Hours*(1-In_Curtailment)*(1-$E27)*(1-In_Degradation)^(CH20-1)*CH15*CH$6</f>
        <v>31802.9673868786</v>
      </c>
      <c r="CI71" s="47" t="n">
        <f aca="false">$F24*In_P50_Hours*(1-In_Curtailment)*(1-$E27)*(1-In_Degradation)^(CI20-1)*CI15*CI$6</f>
        <v>31111.5985306421</v>
      </c>
      <c r="CJ71" s="47" t="n">
        <f aca="false">$F24*In_P50_Hours*(1-In_Curtailment)*(1-$E27)*(1-In_Degradation)^(CJ20-1)*CJ15*CJ$6</f>
        <v>31457.2829587603</v>
      </c>
      <c r="CK71" s="47" t="n">
        <f aca="false">$F24*In_P50_Hours*(1-In_Curtailment)*(1-$E27)*(1-In_Degradation)^(CK20-1)*CK15*CK$6</f>
        <v>31802.9673868786</v>
      </c>
      <c r="CL71" s="47" t="n">
        <f aca="false">$F24*In_P50_Hours*(1-In_Curtailment)*(1-$E27)*(1-In_Degradation)^(CL20-1)*CL15*CL$6</f>
        <v>31707.5584847179</v>
      </c>
      <c r="CM71" s="47" t="n">
        <f aca="false">$F24*In_P50_Hours*(1-In_Curtailment)*(1-$E27)*(1-In_Degradation)^(CM20-1)*CM15*CM$6</f>
        <v>31018.2637350501</v>
      </c>
      <c r="CN71" s="47" t="n">
        <f aca="false">$F24*In_P50_Hours*(1-In_Curtailment)*(1-$E27)*(1-In_Degradation)^(CN20-1)*CN15*CN$6</f>
        <v>31362.911109884</v>
      </c>
      <c r="CO71" s="47" t="n">
        <f aca="false">$F24*In_P50_Hours*(1-In_Curtailment)*(1-$E27)*(1-In_Degradation)^(CO20-1)*CO15*CO$6</f>
        <v>31707.5584847179</v>
      </c>
      <c r="CP71" s="47" t="n">
        <f aca="false">$F24*In_P50_Hours*(1-In_Curtailment)*(1-$E27)*(1-In_Degradation)^(CP20-1)*CP15*CP$6</f>
        <v>31612.4358092638</v>
      </c>
      <c r="CQ71" s="47" t="n">
        <f aca="false">$F24*In_P50_Hours*(1-In_Curtailment)*(1-$E27)*(1-In_Degradation)^(CQ20-1)*CQ15*CQ$6</f>
        <v>31268.8223765544</v>
      </c>
      <c r="CR71" s="47" t="n">
        <f aca="false">$F24*In_P50_Hours*(1-In_Curtailment)*(1-$E27)*(1-In_Degradation)^(CR20-1)*CR15*CR$6</f>
        <v>31268.8223765544</v>
      </c>
      <c r="CS71" s="47" t="n">
        <f aca="false">$F24*In_P50_Hours*(1-In_Curtailment)*(1-$E27)*(1-In_Degradation)^(CS20-1)*CS15*CS$6</f>
        <v>31612.4358092638</v>
      </c>
      <c r="CT71" s="47" t="n">
        <f aca="false">$F24*In_P50_Hours*(1-In_Curtailment)*(1-$E27)*(1-In_Degradation)^(CT20-1)*CT15*CT$6</f>
        <v>31517.598501836</v>
      </c>
      <c r="CU71" s="47" t="n">
        <f aca="false">$F24*In_P50_Hours*(1-In_Curtailment)*(1-$E27)*(1-In_Degradation)^(CU20-1)*CU15*CU$6</f>
        <v>30832.4333170135</v>
      </c>
      <c r="CV71" s="47" t="n">
        <f aca="false">$F24*In_P50_Hours*(1-In_Curtailment)*(1-$E27)*(1-In_Degradation)^(CV20-1)*CV15*CV$6</f>
        <v>31175.0159094247</v>
      </c>
      <c r="CW71" s="47" t="n">
        <f aca="false">$F24*In_P50_Hours*(1-In_Curtailment)*(1-$E27)*(1-In_Degradation)^(CW20-1)*CW15*CW$6</f>
        <v>31517.598501836</v>
      </c>
      <c r="CX71" s="47" t="n">
        <f aca="false">$F24*In_P50_Hours*(1-In_Curtailment)*(1-$E27)*(1-In_Degradation)^(CX20-1)*CX15*CX$6</f>
        <v>31423.0457063305</v>
      </c>
      <c r="CY71" s="47" t="n">
        <f aca="false">$F24*In_P50_Hours*(1-In_Curtailment)*(1-$E27)*(1-In_Degradation)^(CY20-1)*CY15*CY$6</f>
        <v>30739.9360170624</v>
      </c>
      <c r="CZ71" s="47" t="n">
        <f aca="false">$F24*In_P50_Hours*(1-In_Curtailment)*(1-$E27)*(1-In_Degradation)^(CZ20-1)*CZ15*CZ$6</f>
        <v>31081.4908616964</v>
      </c>
      <c r="DA71" s="47" t="n">
        <f aca="false">$F24*In_P50_Hours*(1-In_Curtailment)*(1-$E27)*(1-In_Degradation)^(DA20-1)*DA15*DA$6</f>
        <v>31423.0457063305</v>
      </c>
      <c r="DB71" s="47" t="n">
        <f aca="false">$F24*In_P50_Hours*(1-In_Curtailment)*(1-$E27)*(1-In_Degradation)^(DB20-1)*DB15*DB$6</f>
        <v>31328.7765692115</v>
      </c>
      <c r="DC71" s="47" t="n">
        <f aca="false">$F24*In_P50_Hours*(1-In_Curtailment)*(1-$E27)*(1-In_Degradation)^(DC20-1)*DC15*DC$6</f>
        <v>30647.7162090112</v>
      </c>
      <c r="DD71" s="47" t="n">
        <f aca="false">$F24*In_P50_Hours*(1-In_Curtailment)*(1-$E27)*(1-In_Degradation)^(DD20-1)*DD15*DD$6</f>
        <v>30988.2463891114</v>
      </c>
      <c r="DE71" s="47" t="n">
        <f aca="false">$F24*In_P50_Hours*(1-In_Curtailment)*(1-$E27)*(1-In_Degradation)^(DE20-1)*DE15*DE$6</f>
        <v>31328.7765692115</v>
      </c>
      <c r="DF71" s="47" t="n">
        <f aca="false">$F24*In_P50_Hours*(1-In_Curtailment)*(1-$E27)*(1-In_Degradation)^(DF20-1)*DF15*DF$6</f>
        <v>31234.7902395038</v>
      </c>
      <c r="DG71" s="47" t="n">
        <f aca="false">$F24*In_P50_Hours*(1-In_Curtailment)*(1-$E27)*(1-In_Degradation)^(DG20-1)*DG15*DG$6</f>
        <v>30895.281649944</v>
      </c>
      <c r="DH71" s="47" t="n">
        <f aca="false">$F24*In_P50_Hours*(1-In_Curtailment)*(1-$E27)*(1-In_Degradation)^(DH20-1)*DH15*DH$6</f>
        <v>30895.281649944</v>
      </c>
      <c r="DI71" s="47" t="n">
        <f aca="false">$F24*In_P50_Hours*(1-In_Curtailment)*(1-$E27)*(1-In_Degradation)^(DI20-1)*DI15*DI$6</f>
        <v>31234.7902395038</v>
      </c>
      <c r="DJ71" s="47" t="n">
        <f aca="false">$F24*In_P50_Hours*(1-In_Curtailment)*(1-$E27)*(1-In_Degradation)^(DJ20-1)*DJ15*DJ$6</f>
        <v>31141.0858687853</v>
      </c>
      <c r="DK71" s="47" t="n">
        <f aca="false">$F24*In_P50_Hours*(1-In_Curtailment)*(1-$E27)*(1-In_Degradation)^(DK20-1)*DK15*DK$6</f>
        <v>30464.105741203</v>
      </c>
      <c r="DL71" s="47" t="n">
        <f aca="false">$F24*In_P50_Hours*(1-In_Curtailment)*(1-$E27)*(1-In_Degradation)^(DL20-1)*DL15*DL$6</f>
        <v>30802.5958049942</v>
      </c>
      <c r="DM71" s="47" t="n">
        <f aca="false">$F24*In_P50_Hours*(1-In_Curtailment)*(1-$E27)*(1-In_Degradation)^(DM20-1)*DM15*DM$6</f>
        <v>31141.0858687853</v>
      </c>
      <c r="DN71" s="47" t="n">
        <f aca="false">$F24*In_P50_Hours*(1-In_Curtailment)*(1-$E27)*(1-In_Degradation)^(DN20-1)*DN15*DN$6</f>
        <v>31047.662611179</v>
      </c>
      <c r="DO71" s="47" t="n">
        <f aca="false">$F24*In_P50_Hours*(1-In_Curtailment)*(1-$E27)*(1-In_Degradation)^(DO20-1)*DO15*DO$6</f>
        <v>30372.7134239794</v>
      </c>
      <c r="DP71" s="47" t="n">
        <f aca="false">$F24*In_P50_Hours*(1-In_Curtailment)*(1-$E27)*(1-In_Degradation)^(DP20-1)*DP15*DP$6</f>
        <v>30710.1880175792</v>
      </c>
      <c r="DQ71" s="47" t="n">
        <f aca="false">$F24*In_P50_Hours*(1-In_Curtailment)*(1-$E27)*(1-In_Degradation)^(DQ20-1)*DQ15*DQ$6</f>
        <v>31047.662611179</v>
      </c>
      <c r="DR71" s="47" t="n">
        <f aca="false">$F24*In_P50_Hours*(1-In_Curtailment)*(1-$E27)*(1-In_Degradation)^(DR20-1)*DR15*DR$6</f>
        <v>30954.5196233454</v>
      </c>
      <c r="DS71" s="47" t="n">
        <f aca="false">$F24*In_P50_Hours*(1-In_Curtailment)*(1-$E27)*(1-In_Degradation)^(DS20-1)*DS15*DS$6</f>
        <v>30281.5952837075</v>
      </c>
      <c r="DT71" s="47" t="n">
        <f aca="false">$F24*In_P50_Hours*(1-In_Curtailment)*(1-$E27)*(1-In_Degradation)^(DT20-1)*DT15*DT$6</f>
        <v>30618.0574535265</v>
      </c>
      <c r="DU71" s="47" t="n">
        <f aca="false">$F24*In_P50_Hours*(1-In_Curtailment)*(1-$E27)*(1-In_Degradation)^(DU20-1)*DU15*DU$6</f>
        <v>30954.5196233454</v>
      </c>
      <c r="DV71" s="47" t="n">
        <f aca="false">$F24*In_P50_Hours*(1-In_Curtailment)*(1-$E27)*(1-In_Degradation)^(DV20-1)*DV15*DV$6</f>
        <v>30861.6560644754</v>
      </c>
      <c r="DW71" s="47" t="n">
        <f aca="false">$F24*In_P50_Hours*(1-In_Curtailment)*(1-$E27)*(1-In_Degradation)^(DW20-1)*DW15*DW$6</f>
        <v>30526.2032811659</v>
      </c>
      <c r="DX71" s="47" t="n">
        <f aca="false">$F24*In_P50_Hours*(1-In_Curtailment)*(1-$E27)*(1-In_Degradation)^(DX20-1)*DX15*DX$6</f>
        <v>30526.2032811659</v>
      </c>
      <c r="DY71" s="47" t="n">
        <f aca="false">$F24*In_P50_Hours*(1-In_Curtailment)*(1-$E27)*(1-In_Degradation)^(DY20-1)*DY15*DY$6</f>
        <v>30861.6560644754</v>
      </c>
      <c r="DZ71" s="47" t="n">
        <f aca="false">$F24*In_P50_Hours*(1-In_Curtailment)*(1-$E27)*(1-In_Degradation)^(DZ20-1)*DZ15*DZ$6</f>
        <v>30769.071096282</v>
      </c>
      <c r="EA71" s="47" t="n">
        <f aca="false">$F24*In_P50_Hours*(1-In_Curtailment)*(1-$E27)*(1-In_Degradation)^(EA20-1)*EA15*EA$6</f>
        <v>30100.1782463628</v>
      </c>
      <c r="EB71" s="47" t="n">
        <f aca="false">$F24*In_P50_Hours*(1-In_Curtailment)*(1-$E27)*(1-In_Degradation)^(EB20-1)*EB15*EB$6</f>
        <v>30434.6246713224</v>
      </c>
      <c r="EC71" s="47" t="n">
        <f aca="false">$F24*In_P50_Hours*(1-In_Curtailment)*(1-$E27)*(1-In_Degradation)^(EC20-1)*EC15*EC$6</f>
        <v>30769.071096282</v>
      </c>
      <c r="ED71" s="47" t="n">
        <f aca="false">$F24*In_P50_Hours*(1-In_Curtailment)*(1-$E27)*(1-In_Degradation)^(ED20-1)*ED15*ED$6</f>
        <v>30676.7638829931</v>
      </c>
      <c r="EE71" s="47" t="n">
        <f aca="false">$F24*In_P50_Hours*(1-In_Curtailment)*(1-$E27)*(1-In_Degradation)^(EE20-1)*EE15*EE$6</f>
        <v>30009.8777116237</v>
      </c>
      <c r="EF71" s="47" t="n">
        <f aca="false">$F24*In_P50_Hours*(1-In_Curtailment)*(1-$E27)*(1-In_Degradation)^(EF20-1)*EF15*EF$6</f>
        <v>30343.3207973084</v>
      </c>
      <c r="EG71" s="47" t="n">
        <f aca="false">$F24*In_P50_Hours*(1-In_Curtailment)*(1-$E27)*(1-In_Degradation)^(EG20-1)*EG15*EG$6</f>
        <v>30676.7638829931</v>
      </c>
      <c r="EH71" s="47" t="n">
        <f aca="false">$F24*In_P50_Hours*(1-In_Curtailment)*(1-$E27)*(1-In_Degradation)^(EH20-1)*EH15*EH$6</f>
        <v>30584.7335913441</v>
      </c>
      <c r="EI71" s="47" t="n">
        <f aca="false">$F24*In_P50_Hours*(1-In_Curtailment)*(1-$E27)*(1-In_Degradation)^(EI20-1)*EI15*EI$6</f>
        <v>29919.8480784888</v>
      </c>
      <c r="EJ71" s="47" t="n">
        <f aca="false">$F24*In_P50_Hours*(1-In_Curtailment)*(1-$E27)*(1-In_Degradation)^(EJ20-1)*EJ15*EJ$6</f>
        <v>30252.2908349165</v>
      </c>
      <c r="EK71" s="47" t="n">
        <f aca="false">$F24*In_P50_Hours*(1-In_Curtailment)*(1-$E27)*(1-In_Degradation)^(EK20-1)*EK15*EK$6</f>
        <v>30584.7335913441</v>
      </c>
      <c r="EL71" s="47" t="n">
        <f aca="false">$F24*In_P50_Hours*(1-In_Curtailment)*(1-$E27)*(1-In_Degradation)^(EL20-1)*EL15*EL$6</f>
        <v>30492.9793905701</v>
      </c>
      <c r="EM71" s="47" t="n">
        <f aca="false">$F24*In_P50_Hours*(1-In_Curtailment)*(1-$E27)*(1-In_Degradation)^(EM20-1)*EM15*EM$6</f>
        <v>30161.5339624117</v>
      </c>
      <c r="EN71" s="47" t="n">
        <f aca="false">$F24*In_P50_Hours*(1-In_Curtailment)*(1-$E27)*(1-In_Degradation)^(EN20-1)*EN15*EN$6</f>
        <v>30161.5339624117</v>
      </c>
      <c r="EO71" s="47" t="n">
        <f aca="false">$F24*In_P50_Hours*(1-In_Curtailment)*(1-$E27)*(1-In_Degradation)^(EO20-1)*EO15*EO$6</f>
        <v>30492.9793905701</v>
      </c>
    </row>
    <row r="72" customFormat="false" ht="15" hidden="false" customHeight="false" outlineLevel="0" collapsed="false">
      <c r="C72" s="0" t="s">
        <v>422</v>
      </c>
      <c r="D72" s="11" t="s">
        <v>33</v>
      </c>
      <c r="E72" s="47" t="n">
        <f aca="false">SUMIF($J$7:$EO$7,YEAR(In_COD)+1,$J72:$EO72)</f>
        <v>11988.936702792</v>
      </c>
      <c r="I72" s="47" t="n">
        <f aca="false">SUM(J72:EO72)</f>
        <v>398096.796528086</v>
      </c>
      <c r="J72" s="47" t="n">
        <f aca="false">J71*J70/Thousand</f>
        <v>0</v>
      </c>
      <c r="K72" s="47" t="n">
        <f aca="false">K71*K70/Thousand</f>
        <v>0</v>
      </c>
      <c r="L72" s="47" t="n">
        <f aca="false">L71*L70/Thousand</f>
        <v>0</v>
      </c>
      <c r="M72" s="47" t="n">
        <f aca="false">M71*M70/Thousand</f>
        <v>0</v>
      </c>
      <c r="N72" s="47" t="n">
        <f aca="false">N71*N70/Thousand</f>
        <v>0</v>
      </c>
      <c r="O72" s="47" t="n">
        <f aca="false">O71*O70/Thousand</f>
        <v>0</v>
      </c>
      <c r="P72" s="47" t="n">
        <f aca="false">P71*P70/Thousand</f>
        <v>0</v>
      </c>
      <c r="Q72" s="47" t="n">
        <f aca="false">Q71*Q70/Thousand</f>
        <v>0</v>
      </c>
      <c r="R72" s="47" t="n">
        <f aca="false">R71*R70/Thousand</f>
        <v>0</v>
      </c>
      <c r="S72" s="47" t="n">
        <f aca="false">S71*S70/Thousand</f>
        <v>0</v>
      </c>
      <c r="T72" s="47" t="n">
        <f aca="false">T71*T70/Thousand</f>
        <v>0</v>
      </c>
      <c r="U72" s="47" t="n">
        <f aca="false">U71*U70/Thousand</f>
        <v>0</v>
      </c>
      <c r="V72" s="47" t="n">
        <f aca="false">V71*V70/Thousand</f>
        <v>0</v>
      </c>
      <c r="W72" s="47" t="n">
        <f aca="false">W71*W70/Thousand</f>
        <v>0</v>
      </c>
      <c r="X72" s="47" t="n">
        <f aca="false">X71*X70/Thousand</f>
        <v>0</v>
      </c>
      <c r="Y72" s="47" t="n">
        <f aca="false">Y71*Y70/Thousand</f>
        <v>0</v>
      </c>
      <c r="Z72" s="47" t="n">
        <f aca="false">Z71*Z70/Thousand</f>
        <v>2994.2136</v>
      </c>
      <c r="AA72" s="47" t="n">
        <f aca="false">AA71*AA70/Thousand</f>
        <v>2958.41322</v>
      </c>
      <c r="AB72" s="47" t="n">
        <f aca="false">AB71*AB70/Thousand</f>
        <v>2991.284478</v>
      </c>
      <c r="AC72" s="47" t="n">
        <f aca="false">AC71*AC70/Thousand</f>
        <v>3024.155736</v>
      </c>
      <c r="AD72" s="47" t="n">
        <f aca="false">AD71*AD70/Thousand</f>
        <v>3015.083268792</v>
      </c>
      <c r="AE72" s="47" t="n">
        <f aca="false">AE71*AE70/Thousand</f>
        <v>3012.13373081166</v>
      </c>
      <c r="AF72" s="47" t="n">
        <f aca="false">AF71*AF70/Thousand</f>
        <v>3012.13373081166</v>
      </c>
      <c r="AG72" s="47" t="n">
        <f aca="false">AG71*AG70/Thousand</f>
        <v>3045.23410147992</v>
      </c>
      <c r="AH72" s="47" t="n">
        <f aca="false">AH71*AH70/Thousand</f>
        <v>3036.09839917548</v>
      </c>
      <c r="AI72" s="47" t="n">
        <f aca="false">AI71*AI70/Thousand</f>
        <v>2999.7972226636</v>
      </c>
      <c r="AJ72" s="47" t="n">
        <f aca="false">AJ71*AJ70/Thousand</f>
        <v>3033.12830291542</v>
      </c>
      <c r="AK72" s="47" t="n">
        <f aca="false">AK71*AK70/Thousand</f>
        <v>3066.45938316724</v>
      </c>
      <c r="AL72" s="47" t="n">
        <f aca="false">AL71*AL70/Thousand</f>
        <v>3057.26000501774</v>
      </c>
      <c r="AM72" s="47" t="n">
        <f aca="false">AM71*AM70/Thousand</f>
        <v>3020.70580930557</v>
      </c>
      <c r="AN72" s="47" t="n">
        <f aca="false">AN71*AN70/Thousand</f>
        <v>3054.26920718674</v>
      </c>
      <c r="AO72" s="47" t="n">
        <f aca="false">AO71*AO70/Thousand</f>
        <v>3087.83260506791</v>
      </c>
      <c r="AP72" s="47" t="n">
        <f aca="false">AP71*AP70/Thousand</f>
        <v>3078.56910725271</v>
      </c>
      <c r="AQ72" s="47" t="n">
        <f aca="false">AQ71*AQ70/Thousand</f>
        <v>3041.76012879643</v>
      </c>
      <c r="AR72" s="47" t="n">
        <f aca="false">AR71*AR70/Thousand</f>
        <v>3075.55746356083</v>
      </c>
      <c r="AS72" s="47" t="n">
        <f aca="false">AS71*AS70/Thousand</f>
        <v>3109.35479832524</v>
      </c>
      <c r="AT72" s="47" t="n">
        <f aca="false">AT71*AT70/Thousand</f>
        <v>3100.02673393026</v>
      </c>
      <c r="AU72" s="47" t="n">
        <f aca="false">AU71*AU70/Thousand</f>
        <v>3096.99409908185</v>
      </c>
      <c r="AV72" s="47" t="n">
        <f aca="false">AV71*AV70/Thousand</f>
        <v>3096.99409908185</v>
      </c>
      <c r="AW72" s="47" t="n">
        <f aca="false">AW71*AW70/Thousand</f>
        <v>3131.02700126956</v>
      </c>
      <c r="AX72" s="47" t="n">
        <f aca="false">AX71*AX70/Thousand</f>
        <v>3121.63392026575</v>
      </c>
      <c r="AY72" s="47" t="n">
        <f aca="false">AY71*AY70/Thousand</f>
        <v>3084.31003643649</v>
      </c>
      <c r="AZ72" s="47" t="n">
        <f aca="false">AZ71*AZ70/Thousand</f>
        <v>3118.58014795245</v>
      </c>
      <c r="BA72" s="47" t="n">
        <f aca="false">BA71*BA70/Thousand</f>
        <v>3152.85025946841</v>
      </c>
      <c r="BB72" s="47" t="n">
        <f aca="false">BB71*BB70/Thousand</f>
        <v>3143.39170869001</v>
      </c>
      <c r="BC72" s="47" t="n">
        <f aca="false">BC71*BC70/Thousand</f>
        <v>3105.80767739045</v>
      </c>
      <c r="BD72" s="47" t="n">
        <f aca="false">BD71*BD70/Thousand</f>
        <v>3140.31665158368</v>
      </c>
      <c r="BE72" s="47" t="n">
        <f aca="false">BE71*BE70/Thousand</f>
        <v>3174.82562577691</v>
      </c>
      <c r="BF72" s="47" t="n">
        <f aca="false">BF71*BF70/Thousand</f>
        <v>3165.30114889958</v>
      </c>
      <c r="BG72" s="47" t="n">
        <f aca="false">BG71*BG70/Thousand</f>
        <v>3127.45515690186</v>
      </c>
      <c r="BH72" s="47" t="n">
        <f aca="false">BH71*BH70/Thousand</f>
        <v>3162.20465864522</v>
      </c>
      <c r="BI72" s="47" t="n">
        <f aca="false">BI71*BI70/Thousand</f>
        <v>3196.95416038857</v>
      </c>
      <c r="BJ72" s="47" t="n">
        <f aca="false">BJ71*BJ70/Thousand</f>
        <v>3187.36329790741</v>
      </c>
      <c r="BK72" s="47" t="n">
        <f aca="false">BK71*BK70/Thousand</f>
        <v>3184.24522511597</v>
      </c>
      <c r="BL72" s="47" t="n">
        <f aca="false">BL71*BL70/Thousand</f>
        <v>3184.24522511597</v>
      </c>
      <c r="BM72" s="47" t="n">
        <f aca="false">BM71*BM70/Thousand</f>
        <v>3219.23693088648</v>
      </c>
      <c r="BN72" s="47" t="n">
        <f aca="false">BN71*BN70/Thousand</f>
        <v>3209.57922009382</v>
      </c>
      <c r="BO72" s="47" t="n">
        <f aca="false">BO71*BO70/Thousand</f>
        <v>3171.20381637531</v>
      </c>
      <c r="BP72" s="47" t="n">
        <f aca="false">BP71*BP70/Thousand</f>
        <v>3206.43941433503</v>
      </c>
      <c r="BQ72" s="47" t="n">
        <f aca="false">BQ71*BQ70/Thousand</f>
        <v>3241.67501229476</v>
      </c>
      <c r="BR72" s="47" t="n">
        <f aca="false">BR71*BR70/Thousand</f>
        <v>3231.94998725787</v>
      </c>
      <c r="BS72" s="47" t="n">
        <f aca="false">BS71*BS70/Thousand</f>
        <v>3193.30710697544</v>
      </c>
      <c r="BT72" s="47" t="n">
        <f aca="false">BT71*BT70/Thousand</f>
        <v>3228.78829705295</v>
      </c>
      <c r="BU72" s="47" t="n">
        <f aca="false">BU71*BU70/Thousand</f>
        <v>3264.26948713045</v>
      </c>
      <c r="BV72" s="47" t="n">
        <f aca="false">BV71*BV70/Thousand</f>
        <v>3254.47667866906</v>
      </c>
      <c r="BW72" s="47" t="n">
        <f aca="false">BW71*BW70/Thousand</f>
        <v>3215.56445751106</v>
      </c>
      <c r="BX72" s="47" t="n">
        <f aca="false">BX71*BX70/Thousand</f>
        <v>3251.29295148341</v>
      </c>
      <c r="BY72" s="47" t="n">
        <f aca="false">BY71*BY70/Thousand</f>
        <v>3287.02144545575</v>
      </c>
      <c r="BZ72" s="47" t="n">
        <f aca="false">BZ71*BZ70/Thousand</f>
        <v>3277.16038111938</v>
      </c>
      <c r="CA72" s="47" t="n">
        <f aca="false">CA71*CA70/Thousand</f>
        <v>3273.95446335525</v>
      </c>
      <c r="CB72" s="47" t="n">
        <f aca="false">CB71*CB70/Thousand</f>
        <v>3273.95446335525</v>
      </c>
      <c r="CC72" s="47" t="n">
        <f aca="false">CC71*CC70/Thousand</f>
        <v>3309.93198493058</v>
      </c>
      <c r="CD72" s="47" t="n">
        <f aca="false">CD71*CD70/Thousand</f>
        <v>3300.00218897579</v>
      </c>
      <c r="CE72" s="47" t="n">
        <f aca="false">CE71*CE70/Thousand</f>
        <v>3260.54564106412</v>
      </c>
      <c r="CF72" s="47" t="n">
        <f aca="false">CF71*CF70/Thousand</f>
        <v>3296.77392596483</v>
      </c>
      <c r="CG72" s="47" t="n">
        <f aca="false">CG71*CG70/Thousand</f>
        <v>3333.00221086555</v>
      </c>
      <c r="CH72" s="47" t="n">
        <f aca="false">CH71*CH70/Thousand</f>
        <v>3323.00320423295</v>
      </c>
      <c r="CI72" s="47" t="n">
        <f aca="false">CI71*CI70/Thousand</f>
        <v>3283.27164418234</v>
      </c>
      <c r="CJ72" s="47" t="n">
        <f aca="false">CJ71*CJ70/Thousand</f>
        <v>3319.75244022881</v>
      </c>
      <c r="CK72" s="47" t="n">
        <f aca="false">CK71*CK70/Thousand</f>
        <v>3356.23323627528</v>
      </c>
      <c r="CL72" s="47" t="n">
        <f aca="false">CL71*CL70/Thousand</f>
        <v>3346.16453656645</v>
      </c>
      <c r="CM72" s="47" t="n">
        <f aca="false">CM71*CM70/Thousand</f>
        <v>3306.15604754229</v>
      </c>
      <c r="CN72" s="47" t="n">
        <f aca="false">CN71*CN70/Thousand</f>
        <v>3342.8911147372</v>
      </c>
      <c r="CO72" s="47" t="n">
        <f aca="false">CO71*CO70/Thousand</f>
        <v>3379.62618193212</v>
      </c>
      <c r="CP72" s="47" t="n">
        <f aca="false">CP71*CP70/Thousand</f>
        <v>3369.48730338632</v>
      </c>
      <c r="CQ72" s="47" t="n">
        <f aca="false">CQ71*CQ70/Thousand</f>
        <v>3366.19106580692</v>
      </c>
      <c r="CR72" s="47" t="n">
        <f aca="false">CR71*CR70/Thousand</f>
        <v>3366.19106580692</v>
      </c>
      <c r="CS72" s="47" t="n">
        <f aca="false">CS71*CS70/Thousand</f>
        <v>3403.18217642018</v>
      </c>
      <c r="CT72" s="47" t="n">
        <f aca="false">CT71*CT70/Thousand</f>
        <v>3392.97262989092</v>
      </c>
      <c r="CU72" s="47" t="n">
        <f aca="false">CU71*CU70/Thousand</f>
        <v>3352.40447888136</v>
      </c>
      <c r="CV72" s="47" t="n">
        <f aca="false">CV71*CV70/Thousand</f>
        <v>3389.65341753559</v>
      </c>
      <c r="CW72" s="47" t="n">
        <f aca="false">CW71*CW70/Thousand</f>
        <v>3426.90235618983</v>
      </c>
      <c r="CX72" s="47" t="n">
        <f aca="false">CX71*CX70/Thousand</f>
        <v>3416.62164912126</v>
      </c>
      <c r="CY72" s="47" t="n">
        <f aca="false">CY71*CY70/Thousand</f>
        <v>3375.77073809916</v>
      </c>
      <c r="CZ72" s="47" t="n">
        <f aca="false">CZ71*CZ70/Thousand</f>
        <v>3413.27930185582</v>
      </c>
      <c r="DA72" s="47" t="n">
        <f aca="false">DA71*DA70/Thousand</f>
        <v>3450.78786561248</v>
      </c>
      <c r="DB72" s="47" t="n">
        <f aca="false">DB71*DB70/Thousand</f>
        <v>3440.43550201564</v>
      </c>
      <c r="DC72" s="47" t="n">
        <f aca="false">DC71*DC70/Thousand</f>
        <v>3399.29986014371</v>
      </c>
      <c r="DD72" s="47" t="n">
        <f aca="false">DD71*DD70/Thousand</f>
        <v>3437.06985858975</v>
      </c>
      <c r="DE72" s="47" t="n">
        <f aca="false">DE71*DE70/Thousand</f>
        <v>3474.83985703579</v>
      </c>
      <c r="DF72" s="47" t="n">
        <f aca="false">DF71*DF70/Thousand</f>
        <v>3464.41533746469</v>
      </c>
      <c r="DG72" s="47" t="n">
        <f aca="false">DG71*DG70/Thousand</f>
        <v>3461.02623550412</v>
      </c>
      <c r="DH72" s="47" t="n">
        <f aca="false">DH71*DH70/Thousand</f>
        <v>3461.02623550412</v>
      </c>
      <c r="DI72" s="47" t="n">
        <f aca="false">DI71*DI70/Thousand</f>
        <v>3499.05949083933</v>
      </c>
      <c r="DJ72" s="47" t="n">
        <f aca="false">DJ71*DJ70/Thousand</f>
        <v>3488.56231236681</v>
      </c>
      <c r="DK72" s="47" t="n">
        <f aca="false">DK71*DK70/Thousand</f>
        <v>3446.85124124069</v>
      </c>
      <c r="DL72" s="47" t="n">
        <f aca="false">DL71*DL70/Thousand</f>
        <v>3485.14958836559</v>
      </c>
      <c r="DM72" s="47" t="n">
        <f aca="false">DM71*DM70/Thousand</f>
        <v>3523.44793549048</v>
      </c>
      <c r="DN72" s="47" t="n">
        <f aca="false">DN71*DN70/Thousand</f>
        <v>3512.87759168401</v>
      </c>
      <c r="DO72" s="47" t="n">
        <f aca="false">DO71*DO70/Thousand</f>
        <v>3470.87579439214</v>
      </c>
      <c r="DP72" s="47" t="n">
        <f aca="false">DP71*DP70/Thousand</f>
        <v>3509.4410809965</v>
      </c>
      <c r="DQ72" s="47" t="n">
        <f aca="false">DQ71*DQ70/Thousand</f>
        <v>3548.00636760085</v>
      </c>
      <c r="DR72" s="47" t="n">
        <f aca="false">DR71*DR70/Thousand</f>
        <v>3537.36234849805</v>
      </c>
      <c r="DS72" s="47" t="n">
        <f aca="false">DS71*DS70/Thousand</f>
        <v>3495.06779867905</v>
      </c>
      <c r="DT72" s="47" t="n">
        <f aca="false">DT71*DT70/Thousand</f>
        <v>3533.90188533104</v>
      </c>
      <c r="DU72" s="47" t="n">
        <f aca="false">DU71*DU70/Thousand</f>
        <v>3572.73597198303</v>
      </c>
      <c r="DV72" s="47" t="n">
        <f aca="false">DV71*DV70/Thousand</f>
        <v>3562.01776406708</v>
      </c>
      <c r="DW72" s="47" t="n">
        <f aca="false">DW71*DW70/Thousand</f>
        <v>3558.5331814718</v>
      </c>
      <c r="DX72" s="47" t="n">
        <f aca="false">DX71*DX70/Thousand</f>
        <v>3558.5331814718</v>
      </c>
      <c r="DY72" s="47" t="n">
        <f aca="false">DY71*DY70/Thousand</f>
        <v>3597.63794170775</v>
      </c>
      <c r="DZ72" s="47" t="n">
        <f aca="false">DZ71*DZ70/Thousand</f>
        <v>3586.84502788263</v>
      </c>
      <c r="EA72" s="47" t="n">
        <f aca="false">EA71*EA70/Thousand</f>
        <v>3543.95883733186</v>
      </c>
      <c r="EB72" s="47" t="n">
        <f aca="false">EB71*EB70/Thousand</f>
        <v>3583.33615774666</v>
      </c>
      <c r="EC72" s="47" t="n">
        <f aca="false">EC71*EC70/Thousand</f>
        <v>3622.71347816146</v>
      </c>
      <c r="ED72" s="47" t="n">
        <f aca="false">ED71*ED70/Thousand</f>
        <v>3611.84533772697</v>
      </c>
      <c r="EE72" s="47" t="n">
        <f aca="false">EE71*EE70/Thousand</f>
        <v>3568.66023042806</v>
      </c>
      <c r="EF72" s="47" t="n">
        <f aca="false">EF71*EF70/Thousand</f>
        <v>3608.31201076615</v>
      </c>
      <c r="EG72" s="47" t="n">
        <f aca="false">EG71*EG70/Thousand</f>
        <v>3647.96379110424</v>
      </c>
      <c r="EH72" s="47" t="n">
        <f aca="false">EH71*EH70/Thousand</f>
        <v>3637.01989973093</v>
      </c>
      <c r="EI72" s="47" t="n">
        <f aca="false">EI71*EI70/Thousand</f>
        <v>3593.53379223414</v>
      </c>
      <c r="EJ72" s="47" t="n">
        <f aca="false">EJ71*EJ70/Thousand</f>
        <v>3633.46194548119</v>
      </c>
      <c r="EK72" s="47" t="n">
        <f aca="false">EK71*EK70/Thousand</f>
        <v>3673.39009872824</v>
      </c>
      <c r="EL72" s="47" t="n">
        <f aca="false">EL71*EL70/Thousand</f>
        <v>3662.36992843205</v>
      </c>
      <c r="EM72" s="47" t="n">
        <f aca="false">EM71*EM70/Thousand</f>
        <v>3658.78717524119</v>
      </c>
      <c r="EN72" s="47" t="n">
        <f aca="false">EN71*EN70/Thousand</f>
        <v>3658.78717524119</v>
      </c>
      <c r="EO72" s="47" t="n">
        <f aca="false">EO71*EO70/Thousand</f>
        <v>3698.99362771637</v>
      </c>
    </row>
    <row r="73" customFormat="false" ht="15" hidden="false" customHeight="false" outlineLevel="0" collapsed="false">
      <c r="C73" s="0" t="s">
        <v>423</v>
      </c>
      <c r="D73" s="11" t="s">
        <v>33</v>
      </c>
      <c r="I73" s="47" t="n">
        <f aca="false">SUM(J73:EO73)</f>
        <v>-28132.3883354309</v>
      </c>
      <c r="J73" s="47" t="n">
        <f aca="false">-In_Var_Opex*J71*J69/Thousand</f>
        <v>-0</v>
      </c>
      <c r="K73" s="47" t="n">
        <f aca="false">-In_Var_Opex*K71*K69/Thousand</f>
        <v>-0</v>
      </c>
      <c r="L73" s="47" t="n">
        <f aca="false">-In_Var_Opex*L71*L69/Thousand</f>
        <v>-0</v>
      </c>
      <c r="M73" s="47" t="n">
        <f aca="false">-In_Var_Opex*M71*M69/Thousand</f>
        <v>-0</v>
      </c>
      <c r="N73" s="47" t="n">
        <f aca="false">-In_Var_Opex*N71*N69/Thousand</f>
        <v>-0</v>
      </c>
      <c r="O73" s="47" t="n">
        <f aca="false">-In_Var_Opex*O71*O69/Thousand</f>
        <v>-0</v>
      </c>
      <c r="P73" s="47" t="n">
        <f aca="false">-In_Var_Opex*P71*P69/Thousand</f>
        <v>-0</v>
      </c>
      <c r="Q73" s="47" t="n">
        <f aca="false">-In_Var_Opex*Q71*Q69/Thousand</f>
        <v>-0</v>
      </c>
      <c r="R73" s="47" t="n">
        <f aca="false">-In_Var_Opex*R71*R69/Thousand</f>
        <v>-0</v>
      </c>
      <c r="S73" s="47" t="n">
        <f aca="false">-In_Var_Opex*S71*S69/Thousand</f>
        <v>-0</v>
      </c>
      <c r="T73" s="47" t="n">
        <f aca="false">-In_Var_Opex*T71*T69/Thousand</f>
        <v>-0</v>
      </c>
      <c r="U73" s="47" t="n">
        <f aca="false">-In_Var_Opex*U71*U69/Thousand</f>
        <v>-0</v>
      </c>
      <c r="V73" s="47" t="n">
        <f aca="false">-In_Var_Opex*V71*V69/Thousand</f>
        <v>-0</v>
      </c>
      <c r="W73" s="47" t="n">
        <f aca="false">-In_Var_Opex*W71*W69/Thousand</f>
        <v>-0</v>
      </c>
      <c r="X73" s="47" t="n">
        <f aca="false">-In_Var_Opex*X71*X69/Thousand</f>
        <v>-0</v>
      </c>
      <c r="Y73" s="47" t="n">
        <f aca="false">-In_Var_Opex*Y71*Y69/Thousand</f>
        <v>-0</v>
      </c>
      <c r="Z73" s="47" t="n">
        <f aca="false">-In_Var_Opex*Z71*Z69/Thousand</f>
        <v>-166.3452</v>
      </c>
      <c r="AA73" s="47" t="n">
        <f aca="false">-In_Var_Opex*AA71*AA69/Thousand</f>
        <v>-166.797225</v>
      </c>
      <c r="AB73" s="47" t="n">
        <f aca="false">-In_Var_Opex*AB71*AB69/Thousand</f>
        <v>-168.6505275</v>
      </c>
      <c r="AC73" s="47" t="n">
        <f aca="false">-In_Var_Opex*AC71*AC69/Thousand</f>
        <v>-170.50383</v>
      </c>
      <c r="AD73" s="47" t="n">
        <f aca="false">-In_Var_Opex*AD71*AD69/Thousand</f>
        <v>-169.99231851</v>
      </c>
      <c r="AE73" s="47" t="n">
        <f aca="false">-In_Var_Opex*AE71*AE69/Thousand</f>
        <v>-172.348190315438</v>
      </c>
      <c r="AF73" s="47" t="n">
        <f aca="false">-In_Var_Opex*AF71*AF69/Thousand</f>
        <v>-172.348190315438</v>
      </c>
      <c r="AG73" s="47" t="n">
        <f aca="false">-In_Var_Opex*AG71*AG69/Thousand</f>
        <v>-174.24212647275</v>
      </c>
      <c r="AH73" s="47" t="n">
        <f aca="false">-In_Var_Opex*AH71*AH69/Thousand</f>
        <v>-173.719400093332</v>
      </c>
      <c r="AI73" s="47" t="n">
        <f aca="false">-In_Var_Opex*AI71*AI69/Thousand</f>
        <v>-174.191463680542</v>
      </c>
      <c r="AJ73" s="47" t="n">
        <f aca="false">-In_Var_Opex*AJ71*AJ69/Thousand</f>
        <v>-176.126924388103</v>
      </c>
      <c r="AK73" s="47" t="n">
        <f aca="false">-In_Var_Opex*AK71*AK69/Thousand</f>
        <v>-178.062385095665</v>
      </c>
      <c r="AL73" s="47" t="n">
        <f aca="false">-In_Var_Opex*AL71*AL69/Thousand</f>
        <v>-177.528197940378</v>
      </c>
      <c r="AM73" s="47" t="n">
        <f aca="false">-In_Var_Opex*AM71*AM69/Thousand</f>
        <v>-178.010611521738</v>
      </c>
      <c r="AN73" s="47" t="n">
        <f aca="false">-In_Var_Opex*AN71*AN69/Thousand</f>
        <v>-179.988507205313</v>
      </c>
      <c r="AO73" s="47" t="n">
        <f aca="false">-In_Var_Opex*AO71*AO69/Thousand</f>
        <v>-181.966402888888</v>
      </c>
      <c r="AP73" s="47" t="n">
        <f aca="false">-In_Var_Opex*AP71*AP69/Thousand</f>
        <v>-181.420503680221</v>
      </c>
      <c r="AQ73" s="47" t="n">
        <f aca="false">-In_Var_Opex*AQ71*AQ69/Thousand</f>
        <v>-181.913494179352</v>
      </c>
      <c r="AR73" s="47" t="n">
        <f aca="false">-In_Var_Opex*AR71*AR69/Thousand</f>
        <v>-183.934755225789</v>
      </c>
      <c r="AS73" s="47" t="n">
        <f aca="false">-In_Var_Opex*AS71*AS69/Thousand</f>
        <v>-185.956016272226</v>
      </c>
      <c r="AT73" s="47" t="n">
        <f aca="false">-In_Var_Opex*AT71*AT69/Thousand</f>
        <v>-185.39814822341</v>
      </c>
      <c r="AU73" s="47" t="n">
        <f aca="false">-In_Var_Opex*AU71*AU69/Thousand</f>
        <v>-187.967524734115</v>
      </c>
      <c r="AV73" s="47" t="n">
        <f aca="false">-In_Var_Opex*AV71*AV69/Thousand</f>
        <v>-187.967524734115</v>
      </c>
      <c r="AW73" s="47" t="n">
        <f aca="false">-In_Var_Opex*AW71*AW69/Thousand</f>
        <v>-190.033101928995</v>
      </c>
      <c r="AX73" s="47" t="n">
        <f aca="false">-In_Var_Opex*AX71*AX69/Thousand</f>
        <v>-189.463002623208</v>
      </c>
      <c r="AY73" s="47" t="n">
        <f aca="false">-In_Var_Opex*AY71*AY69/Thousand</f>
        <v>-189.977847739032</v>
      </c>
      <c r="AZ73" s="47" t="n">
        <f aca="false">-In_Var_Opex*AZ71*AZ69/Thousand</f>
        <v>-192.08871271391</v>
      </c>
      <c r="BA73" s="47" t="n">
        <f aca="false">-In_Var_Opex*BA71*BA69/Thousand</f>
        <v>-194.199577688788</v>
      </c>
      <c r="BB73" s="47" t="n">
        <f aca="false">-In_Var_Opex*BB71*BB69/Thousand</f>
        <v>-193.616978955722</v>
      </c>
      <c r="BC73" s="47" t="n">
        <f aca="false">-In_Var_Opex*BC71*BC69/Thousand</f>
        <v>-194.14311205071</v>
      </c>
      <c r="BD73" s="47" t="n">
        <f aca="false">-In_Var_Opex*BD71*BD69/Thousand</f>
        <v>-196.300257740162</v>
      </c>
      <c r="BE73" s="47" t="n">
        <f aca="false">-In_Var_Opex*BE71*BE69/Thousand</f>
        <v>-198.457403429615</v>
      </c>
      <c r="BF73" s="47" t="n">
        <f aca="false">-In_Var_Opex*BF71*BF69/Thousand</f>
        <v>-197.862031219326</v>
      </c>
      <c r="BG73" s="47" t="n">
        <f aca="false">-In_Var_Opex*BG71*BG69/Thousand</f>
        <v>-198.399699782422</v>
      </c>
      <c r="BH73" s="47" t="n">
        <f aca="false">-In_Var_Opex*BH71*BH69/Thousand</f>
        <v>-200.604140891115</v>
      </c>
      <c r="BI73" s="47" t="n">
        <f aca="false">-In_Var_Opex*BI71*BI69/Thousand</f>
        <v>-202.808581999809</v>
      </c>
      <c r="BJ73" s="47" t="n">
        <f aca="false">-In_Var_Opex*BJ71*BJ69/Thousand</f>
        <v>-202.20015625381</v>
      </c>
      <c r="BK73" s="47" t="n">
        <f aca="false">-In_Var_Opex*BK71*BK69/Thousand</f>
        <v>-205.002386680153</v>
      </c>
      <c r="BL73" s="47" t="n">
        <f aca="false">-In_Var_Opex*BL71*BL69/Thousand</f>
        <v>-205.002386680153</v>
      </c>
      <c r="BM73" s="47" t="n">
        <f aca="false">-In_Var_Opex*BM71*BM69/Thousand</f>
        <v>-207.255160160155</v>
      </c>
      <c r="BN73" s="47" t="n">
        <f aca="false">-In_Var_Opex*BN71*BN69/Thousand</f>
        <v>-206.633394679674</v>
      </c>
      <c r="BO73" s="47" t="n">
        <f aca="false">-In_Var_Opex*BO71*BO69/Thousand</f>
        <v>-207.194898469565</v>
      </c>
      <c r="BP73" s="47" t="n">
        <f aca="false">-In_Var_Opex*BP71*BP69/Thousand</f>
        <v>-209.497064008115</v>
      </c>
      <c r="BQ73" s="47" t="n">
        <f aca="false">-In_Var_Opex*BQ71*BQ69/Thousand</f>
        <v>-211.799229546666</v>
      </c>
      <c r="BR73" s="47" t="n">
        <f aca="false">-In_Var_Opex*BR71*BR69/Thousand</f>
        <v>-211.163831858026</v>
      </c>
      <c r="BS73" s="47" t="n">
        <f aca="false">-In_Var_Opex*BS71*BS69/Thousand</f>
        <v>-211.73764661851</v>
      </c>
      <c r="BT73" s="47" t="n">
        <f aca="false">-In_Var_Opex*BT71*BT69/Thousand</f>
        <v>-214.090287136493</v>
      </c>
      <c r="BU73" s="47" t="n">
        <f aca="false">-In_Var_Opex*BU71*BU69/Thousand</f>
        <v>-216.442927654477</v>
      </c>
      <c r="BV73" s="47" t="n">
        <f aca="false">-In_Var_Opex*BV71*BV69/Thousand</f>
        <v>-215.793598871513</v>
      </c>
      <c r="BW73" s="47" t="n">
        <f aca="false">-In_Var_Opex*BW71*BW69/Thousand</f>
        <v>-216.379994520621</v>
      </c>
      <c r="BX73" s="47" t="n">
        <f aca="false">-In_Var_Opex*BX71*BX69/Thousand</f>
        <v>-218.784216681961</v>
      </c>
      <c r="BY73" s="47" t="n">
        <f aca="false">-In_Var_Opex*BY71*BY69/Thousand</f>
        <v>-221.188438843301</v>
      </c>
      <c r="BZ73" s="47" t="n">
        <f aca="false">-In_Var_Opex*BZ71*BZ69/Thousand</f>
        <v>-220.524873526771</v>
      </c>
      <c r="CA73" s="47" t="n">
        <f aca="false">-In_Var_Opex*CA71*CA69/Thousand</f>
        <v>-223.581060632713</v>
      </c>
      <c r="CB73" s="47" t="n">
        <f aca="false">-In_Var_Opex*CB71*CB69/Thousand</f>
        <v>-223.581060632713</v>
      </c>
      <c r="CC73" s="47" t="n">
        <f aca="false">-In_Var_Opex*CC71*CC69/Thousand</f>
        <v>-226.037995364941</v>
      </c>
      <c r="CD73" s="47" t="n">
        <f aca="false">-In_Var_Opex*CD71*CD69/Thousand</f>
        <v>-225.359881378846</v>
      </c>
      <c r="CE73" s="47" t="n">
        <f aca="false">-In_Var_Opex*CE71*CE69/Thousand</f>
        <v>-225.972272360853</v>
      </c>
      <c r="CF73" s="47" t="n">
        <f aca="false">-In_Var_Opex*CF71*CF69/Thousand</f>
        <v>-228.483075387085</v>
      </c>
      <c r="CG73" s="47" t="n">
        <f aca="false">-In_Var_Opex*CG71*CG69/Thousand</f>
        <v>-230.993878413317</v>
      </c>
      <c r="CH73" s="47" t="n">
        <f aca="false">-In_Var_Opex*CH71*CH69/Thousand</f>
        <v>-230.300896778077</v>
      </c>
      <c r="CI73" s="47" t="n">
        <f aca="false">-In_Var_Opex*CI71*CI69/Thousand</f>
        <v>-230.926714432365</v>
      </c>
      <c r="CJ73" s="47" t="n">
        <f aca="false">-In_Var_Opex*CJ71*CJ69/Thousand</f>
        <v>-233.492566814947</v>
      </c>
      <c r="CK73" s="47" t="n">
        <f aca="false">-In_Var_Opex*CK71*CK69/Thousand</f>
        <v>-236.058419197529</v>
      </c>
      <c r="CL73" s="47" t="n">
        <f aca="false">-In_Var_Opex*CL71*CL69/Thousand</f>
        <v>-235.350243939936</v>
      </c>
      <c r="CM73" s="47" t="n">
        <f aca="false">-In_Var_Opex*CM71*CM69/Thousand</f>
        <v>-235.989782646295</v>
      </c>
      <c r="CN73" s="47" t="n">
        <f aca="false">-In_Var_Opex*CN71*CN69/Thousand</f>
        <v>-238.611891342365</v>
      </c>
      <c r="CO73" s="47" t="n">
        <f aca="false">-In_Var_Opex*CO71*CO69/Thousand</f>
        <v>-241.234000038435</v>
      </c>
      <c r="CP73" s="47" t="n">
        <f aca="false">-In_Var_Opex*CP71*CP69/Thousand</f>
        <v>-240.510298038319</v>
      </c>
      <c r="CQ73" s="47" t="n">
        <f aca="false">-In_Var_Opex*CQ71*CQ69/Thousand</f>
        <v>-243.843457060046</v>
      </c>
      <c r="CR73" s="47" t="n">
        <f aca="false">-In_Var_Opex*CR71*CR69/Thousand</f>
        <v>-243.843457060046</v>
      </c>
      <c r="CS73" s="47" t="n">
        <f aca="false">-In_Var_Opex*CS71*CS69/Thousand</f>
        <v>-246.523055489277</v>
      </c>
      <c r="CT73" s="47" t="n">
        <f aca="false">-In_Var_Opex*CT71*CT69/Thousand</f>
        <v>-245.783486322809</v>
      </c>
      <c r="CU73" s="47" t="n">
        <f aca="false">-In_Var_Opex*CU71*CU69/Thousand</f>
        <v>-246.451376231295</v>
      </c>
      <c r="CV73" s="47" t="n">
        <f aca="false">-In_Var_Opex*CV71*CV69/Thousand</f>
        <v>-249.189724856088</v>
      </c>
      <c r="CW73" s="47" t="n">
        <f aca="false">-In_Var_Opex*CW71*CW69/Thousand</f>
        <v>-251.92807348088</v>
      </c>
      <c r="CX73" s="47" t="n">
        <f aca="false">-In_Var_Opex*CX71*CX69/Thousand</f>
        <v>-251.172289260437</v>
      </c>
      <c r="CY73" s="47" t="n">
        <f aca="false">-In_Var_Opex*CY71*CY69/Thousand</f>
        <v>-251.854822655166</v>
      </c>
      <c r="CZ73" s="47" t="n">
        <f aca="false">-In_Var_Opex*CZ71*CZ69/Thousand</f>
        <v>-254.653209573557</v>
      </c>
      <c r="DA73" s="47" t="n">
        <f aca="false">-In_Var_Opex*DA71*DA69/Thousand</f>
        <v>-257.451596491948</v>
      </c>
      <c r="DB73" s="47" t="n">
        <f aca="false">-In_Var_Opex*DB71*DB69/Thousand</f>
        <v>-256.679241702472</v>
      </c>
      <c r="DC73" s="47" t="n">
        <f aca="false">-In_Var_Opex*DC71*DC69/Thousand</f>
        <v>-257.376739641881</v>
      </c>
      <c r="DD73" s="47" t="n">
        <f aca="false">-In_Var_Opex*DD71*DD69/Thousand</f>
        <v>-260.236481193457</v>
      </c>
      <c r="DE73" s="47" t="n">
        <f aca="false">-In_Var_Opex*DE71*DE69/Thousand</f>
        <v>-263.096222745034</v>
      </c>
      <c r="DF73" s="47" t="n">
        <f aca="false">-In_Var_Opex*DF71*DF69/Thousand</f>
        <v>-262.306934076799</v>
      </c>
      <c r="DG73" s="47" t="n">
        <f aca="false">-In_Var_Opex*DG71*DG69/Thousand</f>
        <v>-265.942166043624</v>
      </c>
      <c r="DH73" s="47" t="n">
        <f aca="false">-In_Var_Opex*DH71*DH69/Thousand</f>
        <v>-265.942166043624</v>
      </c>
      <c r="DI73" s="47" t="n">
        <f aca="false">-In_Var_Opex*DI71*DI69/Thousand</f>
        <v>-268.864607428719</v>
      </c>
      <c r="DJ73" s="47" t="n">
        <f aca="false">-In_Var_Opex*DJ71*DJ69/Thousand</f>
        <v>-268.058013606433</v>
      </c>
      <c r="DK73" s="47" t="n">
        <f aca="false">-In_Var_Opex*DK71*DK69/Thousand</f>
        <v>-268.786432121667</v>
      </c>
      <c r="DL73" s="47" t="n">
        <f aca="false">-In_Var_Opex*DL71*DL69/Thousand</f>
        <v>-271.77294803413</v>
      </c>
      <c r="DM73" s="47" t="n">
        <f aca="false">-In_Var_Opex*DM71*DM69/Thousand</f>
        <v>-274.759463946593</v>
      </c>
      <c r="DN73" s="47" t="n">
        <f aca="false">-In_Var_Opex*DN71*DN69/Thousand</f>
        <v>-273.935185554754</v>
      </c>
      <c r="DO73" s="47" t="n">
        <f aca="false">-In_Var_Opex*DO71*DO69/Thousand</f>
        <v>-274.679574645935</v>
      </c>
      <c r="DP73" s="47" t="n">
        <f aca="false">-In_Var_Opex*DP71*DP69/Thousand</f>
        <v>-277.731569919779</v>
      </c>
      <c r="DQ73" s="47" t="n">
        <f aca="false">-In_Var_Opex*DQ71*DQ69/Thousand</f>
        <v>-280.783565193622</v>
      </c>
      <c r="DR73" s="47" t="n">
        <f aca="false">-In_Var_Opex*DR71*DR69/Thousand</f>
        <v>-279.941214498041</v>
      </c>
      <c r="DS73" s="47" t="n">
        <f aca="false">-In_Var_Opex*DS71*DS69/Thousand</f>
        <v>-280.701924320047</v>
      </c>
      <c r="DT73" s="47" t="n">
        <f aca="false">-In_Var_Opex*DT71*DT69/Thousand</f>
        <v>-283.82083459027</v>
      </c>
      <c r="DU73" s="47" t="n">
        <f aca="false">-In_Var_Opex*DU71*DU69/Thousand</f>
        <v>-286.939744860493</v>
      </c>
      <c r="DV73" s="47" t="n">
        <f aca="false">-In_Var_Opex*DV71*DV69/Thousand</f>
        <v>-286.078925625911</v>
      </c>
      <c r="DW73" s="47" t="n">
        <f aca="false">-In_Var_Opex*DW71*DW69/Thousand</f>
        <v>-290.043606388661</v>
      </c>
      <c r="DX73" s="47" t="n">
        <f aca="false">-In_Var_Opex*DX71*DX69/Thousand</f>
        <v>-290.043606388661</v>
      </c>
      <c r="DY73" s="47" t="n">
        <f aca="false">-In_Var_Opex*DY71*DY69/Thousand</f>
        <v>-293.230898766559</v>
      </c>
      <c r="DZ73" s="47" t="n">
        <f aca="false">-In_Var_Opex*DZ71*DZ69/Thousand</f>
        <v>-292.351206070259</v>
      </c>
      <c r="EA73" s="47" t="n">
        <f aca="false">-In_Var_Opex*EA71*EA69/Thousand</f>
        <v>-293.14563869545</v>
      </c>
      <c r="EB73" s="47" t="n">
        <f aca="false">-In_Var_Opex*EB71*EB69/Thousand</f>
        <v>-296.402812458733</v>
      </c>
      <c r="EC73" s="47" t="n">
        <f aca="false">-In_Var_Opex*EC71*EC69/Thousand</f>
        <v>-299.659986222016</v>
      </c>
      <c r="ED73" s="47" t="n">
        <f aca="false">-In_Var_Opex*ED71*ED69/Thousand</f>
        <v>-298.76100626335</v>
      </c>
      <c r="EE73" s="47" t="n">
        <f aca="false">-In_Var_Opex*EE71*EE69/Thousand</f>
        <v>-299.572856823848</v>
      </c>
      <c r="EF73" s="47" t="n">
        <f aca="false">-In_Var_Opex*EF71*EF69/Thousand</f>
        <v>-302.90144412189</v>
      </c>
      <c r="EG73" s="47" t="n">
        <f aca="false">-In_Var_Opex*EG71*EG69/Thousand</f>
        <v>-306.230031419933</v>
      </c>
      <c r="EH73" s="47" t="n">
        <f aca="false">-In_Var_Opex*EH71*EH69/Thousand</f>
        <v>-305.311341325673</v>
      </c>
      <c r="EI73" s="47" t="n">
        <f aca="false">-In_Var_Opex*EI71*EI69/Thousand</f>
        <v>-306.140991709711</v>
      </c>
      <c r="EJ73" s="47" t="n">
        <f aca="false">-In_Var_Opex*EJ71*EJ69/Thousand</f>
        <v>-309.542558284263</v>
      </c>
      <c r="EK73" s="47" t="n">
        <f aca="false">-In_Var_Opex*EK71*EK69/Thousand</f>
        <v>-312.944124858815</v>
      </c>
      <c r="EL73" s="47" t="n">
        <f aca="false">-In_Var_Opex*EL71*EL69/Thousand</f>
        <v>-312.005292484239</v>
      </c>
      <c r="EM73" s="47" t="n">
        <f aca="false">-In_Var_Opex*EM71*EM69/Thousand</f>
        <v>-316.329278874645</v>
      </c>
      <c r="EN73" s="47" t="n">
        <f aca="false">-In_Var_Opex*EN71*EN69/Thousand</f>
        <v>-316.329278874645</v>
      </c>
      <c r="EO73" s="47" t="n">
        <f aca="false">-In_Var_Opex*EO71*EO69/Thousand</f>
        <v>-319.805424796345</v>
      </c>
    </row>
    <row r="74" customFormat="false" ht="15" hidden="false" customHeight="false" outlineLevel="0" collapsed="false">
      <c r="C74" s="0" t="s">
        <v>424</v>
      </c>
      <c r="D74" s="11" t="s">
        <v>33</v>
      </c>
      <c r="I74" s="47" t="n">
        <f aca="false">SUM(J74:EO74)</f>
        <v>-60869.5202640337</v>
      </c>
      <c r="J74" s="47" t="n">
        <f aca="false">-(In_Fixed_Opex*$F24+In_Admin)*J69*J15*J$6</f>
        <v>-0</v>
      </c>
      <c r="K74" s="47" t="n">
        <f aca="false">-(In_Fixed_Opex*$F24+In_Admin)*K69*K15*K$6</f>
        <v>-0</v>
      </c>
      <c r="L74" s="47" t="n">
        <f aca="false">-(In_Fixed_Opex*$F24+In_Admin)*L69*L15*L$6</f>
        <v>-0</v>
      </c>
      <c r="M74" s="47" t="n">
        <f aca="false">-(In_Fixed_Opex*$F24+In_Admin)*M69*M15*M$6</f>
        <v>-0</v>
      </c>
      <c r="N74" s="47" t="n">
        <f aca="false">-(In_Fixed_Opex*$F24+In_Admin)*N69*N15*N$6</f>
        <v>-0</v>
      </c>
      <c r="O74" s="47" t="n">
        <f aca="false">-(In_Fixed_Opex*$F24+In_Admin)*O69*O15*O$6</f>
        <v>-0</v>
      </c>
      <c r="P74" s="47" t="n">
        <f aca="false">-(In_Fixed_Opex*$F24+In_Admin)*P69*P15*P$6</f>
        <v>-0</v>
      </c>
      <c r="Q74" s="47" t="n">
        <f aca="false">-(In_Fixed_Opex*$F24+In_Admin)*Q69*Q15*Q$6</f>
        <v>-0</v>
      </c>
      <c r="R74" s="47" t="n">
        <f aca="false">-(In_Fixed_Opex*$F24+In_Admin)*R69*R15*R$6</f>
        <v>-0</v>
      </c>
      <c r="S74" s="47" t="n">
        <f aca="false">-(In_Fixed_Opex*$F24+In_Admin)*S69*S15*S$6</f>
        <v>-0</v>
      </c>
      <c r="T74" s="47" t="n">
        <f aca="false">-(In_Fixed_Opex*$F24+In_Admin)*T69*T15*T$6</f>
        <v>-0</v>
      </c>
      <c r="U74" s="47" t="n">
        <f aca="false">-(In_Fixed_Opex*$F24+In_Admin)*U69*U15*U$6</f>
        <v>-0</v>
      </c>
      <c r="V74" s="47" t="n">
        <f aca="false">-(In_Fixed_Opex*$F24+In_Admin)*V69*V15*V$6</f>
        <v>-0</v>
      </c>
      <c r="W74" s="47" t="n">
        <f aca="false">-(In_Fixed_Opex*$F24+In_Admin)*W69*W15*W$6</f>
        <v>-0</v>
      </c>
      <c r="X74" s="47" t="n">
        <f aca="false">-(In_Fixed_Opex*$F24+In_Admin)*X69*X15*X$6</f>
        <v>-0</v>
      </c>
      <c r="Y74" s="47" t="n">
        <f aca="false">-(In_Fixed_Opex*$F24+In_Admin)*Y69*Y15*Y$6</f>
        <v>-0</v>
      </c>
      <c r="Z74" s="47" t="n">
        <f aca="false">-(In_Fixed_Opex*$F24+In_Admin)*Z69*Z15*Z$6</f>
        <v>-342.794520547945</v>
      </c>
      <c r="AA74" s="47" t="n">
        <f aca="false">-(In_Fixed_Opex*$F24+In_Admin)*AA69*AA15*AA$6</f>
        <v>-343.72602739726</v>
      </c>
      <c r="AB74" s="47" t="n">
        <f aca="false">-(In_Fixed_Opex*$F24+In_Admin)*AB69*AB15*AB$6</f>
        <v>-347.545205479452</v>
      </c>
      <c r="AC74" s="47" t="n">
        <f aca="false">-(In_Fixed_Opex*$F24+In_Admin)*AC69*AC15*AC$6</f>
        <v>-351.364383561644</v>
      </c>
      <c r="AD74" s="47" t="n">
        <f aca="false">-(In_Fixed_Opex*$F24+In_Admin)*AD69*AD15*AD$6</f>
        <v>-351.364383561644</v>
      </c>
      <c r="AE74" s="47" t="n">
        <f aca="false">-(In_Fixed_Opex*$F24+In_Admin)*AE69*AE15*AE$6</f>
        <v>-356.233835616438</v>
      </c>
      <c r="AF74" s="47" t="n">
        <f aca="false">-(In_Fixed_Opex*$F24+In_Admin)*AF69*AF15*AF$6</f>
        <v>-356.233835616438</v>
      </c>
      <c r="AG74" s="47" t="n">
        <f aca="false">-(In_Fixed_Opex*$F24+In_Admin)*AG69*AG15*AG$6</f>
        <v>-360.148493150685</v>
      </c>
      <c r="AH74" s="47" t="n">
        <f aca="false">-(In_Fixed_Opex*$F24+In_Admin)*AH69*AH15*AH$6</f>
        <v>-360.148493150685</v>
      </c>
      <c r="AI74" s="47" t="n">
        <f aca="false">-(In_Fixed_Opex*$F24+In_Admin)*AI69*AI15*AI$6</f>
        <v>-361.127157534246</v>
      </c>
      <c r="AJ74" s="47" t="n">
        <f aca="false">-(In_Fixed_Opex*$F24+In_Admin)*AJ69*AJ15*AJ$6</f>
        <v>-365.139681506849</v>
      </c>
      <c r="AK74" s="47" t="n">
        <f aca="false">-(In_Fixed_Opex*$F24+In_Admin)*AK69*AK15*AK$6</f>
        <v>-369.152205479452</v>
      </c>
      <c r="AL74" s="47" t="n">
        <f aca="false">-(In_Fixed_Opex*$F24+In_Admin)*AL69*AL15*AL$6</f>
        <v>-369.152205479452</v>
      </c>
      <c r="AM74" s="47" t="n">
        <f aca="false">-(In_Fixed_Opex*$F24+In_Admin)*AM69*AM15*AM$6</f>
        <v>-370.155336472603</v>
      </c>
      <c r="AN74" s="47" t="n">
        <f aca="false">-(In_Fixed_Opex*$F24+In_Admin)*AN69*AN15*AN$6</f>
        <v>-374.268173544521</v>
      </c>
      <c r="AO74" s="47" t="n">
        <f aca="false">-(In_Fixed_Opex*$F24+In_Admin)*AO69*AO15*AO$6</f>
        <v>-378.381010616438</v>
      </c>
      <c r="AP74" s="47" t="n">
        <f aca="false">-(In_Fixed_Opex*$F24+In_Admin)*AP69*AP15*AP$6</f>
        <v>-378.381010616438</v>
      </c>
      <c r="AQ74" s="47" t="n">
        <f aca="false">-(In_Fixed_Opex*$F24+In_Admin)*AQ69*AQ15*AQ$6</f>
        <v>-379.409219884418</v>
      </c>
      <c r="AR74" s="47" t="n">
        <f aca="false">-(In_Fixed_Opex*$F24+In_Admin)*AR69*AR15*AR$6</f>
        <v>-383.624877883134</v>
      </c>
      <c r="AS74" s="47" t="n">
        <f aca="false">-(In_Fixed_Opex*$F24+In_Admin)*AS69*AS15*AS$6</f>
        <v>-387.840535881849</v>
      </c>
      <c r="AT74" s="47" t="n">
        <f aca="false">-(In_Fixed_Opex*$F24+In_Admin)*AT69*AT15*AT$6</f>
        <v>-387.840535881849</v>
      </c>
      <c r="AU74" s="47" t="n">
        <f aca="false">-(In_Fixed_Opex*$F24+In_Admin)*AU69*AU15*AU$6</f>
        <v>-393.215499830212</v>
      </c>
      <c r="AV74" s="47" t="n">
        <f aca="false">-(In_Fixed_Opex*$F24+In_Admin)*AV69*AV15*AV$6</f>
        <v>-393.215499830212</v>
      </c>
      <c r="AW74" s="47" t="n">
        <f aca="false">-(In_Fixed_Opex*$F24+In_Admin)*AW69*AW15*AW$6</f>
        <v>-397.536549278895</v>
      </c>
      <c r="AX74" s="47" t="n">
        <f aca="false">-(In_Fixed_Opex*$F24+In_Admin)*AX69*AX15*AX$6</f>
        <v>-397.536549278895</v>
      </c>
      <c r="AY74" s="47" t="n">
        <f aca="false">-(In_Fixed_Opex*$F24+In_Admin)*AY69*AY15*AY$6</f>
        <v>-398.616811641066</v>
      </c>
      <c r="AZ74" s="47" t="n">
        <f aca="false">-(In_Fixed_Opex*$F24+In_Admin)*AZ69*AZ15*AZ$6</f>
        <v>-403.045887325967</v>
      </c>
      <c r="BA74" s="47" t="n">
        <f aca="false">-(In_Fixed_Opex*$F24+In_Admin)*BA69*BA15*BA$6</f>
        <v>-407.474963010868</v>
      </c>
      <c r="BB74" s="47" t="n">
        <f aca="false">-(In_Fixed_Opex*$F24+In_Admin)*BB69*BB15*BB$6</f>
        <v>-407.474963010868</v>
      </c>
      <c r="BC74" s="47" t="n">
        <f aca="false">-(In_Fixed_Opex*$F24+In_Admin)*BC69*BC15*BC$6</f>
        <v>-408.582231932093</v>
      </c>
      <c r="BD74" s="47" t="n">
        <f aca="false">-(In_Fixed_Opex*$F24+In_Admin)*BD69*BD15*BD$6</f>
        <v>-413.122034509116</v>
      </c>
      <c r="BE74" s="47" t="n">
        <f aca="false">-(In_Fixed_Opex*$F24+In_Admin)*BE69*BE15*BE$6</f>
        <v>-417.661837086139</v>
      </c>
      <c r="BF74" s="47" t="n">
        <f aca="false">-(In_Fixed_Opex*$F24+In_Admin)*BF69*BF15*BF$6</f>
        <v>-417.661837086139</v>
      </c>
      <c r="BG74" s="47" t="n">
        <f aca="false">-(In_Fixed_Opex*$F24+In_Admin)*BG69*BG15*BG$6</f>
        <v>-418.796787730395</v>
      </c>
      <c r="BH74" s="47" t="n">
        <f aca="false">-(In_Fixed_Opex*$F24+In_Admin)*BH69*BH15*BH$6</f>
        <v>-423.450085371844</v>
      </c>
      <c r="BI74" s="47" t="n">
        <f aca="false">-(In_Fixed_Opex*$F24+In_Admin)*BI69*BI15*BI$6</f>
        <v>-428.103383013293</v>
      </c>
      <c r="BJ74" s="47" t="n">
        <f aca="false">-(In_Fixed_Opex*$F24+In_Admin)*BJ69*BJ15*BJ$6</f>
        <v>-428.103383013293</v>
      </c>
      <c r="BK74" s="47" t="n">
        <f aca="false">-(In_Fixed_Opex*$F24+In_Admin)*BK69*BK15*BK$6</f>
        <v>-434.03633750614</v>
      </c>
      <c r="BL74" s="47" t="n">
        <f aca="false">-(In_Fixed_Opex*$F24+In_Admin)*BL69*BL15*BL$6</f>
        <v>-434.03633750614</v>
      </c>
      <c r="BM74" s="47" t="n">
        <f aca="false">-(In_Fixed_Opex*$F24+In_Admin)*BM69*BM15*BM$6</f>
        <v>-438.805967588625</v>
      </c>
      <c r="BN74" s="47" t="n">
        <f aca="false">-(In_Fixed_Opex*$F24+In_Admin)*BN69*BN15*BN$6</f>
        <v>-438.805967588625</v>
      </c>
      <c r="BO74" s="47" t="n">
        <f aca="false">-(In_Fixed_Opex*$F24+In_Admin)*BO69*BO15*BO$6</f>
        <v>-439.998375109246</v>
      </c>
      <c r="BP74" s="47" t="n">
        <f aca="false">-(In_Fixed_Opex*$F24+In_Admin)*BP69*BP15*BP$6</f>
        <v>-444.887245943794</v>
      </c>
      <c r="BQ74" s="47" t="n">
        <f aca="false">-(In_Fixed_Opex*$F24+In_Admin)*BQ69*BQ15*BQ$6</f>
        <v>-449.776116778341</v>
      </c>
      <c r="BR74" s="47" t="n">
        <f aca="false">-(In_Fixed_Opex*$F24+In_Admin)*BR69*BR15*BR$6</f>
        <v>-449.776116778341</v>
      </c>
      <c r="BS74" s="47" t="n">
        <f aca="false">-(In_Fixed_Opex*$F24+In_Admin)*BS69*BS15*BS$6</f>
        <v>-450.998334486977</v>
      </c>
      <c r="BT74" s="47" t="n">
        <f aca="false">-(In_Fixed_Opex*$F24+In_Admin)*BT69*BT15*BT$6</f>
        <v>-456.009427092388</v>
      </c>
      <c r="BU74" s="47" t="n">
        <f aca="false">-(In_Fixed_Opex*$F24+In_Admin)*BU69*BU15*BU$6</f>
        <v>-461.020519697799</v>
      </c>
      <c r="BV74" s="47" t="n">
        <f aca="false">-(In_Fixed_Opex*$F24+In_Admin)*BV69*BV15*BV$6</f>
        <v>-461.020519697799</v>
      </c>
      <c r="BW74" s="47" t="n">
        <f aca="false">-(In_Fixed_Opex*$F24+In_Admin)*BW69*BW15*BW$6</f>
        <v>-462.273292849152</v>
      </c>
      <c r="BX74" s="47" t="n">
        <f aca="false">-(In_Fixed_Opex*$F24+In_Admin)*BX69*BX15*BX$6</f>
        <v>-467.409662769698</v>
      </c>
      <c r="BY74" s="47" t="n">
        <f aca="false">-(In_Fixed_Opex*$F24+In_Admin)*BY69*BY15*BY$6</f>
        <v>-472.546032690244</v>
      </c>
      <c r="BZ74" s="47" t="n">
        <f aca="false">-(In_Fixed_Opex*$F24+In_Admin)*BZ69*BZ15*BZ$6</f>
        <v>-472.546032690244</v>
      </c>
      <c r="CA74" s="47" t="n">
        <f aca="false">-(In_Fixed_Opex*$F24+In_Admin)*CA69*CA15*CA$6</f>
        <v>-479.09490433894</v>
      </c>
      <c r="CB74" s="47" t="n">
        <f aca="false">-(In_Fixed_Opex*$F24+In_Admin)*CB69*CB15*CB$6</f>
        <v>-479.09490433894</v>
      </c>
      <c r="CC74" s="47" t="n">
        <f aca="false">-(In_Fixed_Opex*$F24+In_Admin)*CC69*CC15*CC$6</f>
        <v>-484.3596835075</v>
      </c>
      <c r="CD74" s="47" t="n">
        <f aca="false">-(In_Fixed_Opex*$F24+In_Admin)*CD69*CD15*CD$6</f>
        <v>-484.3596835075</v>
      </c>
      <c r="CE74" s="47" t="n">
        <f aca="false">-(In_Fixed_Opex*$F24+In_Admin)*CE69*CE15*CE$6</f>
        <v>-485.67587829964</v>
      </c>
      <c r="CF74" s="47" t="n">
        <f aca="false">-(In_Fixed_Opex*$F24+In_Admin)*CF69*CF15*CF$6</f>
        <v>-491.072276947414</v>
      </c>
      <c r="CG74" s="47" t="n">
        <f aca="false">-(In_Fixed_Opex*$F24+In_Admin)*CG69*CG15*CG$6</f>
        <v>-496.468675595188</v>
      </c>
      <c r="CH74" s="47" t="n">
        <f aca="false">-(In_Fixed_Opex*$F24+In_Admin)*CH69*CH15*CH$6</f>
        <v>-496.468675595188</v>
      </c>
      <c r="CI74" s="47" t="n">
        <f aca="false">-(In_Fixed_Opex*$F24+In_Admin)*CI69*CI15*CI$6</f>
        <v>-497.817775257131</v>
      </c>
      <c r="CJ74" s="47" t="n">
        <f aca="false">-(In_Fixed_Opex*$F24+In_Admin)*CJ69*CJ15*CJ$6</f>
        <v>-503.349083871099</v>
      </c>
      <c r="CK74" s="47" t="n">
        <f aca="false">-(In_Fixed_Opex*$F24+In_Admin)*CK69*CK15*CK$6</f>
        <v>-508.880392485067</v>
      </c>
      <c r="CL74" s="47" t="n">
        <f aca="false">-(In_Fixed_Opex*$F24+In_Admin)*CL69*CL15*CL$6</f>
        <v>-508.880392485067</v>
      </c>
      <c r="CM74" s="47" t="n">
        <f aca="false">-(In_Fixed_Opex*$F24+In_Admin)*CM69*CM15*CM$6</f>
        <v>-510.263219638559</v>
      </c>
      <c r="CN74" s="47" t="n">
        <f aca="false">-(In_Fixed_Opex*$F24+In_Admin)*CN69*CN15*CN$6</f>
        <v>-515.932810967877</v>
      </c>
      <c r="CO74" s="47" t="n">
        <f aca="false">-(In_Fixed_Opex*$F24+In_Admin)*CO69*CO15*CO$6</f>
        <v>-521.602402297194</v>
      </c>
      <c r="CP74" s="47" t="n">
        <f aca="false">-(In_Fixed_Opex*$F24+In_Admin)*CP69*CP15*CP$6</f>
        <v>-521.602402297194</v>
      </c>
      <c r="CQ74" s="47" t="n">
        <f aca="false">-(In_Fixed_Opex*$F24+In_Admin)*CQ69*CQ15*CQ$6</f>
        <v>-528.831131242074</v>
      </c>
      <c r="CR74" s="47" t="n">
        <f aca="false">-(In_Fixed_Opex*$F24+In_Admin)*CR69*CR15*CR$6</f>
        <v>-528.831131242074</v>
      </c>
      <c r="CS74" s="47" t="n">
        <f aca="false">-(In_Fixed_Opex*$F24+In_Admin)*CS69*CS15*CS$6</f>
        <v>-534.642462354624</v>
      </c>
      <c r="CT74" s="47" t="n">
        <f aca="false">-(In_Fixed_Opex*$F24+In_Admin)*CT69*CT15*CT$6</f>
        <v>-534.642462354624</v>
      </c>
      <c r="CU74" s="47" t="n">
        <f aca="false">-(In_Fixed_Opex*$F24+In_Admin)*CU69*CU15*CU$6</f>
        <v>-536.095295132761</v>
      </c>
      <c r="CV74" s="47" t="n">
        <f aca="false">-(In_Fixed_Opex*$F24+In_Admin)*CV69*CV15*CV$6</f>
        <v>-542.051909523125</v>
      </c>
      <c r="CW74" s="47" t="n">
        <f aca="false">-(In_Fixed_Opex*$F24+In_Admin)*CW69*CW15*CW$6</f>
        <v>-548.008523913489</v>
      </c>
      <c r="CX74" s="47" t="n">
        <f aca="false">-(In_Fixed_Opex*$F24+In_Admin)*CX69*CX15*CX$6</f>
        <v>-548.008523913489</v>
      </c>
      <c r="CY74" s="47" t="n">
        <f aca="false">-(In_Fixed_Opex*$F24+In_Admin)*CY69*CY15*CY$6</f>
        <v>-549.49767751108</v>
      </c>
      <c r="CZ74" s="47" t="n">
        <f aca="false">-(In_Fixed_Opex*$F24+In_Admin)*CZ69*CZ15*CZ$6</f>
        <v>-555.603207261203</v>
      </c>
      <c r="DA74" s="47" t="n">
        <f aca="false">-(In_Fixed_Opex*$F24+In_Admin)*DA69*DA15*DA$6</f>
        <v>-561.708737011326</v>
      </c>
      <c r="DB74" s="47" t="n">
        <f aca="false">-(In_Fixed_Opex*$F24+In_Admin)*DB69*DB15*DB$6</f>
        <v>-561.708737011326</v>
      </c>
      <c r="DC74" s="47" t="n">
        <f aca="false">-(In_Fixed_Opex*$F24+In_Admin)*DC69*DC15*DC$6</f>
        <v>-563.235119448857</v>
      </c>
      <c r="DD74" s="47" t="n">
        <f aca="false">-(In_Fixed_Opex*$F24+In_Admin)*DD69*DD15*DD$6</f>
        <v>-569.493287442734</v>
      </c>
      <c r="DE74" s="47" t="n">
        <f aca="false">-(In_Fixed_Opex*$F24+In_Admin)*DE69*DE15*DE$6</f>
        <v>-575.75145543661</v>
      </c>
      <c r="DF74" s="47" t="n">
        <f aca="false">-(In_Fixed_Opex*$F24+In_Admin)*DF69*DF15*DF$6</f>
        <v>-575.75145543661</v>
      </c>
      <c r="DG74" s="47" t="n">
        <f aca="false">-(In_Fixed_Opex*$F24+In_Admin)*DG69*DG15*DG$6</f>
        <v>-583.730619628802</v>
      </c>
      <c r="DH74" s="47" t="n">
        <f aca="false">-(In_Fixed_Opex*$F24+In_Admin)*DH69*DH15*DH$6</f>
        <v>-583.730619628802</v>
      </c>
      <c r="DI74" s="47" t="n">
        <f aca="false">-(In_Fixed_Opex*$F24+In_Admin)*DI69*DI15*DI$6</f>
        <v>-590.145241822525</v>
      </c>
      <c r="DJ74" s="47" t="n">
        <f aca="false">-(In_Fixed_Opex*$F24+In_Admin)*DJ69*DJ15*DJ$6</f>
        <v>-590.145241822525</v>
      </c>
      <c r="DK74" s="47" t="n">
        <f aca="false">-(In_Fixed_Opex*$F24+In_Admin)*DK69*DK15*DK$6</f>
        <v>-591.748897370955</v>
      </c>
      <c r="DL74" s="47" t="n">
        <f aca="false">-(In_Fixed_Opex*$F24+In_Admin)*DL69*DL15*DL$6</f>
        <v>-598.323885119522</v>
      </c>
      <c r="DM74" s="47" t="n">
        <f aca="false">-(In_Fixed_Opex*$F24+In_Admin)*DM69*DM15*DM$6</f>
        <v>-604.898872868088</v>
      </c>
      <c r="DN74" s="47" t="n">
        <f aca="false">-(In_Fixed_Opex*$F24+In_Admin)*DN69*DN15*DN$6</f>
        <v>-604.898872868088</v>
      </c>
      <c r="DO74" s="47" t="n">
        <f aca="false">-(In_Fixed_Opex*$F24+In_Admin)*DO69*DO15*DO$6</f>
        <v>-606.542619805229</v>
      </c>
      <c r="DP74" s="47" t="n">
        <f aca="false">-(In_Fixed_Opex*$F24+In_Admin)*DP69*DP15*DP$6</f>
        <v>-613.28198224751</v>
      </c>
      <c r="DQ74" s="47" t="n">
        <f aca="false">-(In_Fixed_Opex*$F24+In_Admin)*DQ69*DQ15*DQ$6</f>
        <v>-620.02134468979</v>
      </c>
      <c r="DR74" s="47" t="n">
        <f aca="false">-(In_Fixed_Opex*$F24+In_Admin)*DR69*DR15*DR$6</f>
        <v>-620.02134468979</v>
      </c>
      <c r="DS74" s="47" t="n">
        <f aca="false">-(In_Fixed_Opex*$F24+In_Admin)*DS69*DS15*DS$6</f>
        <v>-621.70618530036</v>
      </c>
      <c r="DT74" s="47" t="n">
        <f aca="false">-(In_Fixed_Opex*$F24+In_Admin)*DT69*DT15*DT$6</f>
        <v>-628.614031803698</v>
      </c>
      <c r="DU74" s="47" t="n">
        <f aca="false">-(In_Fixed_Opex*$F24+In_Admin)*DU69*DU15*DU$6</f>
        <v>-635.521878307035</v>
      </c>
      <c r="DV74" s="47" t="n">
        <f aca="false">-(In_Fixed_Opex*$F24+In_Admin)*DV69*DV15*DV$6</f>
        <v>-635.521878307035</v>
      </c>
      <c r="DW74" s="47" t="n">
        <f aca="false">-(In_Fixed_Opex*$F24+In_Admin)*DW69*DW15*DW$6</f>
        <v>-644.32938259879</v>
      </c>
      <c r="DX74" s="47" t="n">
        <f aca="false">-(In_Fixed_Opex*$F24+In_Admin)*DX69*DX15*DX$6</f>
        <v>-644.32938259879</v>
      </c>
      <c r="DY74" s="47" t="n">
        <f aca="false">-(In_Fixed_Opex*$F24+In_Admin)*DY69*DY15*DY$6</f>
        <v>-651.409925264711</v>
      </c>
      <c r="DZ74" s="47" t="n">
        <f aca="false">-(In_Fixed_Opex*$F24+In_Admin)*DZ69*DZ15*DZ$6</f>
        <v>-651.409925264711</v>
      </c>
      <c r="EA74" s="47" t="n">
        <f aca="false">-(In_Fixed_Opex*$F24+In_Admin)*EA69*EA15*EA$6</f>
        <v>-653.180060931191</v>
      </c>
      <c r="EB74" s="47" t="n">
        <f aca="false">-(In_Fixed_Opex*$F24+In_Admin)*EB69*EB15*EB$6</f>
        <v>-660.43761716376</v>
      </c>
      <c r="EC74" s="47" t="n">
        <f aca="false">-(In_Fixed_Opex*$F24+In_Admin)*EC69*EC15*EC$6</f>
        <v>-667.695173396328</v>
      </c>
      <c r="ED74" s="47" t="n">
        <f aca="false">-(In_Fixed_Opex*$F24+In_Admin)*ED69*ED15*ED$6</f>
        <v>-667.695173396328</v>
      </c>
      <c r="EE74" s="47" t="n">
        <f aca="false">-(In_Fixed_Opex*$F24+In_Admin)*EE69*EE15*EE$6</f>
        <v>-669.50956245447</v>
      </c>
      <c r="EF74" s="47" t="n">
        <f aca="false">-(In_Fixed_Opex*$F24+In_Admin)*EF69*EF15*EF$6</f>
        <v>-676.948557592854</v>
      </c>
      <c r="EG74" s="47" t="n">
        <f aca="false">-(In_Fixed_Opex*$F24+In_Admin)*EG69*EG15*EG$6</f>
        <v>-684.387552731237</v>
      </c>
      <c r="EH74" s="47" t="n">
        <f aca="false">-(In_Fixed_Opex*$F24+In_Admin)*EH69*EH15*EH$6</f>
        <v>-684.387552731237</v>
      </c>
      <c r="EI74" s="47" t="n">
        <f aca="false">-(In_Fixed_Opex*$F24+In_Admin)*EI69*EI15*EI$6</f>
        <v>-686.247301515832</v>
      </c>
      <c r="EJ74" s="47" t="n">
        <f aca="false">-(In_Fixed_Opex*$F24+In_Admin)*EJ69*EJ15*EJ$6</f>
        <v>-693.872271532675</v>
      </c>
      <c r="EK74" s="47" t="n">
        <f aca="false">-(In_Fixed_Opex*$F24+In_Admin)*EK69*EK15*EK$6</f>
        <v>-701.497241549517</v>
      </c>
      <c r="EL74" s="47" t="n">
        <f aca="false">-(In_Fixed_Opex*$F24+In_Admin)*EL69*EL15*EL$6</f>
        <v>-701.497241549517</v>
      </c>
      <c r="EM74" s="47" t="n">
        <f aca="false">-(In_Fixed_Opex*$F24+In_Admin)*EM69*EM15*EM$6</f>
        <v>-711.219078320991</v>
      </c>
      <c r="EN74" s="47" t="n">
        <f aca="false">-(In_Fixed_Opex*$F24+In_Admin)*EN69*EN15*EN$6</f>
        <v>-711.219078320991</v>
      </c>
      <c r="EO74" s="47" t="n">
        <f aca="false">-(In_Fixed_Opex*$F24+In_Admin)*EO69*EO15*EO$6</f>
        <v>-719.034672588255</v>
      </c>
    </row>
    <row r="75" customFormat="false" ht="15" hidden="false" customHeight="false" outlineLevel="0" collapsed="false">
      <c r="C75" s="0" t="s">
        <v>425</v>
      </c>
      <c r="D75" s="11" t="s">
        <v>33</v>
      </c>
      <c r="I75" s="47" t="n">
        <f aca="false">SUM(J75:EO75)</f>
        <v>-7708.87664873263</v>
      </c>
      <c r="J75" s="47" t="n">
        <f aca="false">-In_Lease*$F24*J69*J16*J$6</f>
        <v>-0</v>
      </c>
      <c r="K75" s="47" t="n">
        <f aca="false">-In_Lease*$F24*K69*K16*K$6</f>
        <v>-0</v>
      </c>
      <c r="L75" s="47" t="n">
        <f aca="false">-In_Lease*$F24*L69*L16*L$6</f>
        <v>-0</v>
      </c>
      <c r="M75" s="47" t="n">
        <f aca="false">-In_Lease*$F24*M69*M16*M$6</f>
        <v>-0</v>
      </c>
      <c r="N75" s="47" t="n">
        <f aca="false">-In_Lease*$F24*N69*N16*N$6</f>
        <v>-0</v>
      </c>
      <c r="O75" s="47" t="n">
        <f aca="false">-In_Lease*$F24*O69*O16*O$6</f>
        <v>-0</v>
      </c>
      <c r="P75" s="47" t="n">
        <f aca="false">-In_Lease*$F24*P69*P16*P$6</f>
        <v>-0</v>
      </c>
      <c r="Q75" s="47" t="n">
        <f aca="false">-In_Lease*$F24*Q69*Q16*Q$6</f>
        <v>-0</v>
      </c>
      <c r="R75" s="47" t="n">
        <f aca="false">-In_Lease*$F24*R69*R16*R$6</f>
        <v>-39.5850480389201</v>
      </c>
      <c r="S75" s="47" t="n">
        <f aca="false">-In_Lease*$F24*S69*S16*S$6</f>
        <v>-39.6926161042432</v>
      </c>
      <c r="T75" s="47" t="n">
        <f aca="false">-In_Lease*$F24*T69*T16*T$6</f>
        <v>-40.1336451720682</v>
      </c>
      <c r="U75" s="47" t="n">
        <f aca="false">-In_Lease*$F24*U69*U16*U$6</f>
        <v>-40.5746742398931</v>
      </c>
      <c r="V75" s="47" t="n">
        <f aca="false">-In_Lease*$F24*V69*V16*V$6</f>
        <v>-40.5746742398931</v>
      </c>
      <c r="W75" s="47" t="n">
        <f aca="false">-In_Lease*$F24*W69*W16*W$6</f>
        <v>-40.6849315068493</v>
      </c>
      <c r="X75" s="47" t="n">
        <f aca="false">-In_Lease*$F24*X69*X16*X$6</f>
        <v>-41.1369863013699</v>
      </c>
      <c r="Y75" s="47" t="n">
        <f aca="false">-In_Lease*$F24*Y69*Y16*Y$6</f>
        <v>-41.5890410958904</v>
      </c>
      <c r="Z75" s="47" t="n">
        <f aca="false">-In_Lease*$F24*Z69*Z16*Z$6</f>
        <v>-41.5890410958904</v>
      </c>
      <c r="AA75" s="47" t="n">
        <f aca="false">-In_Lease*$F24*AA69*AA16*AA$6</f>
        <v>-41.7020547945206</v>
      </c>
      <c r="AB75" s="47" t="n">
        <f aca="false">-In_Lease*$F24*AB69*AB16*AB$6</f>
        <v>-42.1654109589041</v>
      </c>
      <c r="AC75" s="47" t="n">
        <f aca="false">-In_Lease*$F24*AC69*AC16*AC$6</f>
        <v>-42.6287671232877</v>
      </c>
      <c r="AD75" s="47" t="n">
        <f aca="false">-In_Lease*$F24*AD69*AD16*AD$6</f>
        <v>-42.6287671232877</v>
      </c>
      <c r="AE75" s="47" t="n">
        <f aca="false">-In_Lease*$F24*AE69*AE16*AE$6</f>
        <v>-43.2195462328767</v>
      </c>
      <c r="AF75" s="47" t="n">
        <f aca="false">-In_Lease*$F24*AF69*AF16*AF$6</f>
        <v>-43.2195462328767</v>
      </c>
      <c r="AG75" s="47" t="n">
        <f aca="false">-In_Lease*$F24*AG69*AG16*AG$6</f>
        <v>-43.6944863013699</v>
      </c>
      <c r="AH75" s="47" t="n">
        <f aca="false">-In_Lease*$F24*AH69*AH16*AH$6</f>
        <v>-43.6944863013699</v>
      </c>
      <c r="AI75" s="47" t="n">
        <f aca="false">-In_Lease*$F24*AI69*AI16*AI$6</f>
        <v>-43.8132213184931</v>
      </c>
      <c r="AJ75" s="47" t="n">
        <f aca="false">-In_Lease*$F24*AJ69*AJ16*AJ$6</f>
        <v>-44.3000348886986</v>
      </c>
      <c r="AK75" s="47" t="n">
        <f aca="false">-In_Lease*$F24*AK69*AK16*AK$6</f>
        <v>-44.7868484589041</v>
      </c>
      <c r="AL75" s="47" t="n">
        <f aca="false">-In_Lease*$F24*AL69*AL16*AL$6</f>
        <v>-44.7868484589041</v>
      </c>
      <c r="AM75" s="47" t="n">
        <f aca="false">-In_Lease*$F24*AM69*AM16*AM$6</f>
        <v>-44.9085518514555</v>
      </c>
      <c r="AN75" s="47" t="n">
        <f aca="false">-In_Lease*$F24*AN69*AN16*AN$6</f>
        <v>-45.4075357609161</v>
      </c>
      <c r="AO75" s="47" t="n">
        <f aca="false">-In_Lease*$F24*AO69*AO16*AO$6</f>
        <v>-45.9065196703767</v>
      </c>
      <c r="AP75" s="47" t="n">
        <f aca="false">-In_Lease*$F24*AP69*AP16*AP$6</f>
        <v>-45.9065196703767</v>
      </c>
      <c r="AQ75" s="47" t="n">
        <f aca="false">-In_Lease*$F24*AQ69*AQ16*AQ$6</f>
        <v>-46.0312656477419</v>
      </c>
      <c r="AR75" s="47" t="n">
        <f aca="false">-In_Lease*$F24*AR69*AR16*AR$6</f>
        <v>-46.542724154939</v>
      </c>
      <c r="AS75" s="47" t="n">
        <f aca="false">-In_Lease*$F24*AS69*AS16*AS$6</f>
        <v>-47.0541826621361</v>
      </c>
      <c r="AT75" s="47" t="n">
        <f aca="false">-In_Lease*$F24*AT69*AT16*AT$6</f>
        <v>-47.0541826621361</v>
      </c>
      <c r="AU75" s="47" t="n">
        <f aca="false">-In_Lease*$F24*AU69*AU16*AU$6</f>
        <v>-47.7062922588125</v>
      </c>
      <c r="AV75" s="47" t="n">
        <f aca="false">-In_Lease*$F24*AV69*AV16*AV$6</f>
        <v>-47.7062922588125</v>
      </c>
      <c r="AW75" s="47" t="n">
        <f aca="false">-In_Lease*$F24*AW69*AW16*AW$6</f>
        <v>-48.2305372286895</v>
      </c>
      <c r="AX75" s="47" t="n">
        <f aca="false">-In_Lease*$F24*AX69*AX16*AX$6</f>
        <v>-48.2305372286895</v>
      </c>
      <c r="AY75" s="47" t="n">
        <f aca="false">-In_Lease*$F24*AY69*AY16*AY$6</f>
        <v>-48.3615984711588</v>
      </c>
      <c r="AZ75" s="47" t="n">
        <f aca="false">-In_Lease*$F24*AZ69*AZ16*AZ$6</f>
        <v>-48.8989495652828</v>
      </c>
      <c r="BA75" s="47" t="n">
        <f aca="false">-In_Lease*$F24*BA69*BA16*BA$6</f>
        <v>-49.4363006594068</v>
      </c>
      <c r="BB75" s="47" t="n">
        <f aca="false">-In_Lease*$F24*BB69*BB16*BB$6</f>
        <v>-49.4363006594068</v>
      </c>
      <c r="BC75" s="47" t="n">
        <f aca="false">-In_Lease*$F24*BC69*BC16*BC$6</f>
        <v>-49.5706384329377</v>
      </c>
      <c r="BD75" s="47" t="n">
        <f aca="false">-In_Lease*$F24*BD69*BD16*BD$6</f>
        <v>-50.1214233044148</v>
      </c>
      <c r="BE75" s="47" t="n">
        <f aca="false">-In_Lease*$F24*BE69*BE16*BE$6</f>
        <v>-50.6722081758919</v>
      </c>
      <c r="BF75" s="47" t="n">
        <f aca="false">-In_Lease*$F24*BF69*BF16*BF$6</f>
        <v>-50.6722081758919</v>
      </c>
      <c r="BG75" s="47" t="n">
        <f aca="false">-In_Lease*$F24*BG69*BG16*BG$6</f>
        <v>-50.8099043937612</v>
      </c>
      <c r="BH75" s="47" t="n">
        <f aca="false">-In_Lease*$F24*BH69*BH16*BH$6</f>
        <v>-51.3744588870252</v>
      </c>
      <c r="BI75" s="47" t="n">
        <f aca="false">-In_Lease*$F24*BI69*BI16*BI$6</f>
        <v>-51.9390133802892</v>
      </c>
      <c r="BJ75" s="47" t="n">
        <f aca="false">-In_Lease*$F24*BJ69*BJ16*BJ$6</f>
        <v>-51.9390133802892</v>
      </c>
      <c r="BK75" s="47" t="n">
        <f aca="false">-In_Lease*$F24*BK69*BK16*BK$6</f>
        <v>-52.6588203592008</v>
      </c>
      <c r="BL75" s="47" t="n">
        <f aca="false">-In_Lease*$F24*BL69*BL16*BL$6</f>
        <v>-52.6588203592008</v>
      </c>
      <c r="BM75" s="47" t="n">
        <f aca="false">-In_Lease*$F24*BM69*BM16*BM$6</f>
        <v>-53.2374887147964</v>
      </c>
      <c r="BN75" s="47" t="n">
        <f aca="false">-In_Lease*$F24*BN69*BN16*BN$6</f>
        <v>-53.2374887147964</v>
      </c>
      <c r="BO75" s="47" t="n">
        <f aca="false">-In_Lease*$F24*BO69*BO16*BO$6</f>
        <v>-53.3821558036953</v>
      </c>
      <c r="BP75" s="47" t="n">
        <f aca="false">-In_Lease*$F24*BP69*BP16*BP$6</f>
        <v>-53.9752908681808</v>
      </c>
      <c r="BQ75" s="47" t="n">
        <f aca="false">-In_Lease*$F24*BQ69*BQ16*BQ$6</f>
        <v>-54.5684259326664</v>
      </c>
      <c r="BR75" s="47" t="n">
        <f aca="false">-In_Lease*$F24*BR69*BR16*BR$6</f>
        <v>-54.5684259326664</v>
      </c>
      <c r="BS75" s="47" t="n">
        <f aca="false">-In_Lease*$F24*BS69*BS16*BS$6</f>
        <v>-54.7167096987877</v>
      </c>
      <c r="BT75" s="47" t="n">
        <f aca="false">-In_Lease*$F24*BT69*BT16*BT$6</f>
        <v>-55.3246731398854</v>
      </c>
      <c r="BU75" s="47" t="n">
        <f aca="false">-In_Lease*$F24*BU69*BU16*BU$6</f>
        <v>-55.932636580983</v>
      </c>
      <c r="BV75" s="47" t="n">
        <f aca="false">-In_Lease*$F24*BV69*BV16*BV$6</f>
        <v>-55.932636580983</v>
      </c>
      <c r="BW75" s="47" t="n">
        <f aca="false">-In_Lease*$F24*BW69*BW16*BW$6</f>
        <v>-56.0846274412574</v>
      </c>
      <c r="BX75" s="47" t="n">
        <f aca="false">-In_Lease*$F24*BX69*BX16*BX$6</f>
        <v>-56.7077899683825</v>
      </c>
      <c r="BY75" s="47" t="n">
        <f aca="false">-In_Lease*$F24*BY69*BY16*BY$6</f>
        <v>-57.3309524955076</v>
      </c>
      <c r="BZ75" s="47" t="n">
        <f aca="false">-In_Lease*$F24*BZ69*BZ16*BZ$6</f>
        <v>-57.3309524955076</v>
      </c>
      <c r="CA75" s="47" t="n">
        <f aca="false">-In_Lease*$F24*CA69*CA16*CA$6</f>
        <v>-58.125484717592</v>
      </c>
      <c r="CB75" s="47" t="n">
        <f aca="false">-In_Lease*$F24*CB69*CB16*CB$6</f>
        <v>-58.125484717592</v>
      </c>
      <c r="CC75" s="47" t="n">
        <f aca="false">-In_Lease*$F24*CC69*CC16*CC$6</f>
        <v>-58.7642263078953</v>
      </c>
      <c r="CD75" s="47" t="n">
        <f aca="false">-In_Lease*$F24*CD69*CD16*CD$6</f>
        <v>-58.7642263078953</v>
      </c>
      <c r="CE75" s="47" t="n">
        <f aca="false">-In_Lease*$F24*CE69*CE16*CE$6</f>
        <v>-58.923911705471</v>
      </c>
      <c r="CF75" s="47" t="n">
        <f aca="false">-In_Lease*$F24*CF69*CF16*CF$6</f>
        <v>-59.5786218355318</v>
      </c>
      <c r="CG75" s="47" t="n">
        <f aca="false">-In_Lease*$F24*CG69*CG16*CG$6</f>
        <v>-60.2333319655926</v>
      </c>
      <c r="CH75" s="47" t="n">
        <f aca="false">-In_Lease*$F24*CH69*CH16*CH$6</f>
        <v>-60.2333319655926</v>
      </c>
      <c r="CI75" s="47" t="n">
        <f aca="false">-In_Lease*$F24*CI69*CI16*CI$6</f>
        <v>-60.3970094981078</v>
      </c>
      <c r="CJ75" s="47" t="n">
        <f aca="false">-In_Lease*$F24*CJ69*CJ16*CJ$6</f>
        <v>-61.0680873814201</v>
      </c>
      <c r="CK75" s="47" t="n">
        <f aca="false">-In_Lease*$F24*CK69*CK16*CK$6</f>
        <v>-61.7391652647324</v>
      </c>
      <c r="CL75" s="47" t="n">
        <f aca="false">-In_Lease*$F24*CL69*CL16*CL$6</f>
        <v>-61.7391652647324</v>
      </c>
      <c r="CM75" s="47" t="n">
        <f aca="false">-In_Lease*$F24*CM69*CM16*CM$6</f>
        <v>-61.9069347355605</v>
      </c>
      <c r="CN75" s="47" t="n">
        <f aca="false">-In_Lease*$F24*CN69*CN16*CN$6</f>
        <v>-62.5947895659556</v>
      </c>
      <c r="CO75" s="47" t="n">
        <f aca="false">-In_Lease*$F24*CO69*CO16*CO$6</f>
        <v>-63.2826443963507</v>
      </c>
      <c r="CP75" s="47" t="n">
        <f aca="false">-In_Lease*$F24*CP69*CP16*CP$6</f>
        <v>-63.2826443963507</v>
      </c>
      <c r="CQ75" s="47" t="n">
        <f aca="false">-In_Lease*$F24*CQ69*CQ16*CQ$6</f>
        <v>-64.1596593051045</v>
      </c>
      <c r="CR75" s="47" t="n">
        <f aca="false">-In_Lease*$F24*CR69*CR16*CR$6</f>
        <v>-64.1596593051045</v>
      </c>
      <c r="CS75" s="47" t="n">
        <f aca="false">-In_Lease*$F24*CS69*CS16*CS$6</f>
        <v>-64.8647105062595</v>
      </c>
      <c r="CT75" s="47" t="n">
        <f aca="false">-In_Lease*$F24*CT69*CT16*CT$6</f>
        <v>-64.8647105062595</v>
      </c>
      <c r="CU75" s="47" t="n">
        <f aca="false">-In_Lease*$F24*CU69*CU16*CU$6</f>
        <v>-65.0409733065482</v>
      </c>
      <c r="CV75" s="47" t="n">
        <f aca="false">-In_Lease*$F24*CV69*CV16*CV$6</f>
        <v>-65.7636507877321</v>
      </c>
      <c r="CW75" s="47" t="n">
        <f aca="false">-In_Lease*$F24*CW69*CW16*CW$6</f>
        <v>-66.486328268916</v>
      </c>
      <c r="CX75" s="47" t="n">
        <f aca="false">-In_Lease*$F24*CX69*CX16*CX$6</f>
        <v>-66.486328268916</v>
      </c>
      <c r="CY75" s="47" t="n">
        <f aca="false">-In_Lease*$F24*CY69*CY16*CY$6</f>
        <v>-66.6669976392119</v>
      </c>
      <c r="CZ75" s="47" t="n">
        <f aca="false">-In_Lease*$F24*CZ69*CZ16*CZ$6</f>
        <v>-67.4077420574254</v>
      </c>
      <c r="DA75" s="47" t="n">
        <f aca="false">-In_Lease*$F24*DA69*DA16*DA$6</f>
        <v>-68.1484864756389</v>
      </c>
      <c r="DB75" s="47" t="n">
        <f aca="false">-In_Lease*$F24*DB69*DB16*DB$6</f>
        <v>-68.1484864756389</v>
      </c>
      <c r="DC75" s="47" t="n">
        <f aca="false">-In_Lease*$F24*DC69*DC16*DC$6</f>
        <v>-68.3336725801922</v>
      </c>
      <c r="DD75" s="47" t="n">
        <f aca="false">-In_Lease*$F24*DD69*DD16*DD$6</f>
        <v>-69.0929356088611</v>
      </c>
      <c r="DE75" s="47" t="n">
        <f aca="false">-In_Lease*$F24*DE69*DE16*DE$6</f>
        <v>-69.8521986375299</v>
      </c>
      <c r="DF75" s="47" t="n">
        <f aca="false">-In_Lease*$F24*DF69*DF16*DF$6</f>
        <v>-69.8521986375299</v>
      </c>
      <c r="DG75" s="47" t="n">
        <f aca="false">-In_Lease*$F24*DG69*DG16*DG$6</f>
        <v>-70.8202589990826</v>
      </c>
      <c r="DH75" s="47" t="n">
        <f aca="false">-In_Lease*$F24*DH69*DH16*DH$6</f>
        <v>-70.8202589990826</v>
      </c>
      <c r="DI75" s="47" t="n">
        <f aca="false">-In_Lease*$F24*DI69*DI16*DI$6</f>
        <v>-71.5985036034681</v>
      </c>
      <c r="DJ75" s="47" t="n">
        <f aca="false">-In_Lease*$F24*DJ69*DJ16*DJ$6</f>
        <v>-71.5985036034681</v>
      </c>
      <c r="DK75" s="47" t="n">
        <f aca="false">-In_Lease*$F24*DK69*DK16*DK$6</f>
        <v>-71.7930647545645</v>
      </c>
      <c r="DL75" s="47" t="n">
        <f aca="false">-In_Lease*$F24*DL69*DL16*DL$6</f>
        <v>-72.5907654740596</v>
      </c>
      <c r="DM75" s="47" t="n">
        <f aca="false">-In_Lease*$F24*DM69*DM16*DM$6</f>
        <v>-73.3884661935548</v>
      </c>
      <c r="DN75" s="47" t="n">
        <f aca="false">-In_Lease*$F24*DN69*DN16*DN$6</f>
        <v>-73.3884661935548</v>
      </c>
      <c r="DO75" s="47" t="n">
        <f aca="false">-In_Lease*$F24*DO69*DO16*DO$6</f>
        <v>-73.5878913734286</v>
      </c>
      <c r="DP75" s="47" t="n">
        <f aca="false">-In_Lease*$F24*DP69*DP16*DP$6</f>
        <v>-74.4055346109111</v>
      </c>
      <c r="DQ75" s="47" t="n">
        <f aca="false">-In_Lease*$F24*DQ69*DQ16*DQ$6</f>
        <v>-75.2231778483937</v>
      </c>
      <c r="DR75" s="47" t="n">
        <f aca="false">-In_Lease*$F24*DR69*DR16*DR$6</f>
        <v>-75.2231778483937</v>
      </c>
      <c r="DS75" s="47" t="n">
        <f aca="false">-In_Lease*$F24*DS69*DS16*DS$6</f>
        <v>-75.4275886577643</v>
      </c>
      <c r="DT75" s="47" t="n">
        <f aca="false">-In_Lease*$F24*DT69*DT16*DT$6</f>
        <v>-76.2656729761839</v>
      </c>
      <c r="DU75" s="47" t="n">
        <f aca="false">-In_Lease*$F24*DU69*DU16*DU$6</f>
        <v>-77.1037572946035</v>
      </c>
      <c r="DV75" s="47" t="n">
        <f aca="false">-In_Lease*$F24*DV69*DV16*DV$6</f>
        <v>-77.1037572946035</v>
      </c>
      <c r="DW75" s="47" t="n">
        <f aca="false">-In_Lease*$F24*DW69*DW16*DW$6</f>
        <v>-78.1723148005885</v>
      </c>
      <c r="DX75" s="47" t="n">
        <f aca="false">-In_Lease*$F24*DX69*DX16*DX$6</f>
        <v>-78.1723148005885</v>
      </c>
      <c r="DY75" s="47" t="n">
        <f aca="false">-In_Lease*$F24*DY69*DY16*DY$6</f>
        <v>-79.0313512269686</v>
      </c>
      <c r="DZ75" s="47" t="n">
        <f aca="false">-In_Lease*$F24*DZ69*DZ16*DZ$6</f>
        <v>-79.0313512269686</v>
      </c>
      <c r="EA75" s="47" t="n">
        <f aca="false">-In_Lease*$F24*EA69*EA16*EA$6</f>
        <v>-79.2461103335636</v>
      </c>
      <c r="EB75" s="47" t="n">
        <f aca="false">-In_Lease*$F24*EB69*EB16*EB$6</f>
        <v>-80.1266226706032</v>
      </c>
      <c r="EC75" s="47" t="n">
        <f aca="false">-In_Lease*$F24*EC69*EC16*EC$6</f>
        <v>-81.0071350076428</v>
      </c>
      <c r="ED75" s="47" t="n">
        <f aca="false">-In_Lease*$F24*ED69*ED16*ED$6</f>
        <v>-81.0071350076428</v>
      </c>
      <c r="EE75" s="47" t="n">
        <f aca="false">-In_Lease*$F24*EE69*EE16*EE$6</f>
        <v>-81.2272630919027</v>
      </c>
      <c r="EF75" s="47" t="n">
        <f aca="false">-In_Lease*$F24*EF69*EF16*EF$6</f>
        <v>-82.1297882373683</v>
      </c>
      <c r="EG75" s="47" t="n">
        <f aca="false">-In_Lease*$F24*EG69*EG16*EG$6</f>
        <v>-83.0323133828338</v>
      </c>
      <c r="EH75" s="47" t="n">
        <f aca="false">-In_Lease*$F24*EH69*EH16*EH$6</f>
        <v>-83.0323133828338</v>
      </c>
      <c r="EI75" s="47" t="n">
        <f aca="false">-In_Lease*$F24*EI69*EI16*EI$6</f>
        <v>-83.2579446692002</v>
      </c>
      <c r="EJ75" s="47" t="n">
        <f aca="false">-In_Lease*$F24*EJ69*EJ16*EJ$6</f>
        <v>-84.1830329433024</v>
      </c>
      <c r="EK75" s="47" t="n">
        <f aca="false">-In_Lease*$F24*EK69*EK16*EK$6</f>
        <v>-85.1081212174047</v>
      </c>
      <c r="EL75" s="47" t="n">
        <f aca="false">-In_Lease*$F24*EL69*EL16*EL$6</f>
        <v>-85.1081212174047</v>
      </c>
      <c r="EM75" s="47" t="n">
        <f aca="false">-In_Lease*$F24*EM69*EM16*EM$6</f>
        <v>-86.287608766885</v>
      </c>
      <c r="EN75" s="47" t="n">
        <f aca="false">-In_Lease*$F24*EN69*EN16*EN$6</f>
        <v>-86.287608766885</v>
      </c>
      <c r="EO75" s="47" t="n">
        <f aca="false">-In_Lease*$F24*EO69*EO16*EO$6</f>
        <v>-87.2358242478398</v>
      </c>
    </row>
    <row r="76" customFormat="false" ht="15" hidden="false" customHeight="false" outlineLevel="0" collapsed="false">
      <c r="C76" s="0" t="s">
        <v>426</v>
      </c>
      <c r="D76" s="11" t="s">
        <v>33</v>
      </c>
      <c r="I76" s="47" t="n">
        <f aca="false">SUM(J76:EO76)</f>
        <v>-9554.32311667406</v>
      </c>
      <c r="J76" s="47" t="n">
        <f aca="false">-J72*(In_MEKH+In_HIPA+In_Innovation)</f>
        <v>-0</v>
      </c>
      <c r="K76" s="47" t="n">
        <f aca="false">-K72*(In_MEKH+In_HIPA+In_Innovation)</f>
        <v>-0</v>
      </c>
      <c r="L76" s="47" t="n">
        <f aca="false">-L72*(In_MEKH+In_HIPA+In_Innovation)</f>
        <v>-0</v>
      </c>
      <c r="M76" s="47" t="n">
        <f aca="false">-M72*(In_MEKH+In_HIPA+In_Innovation)</f>
        <v>-0</v>
      </c>
      <c r="N76" s="47" t="n">
        <f aca="false">-N72*(In_MEKH+In_HIPA+In_Innovation)</f>
        <v>-0</v>
      </c>
      <c r="O76" s="47" t="n">
        <f aca="false">-O72*(In_MEKH+In_HIPA+In_Innovation)</f>
        <v>-0</v>
      </c>
      <c r="P76" s="47" t="n">
        <f aca="false">-P72*(In_MEKH+In_HIPA+In_Innovation)</f>
        <v>-0</v>
      </c>
      <c r="Q76" s="47" t="n">
        <f aca="false">-Q72*(In_MEKH+In_HIPA+In_Innovation)</f>
        <v>-0</v>
      </c>
      <c r="R76" s="47" t="n">
        <f aca="false">-R72*(In_MEKH+In_HIPA+In_Innovation)</f>
        <v>-0</v>
      </c>
      <c r="S76" s="47" t="n">
        <f aca="false">-S72*(In_MEKH+In_HIPA+In_Innovation)</f>
        <v>-0</v>
      </c>
      <c r="T76" s="47" t="n">
        <f aca="false">-T72*(In_MEKH+In_HIPA+In_Innovation)</f>
        <v>-0</v>
      </c>
      <c r="U76" s="47" t="n">
        <f aca="false">-U72*(In_MEKH+In_HIPA+In_Innovation)</f>
        <v>-0</v>
      </c>
      <c r="V76" s="47" t="n">
        <f aca="false">-V72*(In_MEKH+In_HIPA+In_Innovation)</f>
        <v>-0</v>
      </c>
      <c r="W76" s="47" t="n">
        <f aca="false">-W72*(In_MEKH+In_HIPA+In_Innovation)</f>
        <v>-0</v>
      </c>
      <c r="X76" s="47" t="n">
        <f aca="false">-X72*(In_MEKH+In_HIPA+In_Innovation)</f>
        <v>-0</v>
      </c>
      <c r="Y76" s="47" t="n">
        <f aca="false">-Y72*(In_MEKH+In_HIPA+In_Innovation)</f>
        <v>-0</v>
      </c>
      <c r="Z76" s="47" t="n">
        <f aca="false">-Z72*(In_MEKH+In_HIPA+In_Innovation)</f>
        <v>-71.8611264</v>
      </c>
      <c r="AA76" s="47" t="n">
        <f aca="false">-AA72*(In_MEKH+In_HIPA+In_Innovation)</f>
        <v>-71.00191728</v>
      </c>
      <c r="AB76" s="47" t="n">
        <f aca="false">-AB72*(In_MEKH+In_HIPA+In_Innovation)</f>
        <v>-71.790827472</v>
      </c>
      <c r="AC76" s="47" t="n">
        <f aca="false">-AC72*(In_MEKH+In_HIPA+In_Innovation)</f>
        <v>-72.579737664</v>
      </c>
      <c r="AD76" s="47" t="n">
        <f aca="false">-AD72*(In_MEKH+In_HIPA+In_Innovation)</f>
        <v>-72.361998451008</v>
      </c>
      <c r="AE76" s="47" t="n">
        <f aca="false">-AE72*(In_MEKH+In_HIPA+In_Innovation)</f>
        <v>-72.2912095394799</v>
      </c>
      <c r="AF76" s="47" t="n">
        <f aca="false">-AF72*(In_MEKH+In_HIPA+In_Innovation)</f>
        <v>-72.2912095394799</v>
      </c>
      <c r="AG76" s="47" t="n">
        <f aca="false">-AG72*(In_MEKH+In_HIPA+In_Innovation)</f>
        <v>-73.0856184355181</v>
      </c>
      <c r="AH76" s="47" t="n">
        <f aca="false">-AH72*(In_MEKH+In_HIPA+In_Innovation)</f>
        <v>-72.8663615802116</v>
      </c>
      <c r="AI76" s="47" t="n">
        <f aca="false">-AI72*(In_MEKH+In_HIPA+In_Innovation)</f>
        <v>-71.9951333439264</v>
      </c>
      <c r="AJ76" s="47" t="n">
        <f aca="false">-AJ72*(In_MEKH+In_HIPA+In_Innovation)</f>
        <v>-72.7950792699701</v>
      </c>
      <c r="AK76" s="47" t="n">
        <f aca="false">-AK72*(In_MEKH+In_HIPA+In_Innovation)</f>
        <v>-73.5950251960137</v>
      </c>
      <c r="AL76" s="47" t="n">
        <f aca="false">-AL72*(In_MEKH+In_HIPA+In_Innovation)</f>
        <v>-73.3742401204257</v>
      </c>
      <c r="AM76" s="47" t="n">
        <f aca="false">-AM72*(In_MEKH+In_HIPA+In_Innovation)</f>
        <v>-72.4969394233336</v>
      </c>
      <c r="AN76" s="47" t="n">
        <f aca="false">-AN72*(In_MEKH+In_HIPA+In_Innovation)</f>
        <v>-73.3024609724817</v>
      </c>
      <c r="AO76" s="47" t="n">
        <f aca="false">-AO72*(In_MEKH+In_HIPA+In_Innovation)</f>
        <v>-74.1079825216299</v>
      </c>
      <c r="AP76" s="47" t="n">
        <f aca="false">-AP72*(In_MEKH+In_HIPA+In_Innovation)</f>
        <v>-73.885658574065</v>
      </c>
      <c r="AQ76" s="47" t="n">
        <f aca="false">-AQ72*(In_MEKH+In_HIPA+In_Innovation)</f>
        <v>-73.0022430911142</v>
      </c>
      <c r="AR76" s="47" t="n">
        <f aca="false">-AR72*(In_MEKH+In_HIPA+In_Innovation)</f>
        <v>-73.81337912546</v>
      </c>
      <c r="AS76" s="47" t="n">
        <f aca="false">-AS72*(In_MEKH+In_HIPA+In_Innovation)</f>
        <v>-74.6245151598057</v>
      </c>
      <c r="AT76" s="47" t="n">
        <f aca="false">-AT72*(In_MEKH+In_HIPA+In_Innovation)</f>
        <v>-74.4006416143263</v>
      </c>
      <c r="AU76" s="47" t="n">
        <f aca="false">-AU72*(In_MEKH+In_HIPA+In_Innovation)</f>
        <v>-74.3278583779644</v>
      </c>
      <c r="AV76" s="47" t="n">
        <f aca="false">-AV72*(In_MEKH+In_HIPA+In_Innovation)</f>
        <v>-74.3278583779644</v>
      </c>
      <c r="AW76" s="47" t="n">
        <f aca="false">-AW72*(In_MEKH+In_HIPA+In_Innovation)</f>
        <v>-75.1446480304695</v>
      </c>
      <c r="AX76" s="47" t="n">
        <f aca="false">-AX72*(In_MEKH+In_HIPA+In_Innovation)</f>
        <v>-74.9192140863781</v>
      </c>
      <c r="AY76" s="47" t="n">
        <f aca="false">-AY72*(In_MEKH+In_HIPA+In_Innovation)</f>
        <v>-74.0234408744757</v>
      </c>
      <c r="AZ76" s="47" t="n">
        <f aca="false">-AZ72*(In_MEKH+In_HIPA+In_Innovation)</f>
        <v>-74.8459235508588</v>
      </c>
      <c r="BA76" s="47" t="n">
        <f aca="false">-BA72*(In_MEKH+In_HIPA+In_Innovation)</f>
        <v>-75.6684062272419</v>
      </c>
      <c r="BB76" s="47" t="n">
        <f aca="false">-BB72*(In_MEKH+In_HIPA+In_Innovation)</f>
        <v>-75.4414010085602</v>
      </c>
      <c r="BC76" s="47" t="n">
        <f aca="false">-BC72*(In_MEKH+In_HIPA+In_Innovation)</f>
        <v>-74.5393842573708</v>
      </c>
      <c r="BD76" s="47" t="n">
        <f aca="false">-BD72*(In_MEKH+In_HIPA+In_Innovation)</f>
        <v>-75.3675996380083</v>
      </c>
      <c r="BE76" s="47" t="n">
        <f aca="false">-BE72*(In_MEKH+In_HIPA+In_Innovation)</f>
        <v>-76.1958150186458</v>
      </c>
      <c r="BF76" s="47" t="n">
        <f aca="false">-BF72*(In_MEKH+In_HIPA+In_Innovation)</f>
        <v>-75.9672275735898</v>
      </c>
      <c r="BG76" s="47" t="n">
        <f aca="false">-BG72*(In_MEKH+In_HIPA+In_Innovation)</f>
        <v>-75.0589237656447</v>
      </c>
      <c r="BH76" s="47" t="n">
        <f aca="false">-BH72*(In_MEKH+In_HIPA+In_Innovation)</f>
        <v>-75.8929118074852</v>
      </c>
      <c r="BI76" s="47" t="n">
        <f aca="false">-BI72*(In_MEKH+In_HIPA+In_Innovation)</f>
        <v>-76.7268998493257</v>
      </c>
      <c r="BJ76" s="47" t="n">
        <f aca="false">-BJ72*(In_MEKH+In_HIPA+In_Innovation)</f>
        <v>-76.4967191497777</v>
      </c>
      <c r="BK76" s="47" t="n">
        <f aca="false">-BK72*(In_MEKH+In_HIPA+In_Innovation)</f>
        <v>-76.4218854027834</v>
      </c>
      <c r="BL76" s="47" t="n">
        <f aca="false">-BL72*(In_MEKH+In_HIPA+In_Innovation)</f>
        <v>-76.4218854027834</v>
      </c>
      <c r="BM76" s="47" t="n">
        <f aca="false">-BM72*(In_MEKH+In_HIPA+In_Innovation)</f>
        <v>-77.2616863412755</v>
      </c>
      <c r="BN76" s="47" t="n">
        <f aca="false">-BN72*(In_MEKH+In_HIPA+In_Innovation)</f>
        <v>-77.0299012822517</v>
      </c>
      <c r="BO76" s="47" t="n">
        <f aca="false">-BO72*(In_MEKH+In_HIPA+In_Innovation)</f>
        <v>-76.1088915930074</v>
      </c>
      <c r="BP76" s="47" t="n">
        <f aca="false">-BP72*(In_MEKH+In_HIPA+In_Innovation)</f>
        <v>-76.9545459440408</v>
      </c>
      <c r="BQ76" s="47" t="n">
        <f aca="false">-BQ72*(In_MEKH+In_HIPA+In_Innovation)</f>
        <v>-77.8002002950742</v>
      </c>
      <c r="BR76" s="47" t="n">
        <f aca="false">-BR72*(In_MEKH+In_HIPA+In_Innovation)</f>
        <v>-77.566799694189</v>
      </c>
      <c r="BS76" s="47" t="n">
        <f aca="false">-BS72*(In_MEKH+In_HIPA+In_Innovation)</f>
        <v>-76.6393705674106</v>
      </c>
      <c r="BT76" s="47" t="n">
        <f aca="false">-BT72*(In_MEKH+In_HIPA+In_Innovation)</f>
        <v>-77.4909191292708</v>
      </c>
      <c r="BU76" s="47" t="n">
        <f aca="false">-BU72*(In_MEKH+In_HIPA+In_Innovation)</f>
        <v>-78.3424676911309</v>
      </c>
      <c r="BV76" s="47" t="n">
        <f aca="false">-BV72*(In_MEKH+In_HIPA+In_Innovation)</f>
        <v>-78.1074402880575</v>
      </c>
      <c r="BW76" s="47" t="n">
        <f aca="false">-BW72*(In_MEKH+In_HIPA+In_Innovation)</f>
        <v>-77.1735469802655</v>
      </c>
      <c r="BX76" s="47" t="n">
        <f aca="false">-BX72*(In_MEKH+In_HIPA+In_Innovation)</f>
        <v>-78.0310308356018</v>
      </c>
      <c r="BY76" s="47" t="n">
        <f aca="false">-BY72*(In_MEKH+In_HIPA+In_Innovation)</f>
        <v>-78.888514690938</v>
      </c>
      <c r="BZ76" s="47" t="n">
        <f aca="false">-BZ72*(In_MEKH+In_HIPA+In_Innovation)</f>
        <v>-78.6518491468652</v>
      </c>
      <c r="CA76" s="47" t="n">
        <f aca="false">-CA72*(In_MEKH+In_HIPA+In_Innovation)</f>
        <v>-78.5749071205259</v>
      </c>
      <c r="CB76" s="47" t="n">
        <f aca="false">-CB72*(In_MEKH+In_HIPA+In_Innovation)</f>
        <v>-78.5749071205259</v>
      </c>
      <c r="CC76" s="47" t="n">
        <f aca="false">-CC72*(In_MEKH+In_HIPA+In_Innovation)</f>
        <v>-79.4383676383339</v>
      </c>
      <c r="CD76" s="47" t="n">
        <f aca="false">-CD72*(In_MEKH+In_HIPA+In_Innovation)</f>
        <v>-79.2000525354189</v>
      </c>
      <c r="CE76" s="47" t="n">
        <f aca="false">-CE72*(In_MEKH+In_HIPA+In_Innovation)</f>
        <v>-78.2530953855389</v>
      </c>
      <c r="CF76" s="47" t="n">
        <f aca="false">-CF72*(In_MEKH+In_HIPA+In_Innovation)</f>
        <v>-79.122574223156</v>
      </c>
      <c r="CG76" s="47" t="n">
        <f aca="false">-CG72*(In_MEKH+In_HIPA+In_Innovation)</f>
        <v>-79.9920530607731</v>
      </c>
      <c r="CH76" s="47" t="n">
        <f aca="false">-CH72*(In_MEKH+In_HIPA+In_Innovation)</f>
        <v>-79.7520769015908</v>
      </c>
      <c r="CI76" s="47" t="n">
        <f aca="false">-CI72*(In_MEKH+In_HIPA+In_Innovation)</f>
        <v>-78.7985194603761</v>
      </c>
      <c r="CJ76" s="47" t="n">
        <f aca="false">-CJ72*(In_MEKH+In_HIPA+In_Innovation)</f>
        <v>-79.6740585654914</v>
      </c>
      <c r="CK76" s="47" t="n">
        <f aca="false">-CK72*(In_MEKH+In_HIPA+In_Innovation)</f>
        <v>-80.5495976706067</v>
      </c>
      <c r="CL76" s="47" t="n">
        <f aca="false">-CL72*(In_MEKH+In_HIPA+In_Innovation)</f>
        <v>-80.3079488775948</v>
      </c>
      <c r="CM76" s="47" t="n">
        <f aca="false">-CM72*(In_MEKH+In_HIPA+In_Innovation)</f>
        <v>-79.3477451410149</v>
      </c>
      <c r="CN76" s="47" t="n">
        <f aca="false">-CN72*(In_MEKH+In_HIPA+In_Innovation)</f>
        <v>-80.2293867536928</v>
      </c>
      <c r="CO76" s="47" t="n">
        <f aca="false">-CO72*(In_MEKH+In_HIPA+In_Innovation)</f>
        <v>-81.1110283663708</v>
      </c>
      <c r="CP76" s="47" t="n">
        <f aca="false">-CP72*(In_MEKH+In_HIPA+In_Innovation)</f>
        <v>-80.8676952812717</v>
      </c>
      <c r="CQ76" s="47" t="n">
        <f aca="false">-CQ72*(In_MEKH+In_HIPA+In_Innovation)</f>
        <v>-80.7885855793661</v>
      </c>
      <c r="CR76" s="47" t="n">
        <f aca="false">-CR72*(In_MEKH+In_HIPA+In_Innovation)</f>
        <v>-80.7885855793661</v>
      </c>
      <c r="CS76" s="47" t="n">
        <f aca="false">-CS72*(In_MEKH+In_HIPA+In_Innovation)</f>
        <v>-81.6763722340844</v>
      </c>
      <c r="CT76" s="47" t="n">
        <f aca="false">-CT72*(In_MEKH+In_HIPA+In_Innovation)</f>
        <v>-81.4313431173821</v>
      </c>
      <c r="CU76" s="47" t="n">
        <f aca="false">-CU72*(In_MEKH+In_HIPA+In_Innovation)</f>
        <v>-80.4577074931526</v>
      </c>
      <c r="CV76" s="47" t="n">
        <f aca="false">-CV72*(In_MEKH+In_HIPA+In_Innovation)</f>
        <v>-81.3516820208543</v>
      </c>
      <c r="CW76" s="47" t="n">
        <f aca="false">-CW72*(In_MEKH+In_HIPA+In_Innovation)</f>
        <v>-82.245656548556</v>
      </c>
      <c r="CX76" s="47" t="n">
        <f aca="false">-CX72*(In_MEKH+In_HIPA+In_Innovation)</f>
        <v>-81.9989195789103</v>
      </c>
      <c r="CY76" s="47" t="n">
        <f aca="false">-CY72*(In_MEKH+In_HIPA+In_Innovation)</f>
        <v>-81.0184977143799</v>
      </c>
      <c r="CZ76" s="47" t="n">
        <f aca="false">-CZ72*(In_MEKH+In_HIPA+In_Innovation)</f>
        <v>-81.9187032445396</v>
      </c>
      <c r="DA76" s="47" t="n">
        <f aca="false">-DA72*(In_MEKH+In_HIPA+In_Innovation)</f>
        <v>-82.8189087746994</v>
      </c>
      <c r="DB76" s="47" t="n">
        <f aca="false">-DB72*(In_MEKH+In_HIPA+In_Innovation)</f>
        <v>-82.5704520483753</v>
      </c>
      <c r="DC76" s="47" t="n">
        <f aca="false">-DC72*(In_MEKH+In_HIPA+In_Innovation)</f>
        <v>-81.5831966434491</v>
      </c>
      <c r="DD76" s="47" t="n">
        <f aca="false">-DD72*(In_MEKH+In_HIPA+In_Innovation)</f>
        <v>-82.4896766061541</v>
      </c>
      <c r="DE76" s="47" t="n">
        <f aca="false">-DE72*(In_MEKH+In_HIPA+In_Innovation)</f>
        <v>-83.3961565688591</v>
      </c>
      <c r="DF76" s="47" t="n">
        <f aca="false">-DF72*(In_MEKH+In_HIPA+In_Innovation)</f>
        <v>-83.1459680991525</v>
      </c>
      <c r="DG76" s="47" t="n">
        <f aca="false">-DG72*(In_MEKH+In_HIPA+In_Innovation)</f>
        <v>-83.0646296520989</v>
      </c>
      <c r="DH76" s="47" t="n">
        <f aca="false">-DH72*(In_MEKH+In_HIPA+In_Innovation)</f>
        <v>-83.0646296520989</v>
      </c>
      <c r="DI76" s="47" t="n">
        <f aca="false">-DI72*(In_MEKH+In_HIPA+In_Innovation)</f>
        <v>-83.977427780144</v>
      </c>
      <c r="DJ76" s="47" t="n">
        <f aca="false">-DJ72*(In_MEKH+In_HIPA+In_Innovation)</f>
        <v>-83.7254954968036</v>
      </c>
      <c r="DK76" s="47" t="n">
        <f aca="false">-DK72*(In_MEKH+In_HIPA+In_Innovation)</f>
        <v>-82.7244297897766</v>
      </c>
      <c r="DL76" s="47" t="n">
        <f aca="false">-DL72*(In_MEKH+In_HIPA+In_Innovation)</f>
        <v>-83.6435901207741</v>
      </c>
      <c r="DM76" s="47" t="n">
        <f aca="false">-DM72*(In_MEKH+In_HIPA+In_Innovation)</f>
        <v>-84.5627504517716</v>
      </c>
      <c r="DN76" s="47" t="n">
        <f aca="false">-DN72*(In_MEKH+In_HIPA+In_Innovation)</f>
        <v>-84.3090622004163</v>
      </c>
      <c r="DO76" s="47" t="n">
        <f aca="false">-DO72*(In_MEKH+In_HIPA+In_Innovation)</f>
        <v>-83.3010190654113</v>
      </c>
      <c r="DP76" s="47" t="n">
        <f aca="false">-DP72*(In_MEKH+In_HIPA+In_Innovation)</f>
        <v>-84.2265859439159</v>
      </c>
      <c r="DQ76" s="47" t="n">
        <f aca="false">-DQ72*(In_MEKH+In_HIPA+In_Innovation)</f>
        <v>-85.1521528224205</v>
      </c>
      <c r="DR76" s="47" t="n">
        <f aca="false">-DR72*(In_MEKH+In_HIPA+In_Innovation)</f>
        <v>-84.8966963639532</v>
      </c>
      <c r="DS76" s="47" t="n">
        <f aca="false">-DS72*(In_MEKH+In_HIPA+In_Innovation)</f>
        <v>-83.8816271682972</v>
      </c>
      <c r="DT76" s="47" t="n">
        <f aca="false">-DT72*(In_MEKH+In_HIPA+In_Innovation)</f>
        <v>-84.813645247945</v>
      </c>
      <c r="DU76" s="47" t="n">
        <f aca="false">-DU72*(In_MEKH+In_HIPA+In_Innovation)</f>
        <v>-85.7456633275927</v>
      </c>
      <c r="DV76" s="47" t="n">
        <f aca="false">-DV72*(In_MEKH+In_HIPA+In_Innovation)</f>
        <v>-85.48842633761</v>
      </c>
      <c r="DW76" s="47" t="n">
        <f aca="false">-DW72*(In_MEKH+In_HIPA+In_Innovation)</f>
        <v>-85.4047963553232</v>
      </c>
      <c r="DX76" s="47" t="n">
        <f aca="false">-DX72*(In_MEKH+In_HIPA+In_Innovation)</f>
        <v>-85.4047963553232</v>
      </c>
      <c r="DY76" s="47" t="n">
        <f aca="false">-DY72*(In_MEKH+In_HIPA+In_Innovation)</f>
        <v>-86.3433106009861</v>
      </c>
      <c r="DZ76" s="47" t="n">
        <f aca="false">-DZ72*(In_MEKH+In_HIPA+In_Innovation)</f>
        <v>-86.0842806691831</v>
      </c>
      <c r="EA76" s="47" t="n">
        <f aca="false">-EA72*(In_MEKH+In_HIPA+In_Innovation)</f>
        <v>-85.0550120959646</v>
      </c>
      <c r="EB76" s="47" t="n">
        <f aca="false">-EB72*(In_MEKH+In_HIPA+In_Innovation)</f>
        <v>-86.0000677859198</v>
      </c>
      <c r="EC76" s="47" t="n">
        <f aca="false">-EC72*(In_MEKH+In_HIPA+In_Innovation)</f>
        <v>-86.9451234758749</v>
      </c>
      <c r="ED76" s="47" t="n">
        <f aca="false">-ED72*(In_MEKH+In_HIPA+In_Innovation)</f>
        <v>-86.6842881054473</v>
      </c>
      <c r="EE76" s="47" t="n">
        <f aca="false">-EE72*(In_MEKH+In_HIPA+In_Innovation)</f>
        <v>-85.6478455302735</v>
      </c>
      <c r="EF76" s="47" t="n">
        <f aca="false">-EF72*(In_MEKH+In_HIPA+In_Innovation)</f>
        <v>-86.5994882583876</v>
      </c>
      <c r="EG76" s="47" t="n">
        <f aca="false">-EG72*(In_MEKH+In_HIPA+In_Innovation)</f>
        <v>-87.5511309865018</v>
      </c>
      <c r="EH76" s="47" t="n">
        <f aca="false">-EH72*(In_MEKH+In_HIPA+In_Innovation)</f>
        <v>-87.2884775935423</v>
      </c>
      <c r="EI76" s="47" t="n">
        <f aca="false">-EI72*(In_MEKH+In_HIPA+In_Innovation)</f>
        <v>-86.2448110136195</v>
      </c>
      <c r="EJ76" s="47" t="n">
        <f aca="false">-EJ72*(In_MEKH+In_HIPA+In_Innovation)</f>
        <v>-87.2030866915486</v>
      </c>
      <c r="EK76" s="47" t="n">
        <f aca="false">-EK72*(In_MEKH+In_HIPA+In_Innovation)</f>
        <v>-88.1613623694777</v>
      </c>
      <c r="EL76" s="47" t="n">
        <f aca="false">-EL72*(In_MEKH+In_HIPA+In_Innovation)</f>
        <v>-87.8968782823693</v>
      </c>
      <c r="EM76" s="47" t="n">
        <f aca="false">-EM72*(In_MEKH+In_HIPA+In_Innovation)</f>
        <v>-87.8108922057887</v>
      </c>
      <c r="EN76" s="47" t="n">
        <f aca="false">-EN72*(In_MEKH+In_HIPA+In_Innovation)</f>
        <v>-87.8108922057887</v>
      </c>
      <c r="EO76" s="47" t="n">
        <f aca="false">-EO72*(In_MEKH+In_HIPA+In_Innovation)</f>
        <v>-88.775847065193</v>
      </c>
    </row>
    <row r="77" customFormat="false" ht="15" hidden="false" customHeight="false" outlineLevel="0" collapsed="false">
      <c r="C77" s="0" t="s">
        <v>307</v>
      </c>
      <c r="D77" s="11" t="s">
        <v>33</v>
      </c>
      <c r="I77" s="47" t="n">
        <f aca="false">SUM(J77:EO77)</f>
        <v>-4855.44410223627</v>
      </c>
      <c r="J77" s="47" t="n">
        <f aca="false">In_Opex_Contingency*(J73+J74+J75-J72*In_MEKH)</f>
        <v>-0</v>
      </c>
      <c r="K77" s="47" t="n">
        <f aca="false">In_Opex_Contingency*(K73+K74+K75-K72*In_MEKH)</f>
        <v>-0</v>
      </c>
      <c r="L77" s="47" t="n">
        <f aca="false">In_Opex_Contingency*(L73+L74+L75-L72*In_MEKH)</f>
        <v>-0</v>
      </c>
      <c r="M77" s="47" t="n">
        <f aca="false">In_Opex_Contingency*(M73+M74+M75-M72*In_MEKH)</f>
        <v>-0</v>
      </c>
      <c r="N77" s="47" t="n">
        <f aca="false">In_Opex_Contingency*(N73+N74+N75-N72*In_MEKH)</f>
        <v>-0</v>
      </c>
      <c r="O77" s="47" t="n">
        <f aca="false">In_Opex_Contingency*(O73+O74+O75-O72*In_MEKH)</f>
        <v>-0</v>
      </c>
      <c r="P77" s="47" t="n">
        <f aca="false">In_Opex_Contingency*(P73+P74+P75-P72*In_MEKH)</f>
        <v>-0</v>
      </c>
      <c r="Q77" s="47" t="n">
        <f aca="false">In_Opex_Contingency*(Q73+Q74+Q75-Q72*In_MEKH)</f>
        <v>-0</v>
      </c>
      <c r="R77" s="47" t="n">
        <f aca="false">In_Opex_Contingency*(R73+R74+R75-R72*In_MEKH)</f>
        <v>-1.979252401946</v>
      </c>
      <c r="S77" s="47" t="n">
        <f aca="false">In_Opex_Contingency*(S73+S74+S75-S72*In_MEKH)</f>
        <v>-1.98463080521216</v>
      </c>
      <c r="T77" s="47" t="n">
        <f aca="false">In_Opex_Contingency*(T73+T74+T75-T72*In_MEKH)</f>
        <v>-2.00668225860341</v>
      </c>
      <c r="U77" s="47" t="n">
        <f aca="false">In_Opex_Contingency*(U73+U74+U75-U72*In_MEKH)</f>
        <v>-2.02873371199466</v>
      </c>
      <c r="V77" s="47" t="n">
        <f aca="false">In_Opex_Contingency*(V73+V74+V75-V72*In_MEKH)</f>
        <v>-2.02873371199466</v>
      </c>
      <c r="W77" s="47" t="n">
        <f aca="false">In_Opex_Contingency*(W73+W74+W75-W72*In_MEKH)</f>
        <v>-2.03424657534247</v>
      </c>
      <c r="X77" s="47" t="n">
        <f aca="false">In_Opex_Contingency*(X73+X74+X75-X72*In_MEKH)</f>
        <v>-2.05684931506849</v>
      </c>
      <c r="Y77" s="47" t="n">
        <f aca="false">In_Opex_Contingency*(Y73+Y74+Y75-Y72*In_MEKH)</f>
        <v>-2.07945205479452</v>
      </c>
      <c r="Z77" s="47" t="n">
        <f aca="false">In_Opex_Contingency*(Z73+Z74+Z75-Z72*In_MEKH)</f>
        <v>-27.6861487621918</v>
      </c>
      <c r="AA77" s="47" t="n">
        <f aca="false">In_Opex_Contingency*(AA73+AA74+AA75-AA72*In_MEKH)</f>
        <v>-27.759186020589</v>
      </c>
      <c r="AB77" s="47" t="n">
        <f aca="false">In_Opex_Contingency*(AB73+AB74+AB75-AB72*In_MEKH)</f>
        <v>-28.0676214208178</v>
      </c>
      <c r="AC77" s="47" t="n">
        <f aca="false">In_Opex_Contingency*(AC73+AC74+AC75-AC72*In_MEKH)</f>
        <v>-28.3760568210466</v>
      </c>
      <c r="AD77" s="47" t="n">
        <f aca="false">In_Opex_Contingency*(AD73+AD74+AD75-AD72*In_MEKH)</f>
        <v>-28.3500276231862</v>
      </c>
      <c r="AE77" s="47" t="n">
        <f aca="false">In_Opex_Contingency*(AE73+AE74+AE75-AE72*In_MEKH)</f>
        <v>-28.7406852947782</v>
      </c>
      <c r="AF77" s="47" t="n">
        <f aca="false">In_Opex_Contingency*(AF73+AF74+AF75-AF72*In_MEKH)</f>
        <v>-28.7406852947782</v>
      </c>
      <c r="AG77" s="47" t="n">
        <f aca="false">In_Opex_Contingency*(AG73+AG74+AG75-AG72*In_MEKH)</f>
        <v>-29.0565170013142</v>
      </c>
      <c r="AH77" s="47" t="n">
        <f aca="false">In_Opex_Contingency*(AH73+AH74+AH75-AH72*In_MEKH)</f>
        <v>-29.0299238972281</v>
      </c>
      <c r="AI77" s="47" t="n">
        <f aca="false">In_Opex_Contingency*(AI73+AI74+AI75-AI72*In_MEKH)</f>
        <v>-29.1065819877973</v>
      </c>
      <c r="AJ77" s="47" t="n">
        <f aca="false">In_Opex_Contingency*(AJ73+AJ74+AJ75-AJ72*In_MEKH)</f>
        <v>-29.4299884543283</v>
      </c>
      <c r="AK77" s="47" t="n">
        <f aca="false">In_Opex_Contingency*(AK73+AK74+AK75-AK72*In_MEKH)</f>
        <v>-29.7533949208594</v>
      </c>
      <c r="AL77" s="47" t="n">
        <f aca="false">In_Opex_Contingency*(AL73+AL74+AL75-AL72*In_MEKH)</f>
        <v>-29.7262255941876</v>
      </c>
      <c r="AM77" s="47" t="n">
        <f aca="false">In_Opex_Contingency*(AM73+AM74+AM75-AM72*In_MEKH)</f>
        <v>-29.8047602827551</v>
      </c>
      <c r="AN77" s="47" t="n">
        <f aca="false">In_Opex_Contingency*(AN73+AN74+AN75-AN72*In_MEKH)</f>
        <v>-30.1359242858968</v>
      </c>
      <c r="AO77" s="47" t="n">
        <f aca="false">In_Opex_Contingency*(AO73+AO74+AO75-AO72*In_MEKH)</f>
        <v>-30.4670882890385</v>
      </c>
      <c r="AP77" s="47" t="n">
        <f aca="false">In_Opex_Contingency*(AP73+AP74+AP75-AP72*In_MEKH)</f>
        <v>-30.4393301537144</v>
      </c>
      <c r="AQ77" s="47" t="n">
        <f aca="false">In_Opex_Contingency*(AQ73+AQ74+AQ75-AQ72*In_MEKH)</f>
        <v>-30.5197869920154</v>
      </c>
      <c r="AR77" s="47" t="n">
        <f aca="false">In_Opex_Contingency*(AR73+AR74+AR75-AR72*In_MEKH)</f>
        <v>-30.8588957363711</v>
      </c>
      <c r="AS77" s="47" t="n">
        <f aca="false">In_Opex_Contingency*(AS73+AS74+AS75-AS72*In_MEKH)</f>
        <v>-31.1980044807269</v>
      </c>
      <c r="AT77" s="47" t="n">
        <f aca="false">In_Opex_Contingency*(AT73+AT74+AT75-AT72*In_MEKH)</f>
        <v>-31.1696446750663</v>
      </c>
      <c r="AU77" s="47" t="n">
        <f aca="false">In_Opex_Contingency*(AU73+AU74+AU75-AU72*In_MEKH)</f>
        <v>-31.599315546111</v>
      </c>
      <c r="AV77" s="47" t="n">
        <f aca="false">In_Opex_Contingency*(AV73+AV74+AV75-AV72*In_MEKH)</f>
        <v>-31.599315546111</v>
      </c>
      <c r="AW77" s="47" t="n">
        <f aca="false">In_Opex_Contingency*(AW73+AW74+AW75-AW72*In_MEKH)</f>
        <v>-31.9465607718925</v>
      </c>
      <c r="AX77" s="47" t="n">
        <f aca="false">In_Opex_Contingency*(AX73+AX74+AX75-AX72*In_MEKH)</f>
        <v>-31.9175861525529</v>
      </c>
      <c r="AY77" s="47" t="n">
        <f aca="false">In_Opex_Contingency*(AY73+AY74+AY75-AY72*In_MEKH)</f>
        <v>-32.0020283943847</v>
      </c>
      <c r="AZ77" s="47" t="n">
        <f aca="false">In_Opex_Contingency*(AZ73+AZ74+AZ75-AZ72*In_MEKH)</f>
        <v>-32.3576064876556</v>
      </c>
      <c r="BA77" s="47" t="n">
        <f aca="false">In_Opex_Contingency*(BA73+BA74+BA75-BA72*In_MEKH)</f>
        <v>-32.7131845809266</v>
      </c>
      <c r="BB77" s="47" t="n">
        <f aca="false">In_Opex_Contingency*(BB73+BB74+BB75-BB72*In_MEKH)</f>
        <v>-32.6835817167343</v>
      </c>
      <c r="BC77" s="47" t="n">
        <f aca="false">In_Opex_Contingency*(BC73+BC74+BC75-BC72*In_MEKH)</f>
        <v>-32.7700895046566</v>
      </c>
      <c r="BD77" s="47" t="n">
        <f aca="false">In_Opex_Contingency*(BD73+BD74+BD75-BD72*In_MEKH)</f>
        <v>-33.1342016102639</v>
      </c>
      <c r="BE77" s="47" t="n">
        <f aca="false">In_Opex_Contingency*(BE73+BE74+BE75-BE72*In_MEKH)</f>
        <v>-33.4983137158712</v>
      </c>
      <c r="BF77" s="47" t="n">
        <f aca="false">In_Opex_Contingency*(BF73+BF74+BF75-BF72*In_MEKH)</f>
        <v>-33.4680688815128</v>
      </c>
      <c r="BG77" s="47" t="n">
        <f aca="false">In_Opex_Contingency*(BG73+BG74+BG75-BG72*In_MEKH)</f>
        <v>-33.556692353174</v>
      </c>
      <c r="BH77" s="47" t="n">
        <f aca="false">In_Opex_Contingency*(BH73+BH74+BH75-BH72*In_MEKH)</f>
        <v>-33.9295444904315</v>
      </c>
      <c r="BI77" s="47" t="n">
        <f aca="false">In_Opex_Contingency*(BI73+BI74+BI75-BI72*In_MEKH)</f>
        <v>-34.302396627689</v>
      </c>
      <c r="BJ77" s="47" t="n">
        <f aca="false">In_Opex_Contingency*(BJ73+BJ74+BJ75-BJ72*In_MEKH)</f>
        <v>-34.271495797265</v>
      </c>
      <c r="BK77" s="47" t="n">
        <f aca="false">In_Opex_Contingency*(BK73+BK74+BK75-BK72*In_MEKH)</f>
        <v>-34.7440894885305</v>
      </c>
      <c r="BL77" s="47" t="n">
        <f aca="false">In_Opex_Contingency*(BL73+BL74+BL75-BL72*In_MEKH)</f>
        <v>-34.7440894885305</v>
      </c>
      <c r="BM77" s="47" t="n">
        <f aca="false">In_Opex_Contingency*(BM73+BM74+BM75-BM72*In_MEKH)</f>
        <v>-35.1258926697232</v>
      </c>
      <c r="BN77" s="47" t="n">
        <f aca="false">In_Opex_Contingency*(BN73+BN74+BN75-BN72*In_MEKH)</f>
        <v>-35.0943215101595</v>
      </c>
      <c r="BO77" s="47" t="n">
        <f aca="false">In_Opex_Contingency*(BO73+BO74+BO75-BO72*In_MEKH)</f>
        <v>-35.1873316599441</v>
      </c>
      <c r="BP77" s="47" t="n">
        <f aca="false">In_Opex_Contingency*(BP73+BP74+BP75-BP72*In_MEKH)</f>
        <v>-35.5783020117213</v>
      </c>
      <c r="BQ77" s="47" t="n">
        <f aca="false">In_Opex_Contingency*(BQ73+BQ74+BQ75-BQ72*In_MEKH)</f>
        <v>-35.9692723634984</v>
      </c>
      <c r="BR77" s="47" t="n">
        <f aca="false">In_Opex_Contingency*(BR73+BR74+BR75-BR72*In_MEKH)</f>
        <v>-35.9370162278146</v>
      </c>
      <c r="BS77" s="47" t="n">
        <f aca="false">In_Opex_Contingency*(BS73+BS74+BS75-BS72*In_MEKH)</f>
        <v>-36.0322998955625</v>
      </c>
      <c r="BT77" s="47" t="n">
        <f aca="false">In_Opex_Contingency*(BT73+BT74+BT75-BT72*In_MEKH)</f>
        <v>-36.432658783291</v>
      </c>
      <c r="BU77" s="47" t="n">
        <f aca="false">In_Opex_Contingency*(BU73+BU74+BU75-BU72*In_MEKH)</f>
        <v>-36.8330176710195</v>
      </c>
      <c r="BV77" s="47" t="n">
        <f aca="false">In_Opex_Contingency*(BV73+BV74+BV75-BV72*In_MEKH)</f>
        <v>-36.8000615914482</v>
      </c>
      <c r="BW77" s="47" t="n">
        <f aca="false">In_Opex_Contingency*(BW73+BW74+BW75-BW72*In_MEKH)</f>
        <v>-36.897673963427</v>
      </c>
      <c r="BX77" s="47" t="n">
        <f aca="false">In_Opex_Contingency*(BX73+BX74+BX75-BX72*In_MEKH)</f>
        <v>-37.3076481185762</v>
      </c>
      <c r="BY77" s="47" t="n">
        <f aca="false">In_Opex_Contingency*(BY73+BY74+BY75-BY72*In_MEKH)</f>
        <v>-37.7176222737254</v>
      </c>
      <c r="BZ77" s="47" t="n">
        <f aca="false">In_Opex_Contingency*(BZ73+BZ74+BZ75-BZ72*In_MEKH)</f>
        <v>-37.6839509546821</v>
      </c>
      <c r="CA77" s="47" t="n">
        <f aca="false">In_Opex_Contingency*(CA73+CA74+CA75-CA72*In_MEKH)</f>
        <v>-38.20377020763</v>
      </c>
      <c r="CB77" s="47" t="n">
        <f aca="false">In_Opex_Contingency*(CB73+CB74+CB75-CB72*In_MEKH)</f>
        <v>-38.20377020763</v>
      </c>
      <c r="CC77" s="47" t="n">
        <f aca="false">In_Opex_Contingency*(CC73+CC74+CC75-CC72*In_MEKH)</f>
        <v>-38.6235918582633</v>
      </c>
      <c r="CD77" s="47" t="n">
        <f aca="false">In_Opex_Contingency*(CD73+CD74+CD75-CD72*In_MEKH)</f>
        <v>-38.5891896691609</v>
      </c>
      <c r="CE77" s="47" t="n">
        <f aca="false">In_Opex_Contingency*(CE73+CE74+CE75-CE72*In_MEKH)</f>
        <v>-38.6916304003514</v>
      </c>
      <c r="CF77" s="47" t="n">
        <f aca="false">In_Opex_Contingency*(CF73+CF74+CF75-CF72*In_MEKH)</f>
        <v>-39.1215374047998</v>
      </c>
      <c r="CG77" s="47" t="n">
        <f aca="false">In_Opex_Contingency*(CG73+CG74+CG75-CG72*In_MEKH)</f>
        <v>-39.5514444092481</v>
      </c>
      <c r="CH77" s="47" t="n">
        <f aca="false">In_Opex_Contingency*(CH73+CH74+CH75-CH72*In_MEKH)</f>
        <v>-39.5162953771545</v>
      </c>
      <c r="CI77" s="47" t="n">
        <f aca="false">In_Opex_Contingency*(CI73+CI74+CI75-CI72*In_MEKH)</f>
        <v>-39.6212385415893</v>
      </c>
      <c r="CJ77" s="47" t="n">
        <f aca="false">In_Opex_Contingency*(CJ73+CJ74+CJ75-CJ72*In_MEKH)</f>
        <v>-40.0614745253848</v>
      </c>
      <c r="CK77" s="47" t="n">
        <f aca="false">In_Opex_Contingency*(CK73+CK74+CK75-CK72*In_MEKH)</f>
        <v>-40.5017105091802</v>
      </c>
      <c r="CL77" s="47" t="n">
        <f aca="false">In_Opex_Contingency*(CL73+CL74+CL75-CL72*In_MEKH)</f>
        <v>-40.4657983113151</v>
      </c>
      <c r="CM77" s="47" t="n">
        <f aca="false">In_Opex_Contingency*(CM73+CM74+CM75-CM72*In_MEKH)</f>
        <v>-40.5733046533978</v>
      </c>
      <c r="CN77" s="47" t="n">
        <f aca="false">In_Opex_Contingency*(CN73+CN74+CN75-CN72*In_MEKH)</f>
        <v>-41.0241191495467</v>
      </c>
      <c r="CO77" s="47" t="n">
        <f aca="false">In_Opex_Contingency*(CO73+CO74+CO75-CO72*In_MEKH)</f>
        <v>-41.4749336456956</v>
      </c>
      <c r="CP77" s="47" t="n">
        <f aca="false">In_Opex_Contingency*(CP73+CP74+CP75-CP72*In_MEKH)</f>
        <v>-41.4382416017625</v>
      </c>
      <c r="CQ77" s="47" t="n">
        <f aca="false">In_Opex_Contingency*(CQ73+CQ74+CQ75-CQ72*In_MEKH)</f>
        <v>-42.0100219336516</v>
      </c>
      <c r="CR77" s="47" t="n">
        <f aca="false">In_Opex_Contingency*(CR73+CR74+CR75-CR72*In_MEKH)</f>
        <v>-42.0100219336516</v>
      </c>
      <c r="CS77" s="47" t="n">
        <f aca="false">In_Opex_Contingency*(CS73+CS74+CS75-CS72*In_MEKH)</f>
        <v>-42.471670526329</v>
      </c>
      <c r="CT77" s="47" t="n">
        <f aca="false">In_Opex_Contingency*(CT73+CT74+CT75-CT72*In_MEKH)</f>
        <v>-42.4341815906792</v>
      </c>
      <c r="CU77" s="47" t="n">
        <f aca="false">In_Opex_Contingency*(CU73+CU74+CU75-CU72*In_MEKH)</f>
        <v>-42.5470024574743</v>
      </c>
      <c r="CV77" s="47" t="n">
        <f aca="false">In_Opex_Contingency*(CV73+CV74+CV75-CV72*In_MEKH)</f>
        <v>-43.019746929224</v>
      </c>
      <c r="CW77" s="47" t="n">
        <f aca="false">In_Opex_Contingency*(CW73+CW74+CW75-CW72*In_MEKH)</f>
        <v>-43.4924914009738</v>
      </c>
      <c r="CX77" s="47" t="n">
        <f aca="false">In_Opex_Contingency*(CX73+CX74+CX75-CX72*In_MEKH)</f>
        <v>-43.4541881545982</v>
      </c>
      <c r="CY77" s="47" t="n">
        <f aca="false">In_Opex_Contingency*(CY73+CY74+CY75-CY72*In_MEKH)</f>
        <v>-43.5697634271779</v>
      </c>
      <c r="CZ77" s="47" t="n">
        <f aca="false">In_Opex_Contingency*(CZ73+CZ74+CZ75-CZ72*In_MEKH)</f>
        <v>-44.0538719097021</v>
      </c>
      <c r="DA77" s="47" t="n">
        <f aca="false">In_Opex_Contingency*(DA73+DA74+DA75-DA72*In_MEKH)</f>
        <v>-44.5379803922263</v>
      </c>
      <c r="DB77" s="47" t="n">
        <f aca="false">In_Opex_Contingency*(DB73+DB74+DB75-DB72*In_MEKH)</f>
        <v>-44.4988450345726</v>
      </c>
      <c r="DC77" s="47" t="n">
        <f aca="false">In_Opex_Contingency*(DC73+DC74+DC75-DC72*In_MEKH)</f>
        <v>-44.6172415765537</v>
      </c>
      <c r="DD77" s="47" t="n">
        <f aca="false">In_Opex_Contingency*(DD73+DD74+DD75-DD72*In_MEKH)</f>
        <v>-45.1129887051821</v>
      </c>
      <c r="DE77" s="47" t="n">
        <f aca="false">In_Opex_Contingency*(DE73+DE74+DE75-DE72*In_MEKH)</f>
        <v>-45.6087358338105</v>
      </c>
      <c r="DF77" s="47" t="n">
        <f aca="false">In_Opex_Contingency*(DF73+DF74+DF75-DF72*In_MEKH)</f>
        <v>-45.5687501744202</v>
      </c>
      <c r="DG77" s="47" t="n">
        <f aca="false">In_Opex_Contingency*(DG73+DG74+DG75-DG72*In_MEKH)</f>
        <v>-46.1977035453506</v>
      </c>
      <c r="DH77" s="47" t="n">
        <f aca="false">In_Opex_Contingency*(DH73+DH74+DH75-DH72*In_MEKH)</f>
        <v>-46.1977035453506</v>
      </c>
      <c r="DI77" s="47" t="n">
        <f aca="false">In_Opex_Contingency*(DI73+DI74+DI75-DI72*In_MEKH)</f>
        <v>-46.7053706172776</v>
      </c>
      <c r="DJ77" s="47" t="n">
        <f aca="false">In_Opex_Contingency*(DJ73+DJ74+DJ75-DJ72*In_MEKH)</f>
        <v>-46.6645160672396</v>
      </c>
      <c r="DK77" s="47" t="n">
        <f aca="false">In_Opex_Contingency*(DK73+DK74+DK75-DK72*In_MEKH)</f>
        <v>-46.7887622744214</v>
      </c>
      <c r="DL77" s="47" t="n">
        <f aca="false">In_Opex_Contingency*(DL73+DL74+DL75-DL72*In_MEKH)</f>
        <v>-47.3086374108039</v>
      </c>
      <c r="DM77" s="47" t="n">
        <f aca="false">In_Opex_Contingency*(DM73+DM74+DM75-DM72*In_MEKH)</f>
        <v>-47.8285125471863</v>
      </c>
      <c r="DN77" s="47" t="n">
        <f aca="false">In_Opex_Contingency*(DN73+DN74+DN75-DN72*In_MEKH)</f>
        <v>-47.786770110404</v>
      </c>
      <c r="DO77" s="47" t="n">
        <f aca="false">In_Opex_Contingency*(DO73+DO74+DO75-DO72*In_MEKH)</f>
        <v>-47.9140480809492</v>
      </c>
      <c r="DP77" s="47" t="n">
        <f aca="false">In_Opex_Contingency*(DP73+DP74+DP75-DP72*In_MEKH)</f>
        <v>-48.4464263929598</v>
      </c>
      <c r="DQ77" s="47" t="n">
        <f aca="false">In_Opex_Contingency*(DQ73+DQ74+DQ75-DQ72*In_MEKH)</f>
        <v>-48.9788047049703</v>
      </c>
      <c r="DR77" s="47" t="n">
        <f aca="false">In_Opex_Contingency*(DR73+DR74+DR75-DR72*In_MEKH)</f>
        <v>-48.9361549692362</v>
      </c>
      <c r="DS77" s="47" t="n">
        <f aca="false">In_Opex_Contingency*(DS73+DS74+DS75-DS72*In_MEKH)</f>
        <v>-49.0665383038425</v>
      </c>
      <c r="DT77" s="47" t="n">
        <f aca="false">In_Opex_Contingency*(DT73+DT74+DT75-DT72*In_MEKH)</f>
        <v>-49.6117220627741</v>
      </c>
      <c r="DU77" s="47" t="n">
        <f aca="false">In_Opex_Contingency*(DU73+DU74+DU75-DU72*In_MEKH)</f>
        <v>-50.1569058217057</v>
      </c>
      <c r="DV77" s="47" t="n">
        <f aca="false">In_Opex_Contingency*(DV73+DV74+DV75-DV72*In_MEKH)</f>
        <v>-50.1133289495808</v>
      </c>
      <c r="DW77" s="47" t="n">
        <f aca="false">In_Opex_Contingency*(DW73+DW74+DW75-DW72*In_MEKH)</f>
        <v>-50.8051918484756</v>
      </c>
      <c r="DX77" s="47" t="n">
        <f aca="false">In_Opex_Contingency*(DX73+DX74+DX75-DX72*In_MEKH)</f>
        <v>-50.8051918484756</v>
      </c>
      <c r="DY77" s="47" t="n">
        <f aca="false">In_Opex_Contingency*(DY73+DY74+DY75-DY72*In_MEKH)</f>
        <v>-51.3634906599973</v>
      </c>
      <c r="DZ77" s="47" t="n">
        <f aca="false">In_Opex_Contingency*(DZ73+DZ74+DZ75-DZ72*In_MEKH)</f>
        <v>-51.318966379491</v>
      </c>
      <c r="EA77" s="47" t="n">
        <f aca="false">In_Opex_Contingency*(EA73+EA74+EA75-EA72*In_MEKH)</f>
        <v>-51.4557884398768</v>
      </c>
      <c r="EB77" s="47" t="n">
        <f aca="false">In_Opex_Contingency*(EB73+EB74+EB75-EB72*In_MEKH)</f>
        <v>-52.0275194225421</v>
      </c>
      <c r="EC77" s="47" t="n">
        <f aca="false">In_Opex_Contingency*(EC73+EC74+EC75-EC72*In_MEKH)</f>
        <v>-52.5992504052074</v>
      </c>
      <c r="ED77" s="47" t="n">
        <f aca="false">In_Opex_Contingency*(ED73+ED74+ED75-ED72*In_MEKH)</f>
        <v>-52.5537580002524</v>
      </c>
      <c r="EE77" s="47" t="n">
        <f aca="false">In_Opex_Contingency*(EE73+EE74+EE75-EE72*In_MEKH)</f>
        <v>-52.6939171300324</v>
      </c>
      <c r="EF77" s="47" t="n">
        <f aca="false">In_Opex_Contingency*(EF73+EF74+EF75-EF72*In_MEKH)</f>
        <v>-53.2794050981439</v>
      </c>
      <c r="EG77" s="47" t="n">
        <f aca="false">In_Opex_Contingency*(EG73+EG74+EG75-EG72*In_MEKH)</f>
        <v>-53.8648930662554</v>
      </c>
      <c r="EH77" s="47" t="n">
        <f aca="false">In_Opex_Contingency*(EH73+EH74+EH75-EH72*In_MEKH)</f>
        <v>-53.8184113669737</v>
      </c>
      <c r="EI77" s="47" t="n">
        <f aca="false">In_Opex_Contingency*(EI73+EI74+EI75-EI72*In_MEKH)</f>
        <v>-53.9619885843489</v>
      </c>
      <c r="EJ77" s="47" t="n">
        <f aca="false">In_Opex_Contingency*(EJ73+EJ74+EJ75-EJ72*In_MEKH)</f>
        <v>-54.5615662352861</v>
      </c>
      <c r="EK77" s="47" t="n">
        <f aca="false">In_Opex_Contingency*(EK73+EK74+EK75-EK72*In_MEKH)</f>
        <v>-55.1611438862233</v>
      </c>
      <c r="EL77" s="47" t="n">
        <f aca="false">In_Opex_Contingency*(EL73+EL74+EL75-EL72*In_MEKH)</f>
        <v>-55.1136512589796</v>
      </c>
      <c r="EM77" s="47" t="n">
        <f aca="false">In_Opex_Contingency*(EM73+EM74+EM75-EM72*In_MEKH)</f>
        <v>-55.8747376568881</v>
      </c>
      <c r="EN77" s="47" t="n">
        <f aca="false">In_Opex_Contingency*(EN73+EN74+EN75-EN72*In_MEKH)</f>
        <v>-55.8747376568881</v>
      </c>
      <c r="EO77" s="47" t="n">
        <f aca="false">In_Opex_Contingency*(EO73+EO74+EO75-EO72*In_MEKH)</f>
        <v>-56.4887457630078</v>
      </c>
    </row>
    <row r="78" customFormat="false" ht="15" hidden="false" customHeight="false" outlineLevel="0" collapsed="false">
      <c r="C78" s="0" t="s">
        <v>23</v>
      </c>
      <c r="D78" s="11" t="s">
        <v>33</v>
      </c>
      <c r="I78" s="47" t="n">
        <f aca="false">SUM(J78:EO78)</f>
        <v>-11384.9510381364</v>
      </c>
      <c r="J78" s="47" t="n">
        <f aca="false">-$E32*J71/Thousand</f>
        <v>-0</v>
      </c>
      <c r="K78" s="47" t="n">
        <f aca="false">-$E32*K71/Thousand</f>
        <v>-0</v>
      </c>
      <c r="L78" s="47" t="n">
        <f aca="false">-$E32*L71/Thousand</f>
        <v>-0</v>
      </c>
      <c r="M78" s="47" t="n">
        <f aca="false">-$E32*M71/Thousand</f>
        <v>-0</v>
      </c>
      <c r="N78" s="47" t="n">
        <f aca="false">-$E32*N71/Thousand</f>
        <v>-0</v>
      </c>
      <c r="O78" s="47" t="n">
        <f aca="false">-$E32*O71/Thousand</f>
        <v>-0</v>
      </c>
      <c r="P78" s="47" t="n">
        <f aca="false">-$E32*P71/Thousand</f>
        <v>-0</v>
      </c>
      <c r="Q78" s="47" t="n">
        <f aca="false">-$E32*Q71/Thousand</f>
        <v>-0</v>
      </c>
      <c r="R78" s="47" t="n">
        <f aca="false">-$E32*R71/Thousand</f>
        <v>-0</v>
      </c>
      <c r="S78" s="47" t="n">
        <f aca="false">-$E32*S71/Thousand</f>
        <v>-0</v>
      </c>
      <c r="T78" s="47" t="n">
        <f aca="false">-$E32*T71/Thousand</f>
        <v>-0</v>
      </c>
      <c r="U78" s="47" t="n">
        <f aca="false">-$E32*U71/Thousand</f>
        <v>-0</v>
      </c>
      <c r="V78" s="47" t="n">
        <f aca="false">-$E32*V71/Thousand</f>
        <v>-0</v>
      </c>
      <c r="W78" s="47" t="n">
        <f aca="false">-$E32*W71/Thousand</f>
        <v>-0</v>
      </c>
      <c r="X78" s="47" t="n">
        <f aca="false">-$E32*X71/Thousand</f>
        <v>-0</v>
      </c>
      <c r="Y78" s="47" t="n">
        <f aca="false">-$E32*Y71/Thousand</f>
        <v>-0</v>
      </c>
      <c r="Z78" s="47" t="n">
        <f aca="false">-$E32*Z71/Thousand</f>
        <v>-99.8071200000001</v>
      </c>
      <c r="AA78" s="47" t="n">
        <f aca="false">-$E32*AA71/Thousand</f>
        <v>-97.6374</v>
      </c>
      <c r="AB78" s="47" t="n">
        <f aca="false">-$E32*AB71/Thousand</f>
        <v>-98.72226</v>
      </c>
      <c r="AC78" s="47" t="n">
        <f aca="false">-$E32*AC71/Thousand</f>
        <v>-99.8071200000001</v>
      </c>
      <c r="AD78" s="47" t="n">
        <f aca="false">-$E32*AD71/Thousand</f>
        <v>-99.50769864</v>
      </c>
      <c r="AE78" s="47" t="n">
        <f aca="false">-$E32*AE71/Thousand</f>
        <v>-98.42609322</v>
      </c>
      <c r="AF78" s="47" t="n">
        <f aca="false">-$E32*AF71/Thousand</f>
        <v>-98.42609322</v>
      </c>
      <c r="AG78" s="47" t="n">
        <f aca="false">-$E32*AG71/Thousand</f>
        <v>-99.50769864</v>
      </c>
      <c r="AH78" s="47" t="n">
        <f aca="false">-$E32*AH71/Thousand</f>
        <v>-99.2091755440801</v>
      </c>
      <c r="AI78" s="47" t="n">
        <f aca="false">-$E32*AI71/Thousand</f>
        <v>-97.0524543366001</v>
      </c>
      <c r="AJ78" s="47" t="n">
        <f aca="false">-$E32*AJ71/Thousand</f>
        <v>-98.13081494034</v>
      </c>
      <c r="AK78" s="47" t="n">
        <f aca="false">-$E32*AK71/Thousand</f>
        <v>-99.2091755440801</v>
      </c>
      <c r="AL78" s="47" t="n">
        <f aca="false">-$E32*AL71/Thousand</f>
        <v>-98.9115480174478</v>
      </c>
      <c r="AM78" s="47" t="n">
        <f aca="false">-$E32*AM71/Thousand</f>
        <v>-96.7612969735902</v>
      </c>
      <c r="AN78" s="47" t="n">
        <f aca="false">-$E32*AN71/Thousand</f>
        <v>-97.836422495519</v>
      </c>
      <c r="AO78" s="47" t="n">
        <f aca="false">-$E32*AO71/Thousand</f>
        <v>-98.9115480174478</v>
      </c>
      <c r="AP78" s="47" t="n">
        <f aca="false">-$E32*AP71/Thousand</f>
        <v>-98.6148133733955</v>
      </c>
      <c r="AQ78" s="47" t="n">
        <f aca="false">-$E32*AQ71/Thousand</f>
        <v>-96.4710130826695</v>
      </c>
      <c r="AR78" s="47" t="n">
        <f aca="false">-$E32*AR71/Thousand</f>
        <v>-97.5429132280325</v>
      </c>
      <c r="AS78" s="47" t="n">
        <f aca="false">-$E32*AS71/Thousand</f>
        <v>-98.6148133733955</v>
      </c>
      <c r="AT78" s="47" t="n">
        <f aca="false">-$E32*AT71/Thousand</f>
        <v>-98.3189689332753</v>
      </c>
      <c r="AU78" s="47" t="n">
        <f aca="false">-$E32*AU71/Thousand</f>
        <v>-97.2502844883484</v>
      </c>
      <c r="AV78" s="47" t="n">
        <f aca="false">-$E32*AV71/Thousand</f>
        <v>-97.2502844883484</v>
      </c>
      <c r="AW78" s="47" t="n">
        <f aca="false">-$E32*AW71/Thousand</f>
        <v>-98.3189689332753</v>
      </c>
      <c r="AX78" s="47" t="n">
        <f aca="false">-$E32*AX71/Thousand</f>
        <v>-98.0240120264755</v>
      </c>
      <c r="AY78" s="47" t="n">
        <f aca="false">-$E32*AY71/Thousand</f>
        <v>-95.8930552432912</v>
      </c>
      <c r="AZ78" s="47" t="n">
        <f aca="false">-$E32*AZ71/Thousand</f>
        <v>-96.9585336348833</v>
      </c>
      <c r="BA78" s="47" t="n">
        <f aca="false">-$E32*BA71/Thousand</f>
        <v>-98.0240120264755</v>
      </c>
      <c r="BB78" s="47" t="n">
        <f aca="false">-$E32*BB71/Thousand</f>
        <v>-97.729939990396</v>
      </c>
      <c r="BC78" s="47" t="n">
        <f aca="false">-$E32*BC71/Thousand</f>
        <v>-95.6053760775613</v>
      </c>
      <c r="BD78" s="47" t="n">
        <f aca="false">-$E32*BD71/Thousand</f>
        <v>-96.6676580339787</v>
      </c>
      <c r="BE78" s="47" t="n">
        <f aca="false">-$E32*BE71/Thousand</f>
        <v>-97.729939990396</v>
      </c>
      <c r="BF78" s="47" t="n">
        <f aca="false">-$E32*BF71/Thousand</f>
        <v>-97.4367501704248</v>
      </c>
      <c r="BG78" s="47" t="n">
        <f aca="false">-$E32*BG71/Thousand</f>
        <v>-95.3185599493286</v>
      </c>
      <c r="BH78" s="47" t="n">
        <f aca="false">-$E32*BH71/Thousand</f>
        <v>-96.3776550598767</v>
      </c>
      <c r="BI78" s="47" t="n">
        <f aca="false">-$E32*BI71/Thousand</f>
        <v>-97.4367501704248</v>
      </c>
      <c r="BJ78" s="47" t="n">
        <f aca="false">-$E32*BJ71/Thousand</f>
        <v>-97.1444399199135</v>
      </c>
      <c r="BK78" s="47" t="n">
        <f aca="false">-$E32*BK71/Thousand</f>
        <v>-96.0885220946971</v>
      </c>
      <c r="BL78" s="47" t="n">
        <f aca="false">-$E32*BL71/Thousand</f>
        <v>-96.0885220946971</v>
      </c>
      <c r="BM78" s="47" t="n">
        <f aca="false">-$E32*BM71/Thousand</f>
        <v>-97.1444399199135</v>
      </c>
      <c r="BN78" s="47" t="n">
        <f aca="false">-$E32*BN71/Thousand</f>
        <v>-96.8530066001538</v>
      </c>
      <c r="BO78" s="47" t="n">
        <f aca="false">-$E32*BO71/Thousand</f>
        <v>-94.7475064566722</v>
      </c>
      <c r="BP78" s="47" t="n">
        <f aca="false">-$E32*BP71/Thousand</f>
        <v>-95.800256528413</v>
      </c>
      <c r="BQ78" s="47" t="n">
        <f aca="false">-$E32*BQ71/Thousand</f>
        <v>-96.8530066001538</v>
      </c>
      <c r="BR78" s="47" t="n">
        <f aca="false">-$E32*BR71/Thousand</f>
        <v>-96.5624475803534</v>
      </c>
      <c r="BS78" s="47" t="n">
        <f aca="false">-$E32*BS71/Thousand</f>
        <v>-94.4632639373022</v>
      </c>
      <c r="BT78" s="47" t="n">
        <f aca="false">-$E32*BT71/Thousand</f>
        <v>-95.5128557588278</v>
      </c>
      <c r="BU78" s="47" t="n">
        <f aca="false">-$E32*BU71/Thousand</f>
        <v>-96.5624475803534</v>
      </c>
      <c r="BV78" s="47" t="n">
        <f aca="false">-$E32*BV71/Thousand</f>
        <v>-96.2727602376123</v>
      </c>
      <c r="BW78" s="47" t="n">
        <f aca="false">-$E32*BW71/Thousand</f>
        <v>-94.1798741454903</v>
      </c>
      <c r="BX78" s="47" t="n">
        <f aca="false">-$E32*BX71/Thousand</f>
        <v>-95.2263171915513</v>
      </c>
      <c r="BY78" s="47" t="n">
        <f aca="false">-$E32*BY71/Thousand</f>
        <v>-96.2727602376123</v>
      </c>
      <c r="BZ78" s="47" t="n">
        <f aca="false">-$E32*BZ71/Thousand</f>
        <v>-95.9839419568994</v>
      </c>
      <c r="CA78" s="47" t="n">
        <f aca="false">-$E32*CA71/Thousand</f>
        <v>-94.9406382399766</v>
      </c>
      <c r="CB78" s="47" t="n">
        <f aca="false">-$E32*CB71/Thousand</f>
        <v>-94.9406382399766</v>
      </c>
      <c r="CC78" s="47" t="n">
        <f aca="false">-$E32*CC71/Thousand</f>
        <v>-95.9839419568994</v>
      </c>
      <c r="CD78" s="47" t="n">
        <f aca="false">-$E32*CD71/Thousand</f>
        <v>-95.6959901310288</v>
      </c>
      <c r="CE78" s="47" t="n">
        <f aca="false">-$E32*CE71/Thousand</f>
        <v>-93.6156425194847</v>
      </c>
      <c r="CF78" s="47" t="n">
        <f aca="false">-$E32*CF71/Thousand</f>
        <v>-94.6558163252567</v>
      </c>
      <c r="CG78" s="47" t="n">
        <f aca="false">-$E32*CG71/Thousand</f>
        <v>-95.6959901310288</v>
      </c>
      <c r="CH78" s="47" t="n">
        <f aca="false">-$E32*CH71/Thousand</f>
        <v>-95.4089021606357</v>
      </c>
      <c r="CI78" s="47" t="n">
        <f aca="false">-$E32*CI71/Thousand</f>
        <v>-93.3347955919262</v>
      </c>
      <c r="CJ78" s="47" t="n">
        <f aca="false">-$E32*CJ71/Thousand</f>
        <v>-94.371848876281</v>
      </c>
      <c r="CK78" s="47" t="n">
        <f aca="false">-$E32*CK71/Thousand</f>
        <v>-95.4089021606357</v>
      </c>
      <c r="CL78" s="47" t="n">
        <f aca="false">-$E32*CL71/Thousand</f>
        <v>-95.1226754541538</v>
      </c>
      <c r="CM78" s="47" t="n">
        <f aca="false">-$E32*CM71/Thousand</f>
        <v>-93.0547912051504</v>
      </c>
      <c r="CN78" s="47" t="n">
        <f aca="false">-$E32*CN71/Thousand</f>
        <v>-94.0887333296521</v>
      </c>
      <c r="CO78" s="47" t="n">
        <f aca="false">-$E32*CO71/Thousand</f>
        <v>-95.1226754541538</v>
      </c>
      <c r="CP78" s="47" t="n">
        <f aca="false">-$E32*CP71/Thousand</f>
        <v>-94.8373074277913</v>
      </c>
      <c r="CQ78" s="47" t="n">
        <f aca="false">-$E32*CQ71/Thousand</f>
        <v>-93.8064671296631</v>
      </c>
      <c r="CR78" s="47" t="n">
        <f aca="false">-$E32*CR71/Thousand</f>
        <v>-93.8064671296631</v>
      </c>
      <c r="CS78" s="47" t="n">
        <f aca="false">-$E32*CS71/Thousand</f>
        <v>-94.8373074277913</v>
      </c>
      <c r="CT78" s="47" t="n">
        <f aca="false">-$E32*CT71/Thousand</f>
        <v>-94.5527955055079</v>
      </c>
      <c r="CU78" s="47" t="n">
        <f aca="false">-$E32*CU71/Thousand</f>
        <v>-92.4972999510404</v>
      </c>
      <c r="CV78" s="47" t="n">
        <f aca="false">-$E32*CV71/Thousand</f>
        <v>-93.5250477282741</v>
      </c>
      <c r="CW78" s="47" t="n">
        <f aca="false">-$E32*CW71/Thousand</f>
        <v>-94.5527955055079</v>
      </c>
      <c r="CX78" s="47" t="n">
        <f aca="false">-$E32*CX71/Thousand</f>
        <v>-94.2691371189914</v>
      </c>
      <c r="CY78" s="47" t="n">
        <f aca="false">-$E32*CY71/Thousand</f>
        <v>-92.2198080511872</v>
      </c>
      <c r="CZ78" s="47" t="n">
        <f aca="false">-$E32*CZ71/Thousand</f>
        <v>-93.2444725850893</v>
      </c>
      <c r="DA78" s="47" t="n">
        <f aca="false">-$E32*DA71/Thousand</f>
        <v>-94.2691371189914</v>
      </c>
      <c r="DB78" s="47" t="n">
        <f aca="false">-$E32*DB71/Thousand</f>
        <v>-93.9863297076344</v>
      </c>
      <c r="DC78" s="47" t="n">
        <f aca="false">-$E32*DC71/Thousand</f>
        <v>-91.9431486270337</v>
      </c>
      <c r="DD78" s="47" t="n">
        <f aca="false">-$E32*DD71/Thousand</f>
        <v>-92.9647391673341</v>
      </c>
      <c r="DE78" s="47" t="n">
        <f aca="false">-$E32*DE71/Thousand</f>
        <v>-93.9863297076344</v>
      </c>
      <c r="DF78" s="47" t="n">
        <f aca="false">-$E32*DF71/Thousand</f>
        <v>-93.7043707185115</v>
      </c>
      <c r="DG78" s="47" t="n">
        <f aca="false">-$E32*DG71/Thousand</f>
        <v>-92.6858449498321</v>
      </c>
      <c r="DH78" s="47" t="n">
        <f aca="false">-$E32*DH71/Thousand</f>
        <v>-92.6858449498321</v>
      </c>
      <c r="DI78" s="47" t="n">
        <f aca="false">-$E32*DI71/Thousand</f>
        <v>-93.7043707185115</v>
      </c>
      <c r="DJ78" s="47" t="n">
        <f aca="false">-$E32*DJ71/Thousand</f>
        <v>-93.423257606356</v>
      </c>
      <c r="DK78" s="47" t="n">
        <f aca="false">-$E32*DK71/Thousand</f>
        <v>-91.3923172236091</v>
      </c>
      <c r="DL78" s="47" t="n">
        <f aca="false">-$E32*DL71/Thousand</f>
        <v>-92.4077874149825</v>
      </c>
      <c r="DM78" s="47" t="n">
        <f aca="false">-$E32*DM71/Thousand</f>
        <v>-93.423257606356</v>
      </c>
      <c r="DN78" s="47" t="n">
        <f aca="false">-$E32*DN71/Thousand</f>
        <v>-93.1429878335369</v>
      </c>
      <c r="DO78" s="47" t="n">
        <f aca="false">-$E32*DO71/Thousand</f>
        <v>-91.1181402719383</v>
      </c>
      <c r="DP78" s="47" t="n">
        <f aca="false">-$E32*DP71/Thousand</f>
        <v>-92.1305640527376</v>
      </c>
      <c r="DQ78" s="47" t="n">
        <f aca="false">-$E32*DQ71/Thousand</f>
        <v>-93.1429878335369</v>
      </c>
      <c r="DR78" s="47" t="n">
        <f aca="false">-$E32*DR71/Thousand</f>
        <v>-92.8635588700363</v>
      </c>
      <c r="DS78" s="47" t="n">
        <f aca="false">-$E32*DS71/Thousand</f>
        <v>-90.8447858511225</v>
      </c>
      <c r="DT78" s="47" t="n">
        <f aca="false">-$E32*DT71/Thousand</f>
        <v>-91.8541723605794</v>
      </c>
      <c r="DU78" s="47" t="n">
        <f aca="false">-$E32*DU71/Thousand</f>
        <v>-92.8635588700363</v>
      </c>
      <c r="DV78" s="47" t="n">
        <f aca="false">-$E32*DV71/Thousand</f>
        <v>-92.5849681934262</v>
      </c>
      <c r="DW78" s="47" t="n">
        <f aca="false">-$E32*DW71/Thousand</f>
        <v>-91.5786098434977</v>
      </c>
      <c r="DX78" s="47" t="n">
        <f aca="false">-$E32*DX71/Thousand</f>
        <v>-91.5786098434977</v>
      </c>
      <c r="DY78" s="47" t="n">
        <f aca="false">-$E32*DY71/Thousand</f>
        <v>-92.5849681934262</v>
      </c>
      <c r="DZ78" s="47" t="n">
        <f aca="false">-$E32*DZ71/Thousand</f>
        <v>-92.3072132888459</v>
      </c>
      <c r="EA78" s="47" t="n">
        <f aca="false">-$E32*EA71/Thousand</f>
        <v>-90.3005347390884</v>
      </c>
      <c r="EB78" s="47" t="n">
        <f aca="false">-$E32*EB71/Thousand</f>
        <v>-91.3038740139672</v>
      </c>
      <c r="EC78" s="47" t="n">
        <f aca="false">-$E32*EC71/Thousand</f>
        <v>-92.3072132888459</v>
      </c>
      <c r="ED78" s="47" t="n">
        <f aca="false">-$E32*ED71/Thousand</f>
        <v>-92.0302916489794</v>
      </c>
      <c r="EE78" s="47" t="n">
        <f aca="false">-$E32*EE71/Thousand</f>
        <v>-90.0296331348711</v>
      </c>
      <c r="EF78" s="47" t="n">
        <f aca="false">-$E32*EF71/Thousand</f>
        <v>-91.0299623919253</v>
      </c>
      <c r="EG78" s="47" t="n">
        <f aca="false">-$E32*EG71/Thousand</f>
        <v>-92.0302916489794</v>
      </c>
      <c r="EH78" s="47" t="n">
        <f aca="false">-$E32*EH71/Thousand</f>
        <v>-91.7542007740324</v>
      </c>
      <c r="EI78" s="47" t="n">
        <f aca="false">-$E32*EI71/Thousand</f>
        <v>-89.7595442354665</v>
      </c>
      <c r="EJ78" s="47" t="n">
        <f aca="false">-$E32*EJ71/Thousand</f>
        <v>-90.7568725047495</v>
      </c>
      <c r="EK78" s="47" t="n">
        <f aca="false">-$E32*EK71/Thousand</f>
        <v>-91.7542007740324</v>
      </c>
      <c r="EL78" s="47" t="n">
        <f aca="false">-$E32*EL71/Thousand</f>
        <v>-91.4789381717104</v>
      </c>
      <c r="EM78" s="47" t="n">
        <f aca="false">-$E32*EM71/Thousand</f>
        <v>-90.4846018872352</v>
      </c>
      <c r="EN78" s="47" t="n">
        <f aca="false">-$E32*EN71/Thousand</f>
        <v>-90.4846018872352</v>
      </c>
      <c r="EO78" s="47" t="n">
        <f aca="false">-$E32*EO71/Thousand</f>
        <v>-91.4789381717104</v>
      </c>
    </row>
    <row r="79" customFormat="false" ht="15" hidden="false" customHeight="false" outlineLevel="0" collapsed="false">
      <c r="C79" s="25" t="s">
        <v>427</v>
      </c>
      <c r="D79" s="11" t="s">
        <v>33</v>
      </c>
      <c r="E79" s="56" t="n">
        <f aca="false">SUMIF($J$7:$EO$7,YEAR(In_COD)+1,$J79:$EO79)</f>
        <v>8953.90595038936</v>
      </c>
      <c r="I79" s="56" t="n">
        <f aca="false">SUM(J79:EO79)</f>
        <v>275591.293022842</v>
      </c>
      <c r="J79" s="56" t="n">
        <f aca="false">SUM(J72:J78)</f>
        <v>0</v>
      </c>
      <c r="K79" s="56" t="n">
        <f aca="false">SUM(K72:K78)</f>
        <v>0</v>
      </c>
      <c r="L79" s="56" t="n">
        <f aca="false">SUM(L72:L78)</f>
        <v>0</v>
      </c>
      <c r="M79" s="56" t="n">
        <f aca="false">SUM(M72:M78)</f>
        <v>0</v>
      </c>
      <c r="N79" s="56" t="n">
        <f aca="false">SUM(N72:N78)</f>
        <v>0</v>
      </c>
      <c r="O79" s="56" t="n">
        <f aca="false">SUM(O72:O78)</f>
        <v>0</v>
      </c>
      <c r="P79" s="56" t="n">
        <f aca="false">SUM(P72:P78)</f>
        <v>0</v>
      </c>
      <c r="Q79" s="56" t="n">
        <f aca="false">SUM(Q72:Q78)</f>
        <v>0</v>
      </c>
      <c r="R79" s="56" t="n">
        <f aca="false">SUM(R72:R78)</f>
        <v>-41.5643004408661</v>
      </c>
      <c r="S79" s="56" t="n">
        <f aca="false">SUM(S72:S78)</f>
        <v>-41.6772469094554</v>
      </c>
      <c r="T79" s="56" t="n">
        <f aca="false">SUM(T72:T78)</f>
        <v>-42.1403274306716</v>
      </c>
      <c r="U79" s="56" t="n">
        <f aca="false">SUM(U72:U78)</f>
        <v>-42.6034079518878</v>
      </c>
      <c r="V79" s="56" t="n">
        <f aca="false">SUM(V72:V78)</f>
        <v>-42.6034079518878</v>
      </c>
      <c r="W79" s="56" t="n">
        <f aca="false">SUM(W72:W78)</f>
        <v>-42.7191780821918</v>
      </c>
      <c r="X79" s="56" t="n">
        <f aca="false">SUM(X72:X78)</f>
        <v>-43.1938356164384</v>
      </c>
      <c r="Y79" s="56" t="n">
        <f aca="false">SUM(Y72:Y78)</f>
        <v>-43.6684931506849</v>
      </c>
      <c r="Z79" s="56" t="n">
        <f aca="false">SUM(Z72:Z78)</f>
        <v>2244.13044319397</v>
      </c>
      <c r="AA79" s="56" t="n">
        <f aca="false">SUM(AA72:AA78)</f>
        <v>2209.78940950763</v>
      </c>
      <c r="AB79" s="56" t="n">
        <f aca="false">SUM(AB72:AB78)</f>
        <v>2234.34262516883</v>
      </c>
      <c r="AC79" s="56" t="n">
        <f aca="false">SUM(AC72:AC78)</f>
        <v>2258.89584083002</v>
      </c>
      <c r="AD79" s="56" t="n">
        <f aca="false">SUM(AD72:AD78)</f>
        <v>2250.87807488288</v>
      </c>
      <c r="AE79" s="56" t="n">
        <f aca="false">SUM(AE72:AE78)</f>
        <v>2240.87417059265</v>
      </c>
      <c r="AF79" s="56" t="n">
        <f aca="false">SUM(AF72:AF78)</f>
        <v>2240.87417059265</v>
      </c>
      <c r="AG79" s="56" t="n">
        <f aca="false">SUM(AG72:AG78)</f>
        <v>2265.49916147828</v>
      </c>
      <c r="AH79" s="56" t="n">
        <f aca="false">SUM(AH72:AH78)</f>
        <v>2257.43055860857</v>
      </c>
      <c r="AI79" s="56" t="n">
        <f aca="false">SUM(AI72:AI78)</f>
        <v>2222.511210462</v>
      </c>
      <c r="AJ79" s="56" t="n">
        <f aca="false">SUM(AJ72:AJ78)</f>
        <v>2247.20577946713</v>
      </c>
      <c r="AK79" s="56" t="n">
        <f aca="false">SUM(AK72:AK78)</f>
        <v>2271.90034847226</v>
      </c>
      <c r="AL79" s="56" t="n">
        <f aca="false">SUM(AL72:AL78)</f>
        <v>2263.78073940694</v>
      </c>
      <c r="AM79" s="56" t="n">
        <f aca="false">SUM(AM72:AM78)</f>
        <v>2228.56831278009</v>
      </c>
      <c r="AN79" s="56" t="n">
        <f aca="false">SUM(AN72:AN78)</f>
        <v>2253.33018292209</v>
      </c>
      <c r="AO79" s="56" t="n">
        <f aca="false">SUM(AO72:AO78)</f>
        <v>2278.09205306409</v>
      </c>
      <c r="AP79" s="56" t="n">
        <f aca="false">SUM(AP72:AP78)</f>
        <v>2269.9212711845</v>
      </c>
      <c r="AQ79" s="56" t="n">
        <f aca="false">SUM(AQ72:AQ78)</f>
        <v>2234.41310591912</v>
      </c>
      <c r="AR79" s="56" t="n">
        <f aca="false">SUM(AR72:AR78)</f>
        <v>2259.23991820711</v>
      </c>
      <c r="AS79" s="56" t="n">
        <f aca="false">SUM(AS72:AS78)</f>
        <v>2284.0667304951</v>
      </c>
      <c r="AT79" s="56" t="n">
        <f aca="false">SUM(AT72:AT78)</f>
        <v>2275.8446119402</v>
      </c>
      <c r="AU79" s="56" t="n">
        <f aca="false">SUM(AU72:AU78)</f>
        <v>2264.92732384629</v>
      </c>
      <c r="AV79" s="56" t="n">
        <f aca="false">SUM(AV72:AV78)</f>
        <v>2264.92732384629</v>
      </c>
      <c r="AW79" s="56" t="n">
        <f aca="false">SUM(AW72:AW78)</f>
        <v>2289.81663509735</v>
      </c>
      <c r="AX79" s="56" t="n">
        <f aca="false">SUM(AX72:AX78)</f>
        <v>2281.54301886956</v>
      </c>
      <c r="AY79" s="56" t="n">
        <f aca="false">SUM(AY72:AY78)</f>
        <v>2245.43525407308</v>
      </c>
      <c r="AZ79" s="56" t="n">
        <f aca="false">SUM(AZ72:AZ78)</f>
        <v>2270.38453467389</v>
      </c>
      <c r="BA79" s="56" t="n">
        <f aca="false">SUM(BA72:BA78)</f>
        <v>2295.33381527471</v>
      </c>
      <c r="BB79" s="56" t="n">
        <f aca="false">SUM(BB72:BB78)</f>
        <v>2287.00854334832</v>
      </c>
      <c r="BC79" s="56" t="n">
        <f aca="false">SUM(BC72:BC78)</f>
        <v>2250.59684513512</v>
      </c>
      <c r="BD79" s="56" t="n">
        <f aca="false">SUM(BD72:BD78)</f>
        <v>2275.60347674773</v>
      </c>
      <c r="BE79" s="56" t="n">
        <f aca="false">SUM(BE72:BE78)</f>
        <v>2300.61010836035</v>
      </c>
      <c r="BF79" s="56" t="n">
        <f aca="false">SUM(BF72:BF78)</f>
        <v>2292.23302579269</v>
      </c>
      <c r="BG79" s="56" t="n">
        <f aca="false">SUM(BG72:BG78)</f>
        <v>2255.51458892714</v>
      </c>
      <c r="BH79" s="56" t="n">
        <f aca="false">SUM(BH72:BH78)</f>
        <v>2280.57586213744</v>
      </c>
      <c r="BI79" s="56" t="n">
        <f aca="false">SUM(BI72:BI78)</f>
        <v>2305.63713534774</v>
      </c>
      <c r="BJ79" s="56" t="n">
        <f aca="false">SUM(BJ72:BJ78)</f>
        <v>2297.20809039306</v>
      </c>
      <c r="BK79" s="56" t="n">
        <f aca="false">SUM(BK72:BK78)</f>
        <v>2285.29318358447</v>
      </c>
      <c r="BL79" s="56" t="n">
        <f aca="false">SUM(BL72:BL78)</f>
        <v>2285.29318358447</v>
      </c>
      <c r="BM79" s="56" t="n">
        <f aca="false">SUM(BM72:BM78)</f>
        <v>2310.40629549199</v>
      </c>
      <c r="BN79" s="56" t="n">
        <f aca="false">SUM(BN72:BN78)</f>
        <v>2301.92513971816</v>
      </c>
      <c r="BO79" s="56" t="n">
        <f aca="false">SUM(BO72:BO78)</f>
        <v>2264.58465728318</v>
      </c>
      <c r="BP79" s="56" t="n">
        <f aca="false">SUM(BP72:BP78)</f>
        <v>2289.74670903077</v>
      </c>
      <c r="BQ79" s="56" t="n">
        <f aca="false">SUM(BQ72:BQ78)</f>
        <v>2314.90876077836</v>
      </c>
      <c r="BR79" s="56" t="n">
        <f aca="false">SUM(BR72:BR78)</f>
        <v>2306.37534918648</v>
      </c>
      <c r="BS79" s="56" t="n">
        <f aca="false">SUM(BS72:BS78)</f>
        <v>2268.71948177089</v>
      </c>
      <c r="BT79" s="56" t="n">
        <f aca="false">SUM(BT72:BT78)</f>
        <v>2293.92747601279</v>
      </c>
      <c r="BU79" s="56" t="n">
        <f aca="false">SUM(BU72:BU78)</f>
        <v>2319.13547025469</v>
      </c>
      <c r="BV79" s="56" t="n">
        <f aca="false">SUM(BV72:BV78)</f>
        <v>2310.54966140165</v>
      </c>
      <c r="BW79" s="56" t="n">
        <f aca="false">SUM(BW72:BW78)</f>
        <v>2272.57544761085</v>
      </c>
      <c r="BX79" s="56" t="n">
        <f aca="false">SUM(BX72:BX78)</f>
        <v>2297.82628591764</v>
      </c>
      <c r="BY79" s="56" t="n">
        <f aca="false">SUM(BY72:BY78)</f>
        <v>2323.07712422442</v>
      </c>
      <c r="BZ79" s="56" t="n">
        <f aca="false">SUM(BZ72:BZ78)</f>
        <v>2314.43878034841</v>
      </c>
      <c r="CA79" s="56" t="n">
        <f aca="false">SUM(CA72:CA78)</f>
        <v>2301.43369809787</v>
      </c>
      <c r="CB79" s="56" t="n">
        <f aca="false">SUM(CB72:CB78)</f>
        <v>2301.43369809787</v>
      </c>
      <c r="CC79" s="56" t="n">
        <f aca="false">SUM(CC72:CC78)</f>
        <v>2326.72417829675</v>
      </c>
      <c r="CD79" s="56" t="n">
        <f aca="false">SUM(CD72:CD78)</f>
        <v>2318.03316544594</v>
      </c>
      <c r="CE79" s="56" t="n">
        <f aca="false">SUM(CE72:CE78)</f>
        <v>2279.41321039278</v>
      </c>
      <c r="CF79" s="56" t="n">
        <f aca="false">SUM(CF72:CF78)</f>
        <v>2304.74002384159</v>
      </c>
      <c r="CG79" s="56" t="n">
        <f aca="false">SUM(CG72:CG78)</f>
        <v>2330.0668372904</v>
      </c>
      <c r="CH79" s="56" t="n">
        <f aca="false">SUM(CH72:CH78)</f>
        <v>2321.32302545471</v>
      </c>
      <c r="CI79" s="56" t="n">
        <f aca="false">SUM(CI72:CI78)</f>
        <v>2282.37559140084</v>
      </c>
      <c r="CJ79" s="56" t="n">
        <f aca="false">SUM(CJ72:CJ78)</f>
        <v>2307.73532019418</v>
      </c>
      <c r="CK79" s="56" t="n">
        <f aca="false">SUM(CK72:CK78)</f>
        <v>2333.09504898753</v>
      </c>
      <c r="CL79" s="56" t="n">
        <f aca="false">SUM(CL72:CL78)</f>
        <v>2324.29831223365</v>
      </c>
      <c r="CM79" s="56" t="n">
        <f aca="false">SUM(CM72:CM78)</f>
        <v>2285.02026952231</v>
      </c>
      <c r="CN79" s="56" t="n">
        <f aca="false">SUM(CN72:CN78)</f>
        <v>2310.40938362811</v>
      </c>
      <c r="CO79" s="56" t="n">
        <f aca="false">SUM(CO72:CO78)</f>
        <v>2335.79849773392</v>
      </c>
      <c r="CP79" s="56" t="n">
        <f aca="false">SUM(CP72:CP78)</f>
        <v>2326.94871434363</v>
      </c>
      <c r="CQ79" s="56" t="n">
        <f aca="false">SUM(CQ72:CQ78)</f>
        <v>2312.75174355702</v>
      </c>
      <c r="CR79" s="56" t="n">
        <f aca="false">SUM(CR72:CR78)</f>
        <v>2312.75174355702</v>
      </c>
      <c r="CS79" s="56" t="n">
        <f aca="false">SUM(CS72:CS78)</f>
        <v>2338.16659788182</v>
      </c>
      <c r="CT79" s="56" t="n">
        <f aca="false">SUM(CT72:CT78)</f>
        <v>2329.26365049366</v>
      </c>
      <c r="CU79" s="56" t="n">
        <f aca="false">SUM(CU72:CU78)</f>
        <v>2289.31482430908</v>
      </c>
      <c r="CV79" s="56" t="n">
        <f aca="false">SUM(CV72:CV78)</f>
        <v>2314.7516556903</v>
      </c>
      <c r="CW79" s="56" t="n">
        <f aca="false">SUM(CW72:CW78)</f>
        <v>2340.18848707151</v>
      </c>
      <c r="CX79" s="56" t="n">
        <f aca="false">SUM(CX72:CX78)</f>
        <v>2331.23226282592</v>
      </c>
      <c r="CY79" s="56" t="n">
        <f aca="false">SUM(CY72:CY78)</f>
        <v>2290.94317110096</v>
      </c>
      <c r="CZ79" s="56" t="n">
        <f aca="false">SUM(CZ72:CZ78)</f>
        <v>2316.3980952243</v>
      </c>
      <c r="DA79" s="56" t="n">
        <f aca="false">SUM(DA72:DA78)</f>
        <v>2341.85301934765</v>
      </c>
      <c r="DB79" s="56" t="n">
        <f aca="false">SUM(DB72:DB78)</f>
        <v>2332.84341003562</v>
      </c>
      <c r="DC79" s="56" t="n">
        <f aca="false">SUM(DC72:DC78)</f>
        <v>2292.21074162574</v>
      </c>
      <c r="DD79" s="56" t="n">
        <f aca="false">SUM(DD72:DD78)</f>
        <v>2317.67974986603</v>
      </c>
      <c r="DE79" s="56" t="n">
        <f aca="false">SUM(DE72:DE78)</f>
        <v>2343.14875810632</v>
      </c>
      <c r="DF79" s="56" t="n">
        <f aca="false">SUM(DF72:DF78)</f>
        <v>2334.08566032166</v>
      </c>
      <c r="DG79" s="56" t="n">
        <f aca="false">SUM(DG72:DG78)</f>
        <v>2318.58501268533</v>
      </c>
      <c r="DH79" s="56" t="n">
        <f aca="false">SUM(DH72:DH78)</f>
        <v>2318.58501268533</v>
      </c>
      <c r="DI79" s="56" t="n">
        <f aca="false">SUM(DI72:DI78)</f>
        <v>2344.06396886869</v>
      </c>
      <c r="DJ79" s="56" t="n">
        <f aca="false">SUM(DJ72:DJ78)</f>
        <v>2334.94728416399</v>
      </c>
      <c r="DK79" s="56" t="n">
        <f aca="false">SUM(DK72:DK78)</f>
        <v>2293.6173377057</v>
      </c>
      <c r="DL79" s="56" t="n">
        <f aca="false">SUM(DL72:DL78)</f>
        <v>2319.10197479131</v>
      </c>
      <c r="DM79" s="56" t="n">
        <f aca="false">SUM(DM72:DM78)</f>
        <v>2344.58661187693</v>
      </c>
      <c r="DN79" s="56" t="n">
        <f aca="false">SUM(DN72:DN78)</f>
        <v>2335.41624692326</v>
      </c>
      <c r="DO79" s="56" t="n">
        <f aca="false">SUM(DO72:DO78)</f>
        <v>2293.73250114925</v>
      </c>
      <c r="DP79" s="56" t="n">
        <f aca="false">SUM(DP72:DP78)</f>
        <v>2319.21841782868</v>
      </c>
      <c r="DQ79" s="56" t="n">
        <f aca="false">SUM(DQ72:DQ78)</f>
        <v>2344.70433450812</v>
      </c>
      <c r="DR79" s="56" t="n">
        <f aca="false">SUM(DR72:DR78)</f>
        <v>2335.4802012586</v>
      </c>
      <c r="DS79" s="56" t="n">
        <f aca="false">SUM(DS72:DS78)</f>
        <v>2293.43914907762</v>
      </c>
      <c r="DT79" s="56" t="n">
        <f aca="false">SUM(DT72:DT78)</f>
        <v>2318.92180628959</v>
      </c>
      <c r="DU79" s="56" t="n">
        <f aca="false">SUM(DU72:DU78)</f>
        <v>2344.40446350157</v>
      </c>
      <c r="DV79" s="56" t="n">
        <f aca="false">SUM(DV72:DV78)</f>
        <v>2335.12647935892</v>
      </c>
      <c r="DW79" s="56" t="n">
        <f aca="false">SUM(DW72:DW78)</f>
        <v>2318.19927963646</v>
      </c>
      <c r="DX79" s="56" t="n">
        <f aca="false">SUM(DX72:DX78)</f>
        <v>2318.19927963646</v>
      </c>
      <c r="DY79" s="56" t="n">
        <f aca="false">SUM(DY72:DY78)</f>
        <v>2343.67399699511</v>
      </c>
      <c r="DZ79" s="56" t="n">
        <f aca="false">SUM(DZ72:DZ78)</f>
        <v>2334.34208498317</v>
      </c>
      <c r="EA79" s="56" t="n">
        <f aca="false">SUM(EA72:EA78)</f>
        <v>2291.57569209672</v>
      </c>
      <c r="EB79" s="56" t="n">
        <f aca="false">SUM(EB72:EB78)</f>
        <v>2317.03764423113</v>
      </c>
      <c r="EC79" s="56" t="n">
        <f aca="false">SUM(EC72:EC78)</f>
        <v>2342.49959636554</v>
      </c>
      <c r="ED79" s="56" t="n">
        <f aca="false">SUM(ED72:ED78)</f>
        <v>2333.11368530497</v>
      </c>
      <c r="EE79" s="56" t="n">
        <f aca="false">SUM(EE72:EE78)</f>
        <v>2289.97915226266</v>
      </c>
      <c r="EF79" s="56" t="n">
        <f aca="false">SUM(EF72:EF78)</f>
        <v>2315.42336506558</v>
      </c>
      <c r="EG79" s="56" t="n">
        <f aca="false">SUM(EG72:EG78)</f>
        <v>2340.8675778685</v>
      </c>
      <c r="EH79" s="56" t="n">
        <f aca="false">SUM(EH72:EH78)</f>
        <v>2331.42760255664</v>
      </c>
      <c r="EI79" s="56" t="n">
        <f aca="false">SUM(EI72:EI78)</f>
        <v>2287.92121050597</v>
      </c>
      <c r="EJ79" s="56" t="n">
        <f aca="false">SUM(EJ72:EJ78)</f>
        <v>2313.34255728937</v>
      </c>
      <c r="EK79" s="56" t="n">
        <f aca="false">SUM(EK72:EK78)</f>
        <v>2338.76390407277</v>
      </c>
      <c r="EL79" s="56" t="n">
        <f aca="false">SUM(EL72:EL78)</f>
        <v>2329.26980546783</v>
      </c>
      <c r="EM79" s="56" t="n">
        <f aca="false">SUM(EM72:EM78)</f>
        <v>2310.78097752876</v>
      </c>
      <c r="EN79" s="56" t="n">
        <f aca="false">SUM(EN72:EN78)</f>
        <v>2310.78097752876</v>
      </c>
      <c r="EO79" s="56" t="n">
        <f aca="false">SUM(EO72:EO78)</f>
        <v>2336.17417508402</v>
      </c>
    </row>
    <row r="81" customFormat="false" ht="15" hidden="false" customHeight="false" outlineLevel="0" collapsed="false">
      <c r="A81" s="9" t="s">
        <v>13</v>
      </c>
      <c r="B81" s="9"/>
      <c r="C81" s="9" t="s">
        <v>428</v>
      </c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</row>
    <row r="82" customFormat="false" ht="15" hidden="false" customHeight="false" outlineLevel="0" collapsed="false">
      <c r="C82" s="0" t="s">
        <v>429</v>
      </c>
      <c r="D82" s="11" t="s">
        <v>33</v>
      </c>
      <c r="J82" s="57" t="n">
        <v>0</v>
      </c>
      <c r="K82" s="57" t="n">
        <v>0</v>
      </c>
      <c r="L82" s="57" t="n">
        <v>0</v>
      </c>
      <c r="M82" s="57" t="n">
        <v>0</v>
      </c>
      <c r="N82" s="57" t="n">
        <v>0</v>
      </c>
      <c r="O82" s="57" t="n">
        <v>0</v>
      </c>
      <c r="P82" s="57" t="n">
        <v>0</v>
      </c>
      <c r="Q82" s="57" t="n">
        <v>0</v>
      </c>
      <c r="R82" s="57" t="n">
        <v>0</v>
      </c>
      <c r="S82" s="57" t="n">
        <v>0</v>
      </c>
      <c r="T82" s="57" t="n">
        <v>0</v>
      </c>
      <c r="U82" s="57" t="n">
        <v>0</v>
      </c>
      <c r="V82" s="57" t="n">
        <v>0</v>
      </c>
      <c r="W82" s="57" t="n">
        <v>0</v>
      </c>
      <c r="X82" s="57" t="n">
        <v>0</v>
      </c>
      <c r="Y82" s="57" t="n">
        <v>0</v>
      </c>
      <c r="Z82" s="57" t="n">
        <v>-10.6390545617518</v>
      </c>
      <c r="AA82" s="57" t="n">
        <v>-10.5520018690401</v>
      </c>
      <c r="AB82" s="57" t="n">
        <v>-11.402130366848</v>
      </c>
      <c r="AC82" s="57" t="n">
        <v>-12.2646380711985</v>
      </c>
      <c r="AD82" s="57" t="n">
        <v>-12.2422905929853</v>
      </c>
      <c r="AE82" s="57" t="n">
        <v>-12.7002088601783</v>
      </c>
      <c r="AF82" s="57" t="n">
        <v>-13.0405804239427</v>
      </c>
      <c r="AG82" s="57" t="n">
        <v>-13.92489831249</v>
      </c>
      <c r="AH82" s="57" t="n">
        <v>-13.9190938371135</v>
      </c>
      <c r="AI82" s="57" t="n">
        <v>-13.843168284746</v>
      </c>
      <c r="AJ82" s="57" t="n">
        <v>-16.2290566997675</v>
      </c>
      <c r="AK82" s="57" t="n">
        <v>-17.1637032974205</v>
      </c>
      <c r="AL82" s="57" t="n">
        <v>-34.3738594784416</v>
      </c>
      <c r="AM82" s="57" t="n">
        <v>-34.1809665810783</v>
      </c>
      <c r="AN82" s="57" t="n">
        <v>-36.0584957338179</v>
      </c>
      <c r="AO82" s="57" t="n">
        <v>-37.9620251506695</v>
      </c>
      <c r="AP82" s="57" t="n">
        <v>-38.0317502217369</v>
      </c>
      <c r="AQ82" s="57" t="n">
        <v>-37.8528562171316</v>
      </c>
      <c r="AR82" s="57" t="n">
        <v>-39.7771286757031</v>
      </c>
      <c r="AS82" s="57" t="n">
        <v>-41.7279258233626</v>
      </c>
      <c r="AT82" s="57" t="n">
        <v>-41.8349841314185</v>
      </c>
      <c r="AU82" s="57" t="n">
        <v>-42.8078548283293</v>
      </c>
      <c r="AV82" s="57" t="n">
        <v>-43.6614785401386</v>
      </c>
      <c r="AW82" s="57" t="n">
        <v>-45.6613637933516</v>
      </c>
      <c r="AX82" s="57" t="n">
        <v>-45.8078035221461</v>
      </c>
      <c r="AY82" s="57" t="n">
        <v>-45.6618597634654</v>
      </c>
      <c r="AZ82" s="57" t="n">
        <v>-47.6846964233958</v>
      </c>
      <c r="BA82" s="57" t="n">
        <v>-49.7351693777828</v>
      </c>
      <c r="BB82" s="57" t="n">
        <v>-49.9227222355365</v>
      </c>
      <c r="BC82" s="57" t="n">
        <v>-49.7956913835662</v>
      </c>
      <c r="BD82" s="57" t="n">
        <v>-51.8703008320932</v>
      </c>
      <c r="BE82" s="57" t="n">
        <v>-53.9731332590766</v>
      </c>
      <c r="BF82" s="57" t="n">
        <v>-54.2038146328734</v>
      </c>
      <c r="BG82" s="57" t="n">
        <v>-54.0974973415623</v>
      </c>
      <c r="BH82" s="57" t="n">
        <v>-56.225711181516</v>
      </c>
      <c r="BI82" s="57" t="n">
        <v>-58.3827573349628</v>
      </c>
      <c r="BJ82" s="57" t="n">
        <v>-58.6586745865752</v>
      </c>
      <c r="BK82" s="57" t="n">
        <v>-59.7313130155156</v>
      </c>
      <c r="BL82" s="57" t="n">
        <v>-60.7760639918156</v>
      </c>
      <c r="BM82" s="57" t="n">
        <v>-62.9894690983426</v>
      </c>
      <c r="BN82" s="57" t="n">
        <v>-63.3130327379032</v>
      </c>
      <c r="BO82" s="57" t="n">
        <v>-63.2541155240177</v>
      </c>
      <c r="BP82" s="57" t="n">
        <v>-65.495590586866</v>
      </c>
      <c r="BQ82" s="57" t="n">
        <v>-67.7671913030992</v>
      </c>
      <c r="BR82" s="57" t="n">
        <v>-68.1405086208059</v>
      </c>
      <c r="BS82" s="57" t="n">
        <v>-68.1082702156345</v>
      </c>
      <c r="BT82" s="57" t="n">
        <v>-70.4093838680053</v>
      </c>
      <c r="BU82" s="57" t="n">
        <v>-72.7413070416009</v>
      </c>
      <c r="BV82" s="57" t="n">
        <v>-73.1667881590829</v>
      </c>
      <c r="BW82" s="57" t="n">
        <v>-73.1634133244645</v>
      </c>
      <c r="BX82" s="57" t="n">
        <v>-75.5263649053586</v>
      </c>
      <c r="BY82" s="57" t="n">
        <v>-77.9208370120776</v>
      </c>
      <c r="BZ82" s="57" t="n">
        <v>-78.4010023214788</v>
      </c>
      <c r="CA82" s="57" t="n">
        <v>-79.6010986752247</v>
      </c>
      <c r="CB82" s="57" t="n">
        <v>-80.8733602928646</v>
      </c>
      <c r="CC82" s="57" t="n">
        <v>-83.3329181321434</v>
      </c>
      <c r="CD82" s="57" t="n">
        <v>-83.8706117246552</v>
      </c>
      <c r="CE82" s="57" t="n">
        <v>-83.9321644018034</v>
      </c>
      <c r="CF82" s="57" t="n">
        <v>-86.4260208118775</v>
      </c>
      <c r="CG82" s="57" t="n">
        <v>-88.9529087638682</v>
      </c>
      <c r="CH82" s="57" t="n">
        <v>-89.5506888477429</v>
      </c>
      <c r="CI82" s="57" t="n">
        <v>-89.6483354565226</v>
      </c>
      <c r="CJ82" s="57" t="n">
        <v>-92.2112772987442</v>
      </c>
      <c r="CK82" s="57" t="n">
        <v>-94.8080509988822</v>
      </c>
      <c r="CL82" s="57" t="n">
        <v>-95.468800947006</v>
      </c>
      <c r="CM82" s="57" t="n">
        <v>-95.605188527379</v>
      </c>
      <c r="CN82" s="57" t="n">
        <v>-98.2398592288765</v>
      </c>
      <c r="CO82" s="57" t="n">
        <v>-100.909194642858</v>
      </c>
      <c r="CP82" s="57" t="n">
        <v>-101.635930090883</v>
      </c>
      <c r="CQ82" s="57" t="n">
        <v>-102.997344125343</v>
      </c>
      <c r="CR82" s="57" t="n">
        <v>-104.540569706961</v>
      </c>
      <c r="CS82" s="57" t="n">
        <v>-107.285475791021</v>
      </c>
      <c r="CT82" s="57" t="n">
        <v>-108.081560079775</v>
      </c>
      <c r="CU82" s="57" t="n">
        <v>-106.693821559351</v>
      </c>
      <c r="CV82" s="57" t="n">
        <v>-107.879308465566</v>
      </c>
      <c r="CW82" s="57" t="n">
        <v>-109.064795371781</v>
      </c>
      <c r="CX82" s="57" t="n">
        <v>-108.258735189678</v>
      </c>
      <c r="CY82" s="57" t="n">
        <v>-106.84037277062</v>
      </c>
      <c r="CZ82" s="57" t="n">
        <v>-108.027488023627</v>
      </c>
      <c r="DA82" s="57" t="n">
        <v>-109.214603276634</v>
      </c>
      <c r="DB82" s="57" t="n">
        <v>-209.955906903205</v>
      </c>
      <c r="DC82" s="57" t="n">
        <v>-206.298966746317</v>
      </c>
      <c r="DD82" s="57" t="n">
        <v>-208.591177487942</v>
      </c>
      <c r="DE82" s="57" t="n">
        <v>-210.883388229568</v>
      </c>
      <c r="DF82" s="57" t="n">
        <v>-210.067709428949</v>
      </c>
      <c r="DG82" s="57" t="n">
        <v>-208.67265114168</v>
      </c>
      <c r="DH82" s="57" t="n">
        <v>-208.67265114168</v>
      </c>
      <c r="DI82" s="57" t="n">
        <v>-210.965757198182</v>
      </c>
      <c r="DJ82" s="57" t="n">
        <v>-210.145255574759</v>
      </c>
      <c r="DK82" s="57" t="n">
        <v>-206.425560393512</v>
      </c>
      <c r="DL82" s="57" t="n">
        <v>-208.719177731218</v>
      </c>
      <c r="DM82" s="57" t="n">
        <v>-211.012795068924</v>
      </c>
      <c r="DN82" s="57" t="n">
        <v>-210.187462223093</v>
      </c>
      <c r="DO82" s="57" t="n">
        <v>-206.435925103432</v>
      </c>
      <c r="DP82" s="57" t="n">
        <v>-208.729657604581</v>
      </c>
      <c r="DQ82" s="57" t="n">
        <v>-211.02339010573</v>
      </c>
      <c r="DR82" s="57" t="n">
        <v>-210.193218113274</v>
      </c>
      <c r="DS82" s="57" t="n">
        <v>-206.409523416985</v>
      </c>
      <c r="DT82" s="57" t="n">
        <v>-208.702962566063</v>
      </c>
      <c r="DU82" s="57" t="n">
        <v>-210.99640171514</v>
      </c>
      <c r="DV82" s="57" t="n">
        <v>-210.161383142302</v>
      </c>
      <c r="DW82" s="57" t="n">
        <v>-208.637935167281</v>
      </c>
      <c r="DX82" s="57" t="n">
        <v>-208.637935167281</v>
      </c>
      <c r="DY82" s="57" t="n">
        <v>-210.930659729559</v>
      </c>
      <c r="DZ82" s="57" t="n">
        <v>-210.090787648485</v>
      </c>
      <c r="EA82" s="57" t="n">
        <v>-206.241812288705</v>
      </c>
      <c r="EB82" s="57" t="n">
        <v>-208.533387980801</v>
      </c>
      <c r="EC82" s="57" t="n">
        <v>-210.824963672898</v>
      </c>
      <c r="ED82" s="57" t="n">
        <v>-209.980231677447</v>
      </c>
      <c r="EE82" s="57" t="n">
        <v>-206.098123703639</v>
      </c>
      <c r="EF82" s="57" t="n">
        <v>-208.388102855902</v>
      </c>
      <c r="EG82" s="57" t="n">
        <v>-210.678082008165</v>
      </c>
      <c r="EH82" s="57" t="n">
        <v>-209.828484230097</v>
      </c>
      <c r="EI82" s="57" t="n">
        <v>-205.912908945537</v>
      </c>
      <c r="EJ82" s="57" t="n">
        <v>-208.200830156042</v>
      </c>
      <c r="EK82" s="57" t="n">
        <v>-210.488751366548</v>
      </c>
      <c r="EL82" s="57" t="n">
        <v>-209.634282492104</v>
      </c>
      <c r="EM82" s="57" t="n">
        <v>-207.970287977588</v>
      </c>
      <c r="EN82" s="57" t="n">
        <v>-207.970287977588</v>
      </c>
      <c r="EO82" s="57" t="n">
        <v>-210.255675757561</v>
      </c>
    </row>
    <row r="83" customFormat="false" ht="15" hidden="false" customHeight="false" outlineLevel="0" collapsed="false">
      <c r="C83" s="0" t="s">
        <v>430</v>
      </c>
      <c r="D83" s="11" t="s">
        <v>33</v>
      </c>
      <c r="I83" s="47" t="n">
        <f aca="false">SUM(J83:EO83)</f>
        <v>262203.534360941</v>
      </c>
      <c r="J83" s="47" t="n">
        <f aca="false">(J79+J55+J82)*(J$4&gt;In_COD)</f>
        <v>-0</v>
      </c>
      <c r="K83" s="47" t="n">
        <f aca="false">(K79+K55+K82)*(K$4&gt;In_COD)</f>
        <v>-0</v>
      </c>
      <c r="L83" s="47" t="n">
        <f aca="false">(L79+L55+L82)*(L$4&gt;In_COD)</f>
        <v>-0</v>
      </c>
      <c r="M83" s="47" t="n">
        <f aca="false">(M79+M55+M82)*(M$4&gt;In_COD)</f>
        <v>-0</v>
      </c>
      <c r="N83" s="47" t="n">
        <f aca="false">(N79+N55+N82)*(N$4&gt;In_COD)</f>
        <v>-0</v>
      </c>
      <c r="O83" s="47" t="n">
        <f aca="false">(O79+O55+O82)*(O$4&gt;In_COD)</f>
        <v>-0</v>
      </c>
      <c r="P83" s="47" t="n">
        <f aca="false">(P79+P55+P82)*(P$4&gt;In_COD)</f>
        <v>-0</v>
      </c>
      <c r="Q83" s="47" t="n">
        <f aca="false">(Q79+Q55+Q82)*(Q$4&gt;In_COD)</f>
        <v>-0</v>
      </c>
      <c r="R83" s="47" t="n">
        <f aca="false">(R79+R55+R82)*(R$4&gt;In_COD)</f>
        <v>-0</v>
      </c>
      <c r="S83" s="47" t="n">
        <f aca="false">(S79+S55+S82)*(S$4&gt;In_COD)</f>
        <v>-0</v>
      </c>
      <c r="T83" s="47" t="n">
        <f aca="false">(T79+T55+T82)*(T$4&gt;In_COD)</f>
        <v>-0</v>
      </c>
      <c r="U83" s="47" t="n">
        <f aca="false">(U79+U55+U82)*(U$4&gt;In_COD)</f>
        <v>-0</v>
      </c>
      <c r="V83" s="47" t="n">
        <f aca="false">(V79+V55+V82)*(V$4&gt;In_COD)</f>
        <v>-0</v>
      </c>
      <c r="W83" s="47" t="n">
        <f aca="false">(W79+W55+W82)*(W$4&gt;In_COD)</f>
        <v>-0</v>
      </c>
      <c r="X83" s="47" t="n">
        <f aca="false">(X79+X55+X82)*(X$4&gt;In_COD)</f>
        <v>-0</v>
      </c>
      <c r="Y83" s="47" t="n">
        <f aca="false">(Y79+Y55+Y82)*(Y$4&gt;In_COD)</f>
        <v>-0</v>
      </c>
      <c r="Z83" s="47" t="n">
        <f aca="false">(Z79+Z55+Z82)*(Z$4&gt;In_COD)</f>
        <v>2199.97155376639</v>
      </c>
      <c r="AA83" s="47" t="n">
        <f aca="false">(AA79+AA55+AA82)*(AA$4&gt;In_COD)</f>
        <v>2166.44626483506</v>
      </c>
      <c r="AB83" s="47" t="n">
        <f aca="false">(AB79+AB55+AB82)*(AB$4&gt;In_COD)</f>
        <v>2189.7850059673</v>
      </c>
      <c r="AC83" s="47" t="n">
        <f aca="false">(AC79+AC55+AC82)*(AC$4&gt;In_COD)</f>
        <v>2213.111367893</v>
      </c>
      <c r="AD83" s="47" t="n">
        <f aca="false">(AD79+AD55+AD82)*(AD$4&gt;In_COD)</f>
        <v>2205.11594942406</v>
      </c>
      <c r="AE83" s="47" t="n">
        <f aca="false">(AE79+AE55+AE82)*(AE$4&gt;In_COD)</f>
        <v>2195.01847289779</v>
      </c>
      <c r="AF83" s="47" t="n">
        <f aca="false">(AF79+AF55+AF82)*(AF$4&gt;In_COD)</f>
        <v>2194.67810133403</v>
      </c>
      <c r="AG83" s="47" t="n">
        <f aca="false">(AG79+AG55+AG82)*(AG$4&gt;In_COD)</f>
        <v>2218.05442829997</v>
      </c>
      <c r="AH83" s="47" t="n">
        <f aca="false">(AH79+AH55+AH82)*(AH$4&gt;In_COD)</f>
        <v>2209.99162990563</v>
      </c>
      <c r="AI83" s="47" t="n">
        <f aca="false">(AI79+AI55+AI82)*(AI$4&gt;In_COD)</f>
        <v>2175.87689937372</v>
      </c>
      <c r="AJ83" s="47" t="n">
        <f aca="false">(AJ79+AJ55+AJ82)*(AJ$4&gt;In_COD)</f>
        <v>2230.97672276736</v>
      </c>
      <c r="AK83" s="47" t="n">
        <f aca="false">(AK79+AK55+AK82)*(AK$4&gt;In_COD)</f>
        <v>2254.73664517484</v>
      </c>
      <c r="AL83" s="47" t="n">
        <f aca="false">(AL79+AL55+AL82)*(AL$4&gt;In_COD)</f>
        <v>2229.4068799285</v>
      </c>
      <c r="AM83" s="47" t="n">
        <f aca="false">(AM79+AM55+AM82)*(AM$4&gt;In_COD)</f>
        <v>2194.38734619901</v>
      </c>
      <c r="AN83" s="47" t="n">
        <f aca="false">(AN79+AN55+AN82)*(AN$4&gt;In_COD)</f>
        <v>2217.27168718827</v>
      </c>
      <c r="AO83" s="47" t="n">
        <f aca="false">(AO79+AO55+AO82)*(AO$4&gt;In_COD)</f>
        <v>2240.13002791342</v>
      </c>
      <c r="AP83" s="47" t="n">
        <f aca="false">(AP79+AP55+AP82)*(AP$4&gt;In_COD)</f>
        <v>2231.88952096276</v>
      </c>
      <c r="AQ83" s="47" t="n">
        <f aca="false">(AQ79+AQ55+AQ82)*(AQ$4&gt;In_COD)</f>
        <v>2196.56024970198</v>
      </c>
      <c r="AR83" s="47" t="n">
        <f aca="false">(AR79+AR55+AR82)*(AR$4&gt;In_COD)</f>
        <v>2219.4627895314</v>
      </c>
      <c r="AS83" s="47" t="n">
        <f aca="false">(AS79+AS55+AS82)*(AS$4&gt;In_COD)</f>
        <v>2242.33880467173</v>
      </c>
      <c r="AT83" s="47" t="n">
        <f aca="false">(AT79+AT55+AT82)*(AT$4&gt;In_COD)</f>
        <v>2234.00962780878</v>
      </c>
      <c r="AU83" s="47" t="n">
        <f aca="false">(AU79+AU55+AU82)*(AU$4&gt;In_COD)</f>
        <v>2222.11946901796</v>
      </c>
      <c r="AV83" s="47" t="n">
        <f aca="false">(AV79+AV55+AV82)*(AV$4&gt;In_COD)</f>
        <v>2221.26584530615</v>
      </c>
      <c r="AW83" s="47" t="n">
        <f aca="false">(AW79+AW55+AW82)*(AW$4&gt;In_COD)</f>
        <v>2244.15527130399</v>
      </c>
      <c r="AX83" s="47" t="n">
        <f aca="false">(AX79+AX55+AX82)*(AX$4&gt;In_COD)</f>
        <v>2235.73521534741</v>
      </c>
      <c r="AY83" s="47" t="n">
        <f aca="false">(AY79+AY55+AY82)*(AY$4&gt;In_COD)</f>
        <v>2199.77339430961</v>
      </c>
      <c r="AZ83" s="47" t="n">
        <f aca="false">(AZ79+AZ55+AZ82)*(AZ$4&gt;In_COD)</f>
        <v>2222.6998382505</v>
      </c>
      <c r="BA83" s="47" t="n">
        <f aca="false">(BA79+BA55+BA82)*(BA$4&gt;In_COD)</f>
        <v>2245.59864589692</v>
      </c>
      <c r="BB83" s="47" t="n">
        <f aca="false">(BB79+BB55+BB82)*(BB$4&gt;In_COD)</f>
        <v>2237.08582111278</v>
      </c>
      <c r="BC83" s="47" t="n">
        <f aca="false">(BC79+BC55+BC82)*(BC$4&gt;In_COD)</f>
        <v>2200.80115375156</v>
      </c>
      <c r="BD83" s="47" t="n">
        <f aca="false">(BD79+BD55+BD82)*(BD$4&gt;In_COD)</f>
        <v>2223.73317591564</v>
      </c>
      <c r="BE83" s="47" t="n">
        <f aca="false">(BE79+BE55+BE82)*(BE$4&gt;In_COD)</f>
        <v>2246.63697510127</v>
      </c>
      <c r="BF83" s="47" t="n">
        <f aca="false">(BF79+BF55+BF82)*(BF$4&gt;In_COD)</f>
        <v>2238.02921115982</v>
      </c>
      <c r="BG83" s="47" t="n">
        <f aca="false">(BG79+BG55+BG82)*(BG$4&gt;In_COD)</f>
        <v>2201.41709158558</v>
      </c>
      <c r="BH83" s="47" t="n">
        <f aca="false">(BH79+BH55+BH82)*(BH$4&gt;In_COD)</f>
        <v>2224.35015095592</v>
      </c>
      <c r="BI83" s="47" t="n">
        <f aca="false">(BI79+BI55+BI82)*(BI$4&gt;In_COD)</f>
        <v>2247.25437801278</v>
      </c>
      <c r="BJ83" s="47" t="n">
        <f aca="false">(BJ79+BJ55+BJ82)*(BJ$4&gt;In_COD)</f>
        <v>2238.54941580648</v>
      </c>
      <c r="BK83" s="47" t="n">
        <f aca="false">(BK79+BK55+BK82)*(BK$4&gt;In_COD)</f>
        <v>2225.56187056895</v>
      </c>
      <c r="BL83" s="47" t="n">
        <f aca="false">(BL79+BL55+BL82)*(BL$4&gt;In_COD)</f>
        <v>2224.51711959265</v>
      </c>
      <c r="BM83" s="47" t="n">
        <f aca="false">(BM79+BM55+BM82)*(BM$4&gt;In_COD)</f>
        <v>2247.41682639365</v>
      </c>
      <c r="BN83" s="47" t="n">
        <f aca="false">(BN79+BN55+BN82)*(BN$4&gt;In_COD)</f>
        <v>2238.61210698026</v>
      </c>
      <c r="BO83" s="47" t="n">
        <f aca="false">(BO79+BO55+BO82)*(BO$4&gt;In_COD)</f>
        <v>2201.33054175916</v>
      </c>
      <c r="BP83" s="47" t="n">
        <f aca="false">(BP79+BP55+BP82)*(BP$4&gt;In_COD)</f>
        <v>2224.2511184439</v>
      </c>
      <c r="BQ83" s="47" t="n">
        <f aca="false">(BQ79+BQ55+BQ82)*(BQ$4&gt;In_COD)</f>
        <v>2247.14156947526</v>
      </c>
      <c r="BR83" s="47" t="n">
        <f aca="false">(BR79+BR55+BR82)*(BR$4&gt;In_COD)</f>
        <v>2238.23484056568</v>
      </c>
      <c r="BS83" s="47" t="n">
        <f aca="false">(BS79+BS55+BS82)*(BS$4&gt;In_COD)</f>
        <v>2200.61121155526</v>
      </c>
      <c r="BT83" s="47" t="n">
        <f aca="false">(BT79+BT55+BT82)*(BT$4&gt;In_COD)</f>
        <v>2223.51809214479</v>
      </c>
      <c r="BU83" s="47" t="n">
        <f aca="false">(BU79+BU55+BU82)*(BU$4&gt;In_COD)</f>
        <v>2246.39416321309</v>
      </c>
      <c r="BV83" s="47" t="n">
        <f aca="false">(BV79+BV55+BV82)*(BV$4&gt;In_COD)</f>
        <v>2237.38287324256</v>
      </c>
      <c r="BW83" s="47" t="n">
        <f aca="false">(BW79+BW55+BW82)*(BW$4&gt;In_COD)</f>
        <v>2199.41203428638</v>
      </c>
      <c r="BX83" s="47" t="n">
        <f aca="false">(BX79+BX55+BX82)*(BX$4&gt;In_COD)</f>
        <v>2222.29992101228</v>
      </c>
      <c r="BY83" s="47" t="n">
        <f aca="false">(BY79+BY55+BY82)*(BY$4&gt;In_COD)</f>
        <v>2245.15628721235</v>
      </c>
      <c r="BZ83" s="47" t="n">
        <f aca="false">(BZ79+BZ55+BZ82)*(BZ$4&gt;In_COD)</f>
        <v>2236.03777802694</v>
      </c>
      <c r="CA83" s="47" t="n">
        <f aca="false">(CA79+CA55+CA82)*(CA$4&gt;In_COD)</f>
        <v>2221.83259942264</v>
      </c>
      <c r="CB83" s="47" t="n">
        <f aca="false">(CB79+CB55+CB82)*(CB$4&gt;In_COD)</f>
        <v>2220.560337805</v>
      </c>
      <c r="CC83" s="47" t="n">
        <f aca="false">(CC79+CC55+CC82)*(CC$4&gt;In_COD)</f>
        <v>2243.3912601646</v>
      </c>
      <c r="CD83" s="47" t="n">
        <f aca="false">(CD79+CD55+CD82)*(CD$4&gt;In_COD)</f>
        <v>2234.16255372128</v>
      </c>
      <c r="CE83" s="47" t="n">
        <f aca="false">(CE79+CE55+CE82)*(CE$4&gt;In_COD)</f>
        <v>2195.48104599098</v>
      </c>
      <c r="CF83" s="47" t="n">
        <f aca="false">(CF79+CF55+CF82)*(CF$4&gt;In_COD)</f>
        <v>2218.31400302971</v>
      </c>
      <c r="CG83" s="47" t="n">
        <f aca="false">(CG79+CG55+CG82)*(CG$4&gt;In_COD)</f>
        <v>2241.11392852653</v>
      </c>
      <c r="CH83" s="47" t="n">
        <f aca="false">(CH79+CH55+CH82)*(CH$4&gt;In_COD)</f>
        <v>2231.77233660697</v>
      </c>
      <c r="CI83" s="47" t="n">
        <f aca="false">(CI79+CI55+CI82)*(CI$4&gt;In_COD)</f>
        <v>2192.72725594432</v>
      </c>
      <c r="CJ83" s="47" t="n">
        <f aca="false">(CJ79+CJ55+CJ82)*(CJ$4&gt;In_COD)</f>
        <v>2215.52404289544</v>
      </c>
      <c r="CK83" s="47" t="n">
        <f aca="false">(CK79+CK55+CK82)*(CK$4&gt;In_COD)</f>
        <v>2238.28699798865</v>
      </c>
      <c r="CL83" s="47" t="n">
        <f aca="false">(CL79+CL55+CL82)*(CL$4&gt;In_COD)</f>
        <v>2228.82951128665</v>
      </c>
      <c r="CM83" s="47" t="n">
        <f aca="false">(CM79+CM55+CM82)*(CM$4&gt;In_COD)</f>
        <v>2189.41508099493</v>
      </c>
      <c r="CN83" s="47" t="n">
        <f aca="false">(CN79+CN55+CN82)*(CN$4&gt;In_COD)</f>
        <v>2212.16952439924</v>
      </c>
      <c r="CO83" s="47" t="n">
        <f aca="false">(CO79+CO55+CO82)*(CO$4&gt;In_COD)</f>
        <v>2234.88930309106</v>
      </c>
      <c r="CP83" s="47" t="n">
        <f aca="false">(CP79+CP55+CP82)*(CP$4&gt;In_COD)</f>
        <v>2225.31278425275</v>
      </c>
      <c r="CQ83" s="47" t="n">
        <f aca="false">(CQ79+CQ55+CQ82)*(CQ$4&gt;In_COD)</f>
        <v>2209.75439943167</v>
      </c>
      <c r="CR83" s="47" t="n">
        <f aca="false">(CR79+CR55+CR82)*(CR$4&gt;In_COD)</f>
        <v>2208.21117385005</v>
      </c>
      <c r="CS83" s="47" t="n">
        <f aca="false">(CS79+CS55+CS82)*(CS$4&gt;In_COD)</f>
        <v>2230.8811220908</v>
      </c>
      <c r="CT83" s="47" t="n">
        <f aca="false">(CT79+CT55+CT82)*(CT$4&gt;In_COD)</f>
        <v>2221.18209041389</v>
      </c>
      <c r="CU83" s="47" t="n">
        <f aca="false">(CU79+CU55+CU82)*(CU$4&gt;In_COD)</f>
        <v>2182.62100274973</v>
      </c>
      <c r="CV83" s="47" t="n">
        <f aca="false">(CV79+CV55+CV82)*(CV$4&gt;In_COD)</f>
        <v>2206.87234722473</v>
      </c>
      <c r="CW83" s="47" t="n">
        <f aca="false">(CW79+CW55+CW82)*(CW$4&gt;In_COD)</f>
        <v>2231.12369169973</v>
      </c>
      <c r="CX83" s="47" t="n">
        <f aca="false">(CX79+CX55+CX82)*(CX$4&gt;In_COD)</f>
        <v>2222.97352763624</v>
      </c>
      <c r="CY83" s="47" t="n">
        <f aca="false">(CY79+CY55+CY82)*(CY$4&gt;In_COD)</f>
        <v>2184.10279833034</v>
      </c>
      <c r="CZ83" s="47" t="n">
        <f aca="false">(CZ79+CZ55+CZ82)*(CZ$4&gt;In_COD)</f>
        <v>2208.37060720067</v>
      </c>
      <c r="DA83" s="47" t="n">
        <f aca="false">(DA79+DA55+DA82)*(DA$4&gt;In_COD)</f>
        <v>2232.63841607101</v>
      </c>
      <c r="DB83" s="47" t="n">
        <f aca="false">(DB79+DB55+DB82)*(DB$4&gt;In_COD)</f>
        <v>2122.88750313241</v>
      </c>
      <c r="DC83" s="47" t="n">
        <f aca="false">(DC79+DC55+DC82)*(DC$4&gt;In_COD)</f>
        <v>2085.91177487943</v>
      </c>
      <c r="DD83" s="47" t="n">
        <f aca="false">(DD79+DD55+DD82)*(DD$4&gt;In_COD)</f>
        <v>2109.08857237809</v>
      </c>
      <c r="DE83" s="47" t="n">
        <f aca="false">(DE79+DE55+DE82)*(DE$4&gt;In_COD)</f>
        <v>2132.26536987675</v>
      </c>
      <c r="DF83" s="47" t="n">
        <f aca="false">(DF79+DF55+DF82)*(DF$4&gt;In_COD)</f>
        <v>2124.01795089271</v>
      </c>
      <c r="DG83" s="47" t="n">
        <f aca="false">(DG79+DG55+DG82)*(DG$4&gt;In_COD)</f>
        <v>2109.91236154365</v>
      </c>
      <c r="DH83" s="47" t="n">
        <f aca="false">(DH79+DH55+DH82)*(DH$4&gt;In_COD)</f>
        <v>2109.91236154365</v>
      </c>
      <c r="DI83" s="47" t="n">
        <f aca="false">(DI79+DI55+DI82)*(DI$4&gt;In_COD)</f>
        <v>2133.09821167051</v>
      </c>
      <c r="DJ83" s="47" t="n">
        <f aca="false">(DJ79+DJ55+DJ82)*(DJ$4&gt;In_COD)</f>
        <v>2124.80202858923</v>
      </c>
      <c r="DK83" s="47" t="n">
        <f aca="false">(DK79+DK55+DK82)*(DK$4&gt;In_COD)</f>
        <v>2087.19177731218</v>
      </c>
      <c r="DL83" s="47" t="n">
        <f aca="false">(DL79+DL55+DL82)*(DL$4&gt;In_COD)</f>
        <v>2110.3827970601</v>
      </c>
      <c r="DM83" s="47" t="n">
        <f aca="false">(DM79+DM55+DM82)*(DM$4&gt;In_COD)</f>
        <v>2133.57381680801</v>
      </c>
      <c r="DN83" s="47" t="n">
        <f aca="false">(DN79+DN55+DN82)*(DN$4&gt;In_COD)</f>
        <v>2125.22878470017</v>
      </c>
      <c r="DO83" s="47" t="n">
        <f aca="false">(DO79+DO55+DO82)*(DO$4&gt;In_COD)</f>
        <v>2087.29657604582</v>
      </c>
      <c r="DP83" s="47" t="n">
        <f aca="false">(DP79+DP55+DP82)*(DP$4&gt;In_COD)</f>
        <v>2110.4887602241</v>
      </c>
      <c r="DQ83" s="47" t="n">
        <f aca="false">(DQ79+DQ55+DQ82)*(DQ$4&gt;In_COD)</f>
        <v>2133.68094440239</v>
      </c>
      <c r="DR83" s="47" t="n">
        <f aca="false">(DR79+DR55+DR82)*(DR$4&gt;In_COD)</f>
        <v>2125.28698314533</v>
      </c>
      <c r="DS83" s="47" t="n">
        <f aca="false">(DS79+DS55+DS82)*(DS$4&gt;In_COD)</f>
        <v>2087.02962566063</v>
      </c>
      <c r="DT83" s="47" t="n">
        <f aca="false">(DT79+DT55+DT82)*(DT$4&gt;In_COD)</f>
        <v>2110.21884372353</v>
      </c>
      <c r="DU83" s="47" t="n">
        <f aca="false">(DU79+DU55+DU82)*(DU$4&gt;In_COD)</f>
        <v>2133.40806178642</v>
      </c>
      <c r="DV83" s="47" t="n">
        <f aca="false">(DV79+DV55+DV82)*(DV$4&gt;In_COD)</f>
        <v>2124.96509621661</v>
      </c>
      <c r="DW83" s="47" t="n">
        <f aca="false">(DW79+DW55+DW82)*(DW$4&gt;In_COD)</f>
        <v>2109.56134446918</v>
      </c>
      <c r="DX83" s="47" t="n">
        <f aca="false">(DX79+DX55+DX82)*(DX$4&gt;In_COD)</f>
        <v>2109.56134446918</v>
      </c>
      <c r="DY83" s="47" t="n">
        <f aca="false">(DY79+DY55+DY82)*(DY$4&gt;In_COD)</f>
        <v>2132.74333726555</v>
      </c>
      <c r="DZ83" s="47" t="n">
        <f aca="false">(DZ79+DZ55+DZ82)*(DZ$4&gt;In_COD)</f>
        <v>2124.25129733469</v>
      </c>
      <c r="EA83" s="47" t="n">
        <f aca="false">(EA79+EA55+EA82)*(EA$4&gt;In_COD)</f>
        <v>2085.33387980802</v>
      </c>
      <c r="EB83" s="47" t="n">
        <f aca="false">(EB79+EB55+EB82)*(EB$4&gt;In_COD)</f>
        <v>2108.50425625033</v>
      </c>
      <c r="EC83" s="47" t="n">
        <f aca="false">(EC79+EC55+EC82)*(EC$4&gt;In_COD)</f>
        <v>2131.67463269264</v>
      </c>
      <c r="ED83" s="47" t="n">
        <f aca="false">(ED79+ED55+ED82)*(ED$4&gt;In_COD)</f>
        <v>2123.13345362752</v>
      </c>
      <c r="EE83" s="47" t="n">
        <f aca="false">(EE79+EE55+EE82)*(EE$4&gt;In_COD)</f>
        <v>2083.88102855902</v>
      </c>
      <c r="EF83" s="47" t="n">
        <f aca="false">(EF79+EF55+EF82)*(EF$4&gt;In_COD)</f>
        <v>2107.03526220968</v>
      </c>
      <c r="EG83" s="47" t="n">
        <f aca="false">(EG79+EG55+EG82)*(EG$4&gt;In_COD)</f>
        <v>2130.18949586034</v>
      </c>
      <c r="EH83" s="47" t="n">
        <f aca="false">(EH79+EH55+EH82)*(EH$4&gt;In_COD)</f>
        <v>2121.59911832654</v>
      </c>
      <c r="EI83" s="47" t="n">
        <f aca="false">(EI79+EI55+EI82)*(EI$4&gt;In_COD)</f>
        <v>2082.00830156043</v>
      </c>
      <c r="EJ83" s="47" t="n">
        <f aca="false">(EJ79+EJ55+EJ82)*(EJ$4&gt;In_COD)</f>
        <v>2105.14172713332</v>
      </c>
      <c r="EK83" s="47" t="n">
        <f aca="false">(EK79+EK55+EK82)*(EK$4&gt;In_COD)</f>
        <v>2128.27515270622</v>
      </c>
      <c r="EL83" s="47" t="n">
        <f aca="false">(EL79+EL55+EL82)*(EL$4&gt;In_COD)</f>
        <v>2119.63552297573</v>
      </c>
      <c r="EM83" s="47" t="n">
        <f aca="false">(EM79+EM55+EM82)*(EM$4&gt;In_COD)</f>
        <v>2102.81068955117</v>
      </c>
      <c r="EN83" s="47" t="n">
        <f aca="false">(EN79+EN55+EN82)*(EN$4&gt;In_COD)</f>
        <v>2102.81068955117</v>
      </c>
      <c r="EO83" s="47" t="n">
        <f aca="false">(EO79+EO55+EO82)*(EO$4&gt;In_COD)</f>
        <v>2125.91849932646</v>
      </c>
    </row>
    <row r="84" customFormat="false" ht="15" hidden="false" customHeight="false" outlineLevel="0" collapsed="false">
      <c r="C84" s="0" t="s">
        <v>431</v>
      </c>
      <c r="D84" s="11" t="s">
        <v>33</v>
      </c>
      <c r="E84" s="47" t="n">
        <f aca="false">SUMPRODUCT($J84:$EO84/$J21:$EO21)*$E21</f>
        <v>87503.5453688995</v>
      </c>
      <c r="I84" s="47" t="n">
        <f aca="false">SUM(J84:EO84)</f>
        <v>133299.110536955</v>
      </c>
      <c r="J84" s="47" t="n">
        <f aca="false">J83/In_DSCR*J17</f>
        <v>-0</v>
      </c>
      <c r="K84" s="47" t="n">
        <f aca="false">K83/In_DSCR*K17</f>
        <v>-0</v>
      </c>
      <c r="L84" s="47" t="n">
        <f aca="false">L83/In_DSCR*L17</f>
        <v>-0</v>
      </c>
      <c r="M84" s="47" t="n">
        <f aca="false">M83/In_DSCR*M17</f>
        <v>-0</v>
      </c>
      <c r="N84" s="47" t="n">
        <f aca="false">N83/In_DSCR*N17</f>
        <v>-0</v>
      </c>
      <c r="O84" s="47" t="n">
        <f aca="false">O83/In_DSCR*O17</f>
        <v>-0</v>
      </c>
      <c r="P84" s="47" t="n">
        <f aca="false">P83/In_DSCR*P17</f>
        <v>-0</v>
      </c>
      <c r="Q84" s="47" t="n">
        <f aca="false">Q83/In_DSCR*Q17</f>
        <v>-0</v>
      </c>
      <c r="R84" s="47" t="n">
        <f aca="false">R83/In_DSCR*R17</f>
        <v>-0</v>
      </c>
      <c r="S84" s="47" t="n">
        <f aca="false">S83/In_DSCR*S17</f>
        <v>-0</v>
      </c>
      <c r="T84" s="47" t="n">
        <f aca="false">T83/In_DSCR*T17</f>
        <v>-0</v>
      </c>
      <c r="U84" s="47" t="n">
        <f aca="false">U83/In_DSCR*U17</f>
        <v>-0</v>
      </c>
      <c r="V84" s="47" t="n">
        <f aca="false">V83/In_DSCR*V17</f>
        <v>-0</v>
      </c>
      <c r="W84" s="47" t="n">
        <f aca="false">W83/In_DSCR*W17</f>
        <v>-0</v>
      </c>
      <c r="X84" s="47" t="n">
        <f aca="false">X83/In_DSCR*X17</f>
        <v>-0</v>
      </c>
      <c r="Y84" s="47" t="n">
        <f aca="false">Y83/In_DSCR*Y17</f>
        <v>-0</v>
      </c>
      <c r="Z84" s="47" t="n">
        <f aca="false">Z83/In_DSCR*Z17</f>
        <v>1833.30962813866</v>
      </c>
      <c r="AA84" s="47" t="n">
        <f aca="false">AA83/In_DSCR*AA17</f>
        <v>1805.37188736255</v>
      </c>
      <c r="AB84" s="47" t="n">
        <f aca="false">AB83/In_DSCR*AB17</f>
        <v>1824.82083830608</v>
      </c>
      <c r="AC84" s="47" t="n">
        <f aca="false">AC83/In_DSCR*AC17</f>
        <v>1844.25947324416</v>
      </c>
      <c r="AD84" s="47" t="n">
        <f aca="false">AD83/In_DSCR*AD17</f>
        <v>1837.59662452005</v>
      </c>
      <c r="AE84" s="47" t="n">
        <f aca="false">AE83/In_DSCR*AE17</f>
        <v>1829.18206074816</v>
      </c>
      <c r="AF84" s="47" t="n">
        <f aca="false">AF83/In_DSCR*AF17</f>
        <v>1828.89841777836</v>
      </c>
      <c r="AG84" s="47" t="n">
        <f aca="false">AG83/In_DSCR*AG17</f>
        <v>1848.37869024997</v>
      </c>
      <c r="AH84" s="47" t="n">
        <f aca="false">AH83/In_DSCR*AH17</f>
        <v>1841.65969158803</v>
      </c>
      <c r="AI84" s="47" t="n">
        <f aca="false">AI83/In_DSCR*AI17</f>
        <v>1813.2307494781</v>
      </c>
      <c r="AJ84" s="47" t="n">
        <f aca="false">AJ83/In_DSCR*AJ17</f>
        <v>1859.1472689728</v>
      </c>
      <c r="AK84" s="47" t="n">
        <f aca="false">AK83/In_DSCR*AK17</f>
        <v>1878.94720431237</v>
      </c>
      <c r="AL84" s="47" t="n">
        <f aca="false">AL83/In_DSCR*AL17</f>
        <v>1857.83906660708</v>
      </c>
      <c r="AM84" s="47" t="n">
        <f aca="false">AM83/In_DSCR*AM17</f>
        <v>1828.65612183251</v>
      </c>
      <c r="AN84" s="47" t="n">
        <f aca="false">AN83/In_DSCR*AN17</f>
        <v>1847.72640599023</v>
      </c>
      <c r="AO84" s="47" t="n">
        <f aca="false">AO83/In_DSCR*AO17</f>
        <v>1866.77502326119</v>
      </c>
      <c r="AP84" s="47" t="n">
        <f aca="false">AP83/In_DSCR*AP17</f>
        <v>1859.90793413563</v>
      </c>
      <c r="AQ84" s="47" t="n">
        <f aca="false">AQ83/In_DSCR*AQ17</f>
        <v>1830.46687475165</v>
      </c>
      <c r="AR84" s="47" t="n">
        <f aca="false">AR83/In_DSCR*AR17</f>
        <v>1849.5523246095</v>
      </c>
      <c r="AS84" s="47" t="n">
        <f aca="false">AS83/In_DSCR*AS17</f>
        <v>1868.61567055978</v>
      </c>
      <c r="AT84" s="47" t="n">
        <f aca="false">AT83/In_DSCR*AT17</f>
        <v>1861.67468984065</v>
      </c>
      <c r="AU84" s="47" t="n">
        <f aca="false">AU83/In_DSCR*AU17</f>
        <v>1851.76622418163</v>
      </c>
      <c r="AV84" s="47" t="n">
        <f aca="false">AV83/In_DSCR*AV17</f>
        <v>1851.05487108846</v>
      </c>
      <c r="AW84" s="47" t="n">
        <f aca="false">AW83/In_DSCR*AW17</f>
        <v>1870.12939275333</v>
      </c>
      <c r="AX84" s="47" t="n">
        <f aca="false">AX83/In_DSCR*AX17</f>
        <v>1863.11267945617</v>
      </c>
      <c r="AY84" s="47" t="n">
        <f aca="false">AY83/In_DSCR*AY17</f>
        <v>1833.14449525801</v>
      </c>
      <c r="AZ84" s="47" t="n">
        <f aca="false">AZ83/In_DSCR*AZ17</f>
        <v>1852.24986520875</v>
      </c>
      <c r="BA84" s="47" t="n">
        <f aca="false">BA83/In_DSCR*BA17</f>
        <v>1871.3322049141</v>
      </c>
      <c r="BB84" s="47" t="n">
        <f aca="false">BB83/In_DSCR*BB17</f>
        <v>1864.23818426065</v>
      </c>
      <c r="BC84" s="47" t="n">
        <f aca="false">BC83/In_DSCR*BC17</f>
        <v>1834.00096145963</v>
      </c>
      <c r="BD84" s="47" t="n">
        <f aca="false">BD83/In_DSCR*BD17</f>
        <v>1853.1109799297</v>
      </c>
      <c r="BE84" s="47" t="n">
        <f aca="false">BE83/In_DSCR*BE17</f>
        <v>1872.19747925106</v>
      </c>
      <c r="BF84" s="47" t="n">
        <f aca="false">BF83/In_DSCR*BF17</f>
        <v>1865.02434263318</v>
      </c>
      <c r="BG84" s="47" t="n">
        <f aca="false">BG83/In_DSCR*BG17</f>
        <v>1834.51424298798</v>
      </c>
      <c r="BH84" s="47" t="n">
        <f aca="false">BH83/In_DSCR*BH17</f>
        <v>1853.6251257966</v>
      </c>
      <c r="BI84" s="47" t="n">
        <f aca="false">BI83/In_DSCR*BI17</f>
        <v>1872.71198167732</v>
      </c>
      <c r="BJ84" s="47" t="n">
        <f aca="false">BJ83/In_DSCR*BJ17</f>
        <v>1865.4578465054</v>
      </c>
      <c r="BK84" s="47" t="n">
        <f aca="false">BK83/In_DSCR*BK17</f>
        <v>1854.63489214079</v>
      </c>
      <c r="BL84" s="47" t="n">
        <f aca="false">BL83/In_DSCR*BL17</f>
        <v>1853.76426632721</v>
      </c>
      <c r="BM84" s="47" t="n">
        <f aca="false">BM83/In_DSCR*BM17</f>
        <v>1872.84735532804</v>
      </c>
      <c r="BN84" s="47" t="n">
        <f aca="false">BN83/In_DSCR*BN17</f>
        <v>1865.51008915021</v>
      </c>
      <c r="BO84" s="47" t="n">
        <f aca="false">BO83/In_DSCR*BO17</f>
        <v>1834.44211813263</v>
      </c>
      <c r="BP84" s="47" t="n">
        <f aca="false">BP83/In_DSCR*BP17</f>
        <v>1853.54259870325</v>
      </c>
      <c r="BQ84" s="47" t="n">
        <f aca="false">BQ83/In_DSCR*BQ17</f>
        <v>1872.61797456272</v>
      </c>
      <c r="BR84" s="47" t="n">
        <f aca="false">BR83/In_DSCR*BR17</f>
        <v>1865.1957004714</v>
      </c>
      <c r="BS84" s="47" t="n">
        <f aca="false">BS83/In_DSCR*BS17</f>
        <v>1833.84267629605</v>
      </c>
      <c r="BT84" s="47" t="n">
        <f aca="false">BT83/In_DSCR*BT17</f>
        <v>1852.93174345399</v>
      </c>
      <c r="BU84" s="47" t="n">
        <f aca="false">BU83/In_DSCR*BU17</f>
        <v>1871.99513601091</v>
      </c>
      <c r="BV84" s="47" t="n">
        <f aca="false">BV83/In_DSCR*BV17</f>
        <v>1864.48572770214</v>
      </c>
      <c r="BW84" s="47" t="n">
        <f aca="false">BW83/In_DSCR*BW17</f>
        <v>1832.84336190532</v>
      </c>
      <c r="BX84" s="47" t="n">
        <f aca="false">BX83/In_DSCR*BX17</f>
        <v>1851.91660084356</v>
      </c>
      <c r="BY84" s="47" t="n">
        <f aca="false">BY83/In_DSCR*BY17</f>
        <v>1870.96357267695</v>
      </c>
      <c r="BZ84" s="47" t="n">
        <f aca="false">BZ83/In_DSCR*BZ17</f>
        <v>1863.36481502245</v>
      </c>
      <c r="CA84" s="47" t="n">
        <f aca="false">CA83/In_DSCR*CA17</f>
        <v>1851.52716618554</v>
      </c>
      <c r="CB84" s="47" t="n">
        <f aca="false">CB83/In_DSCR*CB17</f>
        <v>1850.46694817084</v>
      </c>
      <c r="CC84" s="47" t="n">
        <f aca="false">CC83/In_DSCR*CC17</f>
        <v>1869.49271680384</v>
      </c>
      <c r="CD84" s="47" t="n">
        <f aca="false">CD83/In_DSCR*CD17</f>
        <v>1861.80212810107</v>
      </c>
      <c r="CE84" s="47" t="n">
        <f aca="false">CE83/In_DSCR*CE17</f>
        <v>1829.56753832581</v>
      </c>
      <c r="CF84" s="47" t="n">
        <f aca="false">CF83/In_DSCR*CF17</f>
        <v>1848.59500252476</v>
      </c>
      <c r="CG84" s="47" t="n">
        <f aca="false">CG83/In_DSCR*CG17</f>
        <v>1867.59494043877</v>
      </c>
      <c r="CH84" s="47" t="n">
        <f aca="false">CH83/In_DSCR*CH17</f>
        <v>1859.81028050581</v>
      </c>
      <c r="CI84" s="47" t="n">
        <f aca="false">CI83/In_DSCR*CI17</f>
        <v>1827.27271328693</v>
      </c>
      <c r="CJ84" s="47" t="n">
        <f aca="false">CJ83/In_DSCR*CJ17</f>
        <v>1846.2700357462</v>
      </c>
      <c r="CK84" s="47" t="n">
        <f aca="false">CK83/In_DSCR*CK17</f>
        <v>1865.23916499054</v>
      </c>
      <c r="CL84" s="47" t="n">
        <f aca="false">CL83/In_DSCR*CL17</f>
        <v>1857.35792607221</v>
      </c>
      <c r="CM84" s="47" t="n">
        <f aca="false">CM83/In_DSCR*CM17</f>
        <v>1824.51256749578</v>
      </c>
      <c r="CN84" s="47" t="n">
        <f aca="false">CN83/In_DSCR*CN17</f>
        <v>1843.47460366603</v>
      </c>
      <c r="CO84" s="47" t="n">
        <f aca="false">CO83/In_DSCR*CO17</f>
        <v>1862.40775257588</v>
      </c>
      <c r="CP84" s="47" t="n">
        <f aca="false">CP83/In_DSCR*CP17</f>
        <v>1854.42732021062</v>
      </c>
      <c r="CQ84" s="47" t="n">
        <f aca="false">CQ83/In_DSCR*CQ17</f>
        <v>1841.46199952639</v>
      </c>
      <c r="CR84" s="47" t="n">
        <f aca="false">CR83/In_DSCR*CR17</f>
        <v>1840.17597820838</v>
      </c>
      <c r="CS84" s="47" t="n">
        <f aca="false">CS83/In_DSCR*CS17</f>
        <v>1859.06760174233</v>
      </c>
      <c r="CT84" s="47" t="n">
        <f aca="false">CT83/In_DSCR*CT17</f>
        <v>0</v>
      </c>
      <c r="CU84" s="47" t="n">
        <f aca="false">CU83/In_DSCR*CU17</f>
        <v>0</v>
      </c>
      <c r="CV84" s="47" t="n">
        <f aca="false">CV83/In_DSCR*CV17</f>
        <v>0</v>
      </c>
      <c r="CW84" s="47" t="n">
        <f aca="false">CW83/In_DSCR*CW17</f>
        <v>0</v>
      </c>
      <c r="CX84" s="47" t="n">
        <f aca="false">CX83/In_DSCR*CX17</f>
        <v>0</v>
      </c>
      <c r="CY84" s="47" t="n">
        <f aca="false">CY83/In_DSCR*CY17</f>
        <v>0</v>
      </c>
      <c r="CZ84" s="47" t="n">
        <f aca="false">CZ83/In_DSCR*CZ17</f>
        <v>0</v>
      </c>
      <c r="DA84" s="47" t="n">
        <f aca="false">DA83/In_DSCR*DA17</f>
        <v>0</v>
      </c>
      <c r="DB84" s="47" t="n">
        <f aca="false">DB83/In_DSCR*DB17</f>
        <v>0</v>
      </c>
      <c r="DC84" s="47" t="n">
        <f aca="false">DC83/In_DSCR*DC17</f>
        <v>0</v>
      </c>
      <c r="DD84" s="47" t="n">
        <f aca="false">DD83/In_DSCR*DD17</f>
        <v>0</v>
      </c>
      <c r="DE84" s="47" t="n">
        <f aca="false">DE83/In_DSCR*DE17</f>
        <v>0</v>
      </c>
      <c r="DF84" s="47" t="n">
        <f aca="false">DF83/In_DSCR*DF17</f>
        <v>0</v>
      </c>
      <c r="DG84" s="47" t="n">
        <f aca="false">DG83/In_DSCR*DG17</f>
        <v>0</v>
      </c>
      <c r="DH84" s="47" t="n">
        <f aca="false">DH83/In_DSCR*DH17</f>
        <v>0</v>
      </c>
      <c r="DI84" s="47" t="n">
        <f aca="false">DI83/In_DSCR*DI17</f>
        <v>0</v>
      </c>
      <c r="DJ84" s="47" t="n">
        <f aca="false">DJ83/In_DSCR*DJ17</f>
        <v>0</v>
      </c>
      <c r="DK84" s="47" t="n">
        <f aca="false">DK83/In_DSCR*DK17</f>
        <v>0</v>
      </c>
      <c r="DL84" s="47" t="n">
        <f aca="false">DL83/In_DSCR*DL17</f>
        <v>0</v>
      </c>
      <c r="DM84" s="47" t="n">
        <f aca="false">DM83/In_DSCR*DM17</f>
        <v>0</v>
      </c>
      <c r="DN84" s="47" t="n">
        <f aca="false">DN83/In_DSCR*DN17</f>
        <v>0</v>
      </c>
      <c r="DO84" s="47" t="n">
        <f aca="false">DO83/In_DSCR*DO17</f>
        <v>0</v>
      </c>
      <c r="DP84" s="47" t="n">
        <f aca="false">DP83/In_DSCR*DP17</f>
        <v>0</v>
      </c>
      <c r="DQ84" s="47" t="n">
        <f aca="false">DQ83/In_DSCR*DQ17</f>
        <v>0</v>
      </c>
      <c r="DR84" s="47" t="n">
        <f aca="false">DR83/In_DSCR*DR17</f>
        <v>0</v>
      </c>
      <c r="DS84" s="47" t="n">
        <f aca="false">DS83/In_DSCR*DS17</f>
        <v>0</v>
      </c>
      <c r="DT84" s="47" t="n">
        <f aca="false">DT83/In_DSCR*DT17</f>
        <v>0</v>
      </c>
      <c r="DU84" s="47" t="n">
        <f aca="false">DU83/In_DSCR*DU17</f>
        <v>0</v>
      </c>
      <c r="DV84" s="47" t="n">
        <f aca="false">DV83/In_DSCR*DV17</f>
        <v>0</v>
      </c>
      <c r="DW84" s="47" t="n">
        <f aca="false">DW83/In_DSCR*DW17</f>
        <v>0</v>
      </c>
      <c r="DX84" s="47" t="n">
        <f aca="false">DX83/In_DSCR*DX17</f>
        <v>0</v>
      </c>
      <c r="DY84" s="47" t="n">
        <f aca="false">DY83/In_DSCR*DY17</f>
        <v>0</v>
      </c>
      <c r="DZ84" s="47" t="n">
        <f aca="false">DZ83/In_DSCR*DZ17</f>
        <v>0</v>
      </c>
      <c r="EA84" s="47" t="n">
        <f aca="false">EA83/In_DSCR*EA17</f>
        <v>0</v>
      </c>
      <c r="EB84" s="47" t="n">
        <f aca="false">EB83/In_DSCR*EB17</f>
        <v>0</v>
      </c>
      <c r="EC84" s="47" t="n">
        <f aca="false">EC83/In_DSCR*EC17</f>
        <v>0</v>
      </c>
      <c r="ED84" s="47" t="n">
        <f aca="false">ED83/In_DSCR*ED17</f>
        <v>0</v>
      </c>
      <c r="EE84" s="47" t="n">
        <f aca="false">EE83/In_DSCR*EE17</f>
        <v>0</v>
      </c>
      <c r="EF84" s="47" t="n">
        <f aca="false">EF83/In_DSCR*EF17</f>
        <v>0</v>
      </c>
      <c r="EG84" s="47" t="n">
        <f aca="false">EG83/In_DSCR*EG17</f>
        <v>0</v>
      </c>
      <c r="EH84" s="47" t="n">
        <f aca="false">EH83/In_DSCR*EH17</f>
        <v>0</v>
      </c>
      <c r="EI84" s="47" t="n">
        <f aca="false">EI83/In_DSCR*EI17</f>
        <v>0</v>
      </c>
      <c r="EJ84" s="47" t="n">
        <f aca="false">EJ83/In_DSCR*EJ17</f>
        <v>0</v>
      </c>
      <c r="EK84" s="47" t="n">
        <f aca="false">EK83/In_DSCR*EK17</f>
        <v>0</v>
      </c>
      <c r="EL84" s="47" t="n">
        <f aca="false">EL83/In_DSCR*EL17</f>
        <v>0</v>
      </c>
      <c r="EM84" s="47" t="n">
        <f aca="false">EM83/In_DSCR*EM17</f>
        <v>0</v>
      </c>
      <c r="EN84" s="47" t="n">
        <f aca="false">EN83/In_DSCR*EN17</f>
        <v>0</v>
      </c>
      <c r="EO84" s="47" t="n">
        <f aca="false">EO83/In_DSCR*EO17</f>
        <v>0</v>
      </c>
    </row>
    <row r="85" customFormat="false" ht="15" hidden="false" customHeight="false" outlineLevel="0" collapsed="false">
      <c r="C85" s="0" t="s">
        <v>432</v>
      </c>
      <c r="D85" s="11" t="s">
        <v>27</v>
      </c>
      <c r="E85" s="48" t="n">
        <f aca="false">IF($E38=1,In_Gearing,In_Gearing_CN)</f>
        <v>0.8</v>
      </c>
    </row>
    <row r="86" customFormat="false" ht="15" hidden="false" customHeight="false" outlineLevel="0" collapsed="false">
      <c r="C86" s="25" t="s">
        <v>433</v>
      </c>
      <c r="D86" s="11" t="s">
        <v>27</v>
      </c>
      <c r="E86" s="33" t="n">
        <f aca="false">MIN($E85,$E84/-$E66)</f>
        <v>0.8</v>
      </c>
      <c r="F86" s="33" t="n">
        <f aca="false">$E86*-$E66/$E84</f>
        <v>0.773298720797321</v>
      </c>
    </row>
    <row r="88" customFormat="false" ht="15" hidden="false" customHeight="false" outlineLevel="0" collapsed="false">
      <c r="A88" s="9" t="s">
        <v>13</v>
      </c>
      <c r="B88" s="9"/>
      <c r="C88" s="9" t="s">
        <v>317</v>
      </c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</row>
    <row r="89" customFormat="false" ht="15" hidden="false" customHeight="false" outlineLevel="0" collapsed="false">
      <c r="C89" s="0" t="s">
        <v>434</v>
      </c>
      <c r="D89" s="11" t="s">
        <v>33</v>
      </c>
      <c r="I89" s="47" t="n">
        <f aca="false">SUM(J89:EO89)</f>
        <v>-35413.6519626482</v>
      </c>
      <c r="J89" s="47" t="n">
        <f aca="false">-I95*$F21*(J$4&gt;In_COD)</f>
        <v>-0</v>
      </c>
      <c r="K89" s="47" t="n">
        <f aca="false">-J95*$F21*(K$4&gt;In_COD)</f>
        <v>-0</v>
      </c>
      <c r="L89" s="47" t="n">
        <f aca="false">-K95*$F21*(L$4&gt;In_COD)</f>
        <v>-0</v>
      </c>
      <c r="M89" s="47" t="n">
        <f aca="false">-L95*$F21*(M$4&gt;In_COD)</f>
        <v>-0</v>
      </c>
      <c r="N89" s="47" t="n">
        <f aca="false">-M95*$F21*(N$4&gt;In_COD)</f>
        <v>-0</v>
      </c>
      <c r="O89" s="47" t="n">
        <f aca="false">-N95*$F21*(O$4&gt;In_COD)</f>
        <v>-0</v>
      </c>
      <c r="P89" s="47" t="n">
        <f aca="false">-O95*$F21*(P$4&gt;In_COD)</f>
        <v>-0</v>
      </c>
      <c r="Q89" s="47" t="n">
        <f aca="false">-P95*$F21*(Q$4&gt;In_COD)</f>
        <v>-0</v>
      </c>
      <c r="R89" s="47" t="n">
        <f aca="false">-Q95*$F21*(R$4&gt;In_COD)</f>
        <v>-0</v>
      </c>
      <c r="S89" s="47" t="n">
        <f aca="false">-R95*$F21*(S$4&gt;In_COD)</f>
        <v>-0</v>
      </c>
      <c r="T89" s="47" t="n">
        <f aca="false">-S95*$F21*(T$4&gt;In_COD)</f>
        <v>-0</v>
      </c>
      <c r="U89" s="47" t="n">
        <f aca="false">-T95*$F21*(U$4&gt;In_COD)</f>
        <v>-0</v>
      </c>
      <c r="V89" s="47" t="n">
        <f aca="false">-U95*$F21*(V$4&gt;In_COD)</f>
        <v>-0</v>
      </c>
      <c r="W89" s="47" t="n">
        <f aca="false">-V95*$F21*(W$4&gt;In_COD)</f>
        <v>-0</v>
      </c>
      <c r="X89" s="47" t="n">
        <f aca="false">-W95*$F21*(X$4&gt;In_COD)</f>
        <v>-0</v>
      </c>
      <c r="Y89" s="47" t="n">
        <f aca="false">-X95*$F21*(Y$4&gt;In_COD)</f>
        <v>-0</v>
      </c>
      <c r="Z89" s="47" t="n">
        <f aca="false">-Y95*$F21*(Z$4&gt;In_COD)</f>
        <v>-845.829746237504</v>
      </c>
      <c r="AA89" s="47" t="n">
        <f aca="false">-Z95*$F21*(AA$4&gt;In_COD)</f>
        <v>-838.68141818716</v>
      </c>
      <c r="AB89" s="47" t="n">
        <f aca="false">-AA95*$F21*(AB$4&gt;In_COD)</f>
        <v>-831.713788776238</v>
      </c>
      <c r="AC89" s="47" t="n">
        <f aca="false">-AB95*$F21*(AC$4&gt;In_COD)</f>
        <v>-824.471065886611</v>
      </c>
      <c r="AD89" s="47" t="n">
        <f aca="false">-AC95*$F21*(AD$4&gt;In_COD)</f>
        <v>-816.949910566718</v>
      </c>
      <c r="AE89" s="47" t="n">
        <f aca="false">-AD95*$F21*(AE$4&gt;In_COD)</f>
        <v>-809.399145460267</v>
      </c>
      <c r="AF89" s="47" t="n">
        <f aca="false">-AE95*$F21*(AF$4&gt;In_COD)</f>
        <v>-801.835332932496</v>
      </c>
      <c r="AG89" s="47" t="n">
        <f aca="false">-AF95*$F21*(AG$4&gt;In_COD)</f>
        <v>-794.179714507449</v>
      </c>
      <c r="AH89" s="47" t="n">
        <f aca="false">-AG95*$F21*(AH$4&gt;In_COD)</f>
        <v>-786.2400999798</v>
      </c>
      <c r="AI89" s="47" t="n">
        <f aca="false">-AH95*$F21*(AI$4&gt;In_COD)</f>
        <v>-778.266187683935</v>
      </c>
      <c r="AJ89" s="47" t="n">
        <f aca="false">-AI95*$F21*(AJ$4&gt;In_COD)</f>
        <v>-770.467402291462</v>
      </c>
      <c r="AK89" s="47" t="n">
        <f aca="false">-AJ95*$F21*(AK$4&gt;In_COD)</f>
        <v>-762.127292259224</v>
      </c>
      <c r="AL89" s="47" t="n">
        <f aca="false">-AK95*$F21*(AL$4&gt;In_COD)</f>
        <v>-753.491540043209</v>
      </c>
      <c r="AM89" s="47" t="n">
        <f aca="false">-AL95*$F21*(AM$4&gt;In_COD)</f>
        <v>-744.951877123067</v>
      </c>
      <c r="AN89" s="47" t="n">
        <f aca="false">-AM95*$F21*(AN$4&gt;In_COD)</f>
        <v>-736.587557589714</v>
      </c>
      <c r="AO89" s="47" t="n">
        <f aca="false">-AN95*$F21*(AO$4&gt;In_COD)</f>
        <v>-727.93434623289</v>
      </c>
      <c r="AP89" s="47" t="n">
        <f aca="false">-AO95*$F21*(AP$4&gt;In_COD)</f>
        <v>-718.988841341998</v>
      </c>
      <c r="AQ89" s="47" t="n">
        <f aca="false">-AP95*$F21*(AQ$4&gt;In_COD)</f>
        <v>-709.997896530424</v>
      </c>
      <c r="AR89" s="47" t="n">
        <f aca="false">-AQ95*$F21*(AR$4&gt;In_COD)</f>
        <v>-701.179149078213</v>
      </c>
      <c r="AS89" s="47" t="n">
        <f aca="false">-AR95*$F21*(AS$4&gt;In_COD)</f>
        <v>-692.065682858338</v>
      </c>
      <c r="AT89" s="47" t="n">
        <f aca="false">-AS95*$F21*(AT$4&gt;In_COD)</f>
        <v>-682.654027547746</v>
      </c>
      <c r="AU89" s="47" t="n">
        <f aca="false">-AT95*$F21*(AU$4&gt;In_COD)</f>
        <v>-673.191819689661</v>
      </c>
      <c r="AV89" s="47" t="n">
        <f aca="false">-AU95*$F21*(AV$4&gt;In_COD)</f>
        <v>-663.70711178109</v>
      </c>
      <c r="AW89" s="47" t="n">
        <f aca="false">-AV95*$F21*(AW$4&gt;In_COD)</f>
        <v>-654.110721129124</v>
      </c>
      <c r="AX89" s="47" t="n">
        <f aca="false">-AW95*$F21*(AX$4&gt;In_COD)</f>
        <v>-644.209996803968</v>
      </c>
      <c r="AY89" s="47" t="n">
        <f aca="false">-AX95*$F21*(AY$4&gt;In_COD)</f>
        <v>-634.253338617458</v>
      </c>
      <c r="AZ89" s="47" t="n">
        <f aca="false">-AY95*$F21*(AZ$4&gt;In_COD)</f>
        <v>-624.461901684931</v>
      </c>
      <c r="BA89" s="47" t="n">
        <f aca="false">-AZ95*$F21*(BA$4&gt;In_COD)</f>
        <v>-614.363394813956</v>
      </c>
      <c r="BB89" s="47" t="n">
        <f aca="false">-BA95*$F21*(BB$4&gt;In_COD)</f>
        <v>-603.954202246044</v>
      </c>
      <c r="BC89" s="47" t="n">
        <f aca="false">-BB95*$F21*(BC$4&gt;In_COD)</f>
        <v>-593.483467234741</v>
      </c>
      <c r="BD89" s="47" t="n">
        <f aca="false">-BC95*$F21*(BD$4&gt;In_COD)</f>
        <v>-583.174128107203</v>
      </c>
      <c r="BE89" s="47" t="n">
        <f aca="false">-BD95*$F21*(BE$4&gt;In_COD)</f>
        <v>-572.551200330104</v>
      </c>
      <c r="BF89" s="47" t="n">
        <f aca="false">-BE95*$F21*(BF$4&gt;In_COD)</f>
        <v>-561.61099138692</v>
      </c>
      <c r="BG89" s="47" t="n">
        <f aca="false">-BF95*$F21*(BG$4&gt;In_COD)</f>
        <v>-550.60336704908</v>
      </c>
      <c r="BH89" s="47" t="n">
        <f aca="false">-BG95*$F21*(BH$4&gt;In_COD)</f>
        <v>-539.753065169856</v>
      </c>
      <c r="BI89" s="47" t="n">
        <f aca="false">-BH95*$F21*(BI$4&gt;In_COD)</f>
        <v>-528.582404251775</v>
      </c>
      <c r="BJ89" s="47" t="n">
        <f aca="false">-BI95*$F21*(BJ$4&gt;In_COD)</f>
        <v>-517.087612056761</v>
      </c>
      <c r="BK89" s="47" t="n">
        <f aca="false">-BJ95*$F21*(BK$4&gt;In_COD)</f>
        <v>-505.519255127421</v>
      </c>
      <c r="BL89" s="47" t="n">
        <f aca="false">-BK95*$F21*(BL$4&gt;In_COD)</f>
        <v>-493.910910946032</v>
      </c>
      <c r="BM89" s="47" t="n">
        <f aca="false">-BL95*$F21*(BM$4&gt;In_COD)</f>
        <v>-482.165878135225</v>
      </c>
      <c r="BN89" s="47" t="n">
        <f aca="false">-BM95*$F21*(BN$4&gt;In_COD)</f>
        <v>-470.089570810367</v>
      </c>
      <c r="BO89" s="47" t="n">
        <f aca="false">-BN95*$F21*(BO$4&gt;In_COD)</f>
        <v>-457.933233375818</v>
      </c>
      <c r="BP89" s="47" t="n">
        <f aca="false">-BO95*$F21*(BP$4&gt;In_COD)</f>
        <v>-445.925252001407</v>
      </c>
      <c r="BQ89" s="47" t="n">
        <f aca="false">-BP95*$F21*(BQ$4&gt;In_COD)</f>
        <v>-433.582541144917</v>
      </c>
      <c r="BR89" s="47" t="n">
        <f aca="false">-BQ95*$F21*(BR$4&gt;In_COD)</f>
        <v>-420.901159355836</v>
      </c>
      <c r="BS89" s="47" t="n">
        <f aca="false">-BR95*$F21*(BS$4&gt;In_COD)</f>
        <v>-408.133005732644</v>
      </c>
      <c r="BT89" s="47" t="n">
        <f aca="false">-BS95*$F21*(BT$4&gt;In_COD)</f>
        <v>-395.508315857761</v>
      </c>
      <c r="BU89" s="47" t="n">
        <f aca="false">-BT95*$F21*(BU$4&gt;In_COD)</f>
        <v>-382.541297969261</v>
      </c>
      <c r="BV89" s="47" t="n">
        <f aca="false">-BU95*$F21*(BV$4&gt;In_COD)</f>
        <v>-369.227921143677</v>
      </c>
      <c r="BW89" s="47" t="n">
        <f aca="false">-BV95*$F21*(BW$4&gt;In_COD)</f>
        <v>-355.820714805761</v>
      </c>
      <c r="BX89" s="47" t="n">
        <f aca="false">-BW95*$F21*(BX$4&gt;In_COD)</f>
        <v>-342.551780901043</v>
      </c>
      <c r="BY89" s="47" t="n">
        <f aca="false">-BX95*$F21*(BY$4&gt;In_COD)</f>
        <v>-328.93261893161</v>
      </c>
      <c r="BZ89" s="47" t="n">
        <f aca="false">-BY95*$F21*(BZ$4&gt;In_COD)</f>
        <v>-314.959104950637</v>
      </c>
      <c r="CA89" s="47" t="n">
        <f aca="false">-BZ95*$F21*(CA$4&gt;In_COD)</f>
        <v>-300.884373414575</v>
      </c>
      <c r="CB89" s="47" t="n">
        <f aca="false">-CA95*$F21*(CB$4&gt;In_COD)</f>
        <v>-286.748133218097</v>
      </c>
      <c r="CC89" s="47" t="n">
        <f aca="false">-CB95*$F21*(CC$4&gt;In_COD)</f>
        <v>-272.445438334596</v>
      </c>
      <c r="CD89" s="47" t="n">
        <f aca="false">-CC95*$F21*(CD$4&gt;In_COD)</f>
        <v>-257.780052233224</v>
      </c>
      <c r="CE89" s="47" t="n">
        <f aca="false">-CD95*$F21*(CE$4&gt;In_COD)</f>
        <v>-243.005687835661</v>
      </c>
      <c r="CF89" s="47" t="n">
        <f aca="false">-CE95*$F21*(CF$4&gt;In_COD)</f>
        <v>-228.358230971111</v>
      </c>
      <c r="CG89" s="47" t="n">
        <f aca="false">-CF95*$F21*(CG$4&gt;In_COD)</f>
        <v>-213.343756974191</v>
      </c>
      <c r="CH89" s="47" t="n">
        <f aca="false">-CG95*$F21*(CH$4&gt;In_COD)</f>
        <v>-197.957944206257</v>
      </c>
      <c r="CI89" s="47" t="n">
        <f aca="false">-CH95*$F21*(CI$4&gt;In_COD)</f>
        <v>-182.455057123325</v>
      </c>
      <c r="CJ89" s="47" t="n">
        <f aca="false">-CI95*$F21*(CJ$4&gt;In_COD)</f>
        <v>-167.072899690709</v>
      </c>
      <c r="CK89" s="47" t="n">
        <f aca="false">-CJ95*$F21*(CK$4&gt;In_COD)</f>
        <v>-151.314832725731</v>
      </c>
      <c r="CL89" s="47" t="n">
        <f aca="false">-CK95*$F21*(CL$4&gt;In_COD)</f>
        <v>-135.176429881449</v>
      </c>
      <c r="CM89" s="47" t="n">
        <f aca="false">-CL95*$F21*(CM$4&gt;In_COD)</f>
        <v>-118.912478901287</v>
      </c>
      <c r="CN89" s="47" t="n">
        <f aca="false">-CM95*$F21*(CN$4&gt;In_COD)</f>
        <v>-102.762719456014</v>
      </c>
      <c r="CO89" s="47" t="n">
        <f aca="false">-CN95*$F21*(CO$4&gt;In_COD)</f>
        <v>-86.2277965387483</v>
      </c>
      <c r="CP89" s="47" t="n">
        <f aca="false">-CO95*$F21*(CP$4&gt;In_COD)</f>
        <v>-69.3031748371084</v>
      </c>
      <c r="CQ89" s="47" t="n">
        <f aca="false">-CP95*$F21*(CQ$4&gt;In_COD)</f>
        <v>-52.2441360909413</v>
      </c>
      <c r="CR89" s="47" t="n">
        <f aca="false">-CQ95*$F21*(CR$4&gt;In_COD)</f>
        <v>-35.0971851841951</v>
      </c>
      <c r="CS89" s="47" t="n">
        <f aca="false">-CR95*$F21*(CS$4&gt;In_COD)</f>
        <v>-17.7483283741163</v>
      </c>
      <c r="CT89" s="47" t="n">
        <f aca="false">-CS95*$F21*(CT$4&gt;In_COD)</f>
        <v>-4.10693701269338E-012</v>
      </c>
      <c r="CU89" s="47" t="n">
        <f aca="false">-CT95*$F21*(CU$4&gt;In_COD)</f>
        <v>-4.15827372535205E-012</v>
      </c>
      <c r="CV89" s="47" t="n">
        <f aca="false">-CU95*$F21*(CV$4&gt;In_COD)</f>
        <v>-4.21025214691895E-012</v>
      </c>
      <c r="CW89" s="47" t="n">
        <f aca="false">-CV95*$F21*(CW$4&gt;In_COD)</f>
        <v>-4.26288029875543E-012</v>
      </c>
      <c r="CX89" s="47" t="n">
        <f aca="false">-CW95*$F21*(CX$4&gt;In_COD)</f>
        <v>-4.31616630248988E-012</v>
      </c>
      <c r="CY89" s="47" t="n">
        <f aca="false">-CX95*$F21*(CY$4&gt;In_COD)</f>
        <v>-4.370118381271E-012</v>
      </c>
      <c r="CZ89" s="47" t="n">
        <f aca="false">-CY95*$F21*(CZ$4&gt;In_COD)</f>
        <v>-4.42474486103689E-012</v>
      </c>
      <c r="DA89" s="47" t="n">
        <f aca="false">-CZ95*$F21*(DA$4&gt;In_COD)</f>
        <v>-4.48005417179985E-012</v>
      </c>
      <c r="DB89" s="47" t="n">
        <f aca="false">-DA95*$F21*(DB$4&gt;In_COD)</f>
        <v>-4.53605484894735E-012</v>
      </c>
      <c r="DC89" s="47" t="n">
        <f aca="false">-DB95*$F21*(DC$4&gt;In_COD)</f>
        <v>-4.59275553455919E-012</v>
      </c>
      <c r="DD89" s="47" t="n">
        <f aca="false">-DC95*$F21*(DD$4&gt;In_COD)</f>
        <v>-4.65016497874118E-012</v>
      </c>
      <c r="DE89" s="47" t="n">
        <f aca="false">-DD95*$F21*(DE$4&gt;In_COD)</f>
        <v>-4.70829204097544E-012</v>
      </c>
      <c r="DF89" s="47" t="n">
        <f aca="false">-DE95*$F21*(DF$4&gt;In_COD)</f>
        <v>-4.76714569148764E-012</v>
      </c>
      <c r="DG89" s="47" t="n">
        <f aca="false">-DF95*$F21*(DG$4&gt;In_COD)</f>
        <v>-4.82673501263123E-012</v>
      </c>
      <c r="DH89" s="47" t="n">
        <f aca="false">-DG95*$F21*(DH$4&gt;In_COD)</f>
        <v>-4.88706920028912E-012</v>
      </c>
      <c r="DI89" s="47" t="n">
        <f aca="false">-DH95*$F21*(DI$4&gt;In_COD)</f>
        <v>-4.94815756529274E-012</v>
      </c>
      <c r="DJ89" s="47" t="n">
        <f aca="false">-DI95*$F21*(DJ$4&gt;In_COD)</f>
        <v>-5.0100095348589E-012</v>
      </c>
      <c r="DK89" s="47" t="n">
        <f aca="false">-DJ95*$F21*(DK$4&gt;In_COD)</f>
        <v>-5.07263465404463E-012</v>
      </c>
      <c r="DL89" s="47" t="n">
        <f aca="false">-DK95*$F21*(DL$4&gt;In_COD)</f>
        <v>-5.13604258722019E-012</v>
      </c>
      <c r="DM89" s="47" t="n">
        <f aca="false">-DL95*$F21*(DM$4&gt;In_COD)</f>
        <v>-5.20024311956044E-012</v>
      </c>
      <c r="DN89" s="47" t="n">
        <f aca="false">-DM95*$F21*(DN$4&gt;In_COD)</f>
        <v>-5.26524615855495E-012</v>
      </c>
      <c r="DO89" s="47" t="n">
        <f aca="false">-DN95*$F21*(DO$4&gt;In_COD)</f>
        <v>-5.33106173553688E-012</v>
      </c>
      <c r="DP89" s="47" t="n">
        <f aca="false">-DO95*$F21*(DP$4&gt;In_COD)</f>
        <v>-5.3977000072311E-012</v>
      </c>
      <c r="DQ89" s="47" t="n">
        <f aca="false">-DP95*$F21*(DQ$4&gt;In_COD)</f>
        <v>-5.46517125732148E-012</v>
      </c>
      <c r="DR89" s="47" t="n">
        <f aca="false">-DQ95*$F21*(DR$4&gt;In_COD)</f>
        <v>-5.533485898038E-012</v>
      </c>
      <c r="DS89" s="47" t="n">
        <f aca="false">-DR95*$F21*(DS$4&gt;In_COD)</f>
        <v>-5.60265447176348E-012</v>
      </c>
      <c r="DT89" s="47" t="n">
        <f aca="false">-DS95*$F21*(DT$4&gt;In_COD)</f>
        <v>-5.67268765266052E-012</v>
      </c>
      <c r="DU89" s="47" t="n">
        <f aca="false">-DT95*$F21*(DU$4&gt;In_COD)</f>
        <v>-5.74359624831878E-012</v>
      </c>
      <c r="DV89" s="47" t="n">
        <f aca="false">-DU95*$F21*(DV$4&gt;In_COD)</f>
        <v>-5.81539120142276E-012</v>
      </c>
      <c r="DW89" s="47" t="n">
        <f aca="false">-DV95*$F21*(DW$4&gt;In_COD)</f>
        <v>-5.88808359144055E-012</v>
      </c>
      <c r="DX89" s="47" t="n">
        <f aca="false">-DW95*$F21*(DX$4&gt;In_COD)</f>
        <v>-5.96168463633356E-012</v>
      </c>
      <c r="DY89" s="47" t="n">
        <f aca="false">-DX95*$F21*(DY$4&gt;In_COD)</f>
        <v>-6.03620569428773E-012</v>
      </c>
      <c r="DZ89" s="47" t="n">
        <f aca="false">-DY95*$F21*(DZ$4&gt;In_COD)</f>
        <v>-6.11165826546632E-012</v>
      </c>
      <c r="EA89" s="47" t="n">
        <f aca="false">-DZ95*$F21*(EA$4&gt;In_COD)</f>
        <v>-6.18805399378465E-012</v>
      </c>
      <c r="EB89" s="47" t="n">
        <f aca="false">-EA95*$F21*(EB$4&gt;In_COD)</f>
        <v>-6.26540466870696E-012</v>
      </c>
      <c r="EC89" s="47" t="n">
        <f aca="false">-EB95*$F21*(EC$4&gt;In_COD)</f>
        <v>-6.3437222270658E-012</v>
      </c>
      <c r="ED89" s="47" t="n">
        <f aca="false">-EC95*$F21*(ED$4&gt;In_COD)</f>
        <v>-6.42301875490412E-012</v>
      </c>
      <c r="EE89" s="47" t="n">
        <f aca="false">-ED95*$F21*(EE$4&gt;In_COD)</f>
        <v>-6.50330648934042E-012</v>
      </c>
      <c r="EF89" s="47" t="n">
        <f aca="false">-EE95*$F21*(EF$4&gt;In_COD)</f>
        <v>-6.58459782045717E-012</v>
      </c>
      <c r="EG89" s="47" t="n">
        <f aca="false">-EF95*$F21*(EG$4&gt;In_COD)</f>
        <v>-6.66690529321289E-012</v>
      </c>
      <c r="EH89" s="47" t="n">
        <f aca="false">-EG95*$F21*(EH$4&gt;In_COD)</f>
        <v>-6.75024160937805E-012</v>
      </c>
      <c r="EI89" s="47" t="n">
        <f aca="false">-EH95*$F21*(EI$4&gt;In_COD)</f>
        <v>-6.83461962949527E-012</v>
      </c>
      <c r="EJ89" s="47" t="n">
        <f aca="false">-EI95*$F21*(EJ$4&gt;In_COD)</f>
        <v>-6.92005237486397E-012</v>
      </c>
      <c r="EK89" s="47" t="n">
        <f aca="false">-EJ95*$F21*(EK$4&gt;In_COD)</f>
        <v>-7.00655302954977E-012</v>
      </c>
      <c r="EL89" s="47" t="n">
        <f aca="false">-EK95*$F21*(EL$4&gt;In_COD)</f>
        <v>-7.09413494241914E-012</v>
      </c>
      <c r="EM89" s="47" t="n">
        <f aca="false">-EL95*$F21*(EM$4&gt;In_COD)</f>
        <v>-7.18281162919938E-012</v>
      </c>
      <c r="EN89" s="47" t="n">
        <f aca="false">-EM95*$F21*(EN$4&gt;In_COD)</f>
        <v>-7.27259677456437E-012</v>
      </c>
      <c r="EO89" s="47" t="n">
        <f aca="false">-EN95*$F21*(EO$4&gt;In_COD)</f>
        <v>-7.36350423424643E-012</v>
      </c>
    </row>
    <row r="90" customFormat="false" ht="15" hidden="false" customHeight="false" outlineLevel="0" collapsed="false">
      <c r="C90" s="0" t="s">
        <v>435</v>
      </c>
      <c r="D90" s="11" t="s">
        <v>33</v>
      </c>
      <c r="I90" s="47" t="n">
        <f aca="false">SUM(J90:EO90)</f>
        <v>-103080.031661648</v>
      </c>
      <c r="J90" s="47" t="n">
        <f aca="false">-J84*$F86</f>
        <v>0</v>
      </c>
      <c r="K90" s="47" t="n">
        <f aca="false">-K84*$F86</f>
        <v>0</v>
      </c>
      <c r="L90" s="47" t="n">
        <f aca="false">-L84*$F86</f>
        <v>0</v>
      </c>
      <c r="M90" s="47" t="n">
        <f aca="false">-M84*$F86</f>
        <v>0</v>
      </c>
      <c r="N90" s="47" t="n">
        <f aca="false">-N84*$F86</f>
        <v>0</v>
      </c>
      <c r="O90" s="47" t="n">
        <f aca="false">-O84*$F86</f>
        <v>0</v>
      </c>
      <c r="P90" s="47" t="n">
        <f aca="false">-P84*$F86</f>
        <v>0</v>
      </c>
      <c r="Q90" s="47" t="n">
        <f aca="false">-Q84*$F86</f>
        <v>0</v>
      </c>
      <c r="R90" s="47" t="n">
        <f aca="false">-R84*$F86</f>
        <v>0</v>
      </c>
      <c r="S90" s="47" t="n">
        <f aca="false">-S84*$F86</f>
        <v>0</v>
      </c>
      <c r="T90" s="47" t="n">
        <f aca="false">-T84*$F86</f>
        <v>0</v>
      </c>
      <c r="U90" s="47" t="n">
        <f aca="false">-U84*$F86</f>
        <v>0</v>
      </c>
      <c r="V90" s="47" t="n">
        <f aca="false">-V84*$F86</f>
        <v>0</v>
      </c>
      <c r="W90" s="47" t="n">
        <f aca="false">-W84*$F86</f>
        <v>0</v>
      </c>
      <c r="X90" s="47" t="n">
        <f aca="false">-X84*$F86</f>
        <v>0</v>
      </c>
      <c r="Y90" s="47" t="n">
        <f aca="false">-Y84*$F86</f>
        <v>0</v>
      </c>
      <c r="Z90" s="47" t="n">
        <f aca="false">-Z84*$F86</f>
        <v>-1417.69599026504</v>
      </c>
      <c r="AA90" s="47" t="n">
        <f aca="false">-AA84*$F86</f>
        <v>-1396.09177106091</v>
      </c>
      <c r="AB90" s="47" t="n">
        <f aca="false">-AB84*$F86</f>
        <v>-1411.13161994639</v>
      </c>
      <c r="AC90" s="47" t="n">
        <f aca="false">-AC84*$F86</f>
        <v>-1426.16349147805</v>
      </c>
      <c r="AD90" s="47" t="n">
        <f aca="false">-AD84*$F86</f>
        <v>-1421.01111908283</v>
      </c>
      <c r="AE90" s="47" t="n">
        <f aca="false">-AE84*$F86</f>
        <v>-1414.50414768196</v>
      </c>
      <c r="AF90" s="47" t="n">
        <f aca="false">-AF84*$F86</f>
        <v>-1414.28480693625</v>
      </c>
      <c r="AG90" s="47" t="n">
        <f aca="false">-AG84*$F86</f>
        <v>-1429.34887671933</v>
      </c>
      <c r="AH90" s="47" t="n">
        <f aca="false">-AH84*$F86</f>
        <v>-1424.15308364901</v>
      </c>
      <c r="AI90" s="47" t="n">
        <f aca="false">-AI84*$F86</f>
        <v>-1402.16901908178</v>
      </c>
      <c r="AJ90" s="47" t="n">
        <f aca="false">-AJ84*$F86</f>
        <v>-1437.6762048705</v>
      </c>
      <c r="AK90" s="47" t="n">
        <f aca="false">-AK84*$F86</f>
        <v>-1452.98746954046</v>
      </c>
      <c r="AL90" s="47" t="n">
        <f aca="false">-AL84*$F86</f>
        <v>-1436.66457365455</v>
      </c>
      <c r="AM90" s="47" t="n">
        <f aca="false">-AM84*$F86</f>
        <v>-1414.09743979127</v>
      </c>
      <c r="AN90" s="47" t="n">
        <f aca="false">-AN84*$F86</f>
        <v>-1428.84446613568</v>
      </c>
      <c r="AO90" s="47" t="n">
        <f aca="false">-AO84*$F86</f>
        <v>-1443.57473750427</v>
      </c>
      <c r="AP90" s="47" t="n">
        <f aca="false">-AP84*$F86</f>
        <v>-1438.26442626787</v>
      </c>
      <c r="AQ90" s="47" t="n">
        <f aca="false">-AQ84*$F86</f>
        <v>-1415.49769270732</v>
      </c>
      <c r="AR90" s="47" t="n">
        <f aca="false">-AR84*$F86</f>
        <v>-1430.25644666824</v>
      </c>
      <c r="AS90" s="47" t="n">
        <f aca="false">-AS84*$F86</f>
        <v>-1444.99810770571</v>
      </c>
      <c r="AT90" s="47" t="n">
        <f aca="false">-AT84*$F86</f>
        <v>-1439.63065619452</v>
      </c>
      <c r="AU90" s="47" t="n">
        <f aca="false">-AU84*$F86</f>
        <v>-1431.96845237534</v>
      </c>
      <c r="AV90" s="47" t="n">
        <f aca="false">-AV84*$F86</f>
        <v>-1431.41836393835</v>
      </c>
      <c r="AW90" s="47" t="n">
        <f aca="false">-AW84*$F86</f>
        <v>-1446.16866714162</v>
      </c>
      <c r="AX90" s="47" t="n">
        <f aca="false">-AX84*$F86</f>
        <v>-1440.74265172473</v>
      </c>
      <c r="AY90" s="47" t="n">
        <f aca="false">-AY84*$F86</f>
        <v>-1417.56829321967</v>
      </c>
      <c r="AZ90" s="47" t="n">
        <f aca="false">-AZ84*$F86</f>
        <v>-1432.34245136293</v>
      </c>
      <c r="BA90" s="47" t="n">
        <f aca="false">-BA84*$F86</f>
        <v>-1447.09880024691</v>
      </c>
      <c r="BB90" s="47" t="n">
        <f aca="false">-BB84*$F86</f>
        <v>-1441.61300315028</v>
      </c>
      <c r="BC90" s="47" t="n">
        <f aca="false">-BC84*$F86</f>
        <v>-1418.23059743779</v>
      </c>
      <c r="BD90" s="47" t="n">
        <f aca="false">-BD84*$F86</f>
        <v>-1433.00835027511</v>
      </c>
      <c r="BE90" s="47" t="n">
        <f aca="false">-BE84*$F86</f>
        <v>-1447.76791578481</v>
      </c>
      <c r="BF90" s="47" t="n">
        <f aca="false">-BF84*$F86</f>
        <v>-1442.2209384141</v>
      </c>
      <c r="BG90" s="47" t="n">
        <f aca="false">-BG84*$F86</f>
        <v>-1418.62751738707</v>
      </c>
      <c r="BH90" s="47" t="n">
        <f aca="false">-BH84*$F86</f>
        <v>-1433.40593861629</v>
      </c>
      <c r="BI90" s="47" t="n">
        <f aca="false">-BI84*$F86</f>
        <v>-1448.16577985288</v>
      </c>
      <c r="BJ90" s="47" t="n">
        <f aca="false">-BJ84*$F86</f>
        <v>-1442.55616640395</v>
      </c>
      <c r="BK90" s="47" t="n">
        <f aca="false">-BK84*$F86</f>
        <v>-1434.18678963855</v>
      </c>
      <c r="BL90" s="47" t="n">
        <f aca="false">-BL84*$F86</f>
        <v>-1433.51353581062</v>
      </c>
      <c r="BM90" s="47" t="n">
        <f aca="false">-BM84*$F86</f>
        <v>-1448.27046412382</v>
      </c>
      <c r="BN90" s="47" t="n">
        <f aca="false">-BN84*$F86</f>
        <v>-1442.59656557436</v>
      </c>
      <c r="BO90" s="47" t="n">
        <f aca="false">-BO84*$F86</f>
        <v>-1418.57174332869</v>
      </c>
      <c r="BP90" s="47" t="n">
        <f aca="false">-BP84*$F86</f>
        <v>-1433.34212052057</v>
      </c>
      <c r="BQ90" s="47" t="n">
        <f aca="false">-BQ84*$F86</f>
        <v>-1448.09308427142</v>
      </c>
      <c r="BR90" s="47" t="n">
        <f aca="false">-BR84*$F86</f>
        <v>-1442.3534492112</v>
      </c>
      <c r="BS90" s="47" t="n">
        <f aca="false">-BS84*$F86</f>
        <v>-1418.10819572327</v>
      </c>
      <c r="BT90" s="47" t="n">
        <f aca="false">-BT84*$F86</f>
        <v>-1432.86974693772</v>
      </c>
      <c r="BU90" s="47" t="n">
        <f aca="false">-BU84*$F86</f>
        <v>-1447.61144401604</v>
      </c>
      <c r="BV90" s="47" t="n">
        <f aca="false">-BV84*$F86</f>
        <v>-1441.80442817693</v>
      </c>
      <c r="BW90" s="47" t="n">
        <f aca="false">-BW84*$F86</f>
        <v>-1417.33542718325</v>
      </c>
      <c r="BX90" s="47" t="n">
        <f aca="false">-BX84*$F86</f>
        <v>-1432.08473845565</v>
      </c>
      <c r="BY90" s="47" t="n">
        <f aca="false">-BY84*$F86</f>
        <v>-1446.81373740948</v>
      </c>
      <c r="BZ90" s="47" t="n">
        <f aca="false">-BZ84*$F86</f>
        <v>-1440.9376278356</v>
      </c>
      <c r="CA90" s="47" t="n">
        <f aca="false">-CA84*$F86</f>
        <v>-1431.78358913276</v>
      </c>
      <c r="CB90" s="47" t="n">
        <f aca="false">-CB84*$F86</f>
        <v>-1430.96372389823</v>
      </c>
      <c r="CC90" s="47" t="n">
        <f aca="false">-CC84*$F86</f>
        <v>-1445.67632644431</v>
      </c>
      <c r="CD90" s="47" t="n">
        <f aca="false">-CD84*$F86</f>
        <v>-1439.72920403829</v>
      </c>
      <c r="CE90" s="47" t="n">
        <f aca="false">-CE84*$F86</f>
        <v>-1414.80223699966</v>
      </c>
      <c r="CF90" s="47" t="n">
        <f aca="false">-CF84*$F86</f>
        <v>-1429.51615072472</v>
      </c>
      <c r="CG90" s="47" t="n">
        <f aca="false">-CG84*$F86</f>
        <v>-1444.20877840885</v>
      </c>
      <c r="CH90" s="47" t="n">
        <f aca="false">-CH84*$F86</f>
        <v>-1438.18891084085</v>
      </c>
      <c r="CI90" s="47" t="n">
        <f aca="false">-CI84*$F86</f>
        <v>-1413.02765173263</v>
      </c>
      <c r="CJ90" s="47" t="n">
        <f aca="false">-CJ84*$F86</f>
        <v>-1427.71825688896</v>
      </c>
      <c r="CK90" s="47" t="n">
        <f aca="false">-CK84*$F86</f>
        <v>-1442.38706026825</v>
      </c>
      <c r="CL90" s="47" t="n">
        <f aca="false">-CL84*$F86</f>
        <v>-1436.2925082944</v>
      </c>
      <c r="CM90" s="47" t="n">
        <f aca="false">-CM84*$F86</f>
        <v>-1410.89323452312</v>
      </c>
      <c r="CN90" s="47" t="n">
        <f aca="false">-CN84*$F86</f>
        <v>-1425.55655283729</v>
      </c>
      <c r="CO90" s="47" t="n">
        <f aca="false">-CO84*$F86</f>
        <v>-1440.19753266994</v>
      </c>
      <c r="CP90" s="47" t="n">
        <f aca="false">-CP84*$F86</f>
        <v>-1434.02627453048</v>
      </c>
      <c r="CQ90" s="47" t="n">
        <f aca="false">-CQ84*$F86</f>
        <v>-1424.00020863064</v>
      </c>
      <c r="CR90" s="47" t="n">
        <f aca="false">-CR84*$F86</f>
        <v>-1423.0057299905</v>
      </c>
      <c r="CS90" s="47" t="n">
        <f aca="false">-CS84*$F86</f>
        <v>-1437.61459830309</v>
      </c>
      <c r="CT90" s="47" t="n">
        <f aca="false">-CT84*$F86</f>
        <v>-0</v>
      </c>
      <c r="CU90" s="47" t="n">
        <f aca="false">-CU84*$F86</f>
        <v>-0</v>
      </c>
      <c r="CV90" s="47" t="n">
        <f aca="false">-CV84*$F86</f>
        <v>-0</v>
      </c>
      <c r="CW90" s="47" t="n">
        <f aca="false">-CW84*$F86</f>
        <v>-0</v>
      </c>
      <c r="CX90" s="47" t="n">
        <f aca="false">-CX84*$F86</f>
        <v>-0</v>
      </c>
      <c r="CY90" s="47" t="n">
        <f aca="false">-CY84*$F86</f>
        <v>-0</v>
      </c>
      <c r="CZ90" s="47" t="n">
        <f aca="false">-CZ84*$F86</f>
        <v>-0</v>
      </c>
      <c r="DA90" s="47" t="n">
        <f aca="false">-DA84*$F86</f>
        <v>-0</v>
      </c>
      <c r="DB90" s="47" t="n">
        <f aca="false">-DB84*$F86</f>
        <v>-0</v>
      </c>
      <c r="DC90" s="47" t="n">
        <f aca="false">-DC84*$F86</f>
        <v>-0</v>
      </c>
      <c r="DD90" s="47" t="n">
        <f aca="false">-DD84*$F86</f>
        <v>-0</v>
      </c>
      <c r="DE90" s="47" t="n">
        <f aca="false">-DE84*$F86</f>
        <v>-0</v>
      </c>
      <c r="DF90" s="47" t="n">
        <f aca="false">-DF84*$F86</f>
        <v>-0</v>
      </c>
      <c r="DG90" s="47" t="n">
        <f aca="false">-DG84*$F86</f>
        <v>-0</v>
      </c>
      <c r="DH90" s="47" t="n">
        <f aca="false">-DH84*$F86</f>
        <v>-0</v>
      </c>
      <c r="DI90" s="47" t="n">
        <f aca="false">-DI84*$F86</f>
        <v>-0</v>
      </c>
      <c r="DJ90" s="47" t="n">
        <f aca="false">-DJ84*$F86</f>
        <v>-0</v>
      </c>
      <c r="DK90" s="47" t="n">
        <f aca="false">-DK84*$F86</f>
        <v>-0</v>
      </c>
      <c r="DL90" s="47" t="n">
        <f aca="false">-DL84*$F86</f>
        <v>-0</v>
      </c>
      <c r="DM90" s="47" t="n">
        <f aca="false">-DM84*$F86</f>
        <v>-0</v>
      </c>
      <c r="DN90" s="47" t="n">
        <f aca="false">-DN84*$F86</f>
        <v>-0</v>
      </c>
      <c r="DO90" s="47" t="n">
        <f aca="false">-DO84*$F86</f>
        <v>-0</v>
      </c>
      <c r="DP90" s="47" t="n">
        <f aca="false">-DP84*$F86</f>
        <v>-0</v>
      </c>
      <c r="DQ90" s="47" t="n">
        <f aca="false">-DQ84*$F86</f>
        <v>-0</v>
      </c>
      <c r="DR90" s="47" t="n">
        <f aca="false">-DR84*$F86</f>
        <v>-0</v>
      </c>
      <c r="DS90" s="47" t="n">
        <f aca="false">-DS84*$F86</f>
        <v>-0</v>
      </c>
      <c r="DT90" s="47" t="n">
        <f aca="false">-DT84*$F86</f>
        <v>-0</v>
      </c>
      <c r="DU90" s="47" t="n">
        <f aca="false">-DU84*$F86</f>
        <v>-0</v>
      </c>
      <c r="DV90" s="47" t="n">
        <f aca="false">-DV84*$F86</f>
        <v>-0</v>
      </c>
      <c r="DW90" s="47" t="n">
        <f aca="false">-DW84*$F86</f>
        <v>-0</v>
      </c>
      <c r="DX90" s="47" t="n">
        <f aca="false">-DX84*$F86</f>
        <v>-0</v>
      </c>
      <c r="DY90" s="47" t="n">
        <f aca="false">-DY84*$F86</f>
        <v>-0</v>
      </c>
      <c r="DZ90" s="47" t="n">
        <f aca="false">-DZ84*$F86</f>
        <v>-0</v>
      </c>
      <c r="EA90" s="47" t="n">
        <f aca="false">-EA84*$F86</f>
        <v>-0</v>
      </c>
      <c r="EB90" s="47" t="n">
        <f aca="false">-EB84*$F86</f>
        <v>-0</v>
      </c>
      <c r="EC90" s="47" t="n">
        <f aca="false">-EC84*$F86</f>
        <v>-0</v>
      </c>
      <c r="ED90" s="47" t="n">
        <f aca="false">-ED84*$F86</f>
        <v>-0</v>
      </c>
      <c r="EE90" s="47" t="n">
        <f aca="false">-EE84*$F86</f>
        <v>-0</v>
      </c>
      <c r="EF90" s="47" t="n">
        <f aca="false">-EF84*$F86</f>
        <v>-0</v>
      </c>
      <c r="EG90" s="47" t="n">
        <f aca="false">-EG84*$F86</f>
        <v>-0</v>
      </c>
      <c r="EH90" s="47" t="n">
        <f aca="false">-EH84*$F86</f>
        <v>-0</v>
      </c>
      <c r="EI90" s="47" t="n">
        <f aca="false">-EI84*$F86</f>
        <v>-0</v>
      </c>
      <c r="EJ90" s="47" t="n">
        <f aca="false">-EJ84*$F86</f>
        <v>-0</v>
      </c>
      <c r="EK90" s="47" t="n">
        <f aca="false">-EK84*$F86</f>
        <v>-0</v>
      </c>
      <c r="EL90" s="47" t="n">
        <f aca="false">-EL84*$F86</f>
        <v>-0</v>
      </c>
      <c r="EM90" s="47" t="n">
        <f aca="false">-EM84*$F86</f>
        <v>-0</v>
      </c>
      <c r="EN90" s="47" t="n">
        <f aca="false">-EN84*$F86</f>
        <v>-0</v>
      </c>
      <c r="EO90" s="47" t="n">
        <f aca="false">-EO84*$F86</f>
        <v>-0</v>
      </c>
    </row>
    <row r="91" customFormat="false" ht="15" hidden="false" customHeight="false" outlineLevel="0" collapsed="false">
      <c r="C91" s="0" t="s">
        <v>436</v>
      </c>
      <c r="D91" s="11" t="s">
        <v>33</v>
      </c>
      <c r="J91" s="18" t="n">
        <f aca="false">I95</f>
        <v>0</v>
      </c>
      <c r="K91" s="18" t="n">
        <f aca="false">J95</f>
        <v>0</v>
      </c>
      <c r="L91" s="18" t="n">
        <f aca="false">K95</f>
        <v>0</v>
      </c>
      <c r="M91" s="18" t="n">
        <f aca="false">L95</f>
        <v>0</v>
      </c>
      <c r="N91" s="18" t="n">
        <f aca="false">M95</f>
        <v>0</v>
      </c>
      <c r="O91" s="18" t="n">
        <f aca="false">N95</f>
        <v>0</v>
      </c>
      <c r="P91" s="18" t="n">
        <f aca="false">O95</f>
        <v>0</v>
      </c>
      <c r="Q91" s="18" t="n">
        <f aca="false">P95</f>
        <v>0</v>
      </c>
      <c r="R91" s="18" t="n">
        <f aca="false">Q95</f>
        <v>0</v>
      </c>
      <c r="S91" s="18" t="n">
        <f aca="false">R95</f>
        <v>7072.78356164384</v>
      </c>
      <c r="T91" s="18" t="n">
        <f aca="false">S95</f>
        <v>20604.0792739726</v>
      </c>
      <c r="U91" s="18" t="n">
        <f aca="false">T95</f>
        <v>27857.5357443493</v>
      </c>
      <c r="V91" s="18" t="n">
        <f aca="false">U95</f>
        <v>35278.5385027975</v>
      </c>
      <c r="W91" s="18" t="n">
        <f aca="false">V95</f>
        <v>42792.3037957263</v>
      </c>
      <c r="X91" s="18" t="n">
        <f aca="false">W95</f>
        <v>50246.2349904332</v>
      </c>
      <c r="Y91" s="18" t="n">
        <f aca="false">X95</f>
        <v>57870.2184072657</v>
      </c>
      <c r="Z91" s="18" t="n">
        <f aca="false">Y95</f>
        <v>67666.3796990003</v>
      </c>
      <c r="AA91" s="18" t="n">
        <f aca="false">Z95</f>
        <v>67094.5134549728</v>
      </c>
      <c r="AB91" s="18" t="n">
        <f aca="false">AA95</f>
        <v>66537.1031020991</v>
      </c>
      <c r="AC91" s="18" t="n">
        <f aca="false">AB95</f>
        <v>65957.6852709289</v>
      </c>
      <c r="AD91" s="18" t="n">
        <f aca="false">AC95</f>
        <v>65355.9928453375</v>
      </c>
      <c r="AE91" s="18" t="n">
        <f aca="false">AD95</f>
        <v>64751.9316368213</v>
      </c>
      <c r="AF91" s="18" t="n">
        <f aca="false">AE95</f>
        <v>64146.8266345996</v>
      </c>
      <c r="AG91" s="18" t="n">
        <f aca="false">AF95</f>
        <v>63534.3771605959</v>
      </c>
      <c r="AH91" s="18" t="n">
        <f aca="false">AG95</f>
        <v>62899.207998384</v>
      </c>
      <c r="AI91" s="18" t="n">
        <f aca="false">AH95</f>
        <v>62261.2950147148</v>
      </c>
      <c r="AJ91" s="18" t="n">
        <f aca="false">AI95</f>
        <v>61637.392183317</v>
      </c>
      <c r="AK91" s="18" t="n">
        <f aca="false">AJ95</f>
        <v>60970.1833807379</v>
      </c>
      <c r="AL91" s="18" t="n">
        <f aca="false">AK95</f>
        <v>60279.3232034567</v>
      </c>
      <c r="AM91" s="18" t="n">
        <f aca="false">AL95</f>
        <v>59596.1501698453</v>
      </c>
      <c r="AN91" s="18" t="n">
        <f aca="false">AM95</f>
        <v>58927.0046071771</v>
      </c>
      <c r="AO91" s="18" t="n">
        <f aca="false">AN95</f>
        <v>58234.7476986312</v>
      </c>
      <c r="AP91" s="18" t="n">
        <f aca="false">AO95</f>
        <v>57519.1073073598</v>
      </c>
      <c r="AQ91" s="18" t="n">
        <f aca="false">AP95</f>
        <v>56799.8317224339</v>
      </c>
      <c r="AR91" s="18" t="n">
        <f aca="false">AQ95</f>
        <v>56094.331926257</v>
      </c>
      <c r="AS91" s="18" t="n">
        <f aca="false">AR95</f>
        <v>55365.254628667</v>
      </c>
      <c r="AT91" s="18" t="n">
        <f aca="false">AS95</f>
        <v>54612.3222038196</v>
      </c>
      <c r="AU91" s="18" t="n">
        <f aca="false">AT95</f>
        <v>53855.3455751729</v>
      </c>
      <c r="AV91" s="18" t="n">
        <f aca="false">AU95</f>
        <v>53096.5689424872</v>
      </c>
      <c r="AW91" s="18" t="n">
        <f aca="false">AV95</f>
        <v>52328.8576903299</v>
      </c>
      <c r="AX91" s="18" t="n">
        <f aca="false">AW95</f>
        <v>51536.7997443174</v>
      </c>
      <c r="AY91" s="18" t="n">
        <f aca="false">AX95</f>
        <v>50740.2670893967</v>
      </c>
      <c r="AZ91" s="18" t="n">
        <f aca="false">AY95</f>
        <v>49956.9521347945</v>
      </c>
      <c r="BA91" s="18" t="n">
        <f aca="false">AZ95</f>
        <v>49149.0715851165</v>
      </c>
      <c r="BB91" s="18" t="n">
        <f aca="false">BA95</f>
        <v>48316.3361796835</v>
      </c>
      <c r="BC91" s="18" t="n">
        <f aca="false">BB95</f>
        <v>47478.6773787793</v>
      </c>
      <c r="BD91" s="18" t="n">
        <f aca="false">BC95</f>
        <v>46653.9302485762</v>
      </c>
      <c r="BE91" s="18" t="n">
        <f aca="false">BD95</f>
        <v>45804.0960264083</v>
      </c>
      <c r="BF91" s="18" t="n">
        <f aca="false">BE95</f>
        <v>44928.8793109536</v>
      </c>
      <c r="BG91" s="18" t="n">
        <f aca="false">BF95</f>
        <v>44048.2693639264</v>
      </c>
      <c r="BH91" s="18" t="n">
        <f aca="false">BG95</f>
        <v>43180.2452135884</v>
      </c>
      <c r="BI91" s="18" t="n">
        <f aca="false">BH95</f>
        <v>42286.592340142</v>
      </c>
      <c r="BJ91" s="18" t="n">
        <f aca="false">BI95</f>
        <v>41367.0089645409</v>
      </c>
      <c r="BK91" s="18" t="n">
        <f aca="false">BJ95</f>
        <v>40441.5404101937</v>
      </c>
      <c r="BL91" s="18" t="n">
        <f aca="false">BK95</f>
        <v>39512.8728756826</v>
      </c>
      <c r="BM91" s="18" t="n">
        <f aca="false">BL95</f>
        <v>38573.270250818</v>
      </c>
      <c r="BN91" s="18" t="n">
        <f aca="false">BM95</f>
        <v>37607.1656648294</v>
      </c>
      <c r="BO91" s="18" t="n">
        <f aca="false">BN95</f>
        <v>36634.6586700654</v>
      </c>
      <c r="BP91" s="18" t="n">
        <f aca="false">BO95</f>
        <v>35674.0201601125</v>
      </c>
      <c r="BQ91" s="18" t="n">
        <f aca="false">BP95</f>
        <v>34686.6032915934</v>
      </c>
      <c r="BR91" s="18" t="n">
        <f aca="false">BQ95</f>
        <v>33672.0927484669</v>
      </c>
      <c r="BS91" s="18" t="n">
        <f aca="false">BR95</f>
        <v>32650.6404586115</v>
      </c>
      <c r="BT91" s="18" t="n">
        <f aca="false">BS95</f>
        <v>31640.6652686209</v>
      </c>
      <c r="BU91" s="18" t="n">
        <f aca="false">BT95</f>
        <v>30603.3038375409</v>
      </c>
      <c r="BV91" s="18" t="n">
        <f aca="false">BU95</f>
        <v>29538.2336914941</v>
      </c>
      <c r="BW91" s="18" t="n">
        <f aca="false">BV95</f>
        <v>28465.6571844609</v>
      </c>
      <c r="BX91" s="18" t="n">
        <f aca="false">BW95</f>
        <v>27404.1424720834</v>
      </c>
      <c r="BY91" s="18" t="n">
        <f aca="false">BX95</f>
        <v>26314.6095145288</v>
      </c>
      <c r="BZ91" s="18" t="n">
        <f aca="false">BY95</f>
        <v>25196.7283960509</v>
      </c>
      <c r="CA91" s="18" t="n">
        <f aca="false">BZ95</f>
        <v>24070.749873166</v>
      </c>
      <c r="CB91" s="18" t="n">
        <f aca="false">CA95</f>
        <v>22939.8506574478</v>
      </c>
      <c r="CC91" s="18" t="n">
        <f aca="false">CB95</f>
        <v>21795.6350667676</v>
      </c>
      <c r="CD91" s="18" t="n">
        <f aca="false">CC95</f>
        <v>20622.4041786579</v>
      </c>
      <c r="CE91" s="18" t="n">
        <f aca="false">CD95</f>
        <v>19440.4550268529</v>
      </c>
      <c r="CF91" s="18" t="n">
        <f aca="false">CE95</f>
        <v>18268.6584776889</v>
      </c>
      <c r="CG91" s="18" t="n">
        <f aca="false">CF95</f>
        <v>17067.5005579353</v>
      </c>
      <c r="CH91" s="18" t="n">
        <f aca="false">CG95</f>
        <v>15836.6355365006</v>
      </c>
      <c r="CI91" s="18" t="n">
        <f aca="false">CH95</f>
        <v>14596.404569866</v>
      </c>
      <c r="CJ91" s="18" t="n">
        <f aca="false">CI95</f>
        <v>13365.8319752567</v>
      </c>
      <c r="CK91" s="18" t="n">
        <f aca="false">CJ95</f>
        <v>12105.1866180584</v>
      </c>
      <c r="CL91" s="18" t="n">
        <f aca="false">CK95</f>
        <v>10814.1143905159</v>
      </c>
      <c r="CM91" s="18" t="n">
        <f aca="false">CL95</f>
        <v>9512.99831210297</v>
      </c>
      <c r="CN91" s="18" t="n">
        <f aca="false">CM95</f>
        <v>8221.01755648114</v>
      </c>
      <c r="CO91" s="18" t="n">
        <f aca="false">CN95</f>
        <v>6898.22372309986</v>
      </c>
      <c r="CP91" s="18" t="n">
        <f aca="false">CO95</f>
        <v>5544.25398696867</v>
      </c>
      <c r="CQ91" s="18" t="n">
        <f aca="false">CP95</f>
        <v>4179.5308872753</v>
      </c>
      <c r="CR91" s="18" t="n">
        <f aca="false">CQ95</f>
        <v>2807.7748147356</v>
      </c>
      <c r="CS91" s="18" t="n">
        <f aca="false">CR95</f>
        <v>1419.8662699293</v>
      </c>
      <c r="CT91" s="18" t="n">
        <f aca="false">CS95</f>
        <v>3.2855496101547E-010</v>
      </c>
      <c r="CU91" s="18" t="n">
        <f aca="false">CT95</f>
        <v>3.32661898028164E-010</v>
      </c>
      <c r="CV91" s="18" t="n">
        <f aca="false">CU95</f>
        <v>3.36820171753516E-010</v>
      </c>
      <c r="CW91" s="18" t="n">
        <f aca="false">CV95</f>
        <v>3.41030423900435E-010</v>
      </c>
      <c r="CX91" s="18" t="n">
        <f aca="false">CW95</f>
        <v>3.4529330419919E-010</v>
      </c>
      <c r="CY91" s="18" t="n">
        <f aca="false">CX95</f>
        <v>3.4960947050168E-010</v>
      </c>
      <c r="CZ91" s="18" t="n">
        <f aca="false">CY95</f>
        <v>3.53979588882951E-010</v>
      </c>
      <c r="DA91" s="18" t="n">
        <f aca="false">CZ95</f>
        <v>3.58404333743988E-010</v>
      </c>
      <c r="DB91" s="18" t="n">
        <f aca="false">DA95</f>
        <v>3.62884387915788E-010</v>
      </c>
      <c r="DC91" s="18" t="n">
        <f aca="false">DB95</f>
        <v>3.67420442764735E-010</v>
      </c>
      <c r="DD91" s="18" t="n">
        <f aca="false">DC95</f>
        <v>3.72013198299294E-010</v>
      </c>
      <c r="DE91" s="18" t="n">
        <f aca="false">DD95</f>
        <v>3.76663363278035E-010</v>
      </c>
      <c r="DF91" s="18" t="n">
        <f aca="false">DE95</f>
        <v>3.81371655319011E-010</v>
      </c>
      <c r="DG91" s="18" t="n">
        <f aca="false">DF95</f>
        <v>3.86138801010498E-010</v>
      </c>
      <c r="DH91" s="18" t="n">
        <f aca="false">DG95</f>
        <v>3.9096553602313E-010</v>
      </c>
      <c r="DI91" s="18" t="n">
        <f aca="false">DH95</f>
        <v>3.95852605223419E-010</v>
      </c>
      <c r="DJ91" s="18" t="n">
        <f aca="false">DI95</f>
        <v>4.00800762788712E-010</v>
      </c>
      <c r="DK91" s="18" t="n">
        <f aca="false">DJ95</f>
        <v>4.0581077232357E-010</v>
      </c>
      <c r="DL91" s="18" t="n">
        <f aca="false">DK95</f>
        <v>4.10883406977615E-010</v>
      </c>
      <c r="DM91" s="18" t="n">
        <f aca="false">DL95</f>
        <v>4.16019449564835E-010</v>
      </c>
      <c r="DN91" s="18" t="n">
        <f aca="false">DM95</f>
        <v>4.21219692684396E-010</v>
      </c>
      <c r="DO91" s="18" t="n">
        <f aca="false">DN95</f>
        <v>4.26484938842951E-010</v>
      </c>
      <c r="DP91" s="18" t="n">
        <f aca="false">DO95</f>
        <v>4.31816000578488E-010</v>
      </c>
      <c r="DQ91" s="18" t="n">
        <f aca="false">DP95</f>
        <v>4.37213700585719E-010</v>
      </c>
      <c r="DR91" s="18" t="n">
        <f aca="false">DQ95</f>
        <v>4.4267887184304E-010</v>
      </c>
      <c r="DS91" s="18" t="n">
        <f aca="false">DR95</f>
        <v>4.48212357741078E-010</v>
      </c>
      <c r="DT91" s="18" t="n">
        <f aca="false">DS95</f>
        <v>4.53815012212842E-010</v>
      </c>
      <c r="DU91" s="18" t="n">
        <f aca="false">DT95</f>
        <v>4.59487699865502E-010</v>
      </c>
      <c r="DV91" s="18" t="n">
        <f aca="false">DU95</f>
        <v>4.65231296113821E-010</v>
      </c>
      <c r="DW91" s="18" t="n">
        <f aca="false">DV95</f>
        <v>4.71046687315244E-010</v>
      </c>
      <c r="DX91" s="18" t="n">
        <f aca="false">DW95</f>
        <v>4.76934770906684E-010</v>
      </c>
      <c r="DY91" s="18" t="n">
        <f aca="false">DX95</f>
        <v>4.82896455543018E-010</v>
      </c>
      <c r="DZ91" s="18" t="n">
        <f aca="false">DY95</f>
        <v>4.88932661237306E-010</v>
      </c>
      <c r="EA91" s="18" t="n">
        <f aca="false">DZ95</f>
        <v>4.95044319502772E-010</v>
      </c>
      <c r="EB91" s="18" t="n">
        <f aca="false">EA95</f>
        <v>5.01232373496557E-010</v>
      </c>
      <c r="EC91" s="18" t="n">
        <f aca="false">EB95</f>
        <v>5.07497778165264E-010</v>
      </c>
      <c r="ED91" s="18" t="n">
        <f aca="false">EC95</f>
        <v>5.13841500392329E-010</v>
      </c>
      <c r="EE91" s="18" t="n">
        <f aca="false">ED95</f>
        <v>5.20264519147233E-010</v>
      </c>
      <c r="EF91" s="18" t="n">
        <f aca="false">EE95</f>
        <v>5.26767825636574E-010</v>
      </c>
      <c r="EG91" s="18" t="n">
        <f aca="false">EF95</f>
        <v>5.33352423457031E-010</v>
      </c>
      <c r="EH91" s="18" t="n">
        <f aca="false">EG95</f>
        <v>5.40019328750244E-010</v>
      </c>
      <c r="EI91" s="18" t="n">
        <f aca="false">EH95</f>
        <v>5.46769570359622E-010</v>
      </c>
      <c r="EJ91" s="18" t="n">
        <f aca="false">EI95</f>
        <v>5.53604189989117E-010</v>
      </c>
      <c r="EK91" s="18" t="n">
        <f aca="false">EJ95</f>
        <v>5.60524242363981E-010</v>
      </c>
      <c r="EL91" s="18" t="n">
        <f aca="false">EK95</f>
        <v>5.67530795393531E-010</v>
      </c>
      <c r="EM91" s="18" t="n">
        <f aca="false">EL95</f>
        <v>5.7462493033595E-010</v>
      </c>
      <c r="EN91" s="18" t="n">
        <f aca="false">EM95</f>
        <v>5.8180774196515E-010</v>
      </c>
      <c r="EO91" s="18" t="n">
        <f aca="false">EN95</f>
        <v>5.89080338739714E-010</v>
      </c>
    </row>
    <row r="92" customFormat="false" ht="15" hidden="false" customHeight="false" outlineLevel="0" collapsed="false">
      <c r="C92" s="0" t="s">
        <v>437</v>
      </c>
      <c r="D92" s="11" t="s">
        <v>33</v>
      </c>
      <c r="I92" s="47" t="n">
        <f aca="false">SUM(J92:EO92)</f>
        <v>64644.858520548</v>
      </c>
      <c r="J92" s="47" t="n">
        <f aca="false">-$E86*J66</f>
        <v>0</v>
      </c>
      <c r="K92" s="47" t="n">
        <f aca="false">-$E86*K66</f>
        <v>0</v>
      </c>
      <c r="L92" s="47" t="n">
        <f aca="false">-$E86*L66</f>
        <v>0</v>
      </c>
      <c r="M92" s="47" t="n">
        <f aca="false">-$E86*M66</f>
        <v>0</v>
      </c>
      <c r="N92" s="47" t="n">
        <f aca="false">-$E86*N66</f>
        <v>0</v>
      </c>
      <c r="O92" s="47" t="n">
        <f aca="false">-$E86*O66</f>
        <v>0</v>
      </c>
      <c r="P92" s="47" t="n">
        <f aca="false">-$E86*P66</f>
        <v>0</v>
      </c>
      <c r="Q92" s="47" t="n">
        <f aca="false">-$E86*Q66</f>
        <v>0</v>
      </c>
      <c r="R92" s="47" t="n">
        <f aca="false">-$E86*R66</f>
        <v>7072.78356164384</v>
      </c>
      <c r="S92" s="47" t="n">
        <f aca="false">-$E86*S66</f>
        <v>13442.8859178082</v>
      </c>
      <c r="T92" s="47" t="n">
        <f aca="false">-$E86*T66</f>
        <v>6995.90547945206</v>
      </c>
      <c r="U92" s="47" t="n">
        <f aca="false">-$E86*U66</f>
        <v>7072.78356164384</v>
      </c>
      <c r="V92" s="47" t="n">
        <f aca="false">-$E86*V66</f>
        <v>7072.78356164384</v>
      </c>
      <c r="W92" s="47" t="n">
        <f aca="false">-$E86*W66</f>
        <v>6919.02739726028</v>
      </c>
      <c r="X92" s="47" t="n">
        <f aca="false">-$E86*X66</f>
        <v>6995.90547945206</v>
      </c>
      <c r="Y92" s="47" t="n">
        <f aca="false">-$E86*Y66</f>
        <v>9072.78356164384</v>
      </c>
      <c r="Z92" s="47" t="n">
        <f aca="false">-$E86*Z66</f>
        <v>0</v>
      </c>
      <c r="AA92" s="47" t="n">
        <f aca="false">-$E86*AA66</f>
        <v>0</v>
      </c>
      <c r="AB92" s="47" t="n">
        <f aca="false">-$E86*AB66</f>
        <v>0</v>
      </c>
      <c r="AC92" s="47" t="n">
        <f aca="false">-$E86*AC66</f>
        <v>0</v>
      </c>
      <c r="AD92" s="47" t="n">
        <f aca="false">-$E86*AD66</f>
        <v>0</v>
      </c>
      <c r="AE92" s="47" t="n">
        <f aca="false">-$E86*AE66</f>
        <v>0</v>
      </c>
      <c r="AF92" s="47" t="n">
        <f aca="false">-$E86*AF66</f>
        <v>0</v>
      </c>
      <c r="AG92" s="47" t="n">
        <f aca="false">-$E86*AG66</f>
        <v>0</v>
      </c>
      <c r="AH92" s="47" t="n">
        <f aca="false">-$E86*AH66</f>
        <v>0</v>
      </c>
      <c r="AI92" s="47" t="n">
        <f aca="false">-$E86*AI66</f>
        <v>0</v>
      </c>
      <c r="AJ92" s="47" t="n">
        <f aca="false">-$E86*AJ66</f>
        <v>0</v>
      </c>
      <c r="AK92" s="47" t="n">
        <f aca="false">-$E86*AK66</f>
        <v>0</v>
      </c>
      <c r="AL92" s="47" t="n">
        <f aca="false">-$E86*AL66</f>
        <v>0</v>
      </c>
      <c r="AM92" s="47" t="n">
        <f aca="false">-$E86*AM66</f>
        <v>0</v>
      </c>
      <c r="AN92" s="47" t="n">
        <f aca="false">-$E86*AN66</f>
        <v>0</v>
      </c>
      <c r="AO92" s="47" t="n">
        <f aca="false">-$E86*AO66</f>
        <v>0</v>
      </c>
      <c r="AP92" s="47" t="n">
        <f aca="false">-$E86*AP66</f>
        <v>0</v>
      </c>
      <c r="AQ92" s="47" t="n">
        <f aca="false">-$E86*AQ66</f>
        <v>0</v>
      </c>
      <c r="AR92" s="47" t="n">
        <f aca="false">-$E86*AR66</f>
        <v>0</v>
      </c>
      <c r="AS92" s="47" t="n">
        <f aca="false">-$E86*AS66</f>
        <v>0</v>
      </c>
      <c r="AT92" s="47" t="n">
        <f aca="false">-$E86*AT66</f>
        <v>0</v>
      </c>
      <c r="AU92" s="47" t="n">
        <f aca="false">-$E86*AU66</f>
        <v>0</v>
      </c>
      <c r="AV92" s="47" t="n">
        <f aca="false">-$E86*AV66</f>
        <v>0</v>
      </c>
      <c r="AW92" s="47" t="n">
        <f aca="false">-$E86*AW66</f>
        <v>0</v>
      </c>
      <c r="AX92" s="47" t="n">
        <f aca="false">-$E86*AX66</f>
        <v>0</v>
      </c>
      <c r="AY92" s="47" t="n">
        <f aca="false">-$E86*AY66</f>
        <v>0</v>
      </c>
      <c r="AZ92" s="47" t="n">
        <f aca="false">-$E86*AZ66</f>
        <v>0</v>
      </c>
      <c r="BA92" s="47" t="n">
        <f aca="false">-$E86*BA66</f>
        <v>0</v>
      </c>
      <c r="BB92" s="47" t="n">
        <f aca="false">-$E86*BB66</f>
        <v>0</v>
      </c>
      <c r="BC92" s="47" t="n">
        <f aca="false">-$E86*BC66</f>
        <v>0</v>
      </c>
      <c r="BD92" s="47" t="n">
        <f aca="false">-$E86*BD66</f>
        <v>0</v>
      </c>
      <c r="BE92" s="47" t="n">
        <f aca="false">-$E86*BE66</f>
        <v>0</v>
      </c>
      <c r="BF92" s="47" t="n">
        <f aca="false">-$E86*BF66</f>
        <v>0</v>
      </c>
      <c r="BG92" s="47" t="n">
        <f aca="false">-$E86*BG66</f>
        <v>0</v>
      </c>
      <c r="BH92" s="47" t="n">
        <f aca="false">-$E86*BH66</f>
        <v>0</v>
      </c>
      <c r="BI92" s="47" t="n">
        <f aca="false">-$E86*BI66</f>
        <v>0</v>
      </c>
      <c r="BJ92" s="47" t="n">
        <f aca="false">-$E86*BJ66</f>
        <v>0</v>
      </c>
      <c r="BK92" s="47" t="n">
        <f aca="false">-$E86*BK66</f>
        <v>0</v>
      </c>
      <c r="BL92" s="47" t="n">
        <f aca="false">-$E86*BL66</f>
        <v>0</v>
      </c>
      <c r="BM92" s="47" t="n">
        <f aca="false">-$E86*BM66</f>
        <v>0</v>
      </c>
      <c r="BN92" s="47" t="n">
        <f aca="false">-$E86*BN66</f>
        <v>0</v>
      </c>
      <c r="BO92" s="47" t="n">
        <f aca="false">-$E86*BO66</f>
        <v>0</v>
      </c>
      <c r="BP92" s="47" t="n">
        <f aca="false">-$E86*BP66</f>
        <v>0</v>
      </c>
      <c r="BQ92" s="47" t="n">
        <f aca="false">-$E86*BQ66</f>
        <v>0</v>
      </c>
      <c r="BR92" s="47" t="n">
        <f aca="false">-$E86*BR66</f>
        <v>0</v>
      </c>
      <c r="BS92" s="47" t="n">
        <f aca="false">-$E86*BS66</f>
        <v>0</v>
      </c>
      <c r="BT92" s="47" t="n">
        <f aca="false">-$E86*BT66</f>
        <v>0</v>
      </c>
      <c r="BU92" s="47" t="n">
        <f aca="false">-$E86*BU66</f>
        <v>0</v>
      </c>
      <c r="BV92" s="47" t="n">
        <f aca="false">-$E86*BV66</f>
        <v>0</v>
      </c>
      <c r="BW92" s="47" t="n">
        <f aca="false">-$E86*BW66</f>
        <v>0</v>
      </c>
      <c r="BX92" s="47" t="n">
        <f aca="false">-$E86*BX66</f>
        <v>0</v>
      </c>
      <c r="BY92" s="47" t="n">
        <f aca="false">-$E86*BY66</f>
        <v>0</v>
      </c>
      <c r="BZ92" s="47" t="n">
        <f aca="false">-$E86*BZ66</f>
        <v>0</v>
      </c>
      <c r="CA92" s="47" t="n">
        <f aca="false">-$E86*CA66</f>
        <v>0</v>
      </c>
      <c r="CB92" s="47" t="n">
        <f aca="false">-$E86*CB66</f>
        <v>0</v>
      </c>
      <c r="CC92" s="47" t="n">
        <f aca="false">-$E86*CC66</f>
        <v>0</v>
      </c>
      <c r="CD92" s="47" t="n">
        <f aca="false">-$E86*CD66</f>
        <v>0</v>
      </c>
      <c r="CE92" s="47" t="n">
        <f aca="false">-$E86*CE66</f>
        <v>0</v>
      </c>
      <c r="CF92" s="47" t="n">
        <f aca="false">-$E86*CF66</f>
        <v>0</v>
      </c>
      <c r="CG92" s="47" t="n">
        <f aca="false">-$E86*CG66</f>
        <v>0</v>
      </c>
      <c r="CH92" s="47" t="n">
        <f aca="false">-$E86*CH66</f>
        <v>0</v>
      </c>
      <c r="CI92" s="47" t="n">
        <f aca="false">-$E86*CI66</f>
        <v>0</v>
      </c>
      <c r="CJ92" s="47" t="n">
        <f aca="false">-$E86*CJ66</f>
        <v>0</v>
      </c>
      <c r="CK92" s="47" t="n">
        <f aca="false">-$E86*CK66</f>
        <v>0</v>
      </c>
      <c r="CL92" s="47" t="n">
        <f aca="false">-$E86*CL66</f>
        <v>0</v>
      </c>
      <c r="CM92" s="47" t="n">
        <f aca="false">-$E86*CM66</f>
        <v>0</v>
      </c>
      <c r="CN92" s="47" t="n">
        <f aca="false">-$E86*CN66</f>
        <v>0</v>
      </c>
      <c r="CO92" s="47" t="n">
        <f aca="false">-$E86*CO66</f>
        <v>0</v>
      </c>
      <c r="CP92" s="47" t="n">
        <f aca="false">-$E86*CP66</f>
        <v>0</v>
      </c>
      <c r="CQ92" s="47" t="n">
        <f aca="false">-$E86*CQ66</f>
        <v>0</v>
      </c>
      <c r="CR92" s="47" t="n">
        <f aca="false">-$E86*CR66</f>
        <v>0</v>
      </c>
      <c r="CS92" s="47" t="n">
        <f aca="false">-$E86*CS66</f>
        <v>0</v>
      </c>
      <c r="CT92" s="47" t="n">
        <f aca="false">-$E86*CT66</f>
        <v>0</v>
      </c>
      <c r="CU92" s="47" t="n">
        <f aca="false">-$E86*CU66</f>
        <v>0</v>
      </c>
      <c r="CV92" s="47" t="n">
        <f aca="false">-$E86*CV66</f>
        <v>0</v>
      </c>
      <c r="CW92" s="47" t="n">
        <f aca="false">-$E86*CW66</f>
        <v>0</v>
      </c>
      <c r="CX92" s="47" t="n">
        <f aca="false">-$E86*CX66</f>
        <v>0</v>
      </c>
      <c r="CY92" s="47" t="n">
        <f aca="false">-$E86*CY66</f>
        <v>0</v>
      </c>
      <c r="CZ92" s="47" t="n">
        <f aca="false">-$E86*CZ66</f>
        <v>0</v>
      </c>
      <c r="DA92" s="47" t="n">
        <f aca="false">-$E86*DA66</f>
        <v>0</v>
      </c>
      <c r="DB92" s="47" t="n">
        <f aca="false">-$E86*DB66</f>
        <v>0</v>
      </c>
      <c r="DC92" s="47" t="n">
        <f aca="false">-$E86*DC66</f>
        <v>0</v>
      </c>
      <c r="DD92" s="47" t="n">
        <f aca="false">-$E86*DD66</f>
        <v>0</v>
      </c>
      <c r="DE92" s="47" t="n">
        <f aca="false">-$E86*DE66</f>
        <v>0</v>
      </c>
      <c r="DF92" s="47" t="n">
        <f aca="false">-$E86*DF66</f>
        <v>0</v>
      </c>
      <c r="DG92" s="47" t="n">
        <f aca="false">-$E86*DG66</f>
        <v>0</v>
      </c>
      <c r="DH92" s="47" t="n">
        <f aca="false">-$E86*DH66</f>
        <v>0</v>
      </c>
      <c r="DI92" s="47" t="n">
        <f aca="false">-$E86*DI66</f>
        <v>0</v>
      </c>
      <c r="DJ92" s="47" t="n">
        <f aca="false">-$E86*DJ66</f>
        <v>0</v>
      </c>
      <c r="DK92" s="47" t="n">
        <f aca="false">-$E86*DK66</f>
        <v>0</v>
      </c>
      <c r="DL92" s="47" t="n">
        <f aca="false">-$E86*DL66</f>
        <v>0</v>
      </c>
      <c r="DM92" s="47" t="n">
        <f aca="false">-$E86*DM66</f>
        <v>0</v>
      </c>
      <c r="DN92" s="47" t="n">
        <f aca="false">-$E86*DN66</f>
        <v>0</v>
      </c>
      <c r="DO92" s="47" t="n">
        <f aca="false">-$E86*DO66</f>
        <v>0</v>
      </c>
      <c r="DP92" s="47" t="n">
        <f aca="false">-$E86*DP66</f>
        <v>0</v>
      </c>
      <c r="DQ92" s="47" t="n">
        <f aca="false">-$E86*DQ66</f>
        <v>0</v>
      </c>
      <c r="DR92" s="47" t="n">
        <f aca="false">-$E86*DR66</f>
        <v>0</v>
      </c>
      <c r="DS92" s="47" t="n">
        <f aca="false">-$E86*DS66</f>
        <v>0</v>
      </c>
      <c r="DT92" s="47" t="n">
        <f aca="false">-$E86*DT66</f>
        <v>0</v>
      </c>
      <c r="DU92" s="47" t="n">
        <f aca="false">-$E86*DU66</f>
        <v>0</v>
      </c>
      <c r="DV92" s="47" t="n">
        <f aca="false">-$E86*DV66</f>
        <v>0</v>
      </c>
      <c r="DW92" s="47" t="n">
        <f aca="false">-$E86*DW66</f>
        <v>0</v>
      </c>
      <c r="DX92" s="47" t="n">
        <f aca="false">-$E86*DX66</f>
        <v>0</v>
      </c>
      <c r="DY92" s="47" t="n">
        <f aca="false">-$E86*DY66</f>
        <v>0</v>
      </c>
      <c r="DZ92" s="47" t="n">
        <f aca="false">-$E86*DZ66</f>
        <v>0</v>
      </c>
      <c r="EA92" s="47" t="n">
        <f aca="false">-$E86*EA66</f>
        <v>0</v>
      </c>
      <c r="EB92" s="47" t="n">
        <f aca="false">-$E86*EB66</f>
        <v>0</v>
      </c>
      <c r="EC92" s="47" t="n">
        <f aca="false">-$E86*EC66</f>
        <v>0</v>
      </c>
      <c r="ED92" s="47" t="n">
        <f aca="false">-$E86*ED66</f>
        <v>0</v>
      </c>
      <c r="EE92" s="47" t="n">
        <f aca="false">-$E86*EE66</f>
        <v>0</v>
      </c>
      <c r="EF92" s="47" t="n">
        <f aca="false">-$E86*EF66</f>
        <v>0</v>
      </c>
      <c r="EG92" s="47" t="n">
        <f aca="false">-$E86*EG66</f>
        <v>0</v>
      </c>
      <c r="EH92" s="47" t="n">
        <f aca="false">-$E86*EH66</f>
        <v>0</v>
      </c>
      <c r="EI92" s="47" t="n">
        <f aca="false">-$E86*EI66</f>
        <v>0</v>
      </c>
      <c r="EJ92" s="47" t="n">
        <f aca="false">-$E86*EJ66</f>
        <v>0</v>
      </c>
      <c r="EK92" s="47" t="n">
        <f aca="false">-$E86*EK66</f>
        <v>0</v>
      </c>
      <c r="EL92" s="47" t="n">
        <f aca="false">-$E86*EL66</f>
        <v>0</v>
      </c>
      <c r="EM92" s="47" t="n">
        <f aca="false">-$E86*EM66</f>
        <v>0</v>
      </c>
      <c r="EN92" s="47" t="n">
        <f aca="false">-$E86*EN66</f>
        <v>0</v>
      </c>
      <c r="EO92" s="47" t="n">
        <f aca="false">-$E86*EO66</f>
        <v>0</v>
      </c>
    </row>
    <row r="93" customFormat="false" ht="15" hidden="false" customHeight="false" outlineLevel="0" collapsed="false">
      <c r="C93" s="0" t="s">
        <v>438</v>
      </c>
      <c r="D93" s="11" t="s">
        <v>33</v>
      </c>
      <c r="I93" s="47" t="n">
        <f aca="false">SUM(J93:EO93)</f>
        <v>3021.52117845236</v>
      </c>
      <c r="J93" s="47" t="n">
        <f aca="false">J91*$F21*(J$4&lt;=In_COD)</f>
        <v>0</v>
      </c>
      <c r="K93" s="47" t="n">
        <f aca="false">K91*$F21*(K$4&lt;=In_COD)</f>
        <v>0</v>
      </c>
      <c r="L93" s="47" t="n">
        <f aca="false">L91*$F21*(L$4&lt;=In_COD)</f>
        <v>0</v>
      </c>
      <c r="M93" s="47" t="n">
        <f aca="false">M91*$F21*(M$4&lt;=In_COD)</f>
        <v>0</v>
      </c>
      <c r="N93" s="47" t="n">
        <f aca="false">N91*$F21*(N$4&lt;=In_COD)</f>
        <v>0</v>
      </c>
      <c r="O93" s="47" t="n">
        <f aca="false">O91*$F21*(O$4&lt;=In_COD)</f>
        <v>0</v>
      </c>
      <c r="P93" s="47" t="n">
        <f aca="false">P91*$F21*(P$4&lt;=In_COD)</f>
        <v>0</v>
      </c>
      <c r="Q93" s="47" t="n">
        <f aca="false">Q91*$F21*(Q$4&lt;=In_COD)</f>
        <v>0</v>
      </c>
      <c r="R93" s="47" t="n">
        <f aca="false">R91*$F21*(R$4&lt;=In_COD)</f>
        <v>0</v>
      </c>
      <c r="S93" s="47" t="n">
        <f aca="false">S91*$F21*(S$4&lt;=In_COD)</f>
        <v>88.409794520548</v>
      </c>
      <c r="T93" s="47" t="n">
        <f aca="false">T91*$F21*(T$4&lt;=In_COD)</f>
        <v>257.550990924658</v>
      </c>
      <c r="U93" s="47" t="n">
        <f aca="false">U91*$F21*(U$4&lt;=In_COD)</f>
        <v>348.219196804367</v>
      </c>
      <c r="V93" s="47" t="n">
        <f aca="false">V91*$F21*(V$4&lt;=In_COD)</f>
        <v>440.981731284969</v>
      </c>
      <c r="W93" s="47" t="n">
        <f aca="false">W91*$F21*(W$4&lt;=In_COD)</f>
        <v>534.903797446579</v>
      </c>
      <c r="X93" s="47" t="n">
        <f aca="false">X91*$F21*(X$4&lt;=In_COD)</f>
        <v>628.077937380415</v>
      </c>
      <c r="Y93" s="47" t="n">
        <f aca="false">Y91*$F21*(Y$4&lt;=In_COD)</f>
        <v>723.377730090821</v>
      </c>
      <c r="Z93" s="47" t="n">
        <f aca="false">Z91*$F21*(Z$4&lt;=In_COD)</f>
        <v>0</v>
      </c>
      <c r="AA93" s="47" t="n">
        <f aca="false">AA91*$F21*(AA$4&lt;=In_COD)</f>
        <v>0</v>
      </c>
      <c r="AB93" s="47" t="n">
        <f aca="false">AB91*$F21*(AB$4&lt;=In_COD)</f>
        <v>0</v>
      </c>
      <c r="AC93" s="47" t="n">
        <f aca="false">AC91*$F21*(AC$4&lt;=In_COD)</f>
        <v>0</v>
      </c>
      <c r="AD93" s="47" t="n">
        <f aca="false">AD91*$F21*(AD$4&lt;=In_COD)</f>
        <v>0</v>
      </c>
      <c r="AE93" s="47" t="n">
        <f aca="false">AE91*$F21*(AE$4&lt;=In_COD)</f>
        <v>0</v>
      </c>
      <c r="AF93" s="47" t="n">
        <f aca="false">AF91*$F21*(AF$4&lt;=In_COD)</f>
        <v>0</v>
      </c>
      <c r="AG93" s="47" t="n">
        <f aca="false">AG91*$F21*(AG$4&lt;=In_COD)</f>
        <v>0</v>
      </c>
      <c r="AH93" s="47" t="n">
        <f aca="false">AH91*$F21*(AH$4&lt;=In_COD)</f>
        <v>0</v>
      </c>
      <c r="AI93" s="47" t="n">
        <f aca="false">AI91*$F21*(AI$4&lt;=In_COD)</f>
        <v>0</v>
      </c>
      <c r="AJ93" s="47" t="n">
        <f aca="false">AJ91*$F21*(AJ$4&lt;=In_COD)</f>
        <v>0</v>
      </c>
      <c r="AK93" s="47" t="n">
        <f aca="false">AK91*$F21*(AK$4&lt;=In_COD)</f>
        <v>0</v>
      </c>
      <c r="AL93" s="47" t="n">
        <f aca="false">AL91*$F21*(AL$4&lt;=In_COD)</f>
        <v>0</v>
      </c>
      <c r="AM93" s="47" t="n">
        <f aca="false">AM91*$F21*(AM$4&lt;=In_COD)</f>
        <v>0</v>
      </c>
      <c r="AN93" s="47" t="n">
        <f aca="false">AN91*$F21*(AN$4&lt;=In_COD)</f>
        <v>0</v>
      </c>
      <c r="AO93" s="47" t="n">
        <f aca="false">AO91*$F21*(AO$4&lt;=In_COD)</f>
        <v>0</v>
      </c>
      <c r="AP93" s="47" t="n">
        <f aca="false">AP91*$F21*(AP$4&lt;=In_COD)</f>
        <v>0</v>
      </c>
      <c r="AQ93" s="47" t="n">
        <f aca="false">AQ91*$F21*(AQ$4&lt;=In_COD)</f>
        <v>0</v>
      </c>
      <c r="AR93" s="47" t="n">
        <f aca="false">AR91*$F21*(AR$4&lt;=In_COD)</f>
        <v>0</v>
      </c>
      <c r="AS93" s="47" t="n">
        <f aca="false">AS91*$F21*(AS$4&lt;=In_COD)</f>
        <v>0</v>
      </c>
      <c r="AT93" s="47" t="n">
        <f aca="false">AT91*$F21*(AT$4&lt;=In_COD)</f>
        <v>0</v>
      </c>
      <c r="AU93" s="47" t="n">
        <f aca="false">AU91*$F21*(AU$4&lt;=In_COD)</f>
        <v>0</v>
      </c>
      <c r="AV93" s="47" t="n">
        <f aca="false">AV91*$F21*(AV$4&lt;=In_COD)</f>
        <v>0</v>
      </c>
      <c r="AW93" s="47" t="n">
        <f aca="false">AW91*$F21*(AW$4&lt;=In_COD)</f>
        <v>0</v>
      </c>
      <c r="AX93" s="47" t="n">
        <f aca="false">AX91*$F21*(AX$4&lt;=In_COD)</f>
        <v>0</v>
      </c>
      <c r="AY93" s="47" t="n">
        <f aca="false">AY91*$F21*(AY$4&lt;=In_COD)</f>
        <v>0</v>
      </c>
      <c r="AZ93" s="47" t="n">
        <f aca="false">AZ91*$F21*(AZ$4&lt;=In_COD)</f>
        <v>0</v>
      </c>
      <c r="BA93" s="47" t="n">
        <f aca="false">BA91*$F21*(BA$4&lt;=In_COD)</f>
        <v>0</v>
      </c>
      <c r="BB93" s="47" t="n">
        <f aca="false">BB91*$F21*(BB$4&lt;=In_COD)</f>
        <v>0</v>
      </c>
      <c r="BC93" s="47" t="n">
        <f aca="false">BC91*$F21*(BC$4&lt;=In_COD)</f>
        <v>0</v>
      </c>
      <c r="BD93" s="47" t="n">
        <f aca="false">BD91*$F21*(BD$4&lt;=In_COD)</f>
        <v>0</v>
      </c>
      <c r="BE93" s="47" t="n">
        <f aca="false">BE91*$F21*(BE$4&lt;=In_COD)</f>
        <v>0</v>
      </c>
      <c r="BF93" s="47" t="n">
        <f aca="false">BF91*$F21*(BF$4&lt;=In_COD)</f>
        <v>0</v>
      </c>
      <c r="BG93" s="47" t="n">
        <f aca="false">BG91*$F21*(BG$4&lt;=In_COD)</f>
        <v>0</v>
      </c>
      <c r="BH93" s="47" t="n">
        <f aca="false">BH91*$F21*(BH$4&lt;=In_COD)</f>
        <v>0</v>
      </c>
      <c r="BI93" s="47" t="n">
        <f aca="false">BI91*$F21*(BI$4&lt;=In_COD)</f>
        <v>0</v>
      </c>
      <c r="BJ93" s="47" t="n">
        <f aca="false">BJ91*$F21*(BJ$4&lt;=In_COD)</f>
        <v>0</v>
      </c>
      <c r="BK93" s="47" t="n">
        <f aca="false">BK91*$F21*(BK$4&lt;=In_COD)</f>
        <v>0</v>
      </c>
      <c r="BL93" s="47" t="n">
        <f aca="false">BL91*$F21*(BL$4&lt;=In_COD)</f>
        <v>0</v>
      </c>
      <c r="BM93" s="47" t="n">
        <f aca="false">BM91*$F21*(BM$4&lt;=In_COD)</f>
        <v>0</v>
      </c>
      <c r="BN93" s="47" t="n">
        <f aca="false">BN91*$F21*(BN$4&lt;=In_COD)</f>
        <v>0</v>
      </c>
      <c r="BO93" s="47" t="n">
        <f aca="false">BO91*$F21*(BO$4&lt;=In_COD)</f>
        <v>0</v>
      </c>
      <c r="BP93" s="47" t="n">
        <f aca="false">BP91*$F21*(BP$4&lt;=In_COD)</f>
        <v>0</v>
      </c>
      <c r="BQ93" s="47" t="n">
        <f aca="false">BQ91*$F21*(BQ$4&lt;=In_COD)</f>
        <v>0</v>
      </c>
      <c r="BR93" s="47" t="n">
        <f aca="false">BR91*$F21*(BR$4&lt;=In_COD)</f>
        <v>0</v>
      </c>
      <c r="BS93" s="47" t="n">
        <f aca="false">BS91*$F21*(BS$4&lt;=In_COD)</f>
        <v>0</v>
      </c>
      <c r="BT93" s="47" t="n">
        <f aca="false">BT91*$F21*(BT$4&lt;=In_COD)</f>
        <v>0</v>
      </c>
      <c r="BU93" s="47" t="n">
        <f aca="false">BU91*$F21*(BU$4&lt;=In_COD)</f>
        <v>0</v>
      </c>
      <c r="BV93" s="47" t="n">
        <f aca="false">BV91*$F21*(BV$4&lt;=In_COD)</f>
        <v>0</v>
      </c>
      <c r="BW93" s="47" t="n">
        <f aca="false">BW91*$F21*(BW$4&lt;=In_COD)</f>
        <v>0</v>
      </c>
      <c r="BX93" s="47" t="n">
        <f aca="false">BX91*$F21*(BX$4&lt;=In_COD)</f>
        <v>0</v>
      </c>
      <c r="BY93" s="47" t="n">
        <f aca="false">BY91*$F21*(BY$4&lt;=In_COD)</f>
        <v>0</v>
      </c>
      <c r="BZ93" s="47" t="n">
        <f aca="false">BZ91*$F21*(BZ$4&lt;=In_COD)</f>
        <v>0</v>
      </c>
      <c r="CA93" s="47" t="n">
        <f aca="false">CA91*$F21*(CA$4&lt;=In_COD)</f>
        <v>0</v>
      </c>
      <c r="CB93" s="47" t="n">
        <f aca="false">CB91*$F21*(CB$4&lt;=In_COD)</f>
        <v>0</v>
      </c>
      <c r="CC93" s="47" t="n">
        <f aca="false">CC91*$F21*(CC$4&lt;=In_COD)</f>
        <v>0</v>
      </c>
      <c r="CD93" s="47" t="n">
        <f aca="false">CD91*$F21*(CD$4&lt;=In_COD)</f>
        <v>0</v>
      </c>
      <c r="CE93" s="47" t="n">
        <f aca="false">CE91*$F21*(CE$4&lt;=In_COD)</f>
        <v>0</v>
      </c>
      <c r="CF93" s="47" t="n">
        <f aca="false">CF91*$F21*(CF$4&lt;=In_COD)</f>
        <v>0</v>
      </c>
      <c r="CG93" s="47" t="n">
        <f aca="false">CG91*$F21*(CG$4&lt;=In_COD)</f>
        <v>0</v>
      </c>
      <c r="CH93" s="47" t="n">
        <f aca="false">CH91*$F21*(CH$4&lt;=In_COD)</f>
        <v>0</v>
      </c>
      <c r="CI93" s="47" t="n">
        <f aca="false">CI91*$F21*(CI$4&lt;=In_COD)</f>
        <v>0</v>
      </c>
      <c r="CJ93" s="47" t="n">
        <f aca="false">CJ91*$F21*(CJ$4&lt;=In_COD)</f>
        <v>0</v>
      </c>
      <c r="CK93" s="47" t="n">
        <f aca="false">CK91*$F21*(CK$4&lt;=In_COD)</f>
        <v>0</v>
      </c>
      <c r="CL93" s="47" t="n">
        <f aca="false">CL91*$F21*(CL$4&lt;=In_COD)</f>
        <v>0</v>
      </c>
      <c r="CM93" s="47" t="n">
        <f aca="false">CM91*$F21*(CM$4&lt;=In_COD)</f>
        <v>0</v>
      </c>
      <c r="CN93" s="47" t="n">
        <f aca="false">CN91*$F21*(CN$4&lt;=In_COD)</f>
        <v>0</v>
      </c>
      <c r="CO93" s="47" t="n">
        <f aca="false">CO91*$F21*(CO$4&lt;=In_COD)</f>
        <v>0</v>
      </c>
      <c r="CP93" s="47" t="n">
        <f aca="false">CP91*$F21*(CP$4&lt;=In_COD)</f>
        <v>0</v>
      </c>
      <c r="CQ93" s="47" t="n">
        <f aca="false">CQ91*$F21*(CQ$4&lt;=In_COD)</f>
        <v>0</v>
      </c>
      <c r="CR93" s="47" t="n">
        <f aca="false">CR91*$F21*(CR$4&lt;=In_COD)</f>
        <v>0</v>
      </c>
      <c r="CS93" s="47" t="n">
        <f aca="false">CS91*$F21*(CS$4&lt;=In_COD)</f>
        <v>0</v>
      </c>
      <c r="CT93" s="47" t="n">
        <f aca="false">CT91*$F21*(CT$4&lt;=In_COD)</f>
        <v>0</v>
      </c>
      <c r="CU93" s="47" t="n">
        <f aca="false">CU91*$F21*(CU$4&lt;=In_COD)</f>
        <v>0</v>
      </c>
      <c r="CV93" s="47" t="n">
        <f aca="false">CV91*$F21*(CV$4&lt;=In_COD)</f>
        <v>0</v>
      </c>
      <c r="CW93" s="47" t="n">
        <f aca="false">CW91*$F21*(CW$4&lt;=In_COD)</f>
        <v>0</v>
      </c>
      <c r="CX93" s="47" t="n">
        <f aca="false">CX91*$F21*(CX$4&lt;=In_COD)</f>
        <v>0</v>
      </c>
      <c r="CY93" s="47" t="n">
        <f aca="false">CY91*$F21*(CY$4&lt;=In_COD)</f>
        <v>0</v>
      </c>
      <c r="CZ93" s="47" t="n">
        <f aca="false">CZ91*$F21*(CZ$4&lt;=In_COD)</f>
        <v>0</v>
      </c>
      <c r="DA93" s="47" t="n">
        <f aca="false">DA91*$F21*(DA$4&lt;=In_COD)</f>
        <v>0</v>
      </c>
      <c r="DB93" s="47" t="n">
        <f aca="false">DB91*$F21*(DB$4&lt;=In_COD)</f>
        <v>0</v>
      </c>
      <c r="DC93" s="47" t="n">
        <f aca="false">DC91*$F21*(DC$4&lt;=In_COD)</f>
        <v>0</v>
      </c>
      <c r="DD93" s="47" t="n">
        <f aca="false">DD91*$F21*(DD$4&lt;=In_COD)</f>
        <v>0</v>
      </c>
      <c r="DE93" s="47" t="n">
        <f aca="false">DE91*$F21*(DE$4&lt;=In_COD)</f>
        <v>0</v>
      </c>
      <c r="DF93" s="47" t="n">
        <f aca="false">DF91*$F21*(DF$4&lt;=In_COD)</f>
        <v>0</v>
      </c>
      <c r="DG93" s="47" t="n">
        <f aca="false">DG91*$F21*(DG$4&lt;=In_COD)</f>
        <v>0</v>
      </c>
      <c r="DH93" s="47" t="n">
        <f aca="false">DH91*$F21*(DH$4&lt;=In_COD)</f>
        <v>0</v>
      </c>
      <c r="DI93" s="47" t="n">
        <f aca="false">DI91*$F21*(DI$4&lt;=In_COD)</f>
        <v>0</v>
      </c>
      <c r="DJ93" s="47" t="n">
        <f aca="false">DJ91*$F21*(DJ$4&lt;=In_COD)</f>
        <v>0</v>
      </c>
      <c r="DK93" s="47" t="n">
        <f aca="false">DK91*$F21*(DK$4&lt;=In_COD)</f>
        <v>0</v>
      </c>
      <c r="DL93" s="47" t="n">
        <f aca="false">DL91*$F21*(DL$4&lt;=In_COD)</f>
        <v>0</v>
      </c>
      <c r="DM93" s="47" t="n">
        <f aca="false">DM91*$F21*(DM$4&lt;=In_COD)</f>
        <v>0</v>
      </c>
      <c r="DN93" s="47" t="n">
        <f aca="false">DN91*$F21*(DN$4&lt;=In_COD)</f>
        <v>0</v>
      </c>
      <c r="DO93" s="47" t="n">
        <f aca="false">DO91*$F21*(DO$4&lt;=In_COD)</f>
        <v>0</v>
      </c>
      <c r="DP93" s="47" t="n">
        <f aca="false">DP91*$F21*(DP$4&lt;=In_COD)</f>
        <v>0</v>
      </c>
      <c r="DQ93" s="47" t="n">
        <f aca="false">DQ91*$F21*(DQ$4&lt;=In_COD)</f>
        <v>0</v>
      </c>
      <c r="DR93" s="47" t="n">
        <f aca="false">DR91*$F21*(DR$4&lt;=In_COD)</f>
        <v>0</v>
      </c>
      <c r="DS93" s="47" t="n">
        <f aca="false">DS91*$F21*(DS$4&lt;=In_COD)</f>
        <v>0</v>
      </c>
      <c r="DT93" s="47" t="n">
        <f aca="false">DT91*$F21*(DT$4&lt;=In_COD)</f>
        <v>0</v>
      </c>
      <c r="DU93" s="47" t="n">
        <f aca="false">DU91*$F21*(DU$4&lt;=In_COD)</f>
        <v>0</v>
      </c>
      <c r="DV93" s="47" t="n">
        <f aca="false">DV91*$F21*(DV$4&lt;=In_COD)</f>
        <v>0</v>
      </c>
      <c r="DW93" s="47" t="n">
        <f aca="false">DW91*$F21*(DW$4&lt;=In_COD)</f>
        <v>0</v>
      </c>
      <c r="DX93" s="47" t="n">
        <f aca="false">DX91*$F21*(DX$4&lt;=In_COD)</f>
        <v>0</v>
      </c>
      <c r="DY93" s="47" t="n">
        <f aca="false">DY91*$F21*(DY$4&lt;=In_COD)</f>
        <v>0</v>
      </c>
      <c r="DZ93" s="47" t="n">
        <f aca="false">DZ91*$F21*(DZ$4&lt;=In_COD)</f>
        <v>0</v>
      </c>
      <c r="EA93" s="47" t="n">
        <f aca="false">EA91*$F21*(EA$4&lt;=In_COD)</f>
        <v>0</v>
      </c>
      <c r="EB93" s="47" t="n">
        <f aca="false">EB91*$F21*(EB$4&lt;=In_COD)</f>
        <v>0</v>
      </c>
      <c r="EC93" s="47" t="n">
        <f aca="false">EC91*$F21*(EC$4&lt;=In_COD)</f>
        <v>0</v>
      </c>
      <c r="ED93" s="47" t="n">
        <f aca="false">ED91*$F21*(ED$4&lt;=In_COD)</f>
        <v>0</v>
      </c>
      <c r="EE93" s="47" t="n">
        <f aca="false">EE91*$F21*(EE$4&lt;=In_COD)</f>
        <v>0</v>
      </c>
      <c r="EF93" s="47" t="n">
        <f aca="false">EF91*$F21*(EF$4&lt;=In_COD)</f>
        <v>0</v>
      </c>
      <c r="EG93" s="47" t="n">
        <f aca="false">EG91*$F21*(EG$4&lt;=In_COD)</f>
        <v>0</v>
      </c>
      <c r="EH93" s="47" t="n">
        <f aca="false">EH91*$F21*(EH$4&lt;=In_COD)</f>
        <v>0</v>
      </c>
      <c r="EI93" s="47" t="n">
        <f aca="false">EI91*$F21*(EI$4&lt;=In_COD)</f>
        <v>0</v>
      </c>
      <c r="EJ93" s="47" t="n">
        <f aca="false">EJ91*$F21*(EJ$4&lt;=In_COD)</f>
        <v>0</v>
      </c>
      <c r="EK93" s="47" t="n">
        <f aca="false">EK91*$F21*(EK$4&lt;=In_COD)</f>
        <v>0</v>
      </c>
      <c r="EL93" s="47" t="n">
        <f aca="false">EL91*$F21*(EL$4&lt;=In_COD)</f>
        <v>0</v>
      </c>
      <c r="EM93" s="47" t="n">
        <f aca="false">EM91*$F21*(EM$4&lt;=In_COD)</f>
        <v>0</v>
      </c>
      <c r="EN93" s="47" t="n">
        <f aca="false">EN91*$F21*(EN$4&lt;=In_COD)</f>
        <v>0</v>
      </c>
      <c r="EO93" s="47" t="n">
        <f aca="false">EO91*$F21*(EO$4&lt;=In_COD)</f>
        <v>0</v>
      </c>
    </row>
    <row r="94" customFormat="false" ht="15" hidden="false" customHeight="false" outlineLevel="0" collapsed="false">
      <c r="C94" s="0" t="s">
        <v>439</v>
      </c>
      <c r="D94" s="11" t="s">
        <v>33</v>
      </c>
      <c r="I94" s="47" t="n">
        <f aca="false">SUM(J94:EO94)</f>
        <v>-67666.3796989997</v>
      </c>
      <c r="J94" s="47" t="n">
        <f aca="false">J90-J89</f>
        <v>0</v>
      </c>
      <c r="K94" s="47" t="n">
        <f aca="false">K90-K89</f>
        <v>0</v>
      </c>
      <c r="L94" s="47" t="n">
        <f aca="false">L90-L89</f>
        <v>0</v>
      </c>
      <c r="M94" s="47" t="n">
        <f aca="false">M90-M89</f>
        <v>0</v>
      </c>
      <c r="N94" s="47" t="n">
        <f aca="false">N90-N89</f>
        <v>0</v>
      </c>
      <c r="O94" s="47" t="n">
        <f aca="false">O90-O89</f>
        <v>0</v>
      </c>
      <c r="P94" s="47" t="n">
        <f aca="false">P90-P89</f>
        <v>0</v>
      </c>
      <c r="Q94" s="47" t="n">
        <f aca="false">Q90-Q89</f>
        <v>0</v>
      </c>
      <c r="R94" s="47" t="n">
        <f aca="false">R90-R89</f>
        <v>0</v>
      </c>
      <c r="S94" s="47" t="n">
        <f aca="false">S90-S89</f>
        <v>0</v>
      </c>
      <c r="T94" s="47" t="n">
        <f aca="false">T90-T89</f>
        <v>0</v>
      </c>
      <c r="U94" s="47" t="n">
        <f aca="false">U90-U89</f>
        <v>0</v>
      </c>
      <c r="V94" s="47" t="n">
        <f aca="false">V90-V89</f>
        <v>0</v>
      </c>
      <c r="W94" s="47" t="n">
        <f aca="false">W90-W89</f>
        <v>0</v>
      </c>
      <c r="X94" s="47" t="n">
        <f aca="false">X90-X89</f>
        <v>0</v>
      </c>
      <c r="Y94" s="47" t="n">
        <f aca="false">Y90-Y89</f>
        <v>0</v>
      </c>
      <c r="Z94" s="47" t="n">
        <f aca="false">Z90-Z89</f>
        <v>-571.866244027535</v>
      </c>
      <c r="AA94" s="47" t="n">
        <f aca="false">AA90-AA89</f>
        <v>-557.410352873748</v>
      </c>
      <c r="AB94" s="47" t="n">
        <f aca="false">AB90-AB89</f>
        <v>-579.417831170152</v>
      </c>
      <c r="AC94" s="47" t="n">
        <f aca="false">AC90-AC89</f>
        <v>-601.692425591442</v>
      </c>
      <c r="AD94" s="47" t="n">
        <f aca="false">AD90-AD89</f>
        <v>-604.061208516113</v>
      </c>
      <c r="AE94" s="47" t="n">
        <f aca="false">AE90-AE89</f>
        <v>-605.105002221694</v>
      </c>
      <c r="AF94" s="47" t="n">
        <f aca="false">AF90-AF89</f>
        <v>-612.449474003754</v>
      </c>
      <c r="AG94" s="47" t="n">
        <f aca="false">AG90-AG89</f>
        <v>-635.169162211882</v>
      </c>
      <c r="AH94" s="47" t="n">
        <f aca="false">AH90-AH89</f>
        <v>-637.91298366921</v>
      </c>
      <c r="AI94" s="47" t="n">
        <f aca="false">AI90-AI89</f>
        <v>-623.902831397849</v>
      </c>
      <c r="AJ94" s="47" t="n">
        <f aca="false">AJ90-AJ89</f>
        <v>-667.208802579039</v>
      </c>
      <c r="AK94" s="47" t="n">
        <f aca="false">AK90-AK89</f>
        <v>-690.860177281234</v>
      </c>
      <c r="AL94" s="47" t="n">
        <f aca="false">AL90-AL89</f>
        <v>-683.173033611337</v>
      </c>
      <c r="AM94" s="47" t="n">
        <f aca="false">AM90-AM89</f>
        <v>-669.145562668204</v>
      </c>
      <c r="AN94" s="47" t="n">
        <f aca="false">AN90-AN89</f>
        <v>-692.256908545961</v>
      </c>
      <c r="AO94" s="47" t="n">
        <f aca="false">AO90-AO89</f>
        <v>-715.640391271375</v>
      </c>
      <c r="AP94" s="47" t="n">
        <f aca="false">AP90-AP89</f>
        <v>-719.275584925877</v>
      </c>
      <c r="AQ94" s="47" t="n">
        <f aca="false">AQ90-AQ89</f>
        <v>-705.4997961769</v>
      </c>
      <c r="AR94" s="47" t="n">
        <f aca="false">AR90-AR89</f>
        <v>-729.077297590027</v>
      </c>
      <c r="AS94" s="47" t="n">
        <f aca="false">AS90-AS89</f>
        <v>-752.932424847367</v>
      </c>
      <c r="AT94" s="47" t="n">
        <f aca="false">AT90-AT89</f>
        <v>-756.976628646778</v>
      </c>
      <c r="AU94" s="47" t="n">
        <f aca="false">AU90-AU89</f>
        <v>-758.776632685681</v>
      </c>
      <c r="AV94" s="47" t="n">
        <f aca="false">AV90-AV89</f>
        <v>-767.711252157265</v>
      </c>
      <c r="AW94" s="47" t="n">
        <f aca="false">AW90-AW89</f>
        <v>-792.057946012496</v>
      </c>
      <c r="AX94" s="47" t="n">
        <f aca="false">AX90-AX89</f>
        <v>-796.532654920761</v>
      </c>
      <c r="AY94" s="47" t="n">
        <f aca="false">AY90-AY89</f>
        <v>-783.314954602213</v>
      </c>
      <c r="AZ94" s="47" t="n">
        <f aca="false">AZ90-AZ89</f>
        <v>-807.880549678004</v>
      </c>
      <c r="BA94" s="47" t="n">
        <f aca="false">BA90-BA89</f>
        <v>-832.73540543295</v>
      </c>
      <c r="BB94" s="47" t="n">
        <f aca="false">BB90-BB89</f>
        <v>-837.658800904239</v>
      </c>
      <c r="BC94" s="47" t="n">
        <f aca="false">BC90-BC89</f>
        <v>-824.747130203048</v>
      </c>
      <c r="BD94" s="47" t="n">
        <f aca="false">BD90-BD89</f>
        <v>-849.834222167906</v>
      </c>
      <c r="BE94" s="47" t="n">
        <f aca="false">BE90-BE89</f>
        <v>-875.216715454709</v>
      </c>
      <c r="BF94" s="47" t="n">
        <f aca="false">BF90-BF89</f>
        <v>-880.609947027184</v>
      </c>
      <c r="BG94" s="47" t="n">
        <f aca="false">BG90-BG89</f>
        <v>-868.02415033799</v>
      </c>
      <c r="BH94" s="47" t="n">
        <f aca="false">BH90-BH89</f>
        <v>-893.652873446431</v>
      </c>
      <c r="BI94" s="47" t="n">
        <f aca="false">BI90-BI89</f>
        <v>-919.583375601109</v>
      </c>
      <c r="BJ94" s="47" t="n">
        <f aca="false">BJ90-BJ89</f>
        <v>-925.468554347192</v>
      </c>
      <c r="BK94" s="47" t="n">
        <f aca="false">BK90-BK89</f>
        <v>-928.667534511133</v>
      </c>
      <c r="BL94" s="47" t="n">
        <f aca="false">BL90-BL89</f>
        <v>-939.602624864584</v>
      </c>
      <c r="BM94" s="47" t="n">
        <f aca="false">BM90-BM89</f>
        <v>-966.104585988595</v>
      </c>
      <c r="BN94" s="47" t="n">
        <f aca="false">BN90-BN89</f>
        <v>-972.506994763989</v>
      </c>
      <c r="BO94" s="47" t="n">
        <f aca="false">BO90-BO89</f>
        <v>-960.638509952875</v>
      </c>
      <c r="BP94" s="47" t="n">
        <f aca="false">BP90-BP89</f>
        <v>-987.41686851916</v>
      </c>
      <c r="BQ94" s="47" t="n">
        <f aca="false">BQ90-BQ89</f>
        <v>-1014.5105431265</v>
      </c>
      <c r="BR94" s="47" t="n">
        <f aca="false">BR90-BR89</f>
        <v>-1021.45228985536</v>
      </c>
      <c r="BS94" s="47" t="n">
        <f aca="false">BS90-BS89</f>
        <v>-1009.97518999063</v>
      </c>
      <c r="BT94" s="47" t="n">
        <f aca="false">BT90-BT89</f>
        <v>-1037.36143107996</v>
      </c>
      <c r="BU94" s="47" t="n">
        <f aca="false">BU90-BU89</f>
        <v>-1065.07014604678</v>
      </c>
      <c r="BV94" s="47" t="n">
        <f aca="false">BV90-BV89</f>
        <v>-1072.57650703325</v>
      </c>
      <c r="BW94" s="47" t="n">
        <f aca="false">BW90-BW89</f>
        <v>-1061.51471237748</v>
      </c>
      <c r="BX94" s="47" t="n">
        <f aca="false">BX90-BX89</f>
        <v>-1089.53295755461</v>
      </c>
      <c r="BY94" s="47" t="n">
        <f aca="false">BY90-BY89</f>
        <v>-1117.88111847787</v>
      </c>
      <c r="BZ94" s="47" t="n">
        <f aca="false">BZ90-BZ89</f>
        <v>-1125.97852288496</v>
      </c>
      <c r="CA94" s="47" t="n">
        <f aca="false">CA90-CA89</f>
        <v>-1130.89921571819</v>
      </c>
      <c r="CB94" s="47" t="n">
        <f aca="false">CB90-CB89</f>
        <v>-1144.21559068013</v>
      </c>
      <c r="CC94" s="47" t="n">
        <f aca="false">CC90-CC89</f>
        <v>-1173.23088810972</v>
      </c>
      <c r="CD94" s="47" t="n">
        <f aca="false">CD90-CD89</f>
        <v>-1181.94915180506</v>
      </c>
      <c r="CE94" s="47" t="n">
        <f aca="false">CE90-CE89</f>
        <v>-1171.796549164</v>
      </c>
      <c r="CF94" s="47" t="n">
        <f aca="false">CF90-CF89</f>
        <v>-1201.15791975361</v>
      </c>
      <c r="CG94" s="47" t="n">
        <f aca="false">CG90-CG89</f>
        <v>-1230.86502143466</v>
      </c>
      <c r="CH94" s="47" t="n">
        <f aca="false">CH90-CH89</f>
        <v>-1240.23096663459</v>
      </c>
      <c r="CI94" s="47" t="n">
        <f aca="false">CI90-CI89</f>
        <v>-1230.57259460931</v>
      </c>
      <c r="CJ94" s="47" t="n">
        <f aca="false">CJ90-CJ89</f>
        <v>-1260.64535719825</v>
      </c>
      <c r="CK94" s="47" t="n">
        <f aca="false">CK90-CK89</f>
        <v>-1291.07222754252</v>
      </c>
      <c r="CL94" s="47" t="n">
        <f aca="false">CL90-CL89</f>
        <v>-1301.11607841295</v>
      </c>
      <c r="CM94" s="47" t="n">
        <f aca="false">CM90-CM89</f>
        <v>-1291.98075562183</v>
      </c>
      <c r="CN94" s="47" t="n">
        <f aca="false">CN90-CN89</f>
        <v>-1322.79383338128</v>
      </c>
      <c r="CO94" s="47" t="n">
        <f aca="false">CO90-CO89</f>
        <v>-1353.9697361312</v>
      </c>
      <c r="CP94" s="47" t="n">
        <f aca="false">CP90-CP89</f>
        <v>-1364.72309969337</v>
      </c>
      <c r="CQ94" s="47" t="n">
        <f aca="false">CQ90-CQ89</f>
        <v>-1371.7560725397</v>
      </c>
      <c r="CR94" s="47" t="n">
        <f aca="false">CR90-CR89</f>
        <v>-1387.9085448063</v>
      </c>
      <c r="CS94" s="47" t="n">
        <f aca="false">CS90-CS89</f>
        <v>-1419.86626992897</v>
      </c>
      <c r="CT94" s="47" t="n">
        <f aca="false">CT90-CT89</f>
        <v>4.10693701269338E-012</v>
      </c>
      <c r="CU94" s="47" t="n">
        <f aca="false">CU90-CU89</f>
        <v>4.15827372535205E-012</v>
      </c>
      <c r="CV94" s="47" t="n">
        <f aca="false">CV90-CV89</f>
        <v>4.21025214691895E-012</v>
      </c>
      <c r="CW94" s="47" t="n">
        <f aca="false">CW90-CW89</f>
        <v>4.26288029875543E-012</v>
      </c>
      <c r="CX94" s="47" t="n">
        <f aca="false">CX90-CX89</f>
        <v>4.31616630248988E-012</v>
      </c>
      <c r="CY94" s="47" t="n">
        <f aca="false">CY90-CY89</f>
        <v>4.370118381271E-012</v>
      </c>
      <c r="CZ94" s="47" t="n">
        <f aca="false">CZ90-CZ89</f>
        <v>4.42474486103689E-012</v>
      </c>
      <c r="DA94" s="47" t="n">
        <f aca="false">DA90-DA89</f>
        <v>4.48005417179985E-012</v>
      </c>
      <c r="DB94" s="47" t="n">
        <f aca="false">DB90-DB89</f>
        <v>4.53605484894735E-012</v>
      </c>
      <c r="DC94" s="47" t="n">
        <f aca="false">DC90-DC89</f>
        <v>4.59275553455919E-012</v>
      </c>
      <c r="DD94" s="47" t="n">
        <f aca="false">DD90-DD89</f>
        <v>4.65016497874118E-012</v>
      </c>
      <c r="DE94" s="47" t="n">
        <f aca="false">DE90-DE89</f>
        <v>4.70829204097544E-012</v>
      </c>
      <c r="DF94" s="47" t="n">
        <f aca="false">DF90-DF89</f>
        <v>4.76714569148764E-012</v>
      </c>
      <c r="DG94" s="47" t="n">
        <f aca="false">DG90-DG89</f>
        <v>4.82673501263123E-012</v>
      </c>
      <c r="DH94" s="47" t="n">
        <f aca="false">DH90-DH89</f>
        <v>4.88706920028912E-012</v>
      </c>
      <c r="DI94" s="47" t="n">
        <f aca="false">DI90-DI89</f>
        <v>4.94815756529274E-012</v>
      </c>
      <c r="DJ94" s="47" t="n">
        <f aca="false">DJ90-DJ89</f>
        <v>5.0100095348589E-012</v>
      </c>
      <c r="DK94" s="47" t="n">
        <f aca="false">DK90-DK89</f>
        <v>5.07263465404463E-012</v>
      </c>
      <c r="DL94" s="47" t="n">
        <f aca="false">DL90-DL89</f>
        <v>5.13604258722019E-012</v>
      </c>
      <c r="DM94" s="47" t="n">
        <f aca="false">DM90-DM89</f>
        <v>5.20024311956044E-012</v>
      </c>
      <c r="DN94" s="47" t="n">
        <f aca="false">DN90-DN89</f>
        <v>5.26524615855495E-012</v>
      </c>
      <c r="DO94" s="47" t="n">
        <f aca="false">DO90-DO89</f>
        <v>5.33106173553688E-012</v>
      </c>
      <c r="DP94" s="47" t="n">
        <f aca="false">DP90-DP89</f>
        <v>5.3977000072311E-012</v>
      </c>
      <c r="DQ94" s="47" t="n">
        <f aca="false">DQ90-DQ89</f>
        <v>5.46517125732148E-012</v>
      </c>
      <c r="DR94" s="47" t="n">
        <f aca="false">DR90-DR89</f>
        <v>5.533485898038E-012</v>
      </c>
      <c r="DS94" s="47" t="n">
        <f aca="false">DS90-DS89</f>
        <v>5.60265447176348E-012</v>
      </c>
      <c r="DT94" s="47" t="n">
        <f aca="false">DT90-DT89</f>
        <v>5.67268765266052E-012</v>
      </c>
      <c r="DU94" s="47" t="n">
        <f aca="false">DU90-DU89</f>
        <v>5.74359624831878E-012</v>
      </c>
      <c r="DV94" s="47" t="n">
        <f aca="false">DV90-DV89</f>
        <v>5.81539120142276E-012</v>
      </c>
      <c r="DW94" s="47" t="n">
        <f aca="false">DW90-DW89</f>
        <v>5.88808359144055E-012</v>
      </c>
      <c r="DX94" s="47" t="n">
        <f aca="false">DX90-DX89</f>
        <v>5.96168463633356E-012</v>
      </c>
      <c r="DY94" s="47" t="n">
        <f aca="false">DY90-DY89</f>
        <v>6.03620569428773E-012</v>
      </c>
      <c r="DZ94" s="47" t="n">
        <f aca="false">DZ90-DZ89</f>
        <v>6.11165826546632E-012</v>
      </c>
      <c r="EA94" s="47" t="n">
        <f aca="false">EA90-EA89</f>
        <v>6.18805399378465E-012</v>
      </c>
      <c r="EB94" s="47" t="n">
        <f aca="false">EB90-EB89</f>
        <v>6.26540466870696E-012</v>
      </c>
      <c r="EC94" s="47" t="n">
        <f aca="false">EC90-EC89</f>
        <v>6.3437222270658E-012</v>
      </c>
      <c r="ED94" s="47" t="n">
        <f aca="false">ED90-ED89</f>
        <v>6.42301875490412E-012</v>
      </c>
      <c r="EE94" s="47" t="n">
        <f aca="false">EE90-EE89</f>
        <v>6.50330648934042E-012</v>
      </c>
      <c r="EF94" s="47" t="n">
        <f aca="false">EF90-EF89</f>
        <v>6.58459782045717E-012</v>
      </c>
      <c r="EG94" s="47" t="n">
        <f aca="false">EG90-EG89</f>
        <v>6.66690529321289E-012</v>
      </c>
      <c r="EH94" s="47" t="n">
        <f aca="false">EH90-EH89</f>
        <v>6.75024160937805E-012</v>
      </c>
      <c r="EI94" s="47" t="n">
        <f aca="false">EI90-EI89</f>
        <v>6.83461962949527E-012</v>
      </c>
      <c r="EJ94" s="47" t="n">
        <f aca="false">EJ90-EJ89</f>
        <v>6.92005237486397E-012</v>
      </c>
      <c r="EK94" s="47" t="n">
        <f aca="false">EK90-EK89</f>
        <v>7.00655302954977E-012</v>
      </c>
      <c r="EL94" s="47" t="n">
        <f aca="false">EL90-EL89</f>
        <v>7.09413494241914E-012</v>
      </c>
      <c r="EM94" s="47" t="n">
        <f aca="false">EM90-EM89</f>
        <v>7.18281162919938E-012</v>
      </c>
      <c r="EN94" s="47" t="n">
        <f aca="false">EN90-EN89</f>
        <v>7.27259677456437E-012</v>
      </c>
      <c r="EO94" s="47" t="n">
        <f aca="false">EO90-EO89</f>
        <v>7.36350423424643E-012</v>
      </c>
    </row>
    <row r="95" customFormat="false" ht="15" hidden="false" customHeight="false" outlineLevel="0" collapsed="false">
      <c r="C95" s="25" t="s">
        <v>440</v>
      </c>
      <c r="D95" s="11" t="s">
        <v>33</v>
      </c>
      <c r="E95" s="56" t="n">
        <f aca="false">SUMIF($J$4:$EO$4,In_COD,$J95:$EO95)</f>
        <v>67666.3796990003</v>
      </c>
      <c r="I95" s="58"/>
      <c r="J95" s="56" t="n">
        <f aca="false">SUM(J91:J94)</f>
        <v>0</v>
      </c>
      <c r="K95" s="56" t="n">
        <f aca="false">SUM(K91:K94)</f>
        <v>0</v>
      </c>
      <c r="L95" s="56" t="n">
        <f aca="false">SUM(L91:L94)</f>
        <v>0</v>
      </c>
      <c r="M95" s="56" t="n">
        <f aca="false">SUM(M91:M94)</f>
        <v>0</v>
      </c>
      <c r="N95" s="56" t="n">
        <f aca="false">SUM(N91:N94)</f>
        <v>0</v>
      </c>
      <c r="O95" s="56" t="n">
        <f aca="false">SUM(O91:O94)</f>
        <v>0</v>
      </c>
      <c r="P95" s="56" t="n">
        <f aca="false">SUM(P91:P94)</f>
        <v>0</v>
      </c>
      <c r="Q95" s="56" t="n">
        <f aca="false">SUM(Q91:Q94)</f>
        <v>0</v>
      </c>
      <c r="R95" s="56" t="n">
        <f aca="false">SUM(R91:R94)</f>
        <v>7072.78356164384</v>
      </c>
      <c r="S95" s="56" t="n">
        <f aca="false">SUM(S91:S94)</f>
        <v>20604.0792739726</v>
      </c>
      <c r="T95" s="56" t="n">
        <f aca="false">SUM(T91:T94)</f>
        <v>27857.5357443493</v>
      </c>
      <c r="U95" s="56" t="n">
        <f aca="false">SUM(U91:U94)</f>
        <v>35278.5385027975</v>
      </c>
      <c r="V95" s="56" t="n">
        <f aca="false">SUM(V91:V94)</f>
        <v>42792.3037957263</v>
      </c>
      <c r="W95" s="56" t="n">
        <f aca="false">SUM(W91:W94)</f>
        <v>50246.2349904332</v>
      </c>
      <c r="X95" s="56" t="n">
        <f aca="false">SUM(X91:X94)</f>
        <v>57870.2184072657</v>
      </c>
      <c r="Y95" s="56" t="n">
        <f aca="false">SUM(Y91:Y94)</f>
        <v>67666.3796990003</v>
      </c>
      <c r="Z95" s="56" t="n">
        <f aca="false">SUM(Z91:Z94)</f>
        <v>67094.5134549728</v>
      </c>
      <c r="AA95" s="56" t="n">
        <f aca="false">SUM(AA91:AA94)</f>
        <v>66537.1031020991</v>
      </c>
      <c r="AB95" s="56" t="n">
        <f aca="false">SUM(AB91:AB94)</f>
        <v>65957.6852709289</v>
      </c>
      <c r="AC95" s="56" t="n">
        <f aca="false">SUM(AC91:AC94)</f>
        <v>65355.9928453375</v>
      </c>
      <c r="AD95" s="56" t="n">
        <f aca="false">SUM(AD91:AD94)</f>
        <v>64751.9316368213</v>
      </c>
      <c r="AE95" s="56" t="n">
        <f aca="false">SUM(AE91:AE94)</f>
        <v>64146.8266345996</v>
      </c>
      <c r="AF95" s="56" t="n">
        <f aca="false">SUM(AF91:AF94)</f>
        <v>63534.3771605959</v>
      </c>
      <c r="AG95" s="56" t="n">
        <f aca="false">SUM(AG91:AG94)</f>
        <v>62899.207998384</v>
      </c>
      <c r="AH95" s="56" t="n">
        <f aca="false">SUM(AH91:AH94)</f>
        <v>62261.2950147148</v>
      </c>
      <c r="AI95" s="56" t="n">
        <f aca="false">SUM(AI91:AI94)</f>
        <v>61637.392183317</v>
      </c>
      <c r="AJ95" s="56" t="n">
        <f aca="false">SUM(AJ91:AJ94)</f>
        <v>60970.1833807379</v>
      </c>
      <c r="AK95" s="56" t="n">
        <f aca="false">SUM(AK91:AK94)</f>
        <v>60279.3232034567</v>
      </c>
      <c r="AL95" s="56" t="n">
        <f aca="false">SUM(AL91:AL94)</f>
        <v>59596.1501698453</v>
      </c>
      <c r="AM95" s="56" t="n">
        <f aca="false">SUM(AM91:AM94)</f>
        <v>58927.0046071771</v>
      </c>
      <c r="AN95" s="56" t="n">
        <f aca="false">SUM(AN91:AN94)</f>
        <v>58234.7476986312</v>
      </c>
      <c r="AO95" s="56" t="n">
        <f aca="false">SUM(AO91:AO94)</f>
        <v>57519.1073073598</v>
      </c>
      <c r="AP95" s="56" t="n">
        <f aca="false">SUM(AP91:AP94)</f>
        <v>56799.8317224339</v>
      </c>
      <c r="AQ95" s="56" t="n">
        <f aca="false">SUM(AQ91:AQ94)</f>
        <v>56094.331926257</v>
      </c>
      <c r="AR95" s="56" t="n">
        <f aca="false">SUM(AR91:AR94)</f>
        <v>55365.254628667</v>
      </c>
      <c r="AS95" s="56" t="n">
        <f aca="false">SUM(AS91:AS94)</f>
        <v>54612.3222038196</v>
      </c>
      <c r="AT95" s="56" t="n">
        <f aca="false">SUM(AT91:AT94)</f>
        <v>53855.3455751729</v>
      </c>
      <c r="AU95" s="56" t="n">
        <f aca="false">SUM(AU91:AU94)</f>
        <v>53096.5689424872</v>
      </c>
      <c r="AV95" s="56" t="n">
        <f aca="false">SUM(AV91:AV94)</f>
        <v>52328.8576903299</v>
      </c>
      <c r="AW95" s="56" t="n">
        <f aca="false">SUM(AW91:AW94)</f>
        <v>51536.7997443174</v>
      </c>
      <c r="AX95" s="56" t="n">
        <f aca="false">SUM(AX91:AX94)</f>
        <v>50740.2670893967</v>
      </c>
      <c r="AY95" s="56" t="n">
        <f aca="false">SUM(AY91:AY94)</f>
        <v>49956.9521347945</v>
      </c>
      <c r="AZ95" s="56" t="n">
        <f aca="false">SUM(AZ91:AZ94)</f>
        <v>49149.0715851165</v>
      </c>
      <c r="BA95" s="56" t="n">
        <f aca="false">SUM(BA91:BA94)</f>
        <v>48316.3361796835</v>
      </c>
      <c r="BB95" s="56" t="n">
        <f aca="false">SUM(BB91:BB94)</f>
        <v>47478.6773787793</v>
      </c>
      <c r="BC95" s="56" t="n">
        <f aca="false">SUM(BC91:BC94)</f>
        <v>46653.9302485762</v>
      </c>
      <c r="BD95" s="56" t="n">
        <f aca="false">SUM(BD91:BD94)</f>
        <v>45804.0960264083</v>
      </c>
      <c r="BE95" s="56" t="n">
        <f aca="false">SUM(BE91:BE94)</f>
        <v>44928.8793109536</v>
      </c>
      <c r="BF95" s="56" t="n">
        <f aca="false">SUM(BF91:BF94)</f>
        <v>44048.2693639264</v>
      </c>
      <c r="BG95" s="56" t="n">
        <f aca="false">SUM(BG91:BG94)</f>
        <v>43180.2452135884</v>
      </c>
      <c r="BH95" s="56" t="n">
        <f aca="false">SUM(BH91:BH94)</f>
        <v>42286.592340142</v>
      </c>
      <c r="BI95" s="56" t="n">
        <f aca="false">SUM(BI91:BI94)</f>
        <v>41367.0089645409</v>
      </c>
      <c r="BJ95" s="56" t="n">
        <f aca="false">SUM(BJ91:BJ94)</f>
        <v>40441.5404101937</v>
      </c>
      <c r="BK95" s="56" t="n">
        <f aca="false">SUM(BK91:BK94)</f>
        <v>39512.8728756826</v>
      </c>
      <c r="BL95" s="56" t="n">
        <f aca="false">SUM(BL91:BL94)</f>
        <v>38573.270250818</v>
      </c>
      <c r="BM95" s="56" t="n">
        <f aca="false">SUM(BM91:BM94)</f>
        <v>37607.1656648294</v>
      </c>
      <c r="BN95" s="56" t="n">
        <f aca="false">SUM(BN91:BN94)</f>
        <v>36634.6586700654</v>
      </c>
      <c r="BO95" s="56" t="n">
        <f aca="false">SUM(BO91:BO94)</f>
        <v>35674.0201601125</v>
      </c>
      <c r="BP95" s="56" t="n">
        <f aca="false">SUM(BP91:BP94)</f>
        <v>34686.6032915934</v>
      </c>
      <c r="BQ95" s="56" t="n">
        <f aca="false">SUM(BQ91:BQ94)</f>
        <v>33672.0927484669</v>
      </c>
      <c r="BR95" s="56" t="n">
        <f aca="false">SUM(BR91:BR94)</f>
        <v>32650.6404586115</v>
      </c>
      <c r="BS95" s="56" t="n">
        <f aca="false">SUM(BS91:BS94)</f>
        <v>31640.6652686209</v>
      </c>
      <c r="BT95" s="56" t="n">
        <f aca="false">SUM(BT91:BT94)</f>
        <v>30603.3038375409</v>
      </c>
      <c r="BU95" s="56" t="n">
        <f aca="false">SUM(BU91:BU94)</f>
        <v>29538.2336914941</v>
      </c>
      <c r="BV95" s="56" t="n">
        <f aca="false">SUM(BV91:BV94)</f>
        <v>28465.6571844609</v>
      </c>
      <c r="BW95" s="56" t="n">
        <f aca="false">SUM(BW91:BW94)</f>
        <v>27404.1424720834</v>
      </c>
      <c r="BX95" s="56" t="n">
        <f aca="false">SUM(BX91:BX94)</f>
        <v>26314.6095145288</v>
      </c>
      <c r="BY95" s="56" t="n">
        <f aca="false">SUM(BY91:BY94)</f>
        <v>25196.7283960509</v>
      </c>
      <c r="BZ95" s="56" t="n">
        <f aca="false">SUM(BZ91:BZ94)</f>
        <v>24070.749873166</v>
      </c>
      <c r="CA95" s="56" t="n">
        <f aca="false">SUM(CA91:CA94)</f>
        <v>22939.8506574478</v>
      </c>
      <c r="CB95" s="56" t="n">
        <f aca="false">SUM(CB91:CB94)</f>
        <v>21795.6350667676</v>
      </c>
      <c r="CC95" s="56" t="n">
        <f aca="false">SUM(CC91:CC94)</f>
        <v>20622.4041786579</v>
      </c>
      <c r="CD95" s="56" t="n">
        <f aca="false">SUM(CD91:CD94)</f>
        <v>19440.4550268529</v>
      </c>
      <c r="CE95" s="56" t="n">
        <f aca="false">SUM(CE91:CE94)</f>
        <v>18268.6584776889</v>
      </c>
      <c r="CF95" s="56" t="n">
        <f aca="false">SUM(CF91:CF94)</f>
        <v>17067.5005579353</v>
      </c>
      <c r="CG95" s="56" t="n">
        <f aca="false">SUM(CG91:CG94)</f>
        <v>15836.6355365006</v>
      </c>
      <c r="CH95" s="56" t="n">
        <f aca="false">SUM(CH91:CH94)</f>
        <v>14596.404569866</v>
      </c>
      <c r="CI95" s="56" t="n">
        <f aca="false">SUM(CI91:CI94)</f>
        <v>13365.8319752567</v>
      </c>
      <c r="CJ95" s="56" t="n">
        <f aca="false">SUM(CJ91:CJ94)</f>
        <v>12105.1866180584</v>
      </c>
      <c r="CK95" s="56" t="n">
        <f aca="false">SUM(CK91:CK94)</f>
        <v>10814.1143905159</v>
      </c>
      <c r="CL95" s="56" t="n">
        <f aca="false">SUM(CL91:CL94)</f>
        <v>9512.99831210297</v>
      </c>
      <c r="CM95" s="56" t="n">
        <f aca="false">SUM(CM91:CM94)</f>
        <v>8221.01755648114</v>
      </c>
      <c r="CN95" s="56" t="n">
        <f aca="false">SUM(CN91:CN94)</f>
        <v>6898.22372309986</v>
      </c>
      <c r="CO95" s="56" t="n">
        <f aca="false">SUM(CO91:CO94)</f>
        <v>5544.25398696867</v>
      </c>
      <c r="CP95" s="56" t="n">
        <f aca="false">SUM(CP91:CP94)</f>
        <v>4179.5308872753</v>
      </c>
      <c r="CQ95" s="56" t="n">
        <f aca="false">SUM(CQ91:CQ94)</f>
        <v>2807.7748147356</v>
      </c>
      <c r="CR95" s="56" t="n">
        <f aca="false">SUM(CR91:CR94)</f>
        <v>1419.8662699293</v>
      </c>
      <c r="CS95" s="56" t="n">
        <f aca="false">SUM(CS91:CS94)</f>
        <v>3.2855496101547E-010</v>
      </c>
      <c r="CT95" s="56" t="n">
        <f aca="false">SUM(CT91:CT94)</f>
        <v>3.32661898028164E-010</v>
      </c>
      <c r="CU95" s="56" t="n">
        <f aca="false">SUM(CU91:CU94)</f>
        <v>3.36820171753516E-010</v>
      </c>
      <c r="CV95" s="56" t="n">
        <f aca="false">SUM(CV91:CV94)</f>
        <v>3.41030423900435E-010</v>
      </c>
      <c r="CW95" s="56" t="n">
        <f aca="false">SUM(CW91:CW94)</f>
        <v>3.4529330419919E-010</v>
      </c>
      <c r="CX95" s="56" t="n">
        <f aca="false">SUM(CX91:CX94)</f>
        <v>3.4960947050168E-010</v>
      </c>
      <c r="CY95" s="56" t="n">
        <f aca="false">SUM(CY91:CY94)</f>
        <v>3.53979588882951E-010</v>
      </c>
      <c r="CZ95" s="56" t="n">
        <f aca="false">SUM(CZ91:CZ94)</f>
        <v>3.58404333743988E-010</v>
      </c>
      <c r="DA95" s="56" t="n">
        <f aca="false">SUM(DA91:DA94)</f>
        <v>3.62884387915788E-010</v>
      </c>
      <c r="DB95" s="56" t="n">
        <f aca="false">SUM(DB91:DB94)</f>
        <v>3.67420442764735E-010</v>
      </c>
      <c r="DC95" s="56" t="n">
        <f aca="false">SUM(DC91:DC94)</f>
        <v>3.72013198299294E-010</v>
      </c>
      <c r="DD95" s="56" t="n">
        <f aca="false">SUM(DD91:DD94)</f>
        <v>3.76663363278035E-010</v>
      </c>
      <c r="DE95" s="56" t="n">
        <f aca="false">SUM(DE91:DE94)</f>
        <v>3.81371655319011E-010</v>
      </c>
      <c r="DF95" s="56" t="n">
        <f aca="false">SUM(DF91:DF94)</f>
        <v>3.86138801010498E-010</v>
      </c>
      <c r="DG95" s="56" t="n">
        <f aca="false">SUM(DG91:DG94)</f>
        <v>3.9096553602313E-010</v>
      </c>
      <c r="DH95" s="56" t="n">
        <f aca="false">SUM(DH91:DH94)</f>
        <v>3.95852605223419E-010</v>
      </c>
      <c r="DI95" s="56" t="n">
        <f aca="false">SUM(DI91:DI94)</f>
        <v>4.00800762788712E-010</v>
      </c>
      <c r="DJ95" s="56" t="n">
        <f aca="false">SUM(DJ91:DJ94)</f>
        <v>4.0581077232357E-010</v>
      </c>
      <c r="DK95" s="56" t="n">
        <f aca="false">SUM(DK91:DK94)</f>
        <v>4.10883406977615E-010</v>
      </c>
      <c r="DL95" s="56" t="n">
        <f aca="false">SUM(DL91:DL94)</f>
        <v>4.16019449564835E-010</v>
      </c>
      <c r="DM95" s="56" t="n">
        <f aca="false">SUM(DM91:DM94)</f>
        <v>4.21219692684396E-010</v>
      </c>
      <c r="DN95" s="56" t="n">
        <f aca="false">SUM(DN91:DN94)</f>
        <v>4.26484938842951E-010</v>
      </c>
      <c r="DO95" s="56" t="n">
        <f aca="false">SUM(DO91:DO94)</f>
        <v>4.31816000578488E-010</v>
      </c>
      <c r="DP95" s="56" t="n">
        <f aca="false">SUM(DP91:DP94)</f>
        <v>4.37213700585719E-010</v>
      </c>
      <c r="DQ95" s="56" t="n">
        <f aca="false">SUM(DQ91:DQ94)</f>
        <v>4.4267887184304E-010</v>
      </c>
      <c r="DR95" s="56" t="n">
        <f aca="false">SUM(DR91:DR94)</f>
        <v>4.48212357741078E-010</v>
      </c>
      <c r="DS95" s="56" t="n">
        <f aca="false">SUM(DS91:DS94)</f>
        <v>4.53815012212842E-010</v>
      </c>
      <c r="DT95" s="56" t="n">
        <f aca="false">SUM(DT91:DT94)</f>
        <v>4.59487699865502E-010</v>
      </c>
      <c r="DU95" s="56" t="n">
        <f aca="false">SUM(DU91:DU94)</f>
        <v>4.65231296113821E-010</v>
      </c>
      <c r="DV95" s="56" t="n">
        <f aca="false">SUM(DV91:DV94)</f>
        <v>4.71046687315244E-010</v>
      </c>
      <c r="DW95" s="56" t="n">
        <f aca="false">SUM(DW91:DW94)</f>
        <v>4.76934770906684E-010</v>
      </c>
      <c r="DX95" s="56" t="n">
        <f aca="false">SUM(DX91:DX94)</f>
        <v>4.82896455543018E-010</v>
      </c>
      <c r="DY95" s="56" t="n">
        <f aca="false">SUM(DY91:DY94)</f>
        <v>4.88932661237306E-010</v>
      </c>
      <c r="DZ95" s="56" t="n">
        <f aca="false">SUM(DZ91:DZ94)</f>
        <v>4.95044319502772E-010</v>
      </c>
      <c r="EA95" s="56" t="n">
        <f aca="false">SUM(EA91:EA94)</f>
        <v>5.01232373496557E-010</v>
      </c>
      <c r="EB95" s="56" t="n">
        <f aca="false">SUM(EB91:EB94)</f>
        <v>5.07497778165264E-010</v>
      </c>
      <c r="EC95" s="56" t="n">
        <f aca="false">SUM(EC91:EC94)</f>
        <v>5.13841500392329E-010</v>
      </c>
      <c r="ED95" s="56" t="n">
        <f aca="false">SUM(ED91:ED94)</f>
        <v>5.20264519147233E-010</v>
      </c>
      <c r="EE95" s="56" t="n">
        <f aca="false">SUM(EE91:EE94)</f>
        <v>5.26767825636574E-010</v>
      </c>
      <c r="EF95" s="56" t="n">
        <f aca="false">SUM(EF91:EF94)</f>
        <v>5.33352423457031E-010</v>
      </c>
      <c r="EG95" s="56" t="n">
        <f aca="false">SUM(EG91:EG94)</f>
        <v>5.40019328750244E-010</v>
      </c>
      <c r="EH95" s="56" t="n">
        <f aca="false">SUM(EH91:EH94)</f>
        <v>5.46769570359622E-010</v>
      </c>
      <c r="EI95" s="56" t="n">
        <f aca="false">SUM(EI91:EI94)</f>
        <v>5.53604189989117E-010</v>
      </c>
      <c r="EJ95" s="56" t="n">
        <f aca="false">SUM(EJ91:EJ94)</f>
        <v>5.60524242363981E-010</v>
      </c>
      <c r="EK95" s="56" t="n">
        <f aca="false">SUM(EK91:EK94)</f>
        <v>5.67530795393531E-010</v>
      </c>
      <c r="EL95" s="56" t="n">
        <f aca="false">SUM(EL91:EL94)</f>
        <v>5.7462493033595E-010</v>
      </c>
      <c r="EM95" s="56" t="n">
        <f aca="false">SUM(EM91:EM94)</f>
        <v>5.8180774196515E-010</v>
      </c>
      <c r="EN95" s="56" t="n">
        <f aca="false">SUM(EN91:EN94)</f>
        <v>5.89080338739714E-010</v>
      </c>
      <c r="EO95" s="56" t="n">
        <f aca="false">SUM(EO91:EO94)</f>
        <v>5.9644384297396E-010</v>
      </c>
    </row>
    <row r="96" customFormat="false" ht="15" hidden="false" customHeight="false" outlineLevel="0" collapsed="false">
      <c r="C96" s="0" t="s">
        <v>441</v>
      </c>
      <c r="D96" s="11" t="s">
        <v>33</v>
      </c>
      <c r="I96" s="47" t="n">
        <f aca="false">SUM(J96:EO96)</f>
        <v>-1184.16164473251</v>
      </c>
      <c r="J96" s="47" t="n">
        <f aca="false">-In_Upfront_Fee*$E95*(J91=0)*(J92&gt;0)</f>
        <v>-0</v>
      </c>
      <c r="K96" s="47" t="n">
        <f aca="false">-In_Upfront_Fee*$E95*(K91=0)*(K92&gt;0)</f>
        <v>-0</v>
      </c>
      <c r="L96" s="47" t="n">
        <f aca="false">-In_Upfront_Fee*$E95*(L91=0)*(L92&gt;0)</f>
        <v>-0</v>
      </c>
      <c r="M96" s="47" t="n">
        <f aca="false">-In_Upfront_Fee*$E95*(M91=0)*(M92&gt;0)</f>
        <v>-0</v>
      </c>
      <c r="N96" s="47" t="n">
        <f aca="false">-In_Upfront_Fee*$E95*(N91=0)*(N92&gt;0)</f>
        <v>-0</v>
      </c>
      <c r="O96" s="47" t="n">
        <f aca="false">-In_Upfront_Fee*$E95*(O91=0)*(O92&gt;0)</f>
        <v>-0</v>
      </c>
      <c r="P96" s="47" t="n">
        <f aca="false">-In_Upfront_Fee*$E95*(P91=0)*(P92&gt;0)</f>
        <v>-0</v>
      </c>
      <c r="Q96" s="47" t="n">
        <f aca="false">-In_Upfront_Fee*$E95*(Q91=0)*(Q92&gt;0)</f>
        <v>-0</v>
      </c>
      <c r="R96" s="47" t="n">
        <f aca="false">-In_Upfront_Fee*$E95*(R91=0)*(R92&gt;0)</f>
        <v>-1184.16164473251</v>
      </c>
      <c r="S96" s="47" t="n">
        <f aca="false">-In_Upfront_Fee*$E95*(S91=0)*(S92&gt;0)</f>
        <v>-0</v>
      </c>
      <c r="T96" s="47" t="n">
        <f aca="false">-In_Upfront_Fee*$E95*(T91=0)*(T92&gt;0)</f>
        <v>-0</v>
      </c>
      <c r="U96" s="47" t="n">
        <f aca="false">-In_Upfront_Fee*$E95*(U91=0)*(U92&gt;0)</f>
        <v>-0</v>
      </c>
      <c r="V96" s="47" t="n">
        <f aca="false">-In_Upfront_Fee*$E95*(V91=0)*(V92&gt;0)</f>
        <v>-0</v>
      </c>
      <c r="W96" s="47" t="n">
        <f aca="false">-In_Upfront_Fee*$E95*(W91=0)*(W92&gt;0)</f>
        <v>-0</v>
      </c>
      <c r="X96" s="47" t="n">
        <f aca="false">-In_Upfront_Fee*$E95*(X91=0)*(X92&gt;0)</f>
        <v>-0</v>
      </c>
      <c r="Y96" s="47" t="n">
        <f aca="false">-In_Upfront_Fee*$E95*(Y91=0)*(Y92&gt;0)</f>
        <v>-0</v>
      </c>
      <c r="Z96" s="47" t="n">
        <f aca="false">-In_Upfront_Fee*$E95*(Z91=0)*(Z92&gt;0)</f>
        <v>-0</v>
      </c>
      <c r="AA96" s="47" t="n">
        <f aca="false">-In_Upfront_Fee*$E95*(AA91=0)*(AA92&gt;0)</f>
        <v>-0</v>
      </c>
      <c r="AB96" s="47" t="n">
        <f aca="false">-In_Upfront_Fee*$E95*(AB91=0)*(AB92&gt;0)</f>
        <v>-0</v>
      </c>
      <c r="AC96" s="47" t="n">
        <f aca="false">-In_Upfront_Fee*$E95*(AC91=0)*(AC92&gt;0)</f>
        <v>-0</v>
      </c>
      <c r="AD96" s="47" t="n">
        <f aca="false">-In_Upfront_Fee*$E95*(AD91=0)*(AD92&gt;0)</f>
        <v>-0</v>
      </c>
      <c r="AE96" s="47" t="n">
        <f aca="false">-In_Upfront_Fee*$E95*(AE91=0)*(AE92&gt;0)</f>
        <v>-0</v>
      </c>
      <c r="AF96" s="47" t="n">
        <f aca="false">-In_Upfront_Fee*$E95*(AF91=0)*(AF92&gt;0)</f>
        <v>-0</v>
      </c>
      <c r="AG96" s="47" t="n">
        <f aca="false">-In_Upfront_Fee*$E95*(AG91=0)*(AG92&gt;0)</f>
        <v>-0</v>
      </c>
      <c r="AH96" s="47" t="n">
        <f aca="false">-In_Upfront_Fee*$E95*(AH91=0)*(AH92&gt;0)</f>
        <v>-0</v>
      </c>
      <c r="AI96" s="47" t="n">
        <f aca="false">-In_Upfront_Fee*$E95*(AI91=0)*(AI92&gt;0)</f>
        <v>-0</v>
      </c>
      <c r="AJ96" s="47" t="n">
        <f aca="false">-In_Upfront_Fee*$E95*(AJ91=0)*(AJ92&gt;0)</f>
        <v>-0</v>
      </c>
      <c r="AK96" s="47" t="n">
        <f aca="false">-In_Upfront_Fee*$E95*(AK91=0)*(AK92&gt;0)</f>
        <v>-0</v>
      </c>
      <c r="AL96" s="47" t="n">
        <f aca="false">-In_Upfront_Fee*$E95*(AL91=0)*(AL92&gt;0)</f>
        <v>-0</v>
      </c>
      <c r="AM96" s="47" t="n">
        <f aca="false">-In_Upfront_Fee*$E95*(AM91=0)*(AM92&gt;0)</f>
        <v>-0</v>
      </c>
      <c r="AN96" s="47" t="n">
        <f aca="false">-In_Upfront_Fee*$E95*(AN91=0)*(AN92&gt;0)</f>
        <v>-0</v>
      </c>
      <c r="AO96" s="47" t="n">
        <f aca="false">-In_Upfront_Fee*$E95*(AO91=0)*(AO92&gt;0)</f>
        <v>-0</v>
      </c>
      <c r="AP96" s="47" t="n">
        <f aca="false">-In_Upfront_Fee*$E95*(AP91=0)*(AP92&gt;0)</f>
        <v>-0</v>
      </c>
      <c r="AQ96" s="47" t="n">
        <f aca="false">-In_Upfront_Fee*$E95*(AQ91=0)*(AQ92&gt;0)</f>
        <v>-0</v>
      </c>
      <c r="AR96" s="47" t="n">
        <f aca="false">-In_Upfront_Fee*$E95*(AR91=0)*(AR92&gt;0)</f>
        <v>-0</v>
      </c>
      <c r="AS96" s="47" t="n">
        <f aca="false">-In_Upfront_Fee*$E95*(AS91=0)*(AS92&gt;0)</f>
        <v>-0</v>
      </c>
      <c r="AT96" s="47" t="n">
        <f aca="false">-In_Upfront_Fee*$E95*(AT91=0)*(AT92&gt;0)</f>
        <v>-0</v>
      </c>
      <c r="AU96" s="47" t="n">
        <f aca="false">-In_Upfront_Fee*$E95*(AU91=0)*(AU92&gt;0)</f>
        <v>-0</v>
      </c>
      <c r="AV96" s="47" t="n">
        <f aca="false">-In_Upfront_Fee*$E95*(AV91=0)*(AV92&gt;0)</f>
        <v>-0</v>
      </c>
      <c r="AW96" s="47" t="n">
        <f aca="false">-In_Upfront_Fee*$E95*(AW91=0)*(AW92&gt;0)</f>
        <v>-0</v>
      </c>
      <c r="AX96" s="47" t="n">
        <f aca="false">-In_Upfront_Fee*$E95*(AX91=0)*(AX92&gt;0)</f>
        <v>-0</v>
      </c>
      <c r="AY96" s="47" t="n">
        <f aca="false">-In_Upfront_Fee*$E95*(AY91=0)*(AY92&gt;0)</f>
        <v>-0</v>
      </c>
      <c r="AZ96" s="47" t="n">
        <f aca="false">-In_Upfront_Fee*$E95*(AZ91=0)*(AZ92&gt;0)</f>
        <v>-0</v>
      </c>
      <c r="BA96" s="47" t="n">
        <f aca="false">-In_Upfront_Fee*$E95*(BA91=0)*(BA92&gt;0)</f>
        <v>-0</v>
      </c>
      <c r="BB96" s="47" t="n">
        <f aca="false">-In_Upfront_Fee*$E95*(BB91=0)*(BB92&gt;0)</f>
        <v>-0</v>
      </c>
      <c r="BC96" s="47" t="n">
        <f aca="false">-In_Upfront_Fee*$E95*(BC91=0)*(BC92&gt;0)</f>
        <v>-0</v>
      </c>
      <c r="BD96" s="47" t="n">
        <f aca="false">-In_Upfront_Fee*$E95*(BD91=0)*(BD92&gt;0)</f>
        <v>-0</v>
      </c>
      <c r="BE96" s="47" t="n">
        <f aca="false">-In_Upfront_Fee*$E95*(BE91=0)*(BE92&gt;0)</f>
        <v>-0</v>
      </c>
      <c r="BF96" s="47" t="n">
        <f aca="false">-In_Upfront_Fee*$E95*(BF91=0)*(BF92&gt;0)</f>
        <v>-0</v>
      </c>
      <c r="BG96" s="47" t="n">
        <f aca="false">-In_Upfront_Fee*$E95*(BG91=0)*(BG92&gt;0)</f>
        <v>-0</v>
      </c>
      <c r="BH96" s="47" t="n">
        <f aca="false">-In_Upfront_Fee*$E95*(BH91=0)*(BH92&gt;0)</f>
        <v>-0</v>
      </c>
      <c r="BI96" s="47" t="n">
        <f aca="false">-In_Upfront_Fee*$E95*(BI91=0)*(BI92&gt;0)</f>
        <v>-0</v>
      </c>
      <c r="BJ96" s="47" t="n">
        <f aca="false">-In_Upfront_Fee*$E95*(BJ91=0)*(BJ92&gt;0)</f>
        <v>-0</v>
      </c>
      <c r="BK96" s="47" t="n">
        <f aca="false">-In_Upfront_Fee*$E95*(BK91=0)*(BK92&gt;0)</f>
        <v>-0</v>
      </c>
      <c r="BL96" s="47" t="n">
        <f aca="false">-In_Upfront_Fee*$E95*(BL91=0)*(BL92&gt;0)</f>
        <v>-0</v>
      </c>
      <c r="BM96" s="47" t="n">
        <f aca="false">-In_Upfront_Fee*$E95*(BM91=0)*(BM92&gt;0)</f>
        <v>-0</v>
      </c>
      <c r="BN96" s="47" t="n">
        <f aca="false">-In_Upfront_Fee*$E95*(BN91=0)*(BN92&gt;0)</f>
        <v>-0</v>
      </c>
      <c r="BO96" s="47" t="n">
        <f aca="false">-In_Upfront_Fee*$E95*(BO91=0)*(BO92&gt;0)</f>
        <v>-0</v>
      </c>
      <c r="BP96" s="47" t="n">
        <f aca="false">-In_Upfront_Fee*$E95*(BP91=0)*(BP92&gt;0)</f>
        <v>-0</v>
      </c>
      <c r="BQ96" s="47" t="n">
        <f aca="false">-In_Upfront_Fee*$E95*(BQ91=0)*(BQ92&gt;0)</f>
        <v>-0</v>
      </c>
      <c r="BR96" s="47" t="n">
        <f aca="false">-In_Upfront_Fee*$E95*(BR91=0)*(BR92&gt;0)</f>
        <v>-0</v>
      </c>
      <c r="BS96" s="47" t="n">
        <f aca="false">-In_Upfront_Fee*$E95*(BS91=0)*(BS92&gt;0)</f>
        <v>-0</v>
      </c>
      <c r="BT96" s="47" t="n">
        <f aca="false">-In_Upfront_Fee*$E95*(BT91=0)*(BT92&gt;0)</f>
        <v>-0</v>
      </c>
      <c r="BU96" s="47" t="n">
        <f aca="false">-In_Upfront_Fee*$E95*(BU91=0)*(BU92&gt;0)</f>
        <v>-0</v>
      </c>
      <c r="BV96" s="47" t="n">
        <f aca="false">-In_Upfront_Fee*$E95*(BV91=0)*(BV92&gt;0)</f>
        <v>-0</v>
      </c>
      <c r="BW96" s="47" t="n">
        <f aca="false">-In_Upfront_Fee*$E95*(BW91=0)*(BW92&gt;0)</f>
        <v>-0</v>
      </c>
      <c r="BX96" s="47" t="n">
        <f aca="false">-In_Upfront_Fee*$E95*(BX91=0)*(BX92&gt;0)</f>
        <v>-0</v>
      </c>
      <c r="BY96" s="47" t="n">
        <f aca="false">-In_Upfront_Fee*$E95*(BY91=0)*(BY92&gt;0)</f>
        <v>-0</v>
      </c>
      <c r="BZ96" s="47" t="n">
        <f aca="false">-In_Upfront_Fee*$E95*(BZ91=0)*(BZ92&gt;0)</f>
        <v>-0</v>
      </c>
      <c r="CA96" s="47" t="n">
        <f aca="false">-In_Upfront_Fee*$E95*(CA91=0)*(CA92&gt;0)</f>
        <v>-0</v>
      </c>
      <c r="CB96" s="47" t="n">
        <f aca="false">-In_Upfront_Fee*$E95*(CB91=0)*(CB92&gt;0)</f>
        <v>-0</v>
      </c>
      <c r="CC96" s="47" t="n">
        <f aca="false">-In_Upfront_Fee*$E95*(CC91=0)*(CC92&gt;0)</f>
        <v>-0</v>
      </c>
      <c r="CD96" s="47" t="n">
        <f aca="false">-In_Upfront_Fee*$E95*(CD91=0)*(CD92&gt;0)</f>
        <v>-0</v>
      </c>
      <c r="CE96" s="47" t="n">
        <f aca="false">-In_Upfront_Fee*$E95*(CE91=0)*(CE92&gt;0)</f>
        <v>-0</v>
      </c>
      <c r="CF96" s="47" t="n">
        <f aca="false">-In_Upfront_Fee*$E95*(CF91=0)*(CF92&gt;0)</f>
        <v>-0</v>
      </c>
      <c r="CG96" s="47" t="n">
        <f aca="false">-In_Upfront_Fee*$E95*(CG91=0)*(CG92&gt;0)</f>
        <v>-0</v>
      </c>
      <c r="CH96" s="47" t="n">
        <f aca="false">-In_Upfront_Fee*$E95*(CH91=0)*(CH92&gt;0)</f>
        <v>-0</v>
      </c>
      <c r="CI96" s="47" t="n">
        <f aca="false">-In_Upfront_Fee*$E95*(CI91=0)*(CI92&gt;0)</f>
        <v>-0</v>
      </c>
      <c r="CJ96" s="47" t="n">
        <f aca="false">-In_Upfront_Fee*$E95*(CJ91=0)*(CJ92&gt;0)</f>
        <v>-0</v>
      </c>
      <c r="CK96" s="47" t="n">
        <f aca="false">-In_Upfront_Fee*$E95*(CK91=0)*(CK92&gt;0)</f>
        <v>-0</v>
      </c>
      <c r="CL96" s="47" t="n">
        <f aca="false">-In_Upfront_Fee*$E95*(CL91=0)*(CL92&gt;0)</f>
        <v>-0</v>
      </c>
      <c r="CM96" s="47" t="n">
        <f aca="false">-In_Upfront_Fee*$E95*(CM91=0)*(CM92&gt;0)</f>
        <v>-0</v>
      </c>
      <c r="CN96" s="47" t="n">
        <f aca="false">-In_Upfront_Fee*$E95*(CN91=0)*(CN92&gt;0)</f>
        <v>-0</v>
      </c>
      <c r="CO96" s="47" t="n">
        <f aca="false">-In_Upfront_Fee*$E95*(CO91=0)*(CO92&gt;0)</f>
        <v>-0</v>
      </c>
      <c r="CP96" s="47" t="n">
        <f aca="false">-In_Upfront_Fee*$E95*(CP91=0)*(CP92&gt;0)</f>
        <v>-0</v>
      </c>
      <c r="CQ96" s="47" t="n">
        <f aca="false">-In_Upfront_Fee*$E95*(CQ91=0)*(CQ92&gt;0)</f>
        <v>-0</v>
      </c>
      <c r="CR96" s="47" t="n">
        <f aca="false">-In_Upfront_Fee*$E95*(CR91=0)*(CR92&gt;0)</f>
        <v>-0</v>
      </c>
      <c r="CS96" s="47" t="n">
        <f aca="false">-In_Upfront_Fee*$E95*(CS91=0)*(CS92&gt;0)</f>
        <v>-0</v>
      </c>
      <c r="CT96" s="47" t="n">
        <f aca="false">-In_Upfront_Fee*$E95*(CT91=0)*(CT92&gt;0)</f>
        <v>-0</v>
      </c>
      <c r="CU96" s="47" t="n">
        <f aca="false">-In_Upfront_Fee*$E95*(CU91=0)*(CU92&gt;0)</f>
        <v>-0</v>
      </c>
      <c r="CV96" s="47" t="n">
        <f aca="false">-In_Upfront_Fee*$E95*(CV91=0)*(CV92&gt;0)</f>
        <v>-0</v>
      </c>
      <c r="CW96" s="47" t="n">
        <f aca="false">-In_Upfront_Fee*$E95*(CW91=0)*(CW92&gt;0)</f>
        <v>-0</v>
      </c>
      <c r="CX96" s="47" t="n">
        <f aca="false">-In_Upfront_Fee*$E95*(CX91=0)*(CX92&gt;0)</f>
        <v>-0</v>
      </c>
      <c r="CY96" s="47" t="n">
        <f aca="false">-In_Upfront_Fee*$E95*(CY91=0)*(CY92&gt;0)</f>
        <v>-0</v>
      </c>
      <c r="CZ96" s="47" t="n">
        <f aca="false">-In_Upfront_Fee*$E95*(CZ91=0)*(CZ92&gt;0)</f>
        <v>-0</v>
      </c>
      <c r="DA96" s="47" t="n">
        <f aca="false">-In_Upfront_Fee*$E95*(DA91=0)*(DA92&gt;0)</f>
        <v>-0</v>
      </c>
      <c r="DB96" s="47" t="n">
        <f aca="false">-In_Upfront_Fee*$E95*(DB91=0)*(DB92&gt;0)</f>
        <v>-0</v>
      </c>
      <c r="DC96" s="47" t="n">
        <f aca="false">-In_Upfront_Fee*$E95*(DC91=0)*(DC92&gt;0)</f>
        <v>-0</v>
      </c>
      <c r="DD96" s="47" t="n">
        <f aca="false">-In_Upfront_Fee*$E95*(DD91=0)*(DD92&gt;0)</f>
        <v>-0</v>
      </c>
      <c r="DE96" s="47" t="n">
        <f aca="false">-In_Upfront_Fee*$E95*(DE91=0)*(DE92&gt;0)</f>
        <v>-0</v>
      </c>
      <c r="DF96" s="47" t="n">
        <f aca="false">-In_Upfront_Fee*$E95*(DF91=0)*(DF92&gt;0)</f>
        <v>-0</v>
      </c>
      <c r="DG96" s="47" t="n">
        <f aca="false">-In_Upfront_Fee*$E95*(DG91=0)*(DG92&gt;0)</f>
        <v>-0</v>
      </c>
      <c r="DH96" s="47" t="n">
        <f aca="false">-In_Upfront_Fee*$E95*(DH91=0)*(DH92&gt;0)</f>
        <v>-0</v>
      </c>
      <c r="DI96" s="47" t="n">
        <f aca="false">-In_Upfront_Fee*$E95*(DI91=0)*(DI92&gt;0)</f>
        <v>-0</v>
      </c>
      <c r="DJ96" s="47" t="n">
        <f aca="false">-In_Upfront_Fee*$E95*(DJ91=0)*(DJ92&gt;0)</f>
        <v>-0</v>
      </c>
      <c r="DK96" s="47" t="n">
        <f aca="false">-In_Upfront_Fee*$E95*(DK91=0)*(DK92&gt;0)</f>
        <v>-0</v>
      </c>
      <c r="DL96" s="47" t="n">
        <f aca="false">-In_Upfront_Fee*$E95*(DL91=0)*(DL92&gt;0)</f>
        <v>-0</v>
      </c>
      <c r="DM96" s="47" t="n">
        <f aca="false">-In_Upfront_Fee*$E95*(DM91=0)*(DM92&gt;0)</f>
        <v>-0</v>
      </c>
      <c r="DN96" s="47" t="n">
        <f aca="false">-In_Upfront_Fee*$E95*(DN91=0)*(DN92&gt;0)</f>
        <v>-0</v>
      </c>
      <c r="DO96" s="47" t="n">
        <f aca="false">-In_Upfront_Fee*$E95*(DO91=0)*(DO92&gt;0)</f>
        <v>-0</v>
      </c>
      <c r="DP96" s="47" t="n">
        <f aca="false">-In_Upfront_Fee*$E95*(DP91=0)*(DP92&gt;0)</f>
        <v>-0</v>
      </c>
      <c r="DQ96" s="47" t="n">
        <f aca="false">-In_Upfront_Fee*$E95*(DQ91=0)*(DQ92&gt;0)</f>
        <v>-0</v>
      </c>
      <c r="DR96" s="47" t="n">
        <f aca="false">-In_Upfront_Fee*$E95*(DR91=0)*(DR92&gt;0)</f>
        <v>-0</v>
      </c>
      <c r="DS96" s="47" t="n">
        <f aca="false">-In_Upfront_Fee*$E95*(DS91=0)*(DS92&gt;0)</f>
        <v>-0</v>
      </c>
      <c r="DT96" s="47" t="n">
        <f aca="false">-In_Upfront_Fee*$E95*(DT91=0)*(DT92&gt;0)</f>
        <v>-0</v>
      </c>
      <c r="DU96" s="47" t="n">
        <f aca="false">-In_Upfront_Fee*$E95*(DU91=0)*(DU92&gt;0)</f>
        <v>-0</v>
      </c>
      <c r="DV96" s="47" t="n">
        <f aca="false">-In_Upfront_Fee*$E95*(DV91=0)*(DV92&gt;0)</f>
        <v>-0</v>
      </c>
      <c r="DW96" s="47" t="n">
        <f aca="false">-In_Upfront_Fee*$E95*(DW91=0)*(DW92&gt;0)</f>
        <v>-0</v>
      </c>
      <c r="DX96" s="47" t="n">
        <f aca="false">-In_Upfront_Fee*$E95*(DX91=0)*(DX92&gt;0)</f>
        <v>-0</v>
      </c>
      <c r="DY96" s="47" t="n">
        <f aca="false">-In_Upfront_Fee*$E95*(DY91=0)*(DY92&gt;0)</f>
        <v>-0</v>
      </c>
      <c r="DZ96" s="47" t="n">
        <f aca="false">-In_Upfront_Fee*$E95*(DZ91=0)*(DZ92&gt;0)</f>
        <v>-0</v>
      </c>
      <c r="EA96" s="47" t="n">
        <f aca="false">-In_Upfront_Fee*$E95*(EA91=0)*(EA92&gt;0)</f>
        <v>-0</v>
      </c>
      <c r="EB96" s="47" t="n">
        <f aca="false">-In_Upfront_Fee*$E95*(EB91=0)*(EB92&gt;0)</f>
        <v>-0</v>
      </c>
      <c r="EC96" s="47" t="n">
        <f aca="false">-In_Upfront_Fee*$E95*(EC91=0)*(EC92&gt;0)</f>
        <v>-0</v>
      </c>
      <c r="ED96" s="47" t="n">
        <f aca="false">-In_Upfront_Fee*$E95*(ED91=0)*(ED92&gt;0)</f>
        <v>-0</v>
      </c>
      <c r="EE96" s="47" t="n">
        <f aca="false">-In_Upfront_Fee*$E95*(EE91=0)*(EE92&gt;0)</f>
        <v>-0</v>
      </c>
      <c r="EF96" s="47" t="n">
        <f aca="false">-In_Upfront_Fee*$E95*(EF91=0)*(EF92&gt;0)</f>
        <v>-0</v>
      </c>
      <c r="EG96" s="47" t="n">
        <f aca="false">-In_Upfront_Fee*$E95*(EG91=0)*(EG92&gt;0)</f>
        <v>-0</v>
      </c>
      <c r="EH96" s="47" t="n">
        <f aca="false">-In_Upfront_Fee*$E95*(EH91=0)*(EH92&gt;0)</f>
        <v>-0</v>
      </c>
      <c r="EI96" s="47" t="n">
        <f aca="false">-In_Upfront_Fee*$E95*(EI91=0)*(EI92&gt;0)</f>
        <v>-0</v>
      </c>
      <c r="EJ96" s="47" t="n">
        <f aca="false">-In_Upfront_Fee*$E95*(EJ91=0)*(EJ92&gt;0)</f>
        <v>-0</v>
      </c>
      <c r="EK96" s="47" t="n">
        <f aca="false">-In_Upfront_Fee*$E95*(EK91=0)*(EK92&gt;0)</f>
        <v>-0</v>
      </c>
      <c r="EL96" s="47" t="n">
        <f aca="false">-In_Upfront_Fee*$E95*(EL91=0)*(EL92&gt;0)</f>
        <v>-0</v>
      </c>
      <c r="EM96" s="47" t="n">
        <f aca="false">-In_Upfront_Fee*$E95*(EM91=0)*(EM92&gt;0)</f>
        <v>-0</v>
      </c>
      <c r="EN96" s="47" t="n">
        <f aca="false">-In_Upfront_Fee*$E95*(EN91=0)*(EN92&gt;0)</f>
        <v>-0</v>
      </c>
      <c r="EO96" s="47" t="n">
        <f aca="false">-In_Upfront_Fee*$E95*(EO91=0)*(EO92&gt;0)</f>
        <v>-0</v>
      </c>
    </row>
    <row r="97" customFormat="false" ht="15" hidden="false" customHeight="false" outlineLevel="0" collapsed="false">
      <c r="C97" s="0" t="s">
        <v>442</v>
      </c>
      <c r="D97" s="11" t="s">
        <v>33</v>
      </c>
      <c r="I97" s="47" t="n">
        <f aca="false">SUM(J97:EO97)</f>
        <v>-633.507270175868</v>
      </c>
      <c r="J97" s="47" t="n">
        <f aca="false">-In_Commitment_Fee*($I92-SUM($J92:J92)+J92)*J$6*(J12&gt;0)</f>
        <v>-0</v>
      </c>
      <c r="K97" s="47" t="n">
        <f aca="false">-In_Commitment_Fee*($I92-SUM($J92:K92)+K92)*K$6*(K12&gt;0)</f>
        <v>-0</v>
      </c>
      <c r="L97" s="47" t="n">
        <f aca="false">-In_Commitment_Fee*($I92-SUM($J92:L92)+L92)*L$6*(L12&gt;0)</f>
        <v>-0</v>
      </c>
      <c r="M97" s="47" t="n">
        <f aca="false">-In_Commitment_Fee*($I92-SUM($J92:M92)+M92)*M$6*(M12&gt;0)</f>
        <v>-0</v>
      </c>
      <c r="N97" s="47" t="n">
        <f aca="false">-In_Commitment_Fee*($I92-SUM($J92:N92)+N92)*N$6*(N12&gt;0)</f>
        <v>-0</v>
      </c>
      <c r="O97" s="47" t="n">
        <f aca="false">-In_Commitment_Fee*($I92-SUM($J92:O92)+O92)*O$6*(O12&gt;0)</f>
        <v>-0</v>
      </c>
      <c r="P97" s="47" t="n">
        <f aca="false">-In_Commitment_Fee*($I92-SUM($J92:P92)+P92)*P$6*(P12&gt;0)</f>
        <v>-0</v>
      </c>
      <c r="Q97" s="47" t="n">
        <f aca="false">-In_Commitment_Fee*($I92-SUM($J92:Q92)+Q92)*Q$6*(Q12&gt;0)</f>
        <v>-0</v>
      </c>
      <c r="R97" s="47" t="n">
        <f aca="false">-In_Commitment_Fee*($I92-SUM($J92:R92)+R92)*R$6*(R12&gt;0)</f>
        <v>-146.646418780859</v>
      </c>
      <c r="S97" s="47" t="n">
        <f aca="false">-In_Commitment_Fee*($I92-SUM($J92:S92)+S92)*S$6*(S12&gt;0)</f>
        <v>-127.762686895102</v>
      </c>
      <c r="T97" s="47" t="n">
        <f aca="false">-In_Commitment_Fee*($I92-SUM($J92:T92)+T92)*T$6*(T12&gt;0)</f>
        <v>-99.0186460949522</v>
      </c>
      <c r="U97" s="47" t="n">
        <f aca="false">-In_Commitment_Fee*($I92-SUM($J92:U92)+U92)*U$6*(U12&gt;0)</f>
        <v>-84.2365994220304</v>
      </c>
      <c r="V97" s="47" t="n">
        <f aca="false">-In_Commitment_Fee*($I92-SUM($J92:V92)+V92)*V$6*(V12&gt;0)</f>
        <v>-68.1920383561644</v>
      </c>
      <c r="W97" s="47" t="n">
        <f aca="false">-In_Commitment_Fee*($I92-SUM($J92:W92)+W92)*W$6*(W12&gt;0)</f>
        <v>-51.0138364796397</v>
      </c>
      <c r="X97" s="47" t="n">
        <f aca="false">-In_Commitment_Fee*($I92-SUM($J92:X92)+X92)*X$6*(X12&gt;0)</f>
        <v>-36.0554967798837</v>
      </c>
      <c r="Y97" s="47" t="n">
        <f aca="false">-In_Commitment_Fee*($I92-SUM($J92:Y92)+Y92)*Y$6*(Y12&gt;0)</f>
        <v>-20.5815473672359</v>
      </c>
      <c r="Z97" s="47" t="n">
        <f aca="false">-In_Commitment_Fee*($I92-SUM($J92:Z92)+Z92)*Z$6*(Z12&gt;0)</f>
        <v>-0</v>
      </c>
      <c r="AA97" s="47" t="n">
        <f aca="false">-In_Commitment_Fee*($I92-SUM($J92:AA92)+AA92)*AA$6*(AA12&gt;0)</f>
        <v>-0</v>
      </c>
      <c r="AB97" s="47" t="n">
        <f aca="false">-In_Commitment_Fee*($I92-SUM($J92:AB92)+AB92)*AB$6*(AB12&gt;0)</f>
        <v>-0</v>
      </c>
      <c r="AC97" s="47" t="n">
        <f aca="false">-In_Commitment_Fee*($I92-SUM($J92:AC92)+AC92)*AC$6*(AC12&gt;0)</f>
        <v>-0</v>
      </c>
      <c r="AD97" s="47" t="n">
        <f aca="false">-In_Commitment_Fee*($I92-SUM($J92:AD92)+AD92)*AD$6*(AD12&gt;0)</f>
        <v>-0</v>
      </c>
      <c r="AE97" s="47" t="n">
        <f aca="false">-In_Commitment_Fee*($I92-SUM($J92:AE92)+AE92)*AE$6*(AE12&gt;0)</f>
        <v>-0</v>
      </c>
      <c r="AF97" s="47" t="n">
        <f aca="false">-In_Commitment_Fee*($I92-SUM($J92:AF92)+AF92)*AF$6*(AF12&gt;0)</f>
        <v>-0</v>
      </c>
      <c r="AG97" s="47" t="n">
        <f aca="false">-In_Commitment_Fee*($I92-SUM($J92:AG92)+AG92)*AG$6*(AG12&gt;0)</f>
        <v>-0</v>
      </c>
      <c r="AH97" s="47" t="n">
        <f aca="false">-In_Commitment_Fee*($I92-SUM($J92:AH92)+AH92)*AH$6*(AH12&gt;0)</f>
        <v>-0</v>
      </c>
      <c r="AI97" s="47" t="n">
        <f aca="false">-In_Commitment_Fee*($I92-SUM($J92:AI92)+AI92)*AI$6*(AI12&gt;0)</f>
        <v>-0</v>
      </c>
      <c r="AJ97" s="47" t="n">
        <f aca="false">-In_Commitment_Fee*($I92-SUM($J92:AJ92)+AJ92)*AJ$6*(AJ12&gt;0)</f>
        <v>-0</v>
      </c>
      <c r="AK97" s="47" t="n">
        <f aca="false">-In_Commitment_Fee*($I92-SUM($J92:AK92)+AK92)*AK$6*(AK12&gt;0)</f>
        <v>-0</v>
      </c>
      <c r="AL97" s="47" t="n">
        <f aca="false">-In_Commitment_Fee*($I92-SUM($J92:AL92)+AL92)*AL$6*(AL12&gt;0)</f>
        <v>-0</v>
      </c>
      <c r="AM97" s="47" t="n">
        <f aca="false">-In_Commitment_Fee*($I92-SUM($J92:AM92)+AM92)*AM$6*(AM12&gt;0)</f>
        <v>-0</v>
      </c>
      <c r="AN97" s="47" t="n">
        <f aca="false">-In_Commitment_Fee*($I92-SUM($J92:AN92)+AN92)*AN$6*(AN12&gt;0)</f>
        <v>-0</v>
      </c>
      <c r="AO97" s="47" t="n">
        <f aca="false">-In_Commitment_Fee*($I92-SUM($J92:AO92)+AO92)*AO$6*(AO12&gt;0)</f>
        <v>-0</v>
      </c>
      <c r="AP97" s="47" t="n">
        <f aca="false">-In_Commitment_Fee*($I92-SUM($J92:AP92)+AP92)*AP$6*(AP12&gt;0)</f>
        <v>-0</v>
      </c>
      <c r="AQ97" s="47" t="n">
        <f aca="false">-In_Commitment_Fee*($I92-SUM($J92:AQ92)+AQ92)*AQ$6*(AQ12&gt;0)</f>
        <v>-0</v>
      </c>
      <c r="AR97" s="47" t="n">
        <f aca="false">-In_Commitment_Fee*($I92-SUM($J92:AR92)+AR92)*AR$6*(AR12&gt;0)</f>
        <v>-0</v>
      </c>
      <c r="AS97" s="47" t="n">
        <f aca="false">-In_Commitment_Fee*($I92-SUM($J92:AS92)+AS92)*AS$6*(AS12&gt;0)</f>
        <v>-0</v>
      </c>
      <c r="AT97" s="47" t="n">
        <f aca="false">-In_Commitment_Fee*($I92-SUM($J92:AT92)+AT92)*AT$6*(AT12&gt;0)</f>
        <v>-0</v>
      </c>
      <c r="AU97" s="47" t="n">
        <f aca="false">-In_Commitment_Fee*($I92-SUM($J92:AU92)+AU92)*AU$6*(AU12&gt;0)</f>
        <v>-0</v>
      </c>
      <c r="AV97" s="47" t="n">
        <f aca="false">-In_Commitment_Fee*($I92-SUM($J92:AV92)+AV92)*AV$6*(AV12&gt;0)</f>
        <v>-0</v>
      </c>
      <c r="AW97" s="47" t="n">
        <f aca="false">-In_Commitment_Fee*($I92-SUM($J92:AW92)+AW92)*AW$6*(AW12&gt;0)</f>
        <v>-0</v>
      </c>
      <c r="AX97" s="47" t="n">
        <f aca="false">-In_Commitment_Fee*($I92-SUM($J92:AX92)+AX92)*AX$6*(AX12&gt;0)</f>
        <v>-0</v>
      </c>
      <c r="AY97" s="47" t="n">
        <f aca="false">-In_Commitment_Fee*($I92-SUM($J92:AY92)+AY92)*AY$6*(AY12&gt;0)</f>
        <v>-0</v>
      </c>
      <c r="AZ97" s="47" t="n">
        <f aca="false">-In_Commitment_Fee*($I92-SUM($J92:AZ92)+AZ92)*AZ$6*(AZ12&gt;0)</f>
        <v>-0</v>
      </c>
      <c r="BA97" s="47" t="n">
        <f aca="false">-In_Commitment_Fee*($I92-SUM($J92:BA92)+BA92)*BA$6*(BA12&gt;0)</f>
        <v>-0</v>
      </c>
      <c r="BB97" s="47" t="n">
        <f aca="false">-In_Commitment_Fee*($I92-SUM($J92:BB92)+BB92)*BB$6*(BB12&gt;0)</f>
        <v>-0</v>
      </c>
      <c r="BC97" s="47" t="n">
        <f aca="false">-In_Commitment_Fee*($I92-SUM($J92:BC92)+BC92)*BC$6*(BC12&gt;0)</f>
        <v>-0</v>
      </c>
      <c r="BD97" s="47" t="n">
        <f aca="false">-In_Commitment_Fee*($I92-SUM($J92:BD92)+BD92)*BD$6*(BD12&gt;0)</f>
        <v>-0</v>
      </c>
      <c r="BE97" s="47" t="n">
        <f aca="false">-In_Commitment_Fee*($I92-SUM($J92:BE92)+BE92)*BE$6*(BE12&gt;0)</f>
        <v>-0</v>
      </c>
      <c r="BF97" s="47" t="n">
        <f aca="false">-In_Commitment_Fee*($I92-SUM($J92:BF92)+BF92)*BF$6*(BF12&gt;0)</f>
        <v>-0</v>
      </c>
      <c r="BG97" s="47" t="n">
        <f aca="false">-In_Commitment_Fee*($I92-SUM($J92:BG92)+BG92)*BG$6*(BG12&gt;0)</f>
        <v>-0</v>
      </c>
      <c r="BH97" s="47" t="n">
        <f aca="false">-In_Commitment_Fee*($I92-SUM($J92:BH92)+BH92)*BH$6*(BH12&gt;0)</f>
        <v>-0</v>
      </c>
      <c r="BI97" s="47" t="n">
        <f aca="false">-In_Commitment_Fee*($I92-SUM($J92:BI92)+BI92)*BI$6*(BI12&gt;0)</f>
        <v>-0</v>
      </c>
      <c r="BJ97" s="47" t="n">
        <f aca="false">-In_Commitment_Fee*($I92-SUM($J92:BJ92)+BJ92)*BJ$6*(BJ12&gt;0)</f>
        <v>-0</v>
      </c>
      <c r="BK97" s="47" t="n">
        <f aca="false">-In_Commitment_Fee*($I92-SUM($J92:BK92)+BK92)*BK$6*(BK12&gt;0)</f>
        <v>-0</v>
      </c>
      <c r="BL97" s="47" t="n">
        <f aca="false">-In_Commitment_Fee*($I92-SUM($J92:BL92)+BL92)*BL$6*(BL12&gt;0)</f>
        <v>-0</v>
      </c>
      <c r="BM97" s="47" t="n">
        <f aca="false">-In_Commitment_Fee*($I92-SUM($J92:BM92)+BM92)*BM$6*(BM12&gt;0)</f>
        <v>-0</v>
      </c>
      <c r="BN97" s="47" t="n">
        <f aca="false">-In_Commitment_Fee*($I92-SUM($J92:BN92)+BN92)*BN$6*(BN12&gt;0)</f>
        <v>-0</v>
      </c>
      <c r="BO97" s="47" t="n">
        <f aca="false">-In_Commitment_Fee*($I92-SUM($J92:BO92)+BO92)*BO$6*(BO12&gt;0)</f>
        <v>-0</v>
      </c>
      <c r="BP97" s="47" t="n">
        <f aca="false">-In_Commitment_Fee*($I92-SUM($J92:BP92)+BP92)*BP$6*(BP12&gt;0)</f>
        <v>-0</v>
      </c>
      <c r="BQ97" s="47" t="n">
        <f aca="false">-In_Commitment_Fee*($I92-SUM($J92:BQ92)+BQ92)*BQ$6*(BQ12&gt;0)</f>
        <v>-0</v>
      </c>
      <c r="BR97" s="47" t="n">
        <f aca="false">-In_Commitment_Fee*($I92-SUM($J92:BR92)+BR92)*BR$6*(BR12&gt;0)</f>
        <v>-0</v>
      </c>
      <c r="BS97" s="47" t="n">
        <f aca="false">-In_Commitment_Fee*($I92-SUM($J92:BS92)+BS92)*BS$6*(BS12&gt;0)</f>
        <v>-0</v>
      </c>
      <c r="BT97" s="47" t="n">
        <f aca="false">-In_Commitment_Fee*($I92-SUM($J92:BT92)+BT92)*BT$6*(BT12&gt;0)</f>
        <v>-0</v>
      </c>
      <c r="BU97" s="47" t="n">
        <f aca="false">-In_Commitment_Fee*($I92-SUM($J92:BU92)+BU92)*BU$6*(BU12&gt;0)</f>
        <v>-0</v>
      </c>
      <c r="BV97" s="47" t="n">
        <f aca="false">-In_Commitment_Fee*($I92-SUM($J92:BV92)+BV92)*BV$6*(BV12&gt;0)</f>
        <v>-0</v>
      </c>
      <c r="BW97" s="47" t="n">
        <f aca="false">-In_Commitment_Fee*($I92-SUM($J92:BW92)+BW92)*BW$6*(BW12&gt;0)</f>
        <v>-0</v>
      </c>
      <c r="BX97" s="47" t="n">
        <f aca="false">-In_Commitment_Fee*($I92-SUM($J92:BX92)+BX92)*BX$6*(BX12&gt;0)</f>
        <v>-0</v>
      </c>
      <c r="BY97" s="47" t="n">
        <f aca="false">-In_Commitment_Fee*($I92-SUM($J92:BY92)+BY92)*BY$6*(BY12&gt;0)</f>
        <v>-0</v>
      </c>
      <c r="BZ97" s="47" t="n">
        <f aca="false">-In_Commitment_Fee*($I92-SUM($J92:BZ92)+BZ92)*BZ$6*(BZ12&gt;0)</f>
        <v>-0</v>
      </c>
      <c r="CA97" s="47" t="n">
        <f aca="false">-In_Commitment_Fee*($I92-SUM($J92:CA92)+CA92)*CA$6*(CA12&gt;0)</f>
        <v>-0</v>
      </c>
      <c r="CB97" s="47" t="n">
        <f aca="false">-In_Commitment_Fee*($I92-SUM($J92:CB92)+CB92)*CB$6*(CB12&gt;0)</f>
        <v>-0</v>
      </c>
      <c r="CC97" s="47" t="n">
        <f aca="false">-In_Commitment_Fee*($I92-SUM($J92:CC92)+CC92)*CC$6*(CC12&gt;0)</f>
        <v>-0</v>
      </c>
      <c r="CD97" s="47" t="n">
        <f aca="false">-In_Commitment_Fee*($I92-SUM($J92:CD92)+CD92)*CD$6*(CD12&gt;0)</f>
        <v>-0</v>
      </c>
      <c r="CE97" s="47" t="n">
        <f aca="false">-In_Commitment_Fee*($I92-SUM($J92:CE92)+CE92)*CE$6*(CE12&gt;0)</f>
        <v>-0</v>
      </c>
      <c r="CF97" s="47" t="n">
        <f aca="false">-In_Commitment_Fee*($I92-SUM($J92:CF92)+CF92)*CF$6*(CF12&gt;0)</f>
        <v>-0</v>
      </c>
      <c r="CG97" s="47" t="n">
        <f aca="false">-In_Commitment_Fee*($I92-SUM($J92:CG92)+CG92)*CG$6*(CG12&gt;0)</f>
        <v>-0</v>
      </c>
      <c r="CH97" s="47" t="n">
        <f aca="false">-In_Commitment_Fee*($I92-SUM($J92:CH92)+CH92)*CH$6*(CH12&gt;0)</f>
        <v>-0</v>
      </c>
      <c r="CI97" s="47" t="n">
        <f aca="false">-In_Commitment_Fee*($I92-SUM($J92:CI92)+CI92)*CI$6*(CI12&gt;0)</f>
        <v>-0</v>
      </c>
      <c r="CJ97" s="47" t="n">
        <f aca="false">-In_Commitment_Fee*($I92-SUM($J92:CJ92)+CJ92)*CJ$6*(CJ12&gt;0)</f>
        <v>-0</v>
      </c>
      <c r="CK97" s="47" t="n">
        <f aca="false">-In_Commitment_Fee*($I92-SUM($J92:CK92)+CK92)*CK$6*(CK12&gt;0)</f>
        <v>-0</v>
      </c>
      <c r="CL97" s="47" t="n">
        <f aca="false">-In_Commitment_Fee*($I92-SUM($J92:CL92)+CL92)*CL$6*(CL12&gt;0)</f>
        <v>-0</v>
      </c>
      <c r="CM97" s="47" t="n">
        <f aca="false">-In_Commitment_Fee*($I92-SUM($J92:CM92)+CM92)*CM$6*(CM12&gt;0)</f>
        <v>-0</v>
      </c>
      <c r="CN97" s="47" t="n">
        <f aca="false">-In_Commitment_Fee*($I92-SUM($J92:CN92)+CN92)*CN$6*(CN12&gt;0)</f>
        <v>-0</v>
      </c>
      <c r="CO97" s="47" t="n">
        <f aca="false">-In_Commitment_Fee*($I92-SUM($J92:CO92)+CO92)*CO$6*(CO12&gt;0)</f>
        <v>-0</v>
      </c>
      <c r="CP97" s="47" t="n">
        <f aca="false">-In_Commitment_Fee*($I92-SUM($J92:CP92)+CP92)*CP$6*(CP12&gt;0)</f>
        <v>-0</v>
      </c>
      <c r="CQ97" s="47" t="n">
        <f aca="false">-In_Commitment_Fee*($I92-SUM($J92:CQ92)+CQ92)*CQ$6*(CQ12&gt;0)</f>
        <v>-0</v>
      </c>
      <c r="CR97" s="47" t="n">
        <f aca="false">-In_Commitment_Fee*($I92-SUM($J92:CR92)+CR92)*CR$6*(CR12&gt;0)</f>
        <v>-0</v>
      </c>
      <c r="CS97" s="47" t="n">
        <f aca="false">-In_Commitment_Fee*($I92-SUM($J92:CS92)+CS92)*CS$6*(CS12&gt;0)</f>
        <v>-0</v>
      </c>
      <c r="CT97" s="47" t="n">
        <f aca="false">-In_Commitment_Fee*($I92-SUM($J92:CT92)+CT92)*CT$6*(CT12&gt;0)</f>
        <v>-0</v>
      </c>
      <c r="CU97" s="47" t="n">
        <f aca="false">-In_Commitment_Fee*($I92-SUM($J92:CU92)+CU92)*CU$6*(CU12&gt;0)</f>
        <v>-0</v>
      </c>
      <c r="CV97" s="47" t="n">
        <f aca="false">-In_Commitment_Fee*($I92-SUM($J92:CV92)+CV92)*CV$6*(CV12&gt;0)</f>
        <v>-0</v>
      </c>
      <c r="CW97" s="47" t="n">
        <f aca="false">-In_Commitment_Fee*($I92-SUM($J92:CW92)+CW92)*CW$6*(CW12&gt;0)</f>
        <v>-0</v>
      </c>
      <c r="CX97" s="47" t="n">
        <f aca="false">-In_Commitment_Fee*($I92-SUM($J92:CX92)+CX92)*CX$6*(CX12&gt;0)</f>
        <v>-0</v>
      </c>
      <c r="CY97" s="47" t="n">
        <f aca="false">-In_Commitment_Fee*($I92-SUM($J92:CY92)+CY92)*CY$6*(CY12&gt;0)</f>
        <v>-0</v>
      </c>
      <c r="CZ97" s="47" t="n">
        <f aca="false">-In_Commitment_Fee*($I92-SUM($J92:CZ92)+CZ92)*CZ$6*(CZ12&gt;0)</f>
        <v>-0</v>
      </c>
      <c r="DA97" s="47" t="n">
        <f aca="false">-In_Commitment_Fee*($I92-SUM($J92:DA92)+DA92)*DA$6*(DA12&gt;0)</f>
        <v>-0</v>
      </c>
      <c r="DB97" s="47" t="n">
        <f aca="false">-In_Commitment_Fee*($I92-SUM($J92:DB92)+DB92)*DB$6*(DB12&gt;0)</f>
        <v>-0</v>
      </c>
      <c r="DC97" s="47" t="n">
        <f aca="false">-In_Commitment_Fee*($I92-SUM($J92:DC92)+DC92)*DC$6*(DC12&gt;0)</f>
        <v>-0</v>
      </c>
      <c r="DD97" s="47" t="n">
        <f aca="false">-In_Commitment_Fee*($I92-SUM($J92:DD92)+DD92)*DD$6*(DD12&gt;0)</f>
        <v>-0</v>
      </c>
      <c r="DE97" s="47" t="n">
        <f aca="false">-In_Commitment_Fee*($I92-SUM($J92:DE92)+DE92)*DE$6*(DE12&gt;0)</f>
        <v>-0</v>
      </c>
      <c r="DF97" s="47" t="n">
        <f aca="false">-In_Commitment_Fee*($I92-SUM($J92:DF92)+DF92)*DF$6*(DF12&gt;0)</f>
        <v>-0</v>
      </c>
      <c r="DG97" s="47" t="n">
        <f aca="false">-In_Commitment_Fee*($I92-SUM($J92:DG92)+DG92)*DG$6*(DG12&gt;0)</f>
        <v>-0</v>
      </c>
      <c r="DH97" s="47" t="n">
        <f aca="false">-In_Commitment_Fee*($I92-SUM($J92:DH92)+DH92)*DH$6*(DH12&gt;0)</f>
        <v>-0</v>
      </c>
      <c r="DI97" s="47" t="n">
        <f aca="false">-In_Commitment_Fee*($I92-SUM($J92:DI92)+DI92)*DI$6*(DI12&gt;0)</f>
        <v>-0</v>
      </c>
      <c r="DJ97" s="47" t="n">
        <f aca="false">-In_Commitment_Fee*($I92-SUM($J92:DJ92)+DJ92)*DJ$6*(DJ12&gt;0)</f>
        <v>-0</v>
      </c>
      <c r="DK97" s="47" t="n">
        <f aca="false">-In_Commitment_Fee*($I92-SUM($J92:DK92)+DK92)*DK$6*(DK12&gt;0)</f>
        <v>-0</v>
      </c>
      <c r="DL97" s="47" t="n">
        <f aca="false">-In_Commitment_Fee*($I92-SUM($J92:DL92)+DL92)*DL$6*(DL12&gt;0)</f>
        <v>-0</v>
      </c>
      <c r="DM97" s="47" t="n">
        <f aca="false">-In_Commitment_Fee*($I92-SUM($J92:DM92)+DM92)*DM$6*(DM12&gt;0)</f>
        <v>-0</v>
      </c>
      <c r="DN97" s="47" t="n">
        <f aca="false">-In_Commitment_Fee*($I92-SUM($J92:DN92)+DN92)*DN$6*(DN12&gt;0)</f>
        <v>-0</v>
      </c>
      <c r="DO97" s="47" t="n">
        <f aca="false">-In_Commitment_Fee*($I92-SUM($J92:DO92)+DO92)*DO$6*(DO12&gt;0)</f>
        <v>-0</v>
      </c>
      <c r="DP97" s="47" t="n">
        <f aca="false">-In_Commitment_Fee*($I92-SUM($J92:DP92)+DP92)*DP$6*(DP12&gt;0)</f>
        <v>-0</v>
      </c>
      <c r="DQ97" s="47" t="n">
        <f aca="false">-In_Commitment_Fee*($I92-SUM($J92:DQ92)+DQ92)*DQ$6*(DQ12&gt;0)</f>
        <v>-0</v>
      </c>
      <c r="DR97" s="47" t="n">
        <f aca="false">-In_Commitment_Fee*($I92-SUM($J92:DR92)+DR92)*DR$6*(DR12&gt;0)</f>
        <v>-0</v>
      </c>
      <c r="DS97" s="47" t="n">
        <f aca="false">-In_Commitment_Fee*($I92-SUM($J92:DS92)+DS92)*DS$6*(DS12&gt;0)</f>
        <v>-0</v>
      </c>
      <c r="DT97" s="47" t="n">
        <f aca="false">-In_Commitment_Fee*($I92-SUM($J92:DT92)+DT92)*DT$6*(DT12&gt;0)</f>
        <v>-0</v>
      </c>
      <c r="DU97" s="47" t="n">
        <f aca="false">-In_Commitment_Fee*($I92-SUM($J92:DU92)+DU92)*DU$6*(DU12&gt;0)</f>
        <v>-0</v>
      </c>
      <c r="DV97" s="47" t="n">
        <f aca="false">-In_Commitment_Fee*($I92-SUM($J92:DV92)+DV92)*DV$6*(DV12&gt;0)</f>
        <v>-0</v>
      </c>
      <c r="DW97" s="47" t="n">
        <f aca="false">-In_Commitment_Fee*($I92-SUM($J92:DW92)+DW92)*DW$6*(DW12&gt;0)</f>
        <v>-0</v>
      </c>
      <c r="DX97" s="47" t="n">
        <f aca="false">-In_Commitment_Fee*($I92-SUM($J92:DX92)+DX92)*DX$6*(DX12&gt;0)</f>
        <v>-0</v>
      </c>
      <c r="DY97" s="47" t="n">
        <f aca="false">-In_Commitment_Fee*($I92-SUM($J92:DY92)+DY92)*DY$6*(DY12&gt;0)</f>
        <v>-0</v>
      </c>
      <c r="DZ97" s="47" t="n">
        <f aca="false">-In_Commitment_Fee*($I92-SUM($J92:DZ92)+DZ92)*DZ$6*(DZ12&gt;0)</f>
        <v>-0</v>
      </c>
      <c r="EA97" s="47" t="n">
        <f aca="false">-In_Commitment_Fee*($I92-SUM($J92:EA92)+EA92)*EA$6*(EA12&gt;0)</f>
        <v>-0</v>
      </c>
      <c r="EB97" s="47" t="n">
        <f aca="false">-In_Commitment_Fee*($I92-SUM($J92:EB92)+EB92)*EB$6*(EB12&gt;0)</f>
        <v>-0</v>
      </c>
      <c r="EC97" s="47" t="n">
        <f aca="false">-In_Commitment_Fee*($I92-SUM($J92:EC92)+EC92)*EC$6*(EC12&gt;0)</f>
        <v>-0</v>
      </c>
      <c r="ED97" s="47" t="n">
        <f aca="false">-In_Commitment_Fee*($I92-SUM($J92:ED92)+ED92)*ED$6*(ED12&gt;0)</f>
        <v>-0</v>
      </c>
      <c r="EE97" s="47" t="n">
        <f aca="false">-In_Commitment_Fee*($I92-SUM($J92:EE92)+EE92)*EE$6*(EE12&gt;0)</f>
        <v>-0</v>
      </c>
      <c r="EF97" s="47" t="n">
        <f aca="false">-In_Commitment_Fee*($I92-SUM($J92:EF92)+EF92)*EF$6*(EF12&gt;0)</f>
        <v>-0</v>
      </c>
      <c r="EG97" s="47" t="n">
        <f aca="false">-In_Commitment_Fee*($I92-SUM($J92:EG92)+EG92)*EG$6*(EG12&gt;0)</f>
        <v>-0</v>
      </c>
      <c r="EH97" s="47" t="n">
        <f aca="false">-In_Commitment_Fee*($I92-SUM($J92:EH92)+EH92)*EH$6*(EH12&gt;0)</f>
        <v>-0</v>
      </c>
      <c r="EI97" s="47" t="n">
        <f aca="false">-In_Commitment_Fee*($I92-SUM($J92:EI92)+EI92)*EI$6*(EI12&gt;0)</f>
        <v>-0</v>
      </c>
      <c r="EJ97" s="47" t="n">
        <f aca="false">-In_Commitment_Fee*($I92-SUM($J92:EJ92)+EJ92)*EJ$6*(EJ12&gt;0)</f>
        <v>-0</v>
      </c>
      <c r="EK97" s="47" t="n">
        <f aca="false">-In_Commitment_Fee*($I92-SUM($J92:EK92)+EK92)*EK$6*(EK12&gt;0)</f>
        <v>-0</v>
      </c>
      <c r="EL97" s="47" t="n">
        <f aca="false">-In_Commitment_Fee*($I92-SUM($J92:EL92)+EL92)*EL$6*(EL12&gt;0)</f>
        <v>-0</v>
      </c>
      <c r="EM97" s="47" t="n">
        <f aca="false">-In_Commitment_Fee*($I92-SUM($J92:EM92)+EM92)*EM$6*(EM12&gt;0)</f>
        <v>-0</v>
      </c>
      <c r="EN97" s="47" t="n">
        <f aca="false">-In_Commitment_Fee*($I92-SUM($J92:EN92)+EN92)*EN$6*(EN12&gt;0)</f>
        <v>-0</v>
      </c>
      <c r="EO97" s="47" t="n">
        <f aca="false">-In_Commitment_Fee*($I92-SUM($J92:EO92)+EO92)*EO$6*(EO12&gt;0)</f>
        <v>-0</v>
      </c>
    </row>
    <row r="98" customFormat="false" ht="15" hidden="false" customHeight="false" outlineLevel="0" collapsed="false">
      <c r="C98" s="0" t="s">
        <v>443</v>
      </c>
      <c r="D98" s="11" t="s">
        <v>33</v>
      </c>
      <c r="E98" s="47" t="n">
        <f aca="false">-SUMIFS($J90:$EO90,$J$4:$EO$4,"&gt;"&amp;In_COD,$J$4:$EO$4,"&lt;="&amp;EDATE(In_COD,In_DSRA_Months))</f>
        <v>1417.69599026504</v>
      </c>
      <c r="I98" s="47" t="n">
        <f aca="false">SUM(J98:EO98)</f>
        <v>0</v>
      </c>
      <c r="J98" s="47" t="n">
        <f aca="false">$E98*(J18-J14)</f>
        <v>0</v>
      </c>
      <c r="K98" s="47" t="n">
        <f aca="false">$E98*(K18-K14)</f>
        <v>0</v>
      </c>
      <c r="L98" s="47" t="n">
        <f aca="false">$E98*(L18-L14)</f>
        <v>0</v>
      </c>
      <c r="M98" s="47" t="n">
        <f aca="false">$E98*(M18-M14)</f>
        <v>0</v>
      </c>
      <c r="N98" s="47" t="n">
        <f aca="false">$E98*(N18-N14)</f>
        <v>0</v>
      </c>
      <c r="O98" s="47" t="n">
        <f aca="false">$E98*(O18-O14)</f>
        <v>0</v>
      </c>
      <c r="P98" s="47" t="n">
        <f aca="false">$E98*(P18-P14)</f>
        <v>0</v>
      </c>
      <c r="Q98" s="47" t="n">
        <f aca="false">$E98*(Q18-Q14)</f>
        <v>0</v>
      </c>
      <c r="R98" s="47" t="n">
        <f aca="false">$E98*(R18-R14)</f>
        <v>0</v>
      </c>
      <c r="S98" s="47" t="n">
        <f aca="false">$E98*(S18-S14)</f>
        <v>0</v>
      </c>
      <c r="T98" s="47" t="n">
        <f aca="false">$E98*(T18-T14)</f>
        <v>0</v>
      </c>
      <c r="U98" s="47" t="n">
        <f aca="false">$E98*(U18-U14)</f>
        <v>0</v>
      </c>
      <c r="V98" s="47" t="n">
        <f aca="false">$E98*(V18-V14)</f>
        <v>0</v>
      </c>
      <c r="W98" s="47" t="n">
        <f aca="false">$E98*(W18-W14)</f>
        <v>0</v>
      </c>
      <c r="X98" s="47" t="n">
        <f aca="false">$E98*(X18-X14)</f>
        <v>0</v>
      </c>
      <c r="Y98" s="47" t="n">
        <f aca="false">$E98*(Y18-Y14)</f>
        <v>-1417.69599026504</v>
      </c>
      <c r="Z98" s="47" t="n">
        <f aca="false">$E98*(Z18-Z14)</f>
        <v>0</v>
      </c>
      <c r="AA98" s="47" t="n">
        <f aca="false">$E98*(AA18-AA14)</f>
        <v>0</v>
      </c>
      <c r="AB98" s="47" t="n">
        <f aca="false">$E98*(AB18-AB14)</f>
        <v>0</v>
      </c>
      <c r="AC98" s="47" t="n">
        <f aca="false">$E98*(AC18-AC14)</f>
        <v>0</v>
      </c>
      <c r="AD98" s="47" t="n">
        <f aca="false">$E98*(AD18-AD14)</f>
        <v>0</v>
      </c>
      <c r="AE98" s="47" t="n">
        <f aca="false">$E98*(AE18-AE14)</f>
        <v>0</v>
      </c>
      <c r="AF98" s="47" t="n">
        <f aca="false">$E98*(AF18-AF14)</f>
        <v>0</v>
      </c>
      <c r="AG98" s="47" t="n">
        <f aca="false">$E98*(AG18-AG14)</f>
        <v>0</v>
      </c>
      <c r="AH98" s="47" t="n">
        <f aca="false">$E98*(AH18-AH14)</f>
        <v>0</v>
      </c>
      <c r="AI98" s="47" t="n">
        <f aca="false">$E98*(AI18-AI14)</f>
        <v>0</v>
      </c>
      <c r="AJ98" s="47" t="n">
        <f aca="false">$E98*(AJ18-AJ14)</f>
        <v>0</v>
      </c>
      <c r="AK98" s="47" t="n">
        <f aca="false">$E98*(AK18-AK14)</f>
        <v>0</v>
      </c>
      <c r="AL98" s="47" t="n">
        <f aca="false">$E98*(AL18-AL14)</f>
        <v>0</v>
      </c>
      <c r="AM98" s="47" t="n">
        <f aca="false">$E98*(AM18-AM14)</f>
        <v>0</v>
      </c>
      <c r="AN98" s="47" t="n">
        <f aca="false">$E98*(AN18-AN14)</f>
        <v>0</v>
      </c>
      <c r="AO98" s="47" t="n">
        <f aca="false">$E98*(AO18-AO14)</f>
        <v>0</v>
      </c>
      <c r="AP98" s="47" t="n">
        <f aca="false">$E98*(AP18-AP14)</f>
        <v>0</v>
      </c>
      <c r="AQ98" s="47" t="n">
        <f aca="false">$E98*(AQ18-AQ14)</f>
        <v>0</v>
      </c>
      <c r="AR98" s="47" t="n">
        <f aca="false">$E98*(AR18-AR14)</f>
        <v>0</v>
      </c>
      <c r="AS98" s="47" t="n">
        <f aca="false">$E98*(AS18-AS14)</f>
        <v>0</v>
      </c>
      <c r="AT98" s="47" t="n">
        <f aca="false">$E98*(AT18-AT14)</f>
        <v>0</v>
      </c>
      <c r="AU98" s="47" t="n">
        <f aca="false">$E98*(AU18-AU14)</f>
        <v>0</v>
      </c>
      <c r="AV98" s="47" t="n">
        <f aca="false">$E98*(AV18-AV14)</f>
        <v>0</v>
      </c>
      <c r="AW98" s="47" t="n">
        <f aca="false">$E98*(AW18-AW14)</f>
        <v>0</v>
      </c>
      <c r="AX98" s="47" t="n">
        <f aca="false">$E98*(AX18-AX14)</f>
        <v>0</v>
      </c>
      <c r="AY98" s="47" t="n">
        <f aca="false">$E98*(AY18-AY14)</f>
        <v>0</v>
      </c>
      <c r="AZ98" s="47" t="n">
        <f aca="false">$E98*(AZ18-AZ14)</f>
        <v>0</v>
      </c>
      <c r="BA98" s="47" t="n">
        <f aca="false">$E98*(BA18-BA14)</f>
        <v>0</v>
      </c>
      <c r="BB98" s="47" t="n">
        <f aca="false">$E98*(BB18-BB14)</f>
        <v>0</v>
      </c>
      <c r="BC98" s="47" t="n">
        <f aca="false">$E98*(BC18-BC14)</f>
        <v>0</v>
      </c>
      <c r="BD98" s="47" t="n">
        <f aca="false">$E98*(BD18-BD14)</f>
        <v>0</v>
      </c>
      <c r="BE98" s="47" t="n">
        <f aca="false">$E98*(BE18-BE14)</f>
        <v>0</v>
      </c>
      <c r="BF98" s="47" t="n">
        <f aca="false">$E98*(BF18-BF14)</f>
        <v>0</v>
      </c>
      <c r="BG98" s="47" t="n">
        <f aca="false">$E98*(BG18-BG14)</f>
        <v>0</v>
      </c>
      <c r="BH98" s="47" t="n">
        <f aca="false">$E98*(BH18-BH14)</f>
        <v>0</v>
      </c>
      <c r="BI98" s="47" t="n">
        <f aca="false">$E98*(BI18-BI14)</f>
        <v>0</v>
      </c>
      <c r="BJ98" s="47" t="n">
        <f aca="false">$E98*(BJ18-BJ14)</f>
        <v>0</v>
      </c>
      <c r="BK98" s="47" t="n">
        <f aca="false">$E98*(BK18-BK14)</f>
        <v>0</v>
      </c>
      <c r="BL98" s="47" t="n">
        <f aca="false">$E98*(BL18-BL14)</f>
        <v>0</v>
      </c>
      <c r="BM98" s="47" t="n">
        <f aca="false">$E98*(BM18-BM14)</f>
        <v>0</v>
      </c>
      <c r="BN98" s="47" t="n">
        <f aca="false">$E98*(BN18-BN14)</f>
        <v>0</v>
      </c>
      <c r="BO98" s="47" t="n">
        <f aca="false">$E98*(BO18-BO14)</f>
        <v>0</v>
      </c>
      <c r="BP98" s="47" t="n">
        <f aca="false">$E98*(BP18-BP14)</f>
        <v>0</v>
      </c>
      <c r="BQ98" s="47" t="n">
        <f aca="false">$E98*(BQ18-BQ14)</f>
        <v>0</v>
      </c>
      <c r="BR98" s="47" t="n">
        <f aca="false">$E98*(BR18-BR14)</f>
        <v>0</v>
      </c>
      <c r="BS98" s="47" t="n">
        <f aca="false">$E98*(BS18-BS14)</f>
        <v>0</v>
      </c>
      <c r="BT98" s="47" t="n">
        <f aca="false">$E98*(BT18-BT14)</f>
        <v>0</v>
      </c>
      <c r="BU98" s="47" t="n">
        <f aca="false">$E98*(BU18-BU14)</f>
        <v>0</v>
      </c>
      <c r="BV98" s="47" t="n">
        <f aca="false">$E98*(BV18-BV14)</f>
        <v>0</v>
      </c>
      <c r="BW98" s="47" t="n">
        <f aca="false">$E98*(BW18-BW14)</f>
        <v>0</v>
      </c>
      <c r="BX98" s="47" t="n">
        <f aca="false">$E98*(BX18-BX14)</f>
        <v>0</v>
      </c>
      <c r="BY98" s="47" t="n">
        <f aca="false">$E98*(BY18-BY14)</f>
        <v>0</v>
      </c>
      <c r="BZ98" s="47" t="n">
        <f aca="false">$E98*(BZ18-BZ14)</f>
        <v>0</v>
      </c>
      <c r="CA98" s="47" t="n">
        <f aca="false">$E98*(CA18-CA14)</f>
        <v>0</v>
      </c>
      <c r="CB98" s="47" t="n">
        <f aca="false">$E98*(CB18-CB14)</f>
        <v>0</v>
      </c>
      <c r="CC98" s="47" t="n">
        <f aca="false">$E98*(CC18-CC14)</f>
        <v>0</v>
      </c>
      <c r="CD98" s="47" t="n">
        <f aca="false">$E98*(CD18-CD14)</f>
        <v>0</v>
      </c>
      <c r="CE98" s="47" t="n">
        <f aca="false">$E98*(CE18-CE14)</f>
        <v>0</v>
      </c>
      <c r="CF98" s="47" t="n">
        <f aca="false">$E98*(CF18-CF14)</f>
        <v>0</v>
      </c>
      <c r="CG98" s="47" t="n">
        <f aca="false">$E98*(CG18-CG14)</f>
        <v>0</v>
      </c>
      <c r="CH98" s="47" t="n">
        <f aca="false">$E98*(CH18-CH14)</f>
        <v>0</v>
      </c>
      <c r="CI98" s="47" t="n">
        <f aca="false">$E98*(CI18-CI14)</f>
        <v>0</v>
      </c>
      <c r="CJ98" s="47" t="n">
        <f aca="false">$E98*(CJ18-CJ14)</f>
        <v>0</v>
      </c>
      <c r="CK98" s="47" t="n">
        <f aca="false">$E98*(CK18-CK14)</f>
        <v>0</v>
      </c>
      <c r="CL98" s="47" t="n">
        <f aca="false">$E98*(CL18-CL14)</f>
        <v>0</v>
      </c>
      <c r="CM98" s="47" t="n">
        <f aca="false">$E98*(CM18-CM14)</f>
        <v>0</v>
      </c>
      <c r="CN98" s="47" t="n">
        <f aca="false">$E98*(CN18-CN14)</f>
        <v>0</v>
      </c>
      <c r="CO98" s="47" t="n">
        <f aca="false">$E98*(CO18-CO14)</f>
        <v>0</v>
      </c>
      <c r="CP98" s="47" t="n">
        <f aca="false">$E98*(CP18-CP14)</f>
        <v>0</v>
      </c>
      <c r="CQ98" s="47" t="n">
        <f aca="false">$E98*(CQ18-CQ14)</f>
        <v>0</v>
      </c>
      <c r="CR98" s="47" t="n">
        <f aca="false">$E98*(CR18-CR14)</f>
        <v>0</v>
      </c>
      <c r="CS98" s="47" t="n">
        <f aca="false">$E98*(CS18-CS14)</f>
        <v>1417.69599026504</v>
      </c>
      <c r="CT98" s="47" t="n">
        <f aca="false">$E98*(CT18-CT14)</f>
        <v>0</v>
      </c>
      <c r="CU98" s="47" t="n">
        <f aca="false">$E98*(CU18-CU14)</f>
        <v>0</v>
      </c>
      <c r="CV98" s="47" t="n">
        <f aca="false">$E98*(CV18-CV14)</f>
        <v>0</v>
      </c>
      <c r="CW98" s="47" t="n">
        <f aca="false">$E98*(CW18-CW14)</f>
        <v>0</v>
      </c>
      <c r="CX98" s="47" t="n">
        <f aca="false">$E98*(CX18-CX14)</f>
        <v>0</v>
      </c>
      <c r="CY98" s="47" t="n">
        <f aca="false">$E98*(CY18-CY14)</f>
        <v>0</v>
      </c>
      <c r="CZ98" s="47" t="n">
        <f aca="false">$E98*(CZ18-CZ14)</f>
        <v>0</v>
      </c>
      <c r="DA98" s="47" t="n">
        <f aca="false">$E98*(DA18-DA14)</f>
        <v>0</v>
      </c>
      <c r="DB98" s="47" t="n">
        <f aca="false">$E98*(DB18-DB14)</f>
        <v>0</v>
      </c>
      <c r="DC98" s="47" t="n">
        <f aca="false">$E98*(DC18-DC14)</f>
        <v>0</v>
      </c>
      <c r="DD98" s="47" t="n">
        <f aca="false">$E98*(DD18-DD14)</f>
        <v>0</v>
      </c>
      <c r="DE98" s="47" t="n">
        <f aca="false">$E98*(DE18-DE14)</f>
        <v>0</v>
      </c>
      <c r="DF98" s="47" t="n">
        <f aca="false">$E98*(DF18-DF14)</f>
        <v>0</v>
      </c>
      <c r="DG98" s="47" t="n">
        <f aca="false">$E98*(DG18-DG14)</f>
        <v>0</v>
      </c>
      <c r="DH98" s="47" t="n">
        <f aca="false">$E98*(DH18-DH14)</f>
        <v>0</v>
      </c>
      <c r="DI98" s="47" t="n">
        <f aca="false">$E98*(DI18-DI14)</f>
        <v>0</v>
      </c>
      <c r="DJ98" s="47" t="n">
        <f aca="false">$E98*(DJ18-DJ14)</f>
        <v>0</v>
      </c>
      <c r="DK98" s="47" t="n">
        <f aca="false">$E98*(DK18-DK14)</f>
        <v>0</v>
      </c>
      <c r="DL98" s="47" t="n">
        <f aca="false">$E98*(DL18-DL14)</f>
        <v>0</v>
      </c>
      <c r="DM98" s="47" t="n">
        <f aca="false">$E98*(DM18-DM14)</f>
        <v>0</v>
      </c>
      <c r="DN98" s="47" t="n">
        <f aca="false">$E98*(DN18-DN14)</f>
        <v>0</v>
      </c>
      <c r="DO98" s="47" t="n">
        <f aca="false">$E98*(DO18-DO14)</f>
        <v>0</v>
      </c>
      <c r="DP98" s="47" t="n">
        <f aca="false">$E98*(DP18-DP14)</f>
        <v>0</v>
      </c>
      <c r="DQ98" s="47" t="n">
        <f aca="false">$E98*(DQ18-DQ14)</f>
        <v>0</v>
      </c>
      <c r="DR98" s="47" t="n">
        <f aca="false">$E98*(DR18-DR14)</f>
        <v>0</v>
      </c>
      <c r="DS98" s="47" t="n">
        <f aca="false">$E98*(DS18-DS14)</f>
        <v>0</v>
      </c>
      <c r="DT98" s="47" t="n">
        <f aca="false">$E98*(DT18-DT14)</f>
        <v>0</v>
      </c>
      <c r="DU98" s="47" t="n">
        <f aca="false">$E98*(DU18-DU14)</f>
        <v>0</v>
      </c>
      <c r="DV98" s="47" t="n">
        <f aca="false">$E98*(DV18-DV14)</f>
        <v>0</v>
      </c>
      <c r="DW98" s="47" t="n">
        <f aca="false">$E98*(DW18-DW14)</f>
        <v>0</v>
      </c>
      <c r="DX98" s="47" t="n">
        <f aca="false">$E98*(DX18-DX14)</f>
        <v>0</v>
      </c>
      <c r="DY98" s="47" t="n">
        <f aca="false">$E98*(DY18-DY14)</f>
        <v>0</v>
      </c>
      <c r="DZ98" s="47" t="n">
        <f aca="false">$E98*(DZ18-DZ14)</f>
        <v>0</v>
      </c>
      <c r="EA98" s="47" t="n">
        <f aca="false">$E98*(EA18-EA14)</f>
        <v>0</v>
      </c>
      <c r="EB98" s="47" t="n">
        <f aca="false">$E98*(EB18-EB14)</f>
        <v>0</v>
      </c>
      <c r="EC98" s="47" t="n">
        <f aca="false">$E98*(EC18-EC14)</f>
        <v>0</v>
      </c>
      <c r="ED98" s="47" t="n">
        <f aca="false">$E98*(ED18-ED14)</f>
        <v>0</v>
      </c>
      <c r="EE98" s="47" t="n">
        <f aca="false">$E98*(EE18-EE14)</f>
        <v>0</v>
      </c>
      <c r="EF98" s="47" t="n">
        <f aca="false">$E98*(EF18-EF14)</f>
        <v>0</v>
      </c>
      <c r="EG98" s="47" t="n">
        <f aca="false">$E98*(EG18-EG14)</f>
        <v>0</v>
      </c>
      <c r="EH98" s="47" t="n">
        <f aca="false">$E98*(EH18-EH14)</f>
        <v>0</v>
      </c>
      <c r="EI98" s="47" t="n">
        <f aca="false">$E98*(EI18-EI14)</f>
        <v>0</v>
      </c>
      <c r="EJ98" s="47" t="n">
        <f aca="false">$E98*(EJ18-EJ14)</f>
        <v>0</v>
      </c>
      <c r="EK98" s="47" t="n">
        <f aca="false">$E98*(EK18-EK14)</f>
        <v>0</v>
      </c>
      <c r="EL98" s="47" t="n">
        <f aca="false">$E98*(EL18-EL14)</f>
        <v>0</v>
      </c>
      <c r="EM98" s="47" t="n">
        <f aca="false">$E98*(EM18-EM14)</f>
        <v>0</v>
      </c>
      <c r="EN98" s="47" t="n">
        <f aca="false">$E98*(EN18-EN14)</f>
        <v>0</v>
      </c>
      <c r="EO98" s="47" t="n">
        <f aca="false">$E98*(EO18-EO14)</f>
        <v>0</v>
      </c>
    </row>
    <row r="99" customFormat="false" ht="15" hidden="false" customHeight="false" outlineLevel="0" collapsed="false">
      <c r="C99" s="0" t="s">
        <v>444</v>
      </c>
      <c r="D99" s="11" t="s">
        <v>13</v>
      </c>
      <c r="E99" s="52" t="n">
        <f aca="false">MIN($J99:$EO99)</f>
        <v>1.5517935924719</v>
      </c>
      <c r="J99" s="52" t="str">
        <f aca="false">IF(J90&lt;0,J83/-J90,"")</f>
        <v/>
      </c>
      <c r="K99" s="52" t="str">
        <f aca="false">IF(K90&lt;0,K83/-K90,"")</f>
        <v/>
      </c>
      <c r="L99" s="52" t="str">
        <f aca="false">IF(L90&lt;0,L83/-L90,"")</f>
        <v/>
      </c>
      <c r="M99" s="52" t="str">
        <f aca="false">IF(M90&lt;0,M83/-M90,"")</f>
        <v/>
      </c>
      <c r="N99" s="52" t="str">
        <f aca="false">IF(N90&lt;0,N83/-N90,"")</f>
        <v/>
      </c>
      <c r="O99" s="52" t="str">
        <f aca="false">IF(O90&lt;0,O83/-O90,"")</f>
        <v/>
      </c>
      <c r="P99" s="52" t="str">
        <f aca="false">IF(P90&lt;0,P83/-P90,"")</f>
        <v/>
      </c>
      <c r="Q99" s="52" t="str">
        <f aca="false">IF(Q90&lt;0,Q83/-Q90,"")</f>
        <v/>
      </c>
      <c r="R99" s="52" t="str">
        <f aca="false">IF(R90&lt;0,R83/-R90,"")</f>
        <v/>
      </c>
      <c r="S99" s="52" t="str">
        <f aca="false">IF(S90&lt;0,S83/-S90,"")</f>
        <v/>
      </c>
      <c r="T99" s="52" t="str">
        <f aca="false">IF(T90&lt;0,T83/-T90,"")</f>
        <v/>
      </c>
      <c r="U99" s="52" t="str">
        <f aca="false">IF(U90&lt;0,U83/-U90,"")</f>
        <v/>
      </c>
      <c r="V99" s="52" t="str">
        <f aca="false">IF(V90&lt;0,V83/-V90,"")</f>
        <v/>
      </c>
      <c r="W99" s="52" t="str">
        <f aca="false">IF(W90&lt;0,W83/-W90,"")</f>
        <v/>
      </c>
      <c r="X99" s="52" t="str">
        <f aca="false">IF(X90&lt;0,X83/-X90,"")</f>
        <v/>
      </c>
      <c r="Y99" s="52" t="str">
        <f aca="false">IF(Y90&lt;0,Y83/-Y90,"")</f>
        <v/>
      </c>
      <c r="Z99" s="52" t="n">
        <f aca="false">IF(Z90&lt;0,Z83/-Z90,"")</f>
        <v>1.5517935924719</v>
      </c>
      <c r="AA99" s="52" t="n">
        <f aca="false">IF(AA90&lt;0,AA83/-AA90,"")</f>
        <v>1.5517935924719</v>
      </c>
      <c r="AB99" s="52" t="n">
        <f aca="false">IF(AB90&lt;0,AB83/-AB90,"")</f>
        <v>1.5517935924719</v>
      </c>
      <c r="AC99" s="52" t="n">
        <f aca="false">IF(AC90&lt;0,AC83/-AC90,"")</f>
        <v>1.5517935924719</v>
      </c>
      <c r="AD99" s="52" t="n">
        <f aca="false">IF(AD90&lt;0,AD83/-AD90,"")</f>
        <v>1.5517935924719</v>
      </c>
      <c r="AE99" s="52" t="n">
        <f aca="false">IF(AE90&lt;0,AE83/-AE90,"")</f>
        <v>1.5517935924719</v>
      </c>
      <c r="AF99" s="52" t="n">
        <f aca="false">IF(AF90&lt;0,AF83/-AF90,"")</f>
        <v>1.5517935924719</v>
      </c>
      <c r="AG99" s="52" t="n">
        <f aca="false">IF(AG90&lt;0,AG83/-AG90,"")</f>
        <v>1.5517935924719</v>
      </c>
      <c r="AH99" s="52" t="n">
        <f aca="false">IF(AH90&lt;0,AH83/-AH90,"")</f>
        <v>1.5517935924719</v>
      </c>
      <c r="AI99" s="52" t="n">
        <f aca="false">IF(AI90&lt;0,AI83/-AI90,"")</f>
        <v>1.5517935924719</v>
      </c>
      <c r="AJ99" s="52" t="n">
        <f aca="false">IF(AJ90&lt;0,AJ83/-AJ90,"")</f>
        <v>1.5517935924719</v>
      </c>
      <c r="AK99" s="52" t="n">
        <f aca="false">IF(AK90&lt;0,AK83/-AK90,"")</f>
        <v>1.5517935924719</v>
      </c>
      <c r="AL99" s="52" t="n">
        <f aca="false">IF(AL90&lt;0,AL83/-AL90,"")</f>
        <v>1.5517935924719</v>
      </c>
      <c r="AM99" s="52" t="n">
        <f aca="false">IF(AM90&lt;0,AM83/-AM90,"")</f>
        <v>1.5517935924719</v>
      </c>
      <c r="AN99" s="52" t="n">
        <f aca="false">IF(AN90&lt;0,AN83/-AN90,"")</f>
        <v>1.5517935924719</v>
      </c>
      <c r="AO99" s="52" t="n">
        <f aca="false">IF(AO90&lt;0,AO83/-AO90,"")</f>
        <v>1.5517935924719</v>
      </c>
      <c r="AP99" s="52" t="n">
        <f aca="false">IF(AP90&lt;0,AP83/-AP90,"")</f>
        <v>1.5517935924719</v>
      </c>
      <c r="AQ99" s="52" t="n">
        <f aca="false">IF(AQ90&lt;0,AQ83/-AQ90,"")</f>
        <v>1.5517935924719</v>
      </c>
      <c r="AR99" s="52" t="n">
        <f aca="false">IF(AR90&lt;0,AR83/-AR90,"")</f>
        <v>1.5517935924719</v>
      </c>
      <c r="AS99" s="52" t="n">
        <f aca="false">IF(AS90&lt;0,AS83/-AS90,"")</f>
        <v>1.5517935924719</v>
      </c>
      <c r="AT99" s="52" t="n">
        <f aca="false">IF(AT90&lt;0,AT83/-AT90,"")</f>
        <v>1.5517935924719</v>
      </c>
      <c r="AU99" s="52" t="n">
        <f aca="false">IF(AU90&lt;0,AU83/-AU90,"")</f>
        <v>1.5517935924719</v>
      </c>
      <c r="AV99" s="52" t="n">
        <f aca="false">IF(AV90&lt;0,AV83/-AV90,"")</f>
        <v>1.5517935924719</v>
      </c>
      <c r="AW99" s="52" t="n">
        <f aca="false">IF(AW90&lt;0,AW83/-AW90,"")</f>
        <v>1.5517935924719</v>
      </c>
      <c r="AX99" s="52" t="n">
        <f aca="false">IF(AX90&lt;0,AX83/-AX90,"")</f>
        <v>1.5517935924719</v>
      </c>
      <c r="AY99" s="52" t="n">
        <f aca="false">IF(AY90&lt;0,AY83/-AY90,"")</f>
        <v>1.5517935924719</v>
      </c>
      <c r="AZ99" s="52" t="n">
        <f aca="false">IF(AZ90&lt;0,AZ83/-AZ90,"")</f>
        <v>1.5517935924719</v>
      </c>
      <c r="BA99" s="52" t="n">
        <f aca="false">IF(BA90&lt;0,BA83/-BA90,"")</f>
        <v>1.5517935924719</v>
      </c>
      <c r="BB99" s="52" t="n">
        <f aca="false">IF(BB90&lt;0,BB83/-BB90,"")</f>
        <v>1.5517935924719</v>
      </c>
      <c r="BC99" s="52" t="n">
        <f aca="false">IF(BC90&lt;0,BC83/-BC90,"")</f>
        <v>1.5517935924719</v>
      </c>
      <c r="BD99" s="52" t="n">
        <f aca="false">IF(BD90&lt;0,BD83/-BD90,"")</f>
        <v>1.5517935924719</v>
      </c>
      <c r="BE99" s="52" t="n">
        <f aca="false">IF(BE90&lt;0,BE83/-BE90,"")</f>
        <v>1.5517935924719</v>
      </c>
      <c r="BF99" s="52" t="n">
        <f aca="false">IF(BF90&lt;0,BF83/-BF90,"")</f>
        <v>1.5517935924719</v>
      </c>
      <c r="BG99" s="52" t="n">
        <f aca="false">IF(BG90&lt;0,BG83/-BG90,"")</f>
        <v>1.5517935924719</v>
      </c>
      <c r="BH99" s="52" t="n">
        <f aca="false">IF(BH90&lt;0,BH83/-BH90,"")</f>
        <v>1.5517935924719</v>
      </c>
      <c r="BI99" s="52" t="n">
        <f aca="false">IF(BI90&lt;0,BI83/-BI90,"")</f>
        <v>1.5517935924719</v>
      </c>
      <c r="BJ99" s="52" t="n">
        <f aca="false">IF(BJ90&lt;0,BJ83/-BJ90,"")</f>
        <v>1.5517935924719</v>
      </c>
      <c r="BK99" s="52" t="n">
        <f aca="false">IF(BK90&lt;0,BK83/-BK90,"")</f>
        <v>1.5517935924719</v>
      </c>
      <c r="BL99" s="52" t="n">
        <f aca="false">IF(BL90&lt;0,BL83/-BL90,"")</f>
        <v>1.5517935924719</v>
      </c>
      <c r="BM99" s="52" t="n">
        <f aca="false">IF(BM90&lt;0,BM83/-BM90,"")</f>
        <v>1.5517935924719</v>
      </c>
      <c r="BN99" s="52" t="n">
        <f aca="false">IF(BN90&lt;0,BN83/-BN90,"")</f>
        <v>1.5517935924719</v>
      </c>
      <c r="BO99" s="52" t="n">
        <f aca="false">IF(BO90&lt;0,BO83/-BO90,"")</f>
        <v>1.5517935924719</v>
      </c>
      <c r="BP99" s="52" t="n">
        <f aca="false">IF(BP90&lt;0,BP83/-BP90,"")</f>
        <v>1.5517935924719</v>
      </c>
      <c r="BQ99" s="52" t="n">
        <f aca="false">IF(BQ90&lt;0,BQ83/-BQ90,"")</f>
        <v>1.5517935924719</v>
      </c>
      <c r="BR99" s="52" t="n">
        <f aca="false">IF(BR90&lt;0,BR83/-BR90,"")</f>
        <v>1.5517935924719</v>
      </c>
      <c r="BS99" s="52" t="n">
        <f aca="false">IF(BS90&lt;0,BS83/-BS90,"")</f>
        <v>1.5517935924719</v>
      </c>
      <c r="BT99" s="52" t="n">
        <f aca="false">IF(BT90&lt;0,BT83/-BT90,"")</f>
        <v>1.5517935924719</v>
      </c>
      <c r="BU99" s="52" t="n">
        <f aca="false">IF(BU90&lt;0,BU83/-BU90,"")</f>
        <v>1.5517935924719</v>
      </c>
      <c r="BV99" s="52" t="n">
        <f aca="false">IF(BV90&lt;0,BV83/-BV90,"")</f>
        <v>1.5517935924719</v>
      </c>
      <c r="BW99" s="52" t="n">
        <f aca="false">IF(BW90&lt;0,BW83/-BW90,"")</f>
        <v>1.5517935924719</v>
      </c>
      <c r="BX99" s="52" t="n">
        <f aca="false">IF(BX90&lt;0,BX83/-BX90,"")</f>
        <v>1.5517935924719</v>
      </c>
      <c r="BY99" s="52" t="n">
        <f aca="false">IF(BY90&lt;0,BY83/-BY90,"")</f>
        <v>1.5517935924719</v>
      </c>
      <c r="BZ99" s="52" t="n">
        <f aca="false">IF(BZ90&lt;0,BZ83/-BZ90,"")</f>
        <v>1.5517935924719</v>
      </c>
      <c r="CA99" s="52" t="n">
        <f aca="false">IF(CA90&lt;0,CA83/-CA90,"")</f>
        <v>1.5517935924719</v>
      </c>
      <c r="CB99" s="52" t="n">
        <f aca="false">IF(CB90&lt;0,CB83/-CB90,"")</f>
        <v>1.5517935924719</v>
      </c>
      <c r="CC99" s="52" t="n">
        <f aca="false">IF(CC90&lt;0,CC83/-CC90,"")</f>
        <v>1.5517935924719</v>
      </c>
      <c r="CD99" s="52" t="n">
        <f aca="false">IF(CD90&lt;0,CD83/-CD90,"")</f>
        <v>1.5517935924719</v>
      </c>
      <c r="CE99" s="52" t="n">
        <f aca="false">IF(CE90&lt;0,CE83/-CE90,"")</f>
        <v>1.5517935924719</v>
      </c>
      <c r="CF99" s="52" t="n">
        <f aca="false">IF(CF90&lt;0,CF83/-CF90,"")</f>
        <v>1.5517935924719</v>
      </c>
      <c r="CG99" s="52" t="n">
        <f aca="false">IF(CG90&lt;0,CG83/-CG90,"")</f>
        <v>1.5517935924719</v>
      </c>
      <c r="CH99" s="52" t="n">
        <f aca="false">IF(CH90&lt;0,CH83/-CH90,"")</f>
        <v>1.5517935924719</v>
      </c>
      <c r="CI99" s="52" t="n">
        <f aca="false">IF(CI90&lt;0,CI83/-CI90,"")</f>
        <v>1.5517935924719</v>
      </c>
      <c r="CJ99" s="52" t="n">
        <f aca="false">IF(CJ90&lt;0,CJ83/-CJ90,"")</f>
        <v>1.5517935924719</v>
      </c>
      <c r="CK99" s="52" t="n">
        <f aca="false">IF(CK90&lt;0,CK83/-CK90,"")</f>
        <v>1.5517935924719</v>
      </c>
      <c r="CL99" s="52" t="n">
        <f aca="false">IF(CL90&lt;0,CL83/-CL90,"")</f>
        <v>1.5517935924719</v>
      </c>
      <c r="CM99" s="52" t="n">
        <f aca="false">IF(CM90&lt;0,CM83/-CM90,"")</f>
        <v>1.5517935924719</v>
      </c>
      <c r="CN99" s="52" t="n">
        <f aca="false">IF(CN90&lt;0,CN83/-CN90,"")</f>
        <v>1.5517935924719</v>
      </c>
      <c r="CO99" s="52" t="n">
        <f aca="false">IF(CO90&lt;0,CO83/-CO90,"")</f>
        <v>1.5517935924719</v>
      </c>
      <c r="CP99" s="52" t="n">
        <f aca="false">IF(CP90&lt;0,CP83/-CP90,"")</f>
        <v>1.5517935924719</v>
      </c>
      <c r="CQ99" s="52" t="n">
        <f aca="false">IF(CQ90&lt;0,CQ83/-CQ90,"")</f>
        <v>1.5517935924719</v>
      </c>
      <c r="CR99" s="52" t="n">
        <f aca="false">IF(CR90&lt;0,CR83/-CR90,"")</f>
        <v>1.5517935924719</v>
      </c>
      <c r="CS99" s="52" t="n">
        <f aca="false">IF(CS90&lt;0,CS83/-CS90,"")</f>
        <v>1.5517935924719</v>
      </c>
      <c r="CT99" s="52" t="str">
        <f aca="false">IF(CT90&lt;0,CT83/-CT90,"")</f>
        <v/>
      </c>
      <c r="CU99" s="52" t="str">
        <f aca="false">IF(CU90&lt;0,CU83/-CU90,"")</f>
        <v/>
      </c>
      <c r="CV99" s="52" t="str">
        <f aca="false">IF(CV90&lt;0,CV83/-CV90,"")</f>
        <v/>
      </c>
      <c r="CW99" s="52" t="str">
        <f aca="false">IF(CW90&lt;0,CW83/-CW90,"")</f>
        <v/>
      </c>
      <c r="CX99" s="52" t="str">
        <f aca="false">IF(CX90&lt;0,CX83/-CX90,"")</f>
        <v/>
      </c>
      <c r="CY99" s="52" t="str">
        <f aca="false">IF(CY90&lt;0,CY83/-CY90,"")</f>
        <v/>
      </c>
      <c r="CZ99" s="52" t="str">
        <f aca="false">IF(CZ90&lt;0,CZ83/-CZ90,"")</f>
        <v/>
      </c>
      <c r="DA99" s="52" t="str">
        <f aca="false">IF(DA90&lt;0,DA83/-DA90,"")</f>
        <v/>
      </c>
      <c r="DB99" s="52" t="str">
        <f aca="false">IF(DB90&lt;0,DB83/-DB90,"")</f>
        <v/>
      </c>
      <c r="DC99" s="52" t="str">
        <f aca="false">IF(DC90&lt;0,DC83/-DC90,"")</f>
        <v/>
      </c>
      <c r="DD99" s="52" t="str">
        <f aca="false">IF(DD90&lt;0,DD83/-DD90,"")</f>
        <v/>
      </c>
      <c r="DE99" s="52" t="str">
        <f aca="false">IF(DE90&lt;0,DE83/-DE90,"")</f>
        <v/>
      </c>
      <c r="DF99" s="52" t="str">
        <f aca="false">IF(DF90&lt;0,DF83/-DF90,"")</f>
        <v/>
      </c>
      <c r="DG99" s="52" t="str">
        <f aca="false">IF(DG90&lt;0,DG83/-DG90,"")</f>
        <v/>
      </c>
      <c r="DH99" s="52" t="str">
        <f aca="false">IF(DH90&lt;0,DH83/-DH90,"")</f>
        <v/>
      </c>
      <c r="DI99" s="52" t="str">
        <f aca="false">IF(DI90&lt;0,DI83/-DI90,"")</f>
        <v/>
      </c>
      <c r="DJ99" s="52" t="str">
        <f aca="false">IF(DJ90&lt;0,DJ83/-DJ90,"")</f>
        <v/>
      </c>
      <c r="DK99" s="52" t="str">
        <f aca="false">IF(DK90&lt;0,DK83/-DK90,"")</f>
        <v/>
      </c>
      <c r="DL99" s="52" t="str">
        <f aca="false">IF(DL90&lt;0,DL83/-DL90,"")</f>
        <v/>
      </c>
      <c r="DM99" s="52" t="str">
        <f aca="false">IF(DM90&lt;0,DM83/-DM90,"")</f>
        <v/>
      </c>
      <c r="DN99" s="52" t="str">
        <f aca="false">IF(DN90&lt;0,DN83/-DN90,"")</f>
        <v/>
      </c>
      <c r="DO99" s="52" t="str">
        <f aca="false">IF(DO90&lt;0,DO83/-DO90,"")</f>
        <v/>
      </c>
      <c r="DP99" s="52" t="str">
        <f aca="false">IF(DP90&lt;0,DP83/-DP90,"")</f>
        <v/>
      </c>
      <c r="DQ99" s="52" t="str">
        <f aca="false">IF(DQ90&lt;0,DQ83/-DQ90,"")</f>
        <v/>
      </c>
      <c r="DR99" s="52" t="str">
        <f aca="false">IF(DR90&lt;0,DR83/-DR90,"")</f>
        <v/>
      </c>
      <c r="DS99" s="52" t="str">
        <f aca="false">IF(DS90&lt;0,DS83/-DS90,"")</f>
        <v/>
      </c>
      <c r="DT99" s="52" t="str">
        <f aca="false">IF(DT90&lt;0,DT83/-DT90,"")</f>
        <v/>
      </c>
      <c r="DU99" s="52" t="str">
        <f aca="false">IF(DU90&lt;0,DU83/-DU90,"")</f>
        <v/>
      </c>
      <c r="DV99" s="52" t="str">
        <f aca="false">IF(DV90&lt;0,DV83/-DV90,"")</f>
        <v/>
      </c>
      <c r="DW99" s="52" t="str">
        <f aca="false">IF(DW90&lt;0,DW83/-DW90,"")</f>
        <v/>
      </c>
      <c r="DX99" s="52" t="str">
        <f aca="false">IF(DX90&lt;0,DX83/-DX90,"")</f>
        <v/>
      </c>
      <c r="DY99" s="52" t="str">
        <f aca="false">IF(DY90&lt;0,DY83/-DY90,"")</f>
        <v/>
      </c>
      <c r="DZ99" s="52" t="str">
        <f aca="false">IF(DZ90&lt;0,DZ83/-DZ90,"")</f>
        <v/>
      </c>
      <c r="EA99" s="52" t="str">
        <f aca="false">IF(EA90&lt;0,EA83/-EA90,"")</f>
        <v/>
      </c>
      <c r="EB99" s="52" t="str">
        <f aca="false">IF(EB90&lt;0,EB83/-EB90,"")</f>
        <v/>
      </c>
      <c r="EC99" s="52" t="str">
        <f aca="false">IF(EC90&lt;0,EC83/-EC90,"")</f>
        <v/>
      </c>
      <c r="ED99" s="52" t="str">
        <f aca="false">IF(ED90&lt;0,ED83/-ED90,"")</f>
        <v/>
      </c>
      <c r="EE99" s="52" t="str">
        <f aca="false">IF(EE90&lt;0,EE83/-EE90,"")</f>
        <v/>
      </c>
      <c r="EF99" s="52" t="str">
        <f aca="false">IF(EF90&lt;0,EF83/-EF90,"")</f>
        <v/>
      </c>
      <c r="EG99" s="52" t="str">
        <f aca="false">IF(EG90&lt;0,EG83/-EG90,"")</f>
        <v/>
      </c>
      <c r="EH99" s="52" t="str">
        <f aca="false">IF(EH90&lt;0,EH83/-EH90,"")</f>
        <v/>
      </c>
      <c r="EI99" s="52" t="str">
        <f aca="false">IF(EI90&lt;0,EI83/-EI90,"")</f>
        <v/>
      </c>
      <c r="EJ99" s="52" t="str">
        <f aca="false">IF(EJ90&lt;0,EJ83/-EJ90,"")</f>
        <v/>
      </c>
      <c r="EK99" s="52" t="str">
        <f aca="false">IF(EK90&lt;0,EK83/-EK90,"")</f>
        <v/>
      </c>
      <c r="EL99" s="52" t="str">
        <f aca="false">IF(EL90&lt;0,EL83/-EL90,"")</f>
        <v/>
      </c>
      <c r="EM99" s="52" t="str">
        <f aca="false">IF(EM90&lt;0,EM83/-EM90,"")</f>
        <v/>
      </c>
      <c r="EN99" s="52" t="str">
        <f aca="false">IF(EN90&lt;0,EN83/-EN90,"")</f>
        <v/>
      </c>
      <c r="EO99" s="52" t="str">
        <f aca="false">IF(EO90&lt;0,EO83/-EO90,"")</f>
        <v/>
      </c>
    </row>
    <row r="101" customFormat="false" ht="15" hidden="false" customHeight="false" outlineLevel="0" collapsed="false">
      <c r="A101" s="9" t="s">
        <v>13</v>
      </c>
      <c r="B101" s="9"/>
      <c r="C101" s="9" t="s">
        <v>445</v>
      </c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/>
      <c r="BO101" s="9"/>
      <c r="BP101" s="9"/>
      <c r="BQ101" s="9"/>
      <c r="BR101" s="9"/>
      <c r="BS101" s="9"/>
      <c r="BT101" s="9"/>
      <c r="BU101" s="9"/>
      <c r="BV101" s="9"/>
      <c r="BW101" s="9"/>
      <c r="BX101" s="9"/>
      <c r="BY101" s="9"/>
      <c r="BZ101" s="9"/>
      <c r="CA101" s="9"/>
      <c r="CB101" s="9"/>
      <c r="CC101" s="9"/>
      <c r="CD101" s="9"/>
      <c r="CE101" s="9"/>
      <c r="CF101" s="9"/>
      <c r="CG101" s="9"/>
      <c r="CH101" s="9"/>
      <c r="CI101" s="9"/>
      <c r="CJ101" s="9"/>
      <c r="CK101" s="9"/>
      <c r="CL101" s="9"/>
      <c r="CM101" s="9"/>
      <c r="CN101" s="9"/>
      <c r="CO101" s="9"/>
      <c r="CP101" s="9"/>
      <c r="CQ101" s="9"/>
      <c r="CR101" s="9"/>
      <c r="CS101" s="9"/>
      <c r="CT101" s="9"/>
      <c r="CU101" s="9"/>
      <c r="CV101" s="9"/>
      <c r="CW101" s="9"/>
      <c r="CX101" s="9"/>
      <c r="CY101" s="9"/>
      <c r="CZ101" s="9"/>
      <c r="DA101" s="9"/>
      <c r="DB101" s="9"/>
      <c r="DC101" s="9"/>
      <c r="DD101" s="9"/>
      <c r="DE101" s="9"/>
      <c r="DF101" s="9"/>
      <c r="DG101" s="9"/>
      <c r="DH101" s="9"/>
      <c r="DI101" s="9"/>
      <c r="DJ101" s="9"/>
      <c r="DK101" s="9"/>
      <c r="DL101" s="9"/>
      <c r="DM101" s="9"/>
      <c r="DN101" s="9"/>
      <c r="DO101" s="9"/>
      <c r="DP101" s="9"/>
      <c r="DQ101" s="9"/>
      <c r="DR101" s="9"/>
      <c r="DS101" s="9"/>
      <c r="DT101" s="9"/>
      <c r="DU101" s="9"/>
      <c r="DV101" s="9"/>
      <c r="DW101" s="9"/>
      <c r="DX101" s="9"/>
      <c r="DY101" s="9"/>
      <c r="DZ101" s="9"/>
      <c r="EA101" s="9"/>
      <c r="EB101" s="9"/>
      <c r="EC101" s="9"/>
      <c r="ED101" s="9"/>
      <c r="EE101" s="9"/>
      <c r="EF101" s="9"/>
      <c r="EG101" s="9"/>
      <c r="EH101" s="9"/>
      <c r="EI101" s="9"/>
      <c r="EJ101" s="9"/>
      <c r="EK101" s="9"/>
      <c r="EL101" s="9"/>
      <c r="EM101" s="9"/>
      <c r="EN101" s="9"/>
      <c r="EO101" s="9"/>
    </row>
    <row r="102" customFormat="false" ht="15" hidden="false" customHeight="false" outlineLevel="0" collapsed="false">
      <c r="C102" s="0" t="s">
        <v>446</v>
      </c>
      <c r="D102" s="11" t="s">
        <v>33</v>
      </c>
      <c r="E102" s="47" t="n">
        <f aca="false">$I93-($I64+$I54+$I65+$I51+$I44+$I45+$I46)</f>
        <v>89594.0326853017</v>
      </c>
      <c r="I102" s="47" t="n">
        <f aca="false">SUM(J102:EO102)</f>
        <v>-89594.0326853017</v>
      </c>
      <c r="J102" s="47" t="n">
        <f aca="false">-$E102*J19</f>
        <v>-0</v>
      </c>
      <c r="K102" s="47" t="n">
        <f aca="false">-$E102*K19</f>
        <v>-0</v>
      </c>
      <c r="L102" s="47" t="n">
        <f aca="false">-$E102*L19</f>
        <v>-0</v>
      </c>
      <c r="M102" s="47" t="n">
        <f aca="false">-$E102*M19</f>
        <v>-0</v>
      </c>
      <c r="N102" s="47" t="n">
        <f aca="false">-$E102*N19</f>
        <v>-0</v>
      </c>
      <c r="O102" s="47" t="n">
        <f aca="false">-$E102*O19</f>
        <v>-0</v>
      </c>
      <c r="P102" s="47" t="n">
        <f aca="false">-$E102*P19</f>
        <v>-0</v>
      </c>
      <c r="Q102" s="47" t="n">
        <f aca="false">-$E102*Q19</f>
        <v>-0</v>
      </c>
      <c r="R102" s="47" t="n">
        <f aca="false">-$E102*R19</f>
        <v>-0</v>
      </c>
      <c r="S102" s="47" t="n">
        <f aca="false">-$E102*S19</f>
        <v>-0</v>
      </c>
      <c r="T102" s="47" t="n">
        <f aca="false">-$E102*T19</f>
        <v>-0</v>
      </c>
      <c r="U102" s="47" t="n">
        <f aca="false">-$E102*U19</f>
        <v>-0</v>
      </c>
      <c r="V102" s="47" t="n">
        <f aca="false">-$E102*V19</f>
        <v>-0</v>
      </c>
      <c r="W102" s="47" t="n">
        <f aca="false">-$E102*W19</f>
        <v>-0</v>
      </c>
      <c r="X102" s="47" t="n">
        <f aca="false">-$E102*X19</f>
        <v>-0</v>
      </c>
      <c r="Y102" s="47" t="n">
        <f aca="false">-$E102*Y19</f>
        <v>-0</v>
      </c>
      <c r="Z102" s="47" t="n">
        <f aca="false">-$E102*Z19</f>
        <v>-1128.35742738505</v>
      </c>
      <c r="AA102" s="47" t="n">
        <f aca="false">-$E102*AA19</f>
        <v>-1103.82791809407</v>
      </c>
      <c r="AB102" s="47" t="n">
        <f aca="false">-$E102*AB19</f>
        <v>-1116.09267273956</v>
      </c>
      <c r="AC102" s="47" t="n">
        <f aca="false">-$E102*AC19</f>
        <v>-1128.35742738505</v>
      </c>
      <c r="AD102" s="47" t="n">
        <f aca="false">-$E102*AD19</f>
        <v>-1128.35742738505</v>
      </c>
      <c r="AE102" s="47" t="n">
        <f aca="false">-$E102*AE19</f>
        <v>-1116.09267273956</v>
      </c>
      <c r="AF102" s="47" t="n">
        <f aca="false">-$E102*AF19</f>
        <v>-1116.09267273956</v>
      </c>
      <c r="AG102" s="47" t="n">
        <f aca="false">-$E102*AG19</f>
        <v>-1128.35742738505</v>
      </c>
      <c r="AH102" s="47" t="n">
        <f aca="false">-$E102*AH19</f>
        <v>-1128.35742738505</v>
      </c>
      <c r="AI102" s="47" t="n">
        <f aca="false">-$E102*AI19</f>
        <v>-1103.82791809407</v>
      </c>
      <c r="AJ102" s="47" t="n">
        <f aca="false">-$E102*AJ19</f>
        <v>-1116.09267273956</v>
      </c>
      <c r="AK102" s="47" t="n">
        <f aca="false">-$E102*AK19</f>
        <v>-1128.35742738505</v>
      </c>
      <c r="AL102" s="47" t="n">
        <f aca="false">-$E102*AL19</f>
        <v>-1128.35742738505</v>
      </c>
      <c r="AM102" s="47" t="n">
        <f aca="false">-$E102*AM19</f>
        <v>-1103.82791809407</v>
      </c>
      <c r="AN102" s="47" t="n">
        <f aca="false">-$E102*AN19</f>
        <v>-1116.09267273956</v>
      </c>
      <c r="AO102" s="47" t="n">
        <f aca="false">-$E102*AO19</f>
        <v>-1128.35742738505</v>
      </c>
      <c r="AP102" s="47" t="n">
        <f aca="false">-$E102*AP19</f>
        <v>-1128.35742738505</v>
      </c>
      <c r="AQ102" s="47" t="n">
        <f aca="false">-$E102*AQ19</f>
        <v>-1103.82791809407</v>
      </c>
      <c r="AR102" s="47" t="n">
        <f aca="false">-$E102*AR19</f>
        <v>-1116.09267273956</v>
      </c>
      <c r="AS102" s="47" t="n">
        <f aca="false">-$E102*AS19</f>
        <v>-1128.35742738505</v>
      </c>
      <c r="AT102" s="47" t="n">
        <f aca="false">-$E102*AT19</f>
        <v>-1128.35742738505</v>
      </c>
      <c r="AU102" s="47" t="n">
        <f aca="false">-$E102*AU19</f>
        <v>-1116.09267273956</v>
      </c>
      <c r="AV102" s="47" t="n">
        <f aca="false">-$E102*AV19</f>
        <v>-1116.09267273956</v>
      </c>
      <c r="AW102" s="47" t="n">
        <f aca="false">-$E102*AW19</f>
        <v>-1128.35742738505</v>
      </c>
      <c r="AX102" s="47" t="n">
        <f aca="false">-$E102*AX19</f>
        <v>-1128.35742738505</v>
      </c>
      <c r="AY102" s="47" t="n">
        <f aca="false">-$E102*AY19</f>
        <v>-1103.82791809407</v>
      </c>
      <c r="AZ102" s="47" t="n">
        <f aca="false">-$E102*AZ19</f>
        <v>-1116.09267273956</v>
      </c>
      <c r="BA102" s="47" t="n">
        <f aca="false">-$E102*BA19</f>
        <v>-1128.35742738505</v>
      </c>
      <c r="BB102" s="47" t="n">
        <f aca="false">-$E102*BB19</f>
        <v>-1128.35742738505</v>
      </c>
      <c r="BC102" s="47" t="n">
        <f aca="false">-$E102*BC19</f>
        <v>-1103.82791809407</v>
      </c>
      <c r="BD102" s="47" t="n">
        <f aca="false">-$E102*BD19</f>
        <v>-1116.09267273956</v>
      </c>
      <c r="BE102" s="47" t="n">
        <f aca="false">-$E102*BE19</f>
        <v>-1128.35742738505</v>
      </c>
      <c r="BF102" s="47" t="n">
        <f aca="false">-$E102*BF19</f>
        <v>-1128.35742738505</v>
      </c>
      <c r="BG102" s="47" t="n">
        <f aca="false">-$E102*BG19</f>
        <v>-1103.82791809407</v>
      </c>
      <c r="BH102" s="47" t="n">
        <f aca="false">-$E102*BH19</f>
        <v>-1116.09267273956</v>
      </c>
      <c r="BI102" s="47" t="n">
        <f aca="false">-$E102*BI19</f>
        <v>-1128.35742738505</v>
      </c>
      <c r="BJ102" s="47" t="n">
        <f aca="false">-$E102*BJ19</f>
        <v>-1128.35742738505</v>
      </c>
      <c r="BK102" s="47" t="n">
        <f aca="false">-$E102*BK19</f>
        <v>-1116.09267273956</v>
      </c>
      <c r="BL102" s="47" t="n">
        <f aca="false">-$E102*BL19</f>
        <v>-1116.09267273956</v>
      </c>
      <c r="BM102" s="47" t="n">
        <f aca="false">-$E102*BM19</f>
        <v>-1128.35742738505</v>
      </c>
      <c r="BN102" s="47" t="n">
        <f aca="false">-$E102*BN19</f>
        <v>-1128.35742738505</v>
      </c>
      <c r="BO102" s="47" t="n">
        <f aca="false">-$E102*BO19</f>
        <v>-1103.82791809407</v>
      </c>
      <c r="BP102" s="47" t="n">
        <f aca="false">-$E102*BP19</f>
        <v>-1116.09267273956</v>
      </c>
      <c r="BQ102" s="47" t="n">
        <f aca="false">-$E102*BQ19</f>
        <v>-1128.35742738505</v>
      </c>
      <c r="BR102" s="47" t="n">
        <f aca="false">-$E102*BR19</f>
        <v>-1128.35742738505</v>
      </c>
      <c r="BS102" s="47" t="n">
        <f aca="false">-$E102*BS19</f>
        <v>-1103.82791809407</v>
      </c>
      <c r="BT102" s="47" t="n">
        <f aca="false">-$E102*BT19</f>
        <v>-1116.09267273956</v>
      </c>
      <c r="BU102" s="47" t="n">
        <f aca="false">-$E102*BU19</f>
        <v>-1128.35742738505</v>
      </c>
      <c r="BV102" s="47" t="n">
        <f aca="false">-$E102*BV19</f>
        <v>-1128.35742738505</v>
      </c>
      <c r="BW102" s="47" t="n">
        <f aca="false">-$E102*BW19</f>
        <v>-1103.82791809407</v>
      </c>
      <c r="BX102" s="47" t="n">
        <f aca="false">-$E102*BX19</f>
        <v>-1116.09267273956</v>
      </c>
      <c r="BY102" s="47" t="n">
        <f aca="false">-$E102*BY19</f>
        <v>-1128.35742738505</v>
      </c>
      <c r="BZ102" s="47" t="n">
        <f aca="false">-$E102*BZ19</f>
        <v>-1128.35742738505</v>
      </c>
      <c r="CA102" s="47" t="n">
        <f aca="false">-$E102*CA19</f>
        <v>-1116.09267273956</v>
      </c>
      <c r="CB102" s="47" t="n">
        <f aca="false">-$E102*CB19</f>
        <v>-1116.09267273956</v>
      </c>
      <c r="CC102" s="47" t="n">
        <f aca="false">-$E102*CC19</f>
        <v>-1128.35742738505</v>
      </c>
      <c r="CD102" s="47" t="n">
        <f aca="false">-$E102*CD19</f>
        <v>-1128.35742738505</v>
      </c>
      <c r="CE102" s="47" t="n">
        <f aca="false">-$E102*CE19</f>
        <v>-1103.82791809407</v>
      </c>
      <c r="CF102" s="47" t="n">
        <f aca="false">-$E102*CF19</f>
        <v>-1116.09267273956</v>
      </c>
      <c r="CG102" s="47" t="n">
        <f aca="false">-$E102*CG19</f>
        <v>-1128.35742738505</v>
      </c>
      <c r="CH102" s="47" t="n">
        <f aca="false">-$E102*CH19</f>
        <v>-1128.35742738505</v>
      </c>
      <c r="CI102" s="47" t="n">
        <f aca="false">-$E102*CI19</f>
        <v>-1103.82791809407</v>
      </c>
      <c r="CJ102" s="47" t="n">
        <f aca="false">-$E102*CJ19</f>
        <v>-1116.09267273956</v>
      </c>
      <c r="CK102" s="47" t="n">
        <f aca="false">-$E102*CK19</f>
        <v>-1128.35742738505</v>
      </c>
      <c r="CL102" s="47" t="n">
        <f aca="false">-$E102*CL19</f>
        <v>-1128.35742738505</v>
      </c>
      <c r="CM102" s="47" t="n">
        <f aca="false">-$E102*CM19</f>
        <v>-1103.82791809407</v>
      </c>
      <c r="CN102" s="47" t="n">
        <f aca="false">-$E102*CN19</f>
        <v>-1116.09267273956</v>
      </c>
      <c r="CO102" s="47" t="n">
        <f aca="false">-$E102*CO19</f>
        <v>-1128.35742738505</v>
      </c>
      <c r="CP102" s="47" t="n">
        <f aca="false">-$E102*CP19</f>
        <v>-1128.35742738505</v>
      </c>
      <c r="CQ102" s="47" t="n">
        <f aca="false">-$E102*CQ19</f>
        <v>-1116.09267273956</v>
      </c>
      <c r="CR102" s="47" t="n">
        <f aca="false">-$E102*CR19</f>
        <v>-1116.09267273956</v>
      </c>
      <c r="CS102" s="47" t="n">
        <f aca="false">-$E102*CS19</f>
        <v>-1128.35742738505</v>
      </c>
      <c r="CT102" s="47" t="n">
        <f aca="false">-$E102*CT19</f>
        <v>-1128.35742738505</v>
      </c>
      <c r="CU102" s="47" t="n">
        <f aca="false">-$E102*CU19</f>
        <v>-1103.82791809407</v>
      </c>
      <c r="CV102" s="47" t="n">
        <f aca="false">-$E102*CV19</f>
        <v>-1116.09267273956</v>
      </c>
      <c r="CW102" s="47" t="n">
        <f aca="false">-$E102*CW19</f>
        <v>-1128.35742738505</v>
      </c>
      <c r="CX102" s="47" t="n">
        <f aca="false">-$E102*CX19</f>
        <v>-1128.35742738505</v>
      </c>
      <c r="CY102" s="47" t="n">
        <f aca="false">-$E102*CY19</f>
        <v>-1103.82791809407</v>
      </c>
      <c r="CZ102" s="47" t="n">
        <f aca="false">-$E102*CZ19</f>
        <v>-1116.09267273956</v>
      </c>
      <c r="DA102" s="47" t="n">
        <f aca="false">-$E102*DA19</f>
        <v>-1128.35742738505</v>
      </c>
      <c r="DB102" s="47" t="n">
        <f aca="false">-$E102*DB19</f>
        <v>-0</v>
      </c>
      <c r="DC102" s="47" t="n">
        <f aca="false">-$E102*DC19</f>
        <v>-0</v>
      </c>
      <c r="DD102" s="47" t="n">
        <f aca="false">-$E102*DD19</f>
        <v>-0</v>
      </c>
      <c r="DE102" s="47" t="n">
        <f aca="false">-$E102*DE19</f>
        <v>-0</v>
      </c>
      <c r="DF102" s="47" t="n">
        <f aca="false">-$E102*DF19</f>
        <v>-0</v>
      </c>
      <c r="DG102" s="47" t="n">
        <f aca="false">-$E102*DG19</f>
        <v>-0</v>
      </c>
      <c r="DH102" s="47" t="n">
        <f aca="false">-$E102*DH19</f>
        <v>-0</v>
      </c>
      <c r="DI102" s="47" t="n">
        <f aca="false">-$E102*DI19</f>
        <v>-0</v>
      </c>
      <c r="DJ102" s="47" t="n">
        <f aca="false">-$E102*DJ19</f>
        <v>-0</v>
      </c>
      <c r="DK102" s="47" t="n">
        <f aca="false">-$E102*DK19</f>
        <v>-0</v>
      </c>
      <c r="DL102" s="47" t="n">
        <f aca="false">-$E102*DL19</f>
        <v>-0</v>
      </c>
      <c r="DM102" s="47" t="n">
        <f aca="false">-$E102*DM19</f>
        <v>-0</v>
      </c>
      <c r="DN102" s="47" t="n">
        <f aca="false">-$E102*DN19</f>
        <v>-0</v>
      </c>
      <c r="DO102" s="47" t="n">
        <f aca="false">-$E102*DO19</f>
        <v>-0</v>
      </c>
      <c r="DP102" s="47" t="n">
        <f aca="false">-$E102*DP19</f>
        <v>-0</v>
      </c>
      <c r="DQ102" s="47" t="n">
        <f aca="false">-$E102*DQ19</f>
        <v>-0</v>
      </c>
      <c r="DR102" s="47" t="n">
        <f aca="false">-$E102*DR19</f>
        <v>-0</v>
      </c>
      <c r="DS102" s="47" t="n">
        <f aca="false">-$E102*DS19</f>
        <v>-0</v>
      </c>
      <c r="DT102" s="47" t="n">
        <f aca="false">-$E102*DT19</f>
        <v>-0</v>
      </c>
      <c r="DU102" s="47" t="n">
        <f aca="false">-$E102*DU19</f>
        <v>-0</v>
      </c>
      <c r="DV102" s="47" t="n">
        <f aca="false">-$E102*DV19</f>
        <v>-0</v>
      </c>
      <c r="DW102" s="47" t="n">
        <f aca="false">-$E102*DW19</f>
        <v>-0</v>
      </c>
      <c r="DX102" s="47" t="n">
        <f aca="false">-$E102*DX19</f>
        <v>-0</v>
      </c>
      <c r="DY102" s="47" t="n">
        <f aca="false">-$E102*DY19</f>
        <v>-0</v>
      </c>
      <c r="DZ102" s="47" t="n">
        <f aca="false">-$E102*DZ19</f>
        <v>-0</v>
      </c>
      <c r="EA102" s="47" t="n">
        <f aca="false">-$E102*EA19</f>
        <v>-0</v>
      </c>
      <c r="EB102" s="47" t="n">
        <f aca="false">-$E102*EB19</f>
        <v>-0</v>
      </c>
      <c r="EC102" s="47" t="n">
        <f aca="false">-$E102*EC19</f>
        <v>-0</v>
      </c>
      <c r="ED102" s="47" t="n">
        <f aca="false">-$E102*ED19</f>
        <v>-0</v>
      </c>
      <c r="EE102" s="47" t="n">
        <f aca="false">-$E102*EE19</f>
        <v>-0</v>
      </c>
      <c r="EF102" s="47" t="n">
        <f aca="false">-$E102*EF19</f>
        <v>-0</v>
      </c>
      <c r="EG102" s="47" t="n">
        <f aca="false">-$E102*EG19</f>
        <v>-0</v>
      </c>
      <c r="EH102" s="47" t="n">
        <f aca="false">-$E102*EH19</f>
        <v>-0</v>
      </c>
      <c r="EI102" s="47" t="n">
        <f aca="false">-$E102*EI19</f>
        <v>-0</v>
      </c>
      <c r="EJ102" s="47" t="n">
        <f aca="false">-$E102*EJ19</f>
        <v>-0</v>
      </c>
      <c r="EK102" s="47" t="n">
        <f aca="false">-$E102*EK19</f>
        <v>-0</v>
      </c>
      <c r="EL102" s="47" t="n">
        <f aca="false">-$E102*EL19</f>
        <v>-0</v>
      </c>
      <c r="EM102" s="47" t="n">
        <f aca="false">-$E102*EM19</f>
        <v>-0</v>
      </c>
      <c r="EN102" s="47" t="n">
        <f aca="false">-$E102*EN19</f>
        <v>-0</v>
      </c>
      <c r="EO102" s="47" t="n">
        <f aca="false">-$E102*EO19</f>
        <v>-0</v>
      </c>
    </row>
    <row r="103" customFormat="false" ht="15" hidden="false" customHeight="false" outlineLevel="0" collapsed="false">
      <c r="C103" s="0" t="s">
        <v>447</v>
      </c>
      <c r="D103" s="11" t="s">
        <v>33</v>
      </c>
      <c r="I103" s="47" t="n">
        <f aca="false">SUM(J103:EO103)</f>
        <v>147934.808335945</v>
      </c>
      <c r="J103" s="47" t="n">
        <f aca="false">J79+J102+J89+J96+J97+J48+J55</f>
        <v>-12.8099380746857</v>
      </c>
      <c r="K103" s="47" t="n">
        <f aca="false">K79+K102+K89+K96+K97+K48+K55</f>
        <v>-19.6746856821167</v>
      </c>
      <c r="L103" s="47" t="n">
        <f aca="false">L79+L102+L89+L96+L97+L48+L55</f>
        <v>-33.1554888346782</v>
      </c>
      <c r="M103" s="47" t="n">
        <f aca="false">M79+M102+M89+M96+M97+M48+M55</f>
        <v>-33.5198348658285</v>
      </c>
      <c r="N103" s="47" t="n">
        <f aca="false">N79+N102+N89+N96+N97+N48+N55</f>
        <v>-33.5198348658285</v>
      </c>
      <c r="O103" s="47" t="n">
        <f aca="false">O79+O102+O89+O96+O97+O48+O55</f>
        <v>-33.1554888346782</v>
      </c>
      <c r="P103" s="47" t="n">
        <f aca="false">P79+P102+P89+P96+P97+P48+P55</f>
        <v>-33.1554888346782</v>
      </c>
      <c r="Q103" s="47" t="n">
        <f aca="false">Q79+Q102+Q89+Q96+Q97+Q48+Q55</f>
        <v>-33.5198348658285</v>
      </c>
      <c r="R103" s="47" t="n">
        <f aca="false">R79+R102+R89+R96+R97+R48+R55</f>
        <v>-1405.89219882006</v>
      </c>
      <c r="S103" s="47" t="n">
        <f aca="false">S79+S102+S89+S96+S97+S48+S55</f>
        <v>-202.231076608086</v>
      </c>
      <c r="T103" s="47" t="n">
        <f aca="false">T79+T102+T89+T96+T97+T48+T55</f>
        <v>-174.314462360302</v>
      </c>
      <c r="U103" s="47" t="n">
        <f aca="false">U79+U102+U89+U96+U97+U48+U55</f>
        <v>-160.359842239747</v>
      </c>
      <c r="V103" s="47" t="n">
        <f aca="false">V79+V102+V89+V96+V97+V48+V55</f>
        <v>-144.315281173881</v>
      </c>
      <c r="W103" s="47" t="n">
        <f aca="false">W79+W102+W89+W96+W97+W48+W55</f>
        <v>-126.524157365359</v>
      </c>
      <c r="X103" s="47" t="n">
        <f aca="false">X79+X102+X89+X96+X97+X48+X55</f>
        <v>-112.404821231</v>
      </c>
      <c r="Y103" s="47" t="n">
        <f aca="false">Y79+Y102+Y89+Y96+Y97+Y48+Y55</f>
        <v>-97.7698753837493</v>
      </c>
      <c r="Z103" s="47" t="n">
        <f aca="false">Z79+Z102+Z89+Z96+Z97+Z48+Z55</f>
        <v>236.423434705596</v>
      </c>
      <c r="AA103" s="47" t="n">
        <f aca="false">AA79+AA102+AA89+AA96+AA97+AA48+AA55</f>
        <v>234.488930422877</v>
      </c>
      <c r="AB103" s="47" t="n">
        <f aca="false">AB79+AB102+AB89+AB96+AB97+AB48+AB55</f>
        <v>253.380674818356</v>
      </c>
      <c r="AC103" s="47" t="n">
        <f aca="false">AC79+AC102+AC89+AC96+AC97+AC48+AC55</f>
        <v>272.547512692538</v>
      </c>
      <c r="AD103" s="47" t="n">
        <f aca="false">AD79+AD102+AD89+AD96+AD97+AD48+AD55</f>
        <v>272.050902065284</v>
      </c>
      <c r="AE103" s="47" t="n">
        <f aca="false">AE79+AE102+AE89+AE96+AE97+AE48+AE55</f>
        <v>282.22686355815</v>
      </c>
      <c r="AF103" s="47" t="n">
        <f aca="false">AF79+AF102+AF89+AF96+AF97+AF48+AF55</f>
        <v>289.790676085921</v>
      </c>
      <c r="AG103" s="47" t="n">
        <f aca="false">AG79+AG102+AG89+AG96+AG97+AG48+AG55</f>
        <v>309.442184719961</v>
      </c>
      <c r="AH103" s="47" t="n">
        <f aca="false">AH79+AH102+AH89+AH96+AH97+AH48+AH55</f>
        <v>309.313196377901</v>
      </c>
      <c r="AI103" s="47" t="n">
        <f aca="false">AI79+AI102+AI89+AI96+AI97+AI48+AI55</f>
        <v>307.625961880467</v>
      </c>
      <c r="AJ103" s="47" t="n">
        <f aca="false">AJ79+AJ102+AJ89+AJ96+AJ97+AJ48+AJ55</f>
        <v>360.645704436112</v>
      </c>
      <c r="AK103" s="47" t="n">
        <f aca="false">AK79+AK102+AK89+AK96+AK97+AK48+AK55</f>
        <v>381.415628827994</v>
      </c>
      <c r="AL103" s="47" t="n">
        <f aca="false">AL79+AL102+AL89+AL96+AL97+AL48+AL55</f>
        <v>381.931771978686</v>
      </c>
      <c r="AM103" s="47" t="n">
        <f aca="false">AM79+AM102+AM89+AM96+AM97+AM48+AM55</f>
        <v>379.788517562958</v>
      </c>
      <c r="AN103" s="47" t="n">
        <f aca="false">AN79+AN102+AN89+AN96+AN97+AN48+AN55</f>
        <v>400.649952592823</v>
      </c>
      <c r="AO103" s="47" t="n">
        <f aca="false">AO79+AO102+AO89+AO96+AO97+AO48+AO55</f>
        <v>421.800279446158</v>
      </c>
      <c r="AP103" s="47" t="n">
        <f aca="false">AP79+AP102+AP89+AP96+AP97+AP48+AP55</f>
        <v>422.575002457455</v>
      </c>
      <c r="AQ103" s="47" t="n">
        <f aca="false">AQ79+AQ102+AQ89+AQ96+AQ97+AQ48+AQ55</f>
        <v>420.587291294625</v>
      </c>
      <c r="AR103" s="47" t="n">
        <f aca="false">AR79+AR102+AR89+AR96+AR97+AR48+AR55</f>
        <v>441.968096389337</v>
      </c>
      <c r="AS103" s="47" t="n">
        <f aca="false">AS79+AS102+AS89+AS96+AS97+AS48+AS55</f>
        <v>463.643620251714</v>
      </c>
      <c r="AT103" s="47" t="n">
        <f aca="false">AT79+AT102+AT89+AT96+AT97+AT48+AT55</f>
        <v>464.833157007406</v>
      </c>
      <c r="AU103" s="47" t="n">
        <f aca="false">AU79+AU102+AU89+AU96+AU97+AU48+AU55</f>
        <v>475.642831417071</v>
      </c>
      <c r="AV103" s="47" t="n">
        <f aca="false">AV79+AV102+AV89+AV96+AV97+AV48+AV55</f>
        <v>485.127539325642</v>
      </c>
      <c r="AW103" s="47" t="n">
        <f aca="false">AW79+AW102+AW89+AW96+AW97+AW48+AW55</f>
        <v>507.348486583177</v>
      </c>
      <c r="AX103" s="47" t="n">
        <f aca="false">AX79+AX102+AX89+AX96+AX97+AX48+AX55</f>
        <v>508.975594680542</v>
      </c>
      <c r="AY103" s="47" t="n">
        <f aca="false">AY79+AY102+AY89+AY96+AY97+AY48+AY55</f>
        <v>507.353997361556</v>
      </c>
      <c r="AZ103" s="47" t="n">
        <f aca="false">AZ79+AZ102+AZ89+AZ96+AZ97+AZ48+AZ55</f>
        <v>529.829960249406</v>
      </c>
      <c r="BA103" s="47" t="n">
        <f aca="false">BA79+BA102+BA89+BA96+BA97+BA48+BA55</f>
        <v>552.612993075704</v>
      </c>
      <c r="BB103" s="47" t="n">
        <f aca="false">BB79+BB102+BB89+BB96+BB97+BB48+BB55</f>
        <v>554.69691371723</v>
      </c>
      <c r="BC103" s="47" t="n">
        <f aca="false">BC79+BC102+BC89+BC96+BC97+BC48+BC55</f>
        <v>553.285459806315</v>
      </c>
      <c r="BD103" s="47" t="n">
        <f aca="false">BD79+BD102+BD89+BD96+BD97+BD48+BD55</f>
        <v>576.336675900976</v>
      </c>
      <c r="BE103" s="47" t="n">
        <f aca="false">BE79+BE102+BE89+BE96+BE97+BE48+BE55</f>
        <v>599.701480645199</v>
      </c>
      <c r="BF103" s="47" t="n">
        <f aca="false">BF79+BF102+BF89+BF96+BF97+BF48+BF55</f>
        <v>602.264607020726</v>
      </c>
      <c r="BG103" s="47" t="n">
        <f aca="false">BG79+BG102+BG89+BG96+BG97+BG48+BG55</f>
        <v>601.083303783991</v>
      </c>
      <c r="BH103" s="47" t="n">
        <f aca="false">BH79+BH102+BH89+BH96+BH97+BH48+BH55</f>
        <v>624.730124228028</v>
      </c>
      <c r="BI103" s="47" t="n">
        <f aca="false">BI79+BI102+BI89+BI96+BI97+BI48+BI55</f>
        <v>648.697303710921</v>
      </c>
      <c r="BJ103" s="47" t="n">
        <f aca="false">BJ79+BJ102+BJ89+BJ96+BJ97+BJ48+BJ55</f>
        <v>651.763050951251</v>
      </c>
      <c r="BK103" s="47" t="n">
        <f aca="false">BK79+BK102+BK89+BK96+BK97+BK48+BK55</f>
        <v>663.681255717492</v>
      </c>
      <c r="BL103" s="47" t="n">
        <f aca="false">BL79+BL102+BL89+BL96+BL97+BL48+BL55</f>
        <v>675.289599898881</v>
      </c>
      <c r="BM103" s="47" t="n">
        <f aca="false">BM79+BM102+BM89+BM96+BM97+BM48+BM55</f>
        <v>699.882989971721</v>
      </c>
      <c r="BN103" s="47" t="n">
        <f aca="false">BN79+BN102+BN89+BN96+BN97+BN48+BN55</f>
        <v>703.478141522747</v>
      </c>
      <c r="BO103" s="47" t="n">
        <f aca="false">BO79+BO102+BO89+BO96+BO97+BO48+BO55</f>
        <v>702.823505813293</v>
      </c>
      <c r="BP103" s="47" t="n">
        <f aca="false">BP79+BP102+BP89+BP96+BP97+BP48+BP55</f>
        <v>727.728784289805</v>
      </c>
      <c r="BQ103" s="47" t="n">
        <f aca="false">BQ79+BQ102+BQ89+BQ96+BQ97+BQ48+BQ55</f>
        <v>752.968792248396</v>
      </c>
      <c r="BR103" s="47" t="n">
        <f aca="false">BR79+BR102+BR89+BR96+BR97+BR48+BR55</f>
        <v>757.116762445603</v>
      </c>
      <c r="BS103" s="47" t="n">
        <f aca="false">BS79+BS102+BS89+BS96+BS97+BS48+BS55</f>
        <v>756.758557944183</v>
      </c>
      <c r="BT103" s="47" t="n">
        <f aca="false">BT79+BT102+BT89+BT96+BT97+BT48+BT55</f>
        <v>782.326487415475</v>
      </c>
      <c r="BU103" s="47" t="n">
        <f aca="false">BU79+BU102+BU89+BU96+BU97+BU48+BU55</f>
        <v>808.236744900384</v>
      </c>
      <c r="BV103" s="47" t="n">
        <f aca="false">BV79+BV102+BV89+BV96+BV97+BV48+BV55</f>
        <v>812.964312872926</v>
      </c>
      <c r="BW103" s="47" t="n">
        <f aca="false">BW79+BW102+BW89+BW96+BW97+BW48+BW55</f>
        <v>812.926814711022</v>
      </c>
      <c r="BX103" s="47" t="n">
        <f aca="false">BX79+BX102+BX89+BX96+BX97+BX48+BX55</f>
        <v>839.181832277038</v>
      </c>
      <c r="BY103" s="47" t="n">
        <f aca="false">BY79+BY102+BY89+BY96+BY97+BY48+BY55</f>
        <v>865.787077907768</v>
      </c>
      <c r="BZ103" s="47" t="n">
        <f aca="false">BZ79+BZ102+BZ89+BZ96+BZ97+BZ48+BZ55</f>
        <v>871.122248012733</v>
      </c>
      <c r="CA103" s="47" t="n">
        <f aca="false">CA79+CA102+CA89+CA96+CA97+CA48+CA55</f>
        <v>884.456651943738</v>
      </c>
      <c r="CB103" s="47" t="n">
        <f aca="false">CB79+CB102+CB89+CB96+CB97+CB48+CB55</f>
        <v>898.592892140215</v>
      </c>
      <c r="CC103" s="47" t="n">
        <f aca="false">CC79+CC102+CC89+CC96+CC97+CC48+CC55</f>
        <v>925.921312577105</v>
      </c>
      <c r="CD103" s="47" t="n">
        <f aca="false">CD79+CD102+CD89+CD96+CD97+CD48+CD55</f>
        <v>931.895685827668</v>
      </c>
      <c r="CE103" s="47" t="n">
        <f aca="false">CE79+CE102+CE89+CE96+CE97+CE48+CE55</f>
        <v>932.579604463053</v>
      </c>
      <c r="CF103" s="47" t="n">
        <f aca="false">CF79+CF102+CF89+CF96+CF97+CF48+CF55</f>
        <v>960.289120130922</v>
      </c>
      <c r="CG103" s="47" t="n">
        <f aca="false">CG79+CG102+CG89+CG96+CG97+CG48+CG55</f>
        <v>988.365652931162</v>
      </c>
      <c r="CH103" s="47" t="n">
        <f aca="false">CH79+CH102+CH89+CH96+CH97+CH48+CH55</f>
        <v>995.007653863407</v>
      </c>
      <c r="CI103" s="47" t="n">
        <f aca="false">CI79+CI102+CI89+CI96+CI97+CI48+CI55</f>
        <v>996.09261618345</v>
      </c>
      <c r="CJ103" s="47" t="n">
        <f aca="false">CJ79+CJ102+CJ89+CJ96+CJ97+CJ48+CJ55</f>
        <v>1024.56974776392</v>
      </c>
      <c r="CK103" s="47" t="n">
        <f aca="false">CK79+CK102+CK89+CK96+CK97+CK48+CK55</f>
        <v>1053.42278887675</v>
      </c>
      <c r="CL103" s="47" t="n">
        <f aca="false">CL79+CL102+CL89+CL96+CL97+CL48+CL55</f>
        <v>1060.76445496716</v>
      </c>
      <c r="CM103" s="47" t="n">
        <f aca="false">CM79+CM102+CM89+CM96+CM97+CM48+CM55</f>
        <v>1062.27987252696</v>
      </c>
      <c r="CN103" s="47" t="n">
        <f aca="false">CN79+CN102+CN89+CN96+CN97+CN48+CN55</f>
        <v>1091.55399143254</v>
      </c>
      <c r="CO103" s="47" t="n">
        <f aca="false">CO79+CO102+CO89+CO96+CO97+CO48+CO55</f>
        <v>1121.21327381012</v>
      </c>
      <c r="CP103" s="47" t="n">
        <f aca="false">CP79+CP102+CP89+CP96+CP97+CP48+CP55</f>
        <v>1129.28811212148</v>
      </c>
      <c r="CQ103" s="47" t="n">
        <f aca="false">CQ79+CQ102+CQ89+CQ96+CQ97+CQ48+CQ55</f>
        <v>1144.41493472652</v>
      </c>
      <c r="CR103" s="47" t="n">
        <f aca="false">CR79+CR102+CR89+CR96+CR97+CR48+CR55</f>
        <v>1161.56188563326</v>
      </c>
      <c r="CS103" s="47" t="n">
        <f aca="false">CS79+CS102+CS89+CS96+CS97+CS48+CS55</f>
        <v>1192.06084212266</v>
      </c>
      <c r="CT103" s="47" t="n">
        <f aca="false">CT79+CT102+CT89+CT96+CT97+CT48+CT55</f>
        <v>1200.90622310861</v>
      </c>
      <c r="CU103" s="47" t="n">
        <f aca="false">CU79+CU102+CU89+CU96+CU97+CU48+CU55</f>
        <v>1185.48690621501</v>
      </c>
      <c r="CV103" s="47" t="n">
        <f aca="false">CV79+CV102+CV89+CV96+CV97+CV48+CV55</f>
        <v>1198.65898295074</v>
      </c>
      <c r="CW103" s="47" t="n">
        <f aca="false">CW79+CW102+CW89+CW96+CW97+CW48+CW55</f>
        <v>1211.83105968646</v>
      </c>
      <c r="CX103" s="47" t="n">
        <f aca="false">CX79+CX102+CX89+CX96+CX97+CX48+CX55</f>
        <v>1202.87483544087</v>
      </c>
      <c r="CY103" s="47" t="n">
        <f aca="false">CY79+CY102+CY89+CY96+CY97+CY48+CY55</f>
        <v>1187.11525300689</v>
      </c>
      <c r="CZ103" s="47" t="n">
        <f aca="false">CZ79+CZ102+CZ89+CZ96+CZ97+CZ48+CZ55</f>
        <v>1200.30542248474</v>
      </c>
      <c r="DA103" s="47" t="n">
        <f aca="false">DA79+DA102+DA89+DA96+DA97+DA48+DA55</f>
        <v>1213.4955919626</v>
      </c>
      <c r="DB103" s="47" t="n">
        <f aca="false">DB79+DB102+DB89+DB96+DB97+DB48+DB55</f>
        <v>2332.84341003561</v>
      </c>
      <c r="DC103" s="47" t="n">
        <f aca="false">DC79+DC102+DC89+DC96+DC97+DC48+DC55</f>
        <v>2292.21074162574</v>
      </c>
      <c r="DD103" s="47" t="n">
        <f aca="false">DD79+DD102+DD89+DD96+DD97+DD48+DD55</f>
        <v>2317.67974986603</v>
      </c>
      <c r="DE103" s="47" t="n">
        <f aca="false">DE79+DE102+DE89+DE96+DE97+DE48+DE55</f>
        <v>2343.14875810631</v>
      </c>
      <c r="DF103" s="47" t="n">
        <f aca="false">DF79+DF102+DF89+DF96+DF97+DF48+DF55</f>
        <v>2334.08566032166</v>
      </c>
      <c r="DG103" s="47" t="n">
        <f aca="false">DG79+DG102+DG89+DG96+DG97+DG48+DG55</f>
        <v>2318.58501268533</v>
      </c>
      <c r="DH103" s="47" t="n">
        <f aca="false">DH79+DH102+DH89+DH96+DH97+DH48+DH55</f>
        <v>2318.58501268533</v>
      </c>
      <c r="DI103" s="47" t="n">
        <f aca="false">DI79+DI102+DI89+DI96+DI97+DI48+DI55</f>
        <v>2344.06396886868</v>
      </c>
      <c r="DJ103" s="47" t="n">
        <f aca="false">DJ79+DJ102+DJ89+DJ96+DJ97+DJ48+DJ55</f>
        <v>2334.94728416399</v>
      </c>
      <c r="DK103" s="47" t="n">
        <f aca="false">DK79+DK102+DK89+DK96+DK97+DK48+DK55</f>
        <v>2293.61733770569</v>
      </c>
      <c r="DL103" s="47" t="n">
        <f aca="false">DL79+DL102+DL89+DL96+DL97+DL48+DL55</f>
        <v>2319.10197479131</v>
      </c>
      <c r="DM103" s="47" t="n">
        <f aca="false">DM79+DM102+DM89+DM96+DM97+DM48+DM55</f>
        <v>2344.58661187693</v>
      </c>
      <c r="DN103" s="47" t="n">
        <f aca="false">DN79+DN102+DN89+DN96+DN97+DN48+DN55</f>
        <v>2335.41624692325</v>
      </c>
      <c r="DO103" s="47" t="n">
        <f aca="false">DO79+DO102+DO89+DO96+DO97+DO48+DO55</f>
        <v>2293.73250114924</v>
      </c>
      <c r="DP103" s="47" t="n">
        <f aca="false">DP79+DP102+DP89+DP96+DP97+DP48+DP55</f>
        <v>2319.21841782868</v>
      </c>
      <c r="DQ103" s="47" t="n">
        <f aca="false">DQ79+DQ102+DQ89+DQ96+DQ97+DQ48+DQ55</f>
        <v>2344.70433450811</v>
      </c>
      <c r="DR103" s="47" t="n">
        <f aca="false">DR79+DR102+DR89+DR96+DR97+DR48+DR55</f>
        <v>2335.48020125859</v>
      </c>
      <c r="DS103" s="47" t="n">
        <f aca="false">DS79+DS102+DS89+DS96+DS97+DS48+DS55</f>
        <v>2293.43914907761</v>
      </c>
      <c r="DT103" s="47" t="n">
        <f aca="false">DT79+DT102+DT89+DT96+DT97+DT48+DT55</f>
        <v>2318.92180628959</v>
      </c>
      <c r="DU103" s="47" t="n">
        <f aca="false">DU79+DU102+DU89+DU96+DU97+DU48+DU55</f>
        <v>2344.40446350156</v>
      </c>
      <c r="DV103" s="47" t="n">
        <f aca="false">DV79+DV102+DV89+DV96+DV97+DV48+DV55</f>
        <v>2335.12647935891</v>
      </c>
      <c r="DW103" s="47" t="n">
        <f aca="false">DW79+DW102+DW89+DW96+DW97+DW48+DW55</f>
        <v>2318.19927963646</v>
      </c>
      <c r="DX103" s="47" t="n">
        <f aca="false">DX79+DX102+DX89+DX96+DX97+DX48+DX55</f>
        <v>2318.19927963646</v>
      </c>
      <c r="DY103" s="47" t="n">
        <f aca="false">DY79+DY102+DY89+DY96+DY97+DY48+DY55</f>
        <v>2343.6739969951</v>
      </c>
      <c r="DZ103" s="47" t="n">
        <f aca="false">DZ79+DZ102+DZ89+DZ96+DZ97+DZ48+DZ55</f>
        <v>2334.34208498316</v>
      </c>
      <c r="EA103" s="47" t="n">
        <f aca="false">EA79+EA102+EA89+EA96+EA97+EA48+EA55</f>
        <v>2291.57569209672</v>
      </c>
      <c r="EB103" s="47" t="n">
        <f aca="false">EB79+EB102+EB89+EB96+EB97+EB48+EB55</f>
        <v>2317.03764423113</v>
      </c>
      <c r="EC103" s="47" t="n">
        <f aca="false">EC79+EC102+EC89+EC96+EC97+EC48+EC55</f>
        <v>2342.49959636553</v>
      </c>
      <c r="ED103" s="47" t="n">
        <f aca="false">ED79+ED102+ED89+ED96+ED97+ED48+ED55</f>
        <v>2333.11368530496</v>
      </c>
      <c r="EE103" s="47" t="n">
        <f aca="false">EE79+EE102+EE89+EE96+EE97+EE48+EE55</f>
        <v>2289.97915226266</v>
      </c>
      <c r="EF103" s="47" t="n">
        <f aca="false">EF79+EF102+EF89+EF96+EF97+EF48+EF55</f>
        <v>2315.42336506557</v>
      </c>
      <c r="EG103" s="47" t="n">
        <f aca="false">EG79+EG102+EG89+EG96+EG97+EG48+EG55</f>
        <v>2340.86757786849</v>
      </c>
      <c r="EH103" s="47" t="n">
        <f aca="false">EH79+EH102+EH89+EH96+EH97+EH48+EH55</f>
        <v>2331.42760255663</v>
      </c>
      <c r="EI103" s="47" t="n">
        <f aca="false">EI79+EI102+EI89+EI96+EI97+EI48+EI55</f>
        <v>2287.92121050596</v>
      </c>
      <c r="EJ103" s="47" t="n">
        <f aca="false">EJ79+EJ102+EJ89+EJ96+EJ97+EJ48+EJ55</f>
        <v>2313.34255728936</v>
      </c>
      <c r="EK103" s="47" t="n">
        <f aca="false">EK79+EK102+EK89+EK96+EK97+EK48+EK55</f>
        <v>2338.76390407276</v>
      </c>
      <c r="EL103" s="47" t="n">
        <f aca="false">EL79+EL102+EL89+EL96+EL97+EL48+EL55</f>
        <v>2329.26980546783</v>
      </c>
      <c r="EM103" s="47" t="n">
        <f aca="false">EM79+EM102+EM89+EM96+EM97+EM48+EM55</f>
        <v>2310.78097752875</v>
      </c>
      <c r="EN103" s="47" t="n">
        <f aca="false">EN79+EN102+EN89+EN96+EN97+EN48+EN55</f>
        <v>2310.78097752875</v>
      </c>
      <c r="EO103" s="47" t="n">
        <f aca="false">EO79+EO102+EO89+EO96+EO97+EO48+EO55</f>
        <v>2336.17417508401</v>
      </c>
    </row>
    <row r="104" customFormat="false" ht="15" hidden="false" customHeight="false" outlineLevel="0" collapsed="false">
      <c r="C104" s="0" t="s">
        <v>448</v>
      </c>
      <c r="D104" s="11" t="s">
        <v>33</v>
      </c>
      <c r="J104" s="18" t="n">
        <f aca="false">I108</f>
        <v>0</v>
      </c>
      <c r="K104" s="18" t="n">
        <f aca="false">J108</f>
        <v>12.8099380746857</v>
      </c>
      <c r="L104" s="18" t="n">
        <f aca="false">K108</f>
        <v>32.4846237568024</v>
      </c>
      <c r="M104" s="18" t="n">
        <f aca="false">L108</f>
        <v>65.6401125914806</v>
      </c>
      <c r="N104" s="18" t="n">
        <f aca="false">M108</f>
        <v>99.1599474573091</v>
      </c>
      <c r="O104" s="18" t="n">
        <f aca="false">N108</f>
        <v>132.679782323138</v>
      </c>
      <c r="P104" s="18" t="n">
        <f aca="false">O108</f>
        <v>165.835271157816</v>
      </c>
      <c r="Q104" s="18" t="n">
        <f aca="false">P108</f>
        <v>198.990759992494</v>
      </c>
      <c r="R104" s="18" t="n">
        <f aca="false">Q108</f>
        <v>232.510594858322</v>
      </c>
      <c r="S104" s="18" t="n">
        <f aca="false">R108</f>
        <v>1638.40279367838</v>
      </c>
      <c r="T104" s="18" t="n">
        <f aca="false">S108</f>
        <v>1840.63387028647</v>
      </c>
      <c r="U104" s="18" t="n">
        <f aca="false">T108</f>
        <v>2014.94833264677</v>
      </c>
      <c r="V104" s="18" t="n">
        <f aca="false">U108</f>
        <v>2175.30817488652</v>
      </c>
      <c r="W104" s="18" t="n">
        <f aca="false">V108</f>
        <v>2319.6234560604</v>
      </c>
      <c r="X104" s="18" t="n">
        <f aca="false">W108</f>
        <v>2446.14761342576</v>
      </c>
      <c r="Y104" s="18" t="n">
        <f aca="false">X108</f>
        <v>2558.55243465676</v>
      </c>
      <c r="Z104" s="18" t="n">
        <f aca="false">Y108</f>
        <v>2656.32231004051</v>
      </c>
      <c r="AA104" s="18" t="n">
        <f aca="false">Z108</f>
        <v>2538.11059268771</v>
      </c>
      <c r="AB104" s="18" t="n">
        <f aca="false">AA108</f>
        <v>2420.86612747627</v>
      </c>
      <c r="AC104" s="18" t="n">
        <f aca="false">AB108</f>
        <v>2294.17579006709</v>
      </c>
      <c r="AD104" s="18" t="n">
        <f aca="false">AC108</f>
        <v>2157.90203372082</v>
      </c>
      <c r="AE104" s="18" t="n">
        <f aca="false">AD108</f>
        <v>2021.87658268818</v>
      </c>
      <c r="AF104" s="18" t="n">
        <f aca="false">AE108</f>
        <v>1880.76315090911</v>
      </c>
      <c r="AG104" s="18" t="n">
        <f aca="false">AF108</f>
        <v>1735.86781286615</v>
      </c>
      <c r="AH104" s="18" t="n">
        <f aca="false">AG108</f>
        <v>1581.14672050617</v>
      </c>
      <c r="AI104" s="18" t="n">
        <f aca="false">AH108</f>
        <v>1426.49012231721</v>
      </c>
      <c r="AJ104" s="18" t="n">
        <f aca="false">AI108</f>
        <v>1272.67714137698</v>
      </c>
      <c r="AK104" s="18" t="n">
        <f aca="false">AJ108</f>
        <v>1092.35428915892</v>
      </c>
      <c r="AL104" s="18" t="n">
        <f aca="false">AK108</f>
        <v>0</v>
      </c>
      <c r="AM104" s="18" t="n">
        <f aca="false">AL108</f>
        <v>0</v>
      </c>
      <c r="AN104" s="18" t="n">
        <f aca="false">AM108</f>
        <v>0</v>
      </c>
      <c r="AO104" s="18" t="n">
        <f aca="false">AN108</f>
        <v>0</v>
      </c>
      <c r="AP104" s="18" t="n">
        <f aca="false">AO108</f>
        <v>0</v>
      </c>
      <c r="AQ104" s="18" t="n">
        <f aca="false">AP108</f>
        <v>0</v>
      </c>
      <c r="AR104" s="18" t="n">
        <f aca="false">AQ108</f>
        <v>0</v>
      </c>
      <c r="AS104" s="18" t="n">
        <f aca="false">AR108</f>
        <v>0</v>
      </c>
      <c r="AT104" s="18" t="n">
        <f aca="false">AS108</f>
        <v>0</v>
      </c>
      <c r="AU104" s="18" t="n">
        <f aca="false">AT108</f>
        <v>0</v>
      </c>
      <c r="AV104" s="18" t="n">
        <f aca="false">AU108</f>
        <v>0</v>
      </c>
      <c r="AW104" s="18" t="n">
        <f aca="false">AV108</f>
        <v>0</v>
      </c>
      <c r="AX104" s="18" t="n">
        <f aca="false">AW108</f>
        <v>0</v>
      </c>
      <c r="AY104" s="18" t="n">
        <f aca="false">AX108</f>
        <v>0</v>
      </c>
      <c r="AZ104" s="18" t="n">
        <f aca="false">AY108</f>
        <v>0</v>
      </c>
      <c r="BA104" s="18" t="n">
        <f aca="false">AZ108</f>
        <v>0</v>
      </c>
      <c r="BB104" s="18" t="n">
        <f aca="false">BA108</f>
        <v>0</v>
      </c>
      <c r="BC104" s="18" t="n">
        <f aca="false">BB108</f>
        <v>0</v>
      </c>
      <c r="BD104" s="18" t="n">
        <f aca="false">BC108</f>
        <v>0</v>
      </c>
      <c r="BE104" s="18" t="n">
        <f aca="false">BD108</f>
        <v>0</v>
      </c>
      <c r="BF104" s="18" t="n">
        <f aca="false">BE108</f>
        <v>0</v>
      </c>
      <c r="BG104" s="18" t="n">
        <f aca="false">BF108</f>
        <v>0</v>
      </c>
      <c r="BH104" s="18" t="n">
        <f aca="false">BG108</f>
        <v>0</v>
      </c>
      <c r="BI104" s="18" t="n">
        <f aca="false">BH108</f>
        <v>0</v>
      </c>
      <c r="BJ104" s="18" t="n">
        <f aca="false">BI108</f>
        <v>0</v>
      </c>
      <c r="BK104" s="18" t="n">
        <f aca="false">BJ108</f>
        <v>0</v>
      </c>
      <c r="BL104" s="18" t="n">
        <f aca="false">BK108</f>
        <v>0</v>
      </c>
      <c r="BM104" s="18" t="n">
        <f aca="false">BL108</f>
        <v>0</v>
      </c>
      <c r="BN104" s="18" t="n">
        <f aca="false">BM108</f>
        <v>0</v>
      </c>
      <c r="BO104" s="18" t="n">
        <f aca="false">BN108</f>
        <v>0</v>
      </c>
      <c r="BP104" s="18" t="n">
        <f aca="false">BO108</f>
        <v>0</v>
      </c>
      <c r="BQ104" s="18" t="n">
        <f aca="false">BP108</f>
        <v>0</v>
      </c>
      <c r="BR104" s="18" t="n">
        <f aca="false">BQ108</f>
        <v>0</v>
      </c>
      <c r="BS104" s="18" t="n">
        <f aca="false">BR108</f>
        <v>0</v>
      </c>
      <c r="BT104" s="18" t="n">
        <f aca="false">BS108</f>
        <v>0</v>
      </c>
      <c r="BU104" s="18" t="n">
        <f aca="false">BT108</f>
        <v>0</v>
      </c>
      <c r="BV104" s="18" t="n">
        <f aca="false">BU108</f>
        <v>0</v>
      </c>
      <c r="BW104" s="18" t="n">
        <f aca="false">BV108</f>
        <v>0</v>
      </c>
      <c r="BX104" s="18" t="n">
        <f aca="false">BW108</f>
        <v>0</v>
      </c>
      <c r="BY104" s="18" t="n">
        <f aca="false">BX108</f>
        <v>0</v>
      </c>
      <c r="BZ104" s="18" t="n">
        <f aca="false">BY108</f>
        <v>0</v>
      </c>
      <c r="CA104" s="18" t="n">
        <f aca="false">BZ108</f>
        <v>0</v>
      </c>
      <c r="CB104" s="18" t="n">
        <f aca="false">CA108</f>
        <v>0</v>
      </c>
      <c r="CC104" s="18" t="n">
        <f aca="false">CB108</f>
        <v>0</v>
      </c>
      <c r="CD104" s="18" t="n">
        <f aca="false">CC108</f>
        <v>0</v>
      </c>
      <c r="CE104" s="18" t="n">
        <f aca="false">CD108</f>
        <v>0</v>
      </c>
      <c r="CF104" s="18" t="n">
        <f aca="false">CE108</f>
        <v>0</v>
      </c>
      <c r="CG104" s="18" t="n">
        <f aca="false">CF108</f>
        <v>0</v>
      </c>
      <c r="CH104" s="18" t="n">
        <f aca="false">CG108</f>
        <v>0</v>
      </c>
      <c r="CI104" s="18" t="n">
        <f aca="false">CH108</f>
        <v>0</v>
      </c>
      <c r="CJ104" s="18" t="n">
        <f aca="false">CI108</f>
        <v>0</v>
      </c>
      <c r="CK104" s="18" t="n">
        <f aca="false">CJ108</f>
        <v>0</v>
      </c>
      <c r="CL104" s="18" t="n">
        <f aca="false">CK108</f>
        <v>0</v>
      </c>
      <c r="CM104" s="18" t="n">
        <f aca="false">CL108</f>
        <v>0</v>
      </c>
      <c r="CN104" s="18" t="n">
        <f aca="false">CM108</f>
        <v>0</v>
      </c>
      <c r="CO104" s="18" t="n">
        <f aca="false">CN108</f>
        <v>0</v>
      </c>
      <c r="CP104" s="18" t="n">
        <f aca="false">CO108</f>
        <v>0</v>
      </c>
      <c r="CQ104" s="18" t="n">
        <f aca="false">CP108</f>
        <v>0</v>
      </c>
      <c r="CR104" s="18" t="n">
        <f aca="false">CQ108</f>
        <v>0</v>
      </c>
      <c r="CS104" s="18" t="n">
        <f aca="false">CR108</f>
        <v>0</v>
      </c>
      <c r="CT104" s="18" t="n">
        <f aca="false">CS108</f>
        <v>0</v>
      </c>
      <c r="CU104" s="18" t="n">
        <f aca="false">CT108</f>
        <v>0</v>
      </c>
      <c r="CV104" s="18" t="n">
        <f aca="false">CU108</f>
        <v>0</v>
      </c>
      <c r="CW104" s="18" t="n">
        <f aca="false">CV108</f>
        <v>0</v>
      </c>
      <c r="CX104" s="18" t="n">
        <f aca="false">CW108</f>
        <v>0</v>
      </c>
      <c r="CY104" s="18" t="n">
        <f aca="false">CX108</f>
        <v>0</v>
      </c>
      <c r="CZ104" s="18" t="n">
        <f aca="false">CY108</f>
        <v>0</v>
      </c>
      <c r="DA104" s="18" t="n">
        <f aca="false">CZ108</f>
        <v>0</v>
      </c>
      <c r="DB104" s="18" t="n">
        <f aca="false">DA108</f>
        <v>0</v>
      </c>
      <c r="DC104" s="18" t="n">
        <f aca="false">DB108</f>
        <v>0</v>
      </c>
      <c r="DD104" s="18" t="n">
        <f aca="false">DC108</f>
        <v>0</v>
      </c>
      <c r="DE104" s="18" t="n">
        <f aca="false">DD108</f>
        <v>0</v>
      </c>
      <c r="DF104" s="18" t="n">
        <f aca="false">DE108</f>
        <v>0</v>
      </c>
      <c r="DG104" s="18" t="n">
        <f aca="false">DF108</f>
        <v>0</v>
      </c>
      <c r="DH104" s="18" t="n">
        <f aca="false">DG108</f>
        <v>0</v>
      </c>
      <c r="DI104" s="18" t="n">
        <f aca="false">DH108</f>
        <v>0</v>
      </c>
      <c r="DJ104" s="18" t="n">
        <f aca="false">DI108</f>
        <v>0</v>
      </c>
      <c r="DK104" s="18" t="n">
        <f aca="false">DJ108</f>
        <v>0</v>
      </c>
      <c r="DL104" s="18" t="n">
        <f aca="false">DK108</f>
        <v>0</v>
      </c>
      <c r="DM104" s="18" t="n">
        <f aca="false">DL108</f>
        <v>0</v>
      </c>
      <c r="DN104" s="18" t="n">
        <f aca="false">DM108</f>
        <v>0</v>
      </c>
      <c r="DO104" s="18" t="n">
        <f aca="false">DN108</f>
        <v>0</v>
      </c>
      <c r="DP104" s="18" t="n">
        <f aca="false">DO108</f>
        <v>0</v>
      </c>
      <c r="DQ104" s="18" t="n">
        <f aca="false">DP108</f>
        <v>0</v>
      </c>
      <c r="DR104" s="18" t="n">
        <f aca="false">DQ108</f>
        <v>0</v>
      </c>
      <c r="DS104" s="18" t="n">
        <f aca="false">DR108</f>
        <v>0</v>
      </c>
      <c r="DT104" s="18" t="n">
        <f aca="false">DS108</f>
        <v>0</v>
      </c>
      <c r="DU104" s="18" t="n">
        <f aca="false">DT108</f>
        <v>0</v>
      </c>
      <c r="DV104" s="18" t="n">
        <f aca="false">DU108</f>
        <v>0</v>
      </c>
      <c r="DW104" s="18" t="n">
        <f aca="false">DV108</f>
        <v>0</v>
      </c>
      <c r="DX104" s="18" t="n">
        <f aca="false">DW108</f>
        <v>0</v>
      </c>
      <c r="DY104" s="18" t="n">
        <f aca="false">DX108</f>
        <v>0</v>
      </c>
      <c r="DZ104" s="18" t="n">
        <f aca="false">DY108</f>
        <v>0</v>
      </c>
      <c r="EA104" s="18" t="n">
        <f aca="false">DZ108</f>
        <v>0</v>
      </c>
      <c r="EB104" s="18" t="n">
        <f aca="false">EA108</f>
        <v>0</v>
      </c>
      <c r="EC104" s="18" t="n">
        <f aca="false">EB108</f>
        <v>0</v>
      </c>
      <c r="ED104" s="18" t="n">
        <f aca="false">EC108</f>
        <v>0</v>
      </c>
      <c r="EE104" s="18" t="n">
        <f aca="false">ED108</f>
        <v>0</v>
      </c>
      <c r="EF104" s="18" t="n">
        <f aca="false">EE108</f>
        <v>0</v>
      </c>
      <c r="EG104" s="18" t="n">
        <f aca="false">EF108</f>
        <v>0</v>
      </c>
      <c r="EH104" s="18" t="n">
        <f aca="false">EG108</f>
        <v>0</v>
      </c>
      <c r="EI104" s="18" t="n">
        <f aca="false">EH108</f>
        <v>0</v>
      </c>
      <c r="EJ104" s="18" t="n">
        <f aca="false">EI108</f>
        <v>0</v>
      </c>
      <c r="EK104" s="18" t="n">
        <f aca="false">EJ108</f>
        <v>0</v>
      </c>
      <c r="EL104" s="18" t="n">
        <f aca="false">EK108</f>
        <v>0</v>
      </c>
      <c r="EM104" s="18" t="n">
        <f aca="false">EL108</f>
        <v>0</v>
      </c>
      <c r="EN104" s="18" t="n">
        <f aca="false">EM108</f>
        <v>0</v>
      </c>
      <c r="EO104" s="18" t="n">
        <f aca="false">EN108</f>
        <v>0</v>
      </c>
    </row>
    <row r="105" customFormat="false" ht="15" hidden="false" customHeight="false" outlineLevel="0" collapsed="false">
      <c r="C105" s="0" t="s">
        <v>449</v>
      </c>
      <c r="D105" s="11" t="s">
        <v>33</v>
      </c>
      <c r="I105" s="47" t="n">
        <f aca="false">SUM(J105:EO105)</f>
        <v>2656.32231004051</v>
      </c>
      <c r="J105" s="47" t="n">
        <f aca="false">MAX(0,-J103)</f>
        <v>12.8099380746857</v>
      </c>
      <c r="K105" s="47" t="n">
        <f aca="false">MAX(0,-K103)</f>
        <v>19.6746856821167</v>
      </c>
      <c r="L105" s="47" t="n">
        <f aca="false">MAX(0,-L103)</f>
        <v>33.1554888346782</v>
      </c>
      <c r="M105" s="47" t="n">
        <f aca="false">MAX(0,-M103)</f>
        <v>33.5198348658285</v>
      </c>
      <c r="N105" s="47" t="n">
        <f aca="false">MAX(0,-N103)</f>
        <v>33.5198348658285</v>
      </c>
      <c r="O105" s="47" t="n">
        <f aca="false">MAX(0,-O103)</f>
        <v>33.1554888346782</v>
      </c>
      <c r="P105" s="47" t="n">
        <f aca="false">MAX(0,-P103)</f>
        <v>33.1554888346782</v>
      </c>
      <c r="Q105" s="47" t="n">
        <f aca="false">MAX(0,-Q103)</f>
        <v>33.5198348658285</v>
      </c>
      <c r="R105" s="47" t="n">
        <f aca="false">MAX(0,-R103)</f>
        <v>1405.89219882006</v>
      </c>
      <c r="S105" s="47" t="n">
        <f aca="false">MAX(0,-S103)</f>
        <v>202.231076608086</v>
      </c>
      <c r="T105" s="47" t="n">
        <f aca="false">MAX(0,-T103)</f>
        <v>174.314462360302</v>
      </c>
      <c r="U105" s="47" t="n">
        <f aca="false">MAX(0,-U103)</f>
        <v>160.359842239747</v>
      </c>
      <c r="V105" s="47" t="n">
        <f aca="false">MAX(0,-V103)</f>
        <v>144.315281173881</v>
      </c>
      <c r="W105" s="47" t="n">
        <f aca="false">MAX(0,-W103)</f>
        <v>126.524157365359</v>
      </c>
      <c r="X105" s="47" t="n">
        <f aca="false">MAX(0,-X103)</f>
        <v>112.404821231</v>
      </c>
      <c r="Y105" s="47" t="n">
        <f aca="false">MAX(0,-Y103)</f>
        <v>97.7698753837493</v>
      </c>
      <c r="Z105" s="47" t="n">
        <f aca="false">MAX(0,-Z103)</f>
        <v>0</v>
      </c>
      <c r="AA105" s="47" t="n">
        <f aca="false">MAX(0,-AA103)</f>
        <v>0</v>
      </c>
      <c r="AB105" s="47" t="n">
        <f aca="false">MAX(0,-AB103)</f>
        <v>0</v>
      </c>
      <c r="AC105" s="47" t="n">
        <f aca="false">MAX(0,-AC103)</f>
        <v>0</v>
      </c>
      <c r="AD105" s="47" t="n">
        <f aca="false">MAX(0,-AD103)</f>
        <v>0</v>
      </c>
      <c r="AE105" s="47" t="n">
        <f aca="false">MAX(0,-AE103)</f>
        <v>0</v>
      </c>
      <c r="AF105" s="47" t="n">
        <f aca="false">MAX(0,-AF103)</f>
        <v>0</v>
      </c>
      <c r="AG105" s="47" t="n">
        <f aca="false">MAX(0,-AG103)</f>
        <v>0</v>
      </c>
      <c r="AH105" s="47" t="n">
        <f aca="false">MAX(0,-AH103)</f>
        <v>0</v>
      </c>
      <c r="AI105" s="47" t="n">
        <f aca="false">MAX(0,-AI103)</f>
        <v>0</v>
      </c>
      <c r="AJ105" s="47" t="n">
        <f aca="false">MAX(0,-AJ103)</f>
        <v>0</v>
      </c>
      <c r="AK105" s="47" t="n">
        <f aca="false">MAX(0,-AK103)</f>
        <v>0</v>
      </c>
      <c r="AL105" s="47" t="n">
        <f aca="false">MAX(0,-AL103)</f>
        <v>0</v>
      </c>
      <c r="AM105" s="47" t="n">
        <f aca="false">MAX(0,-AM103)</f>
        <v>0</v>
      </c>
      <c r="AN105" s="47" t="n">
        <f aca="false">MAX(0,-AN103)</f>
        <v>0</v>
      </c>
      <c r="AO105" s="47" t="n">
        <f aca="false">MAX(0,-AO103)</f>
        <v>0</v>
      </c>
      <c r="AP105" s="47" t="n">
        <f aca="false">MAX(0,-AP103)</f>
        <v>0</v>
      </c>
      <c r="AQ105" s="47" t="n">
        <f aca="false">MAX(0,-AQ103)</f>
        <v>0</v>
      </c>
      <c r="AR105" s="47" t="n">
        <f aca="false">MAX(0,-AR103)</f>
        <v>0</v>
      </c>
      <c r="AS105" s="47" t="n">
        <f aca="false">MAX(0,-AS103)</f>
        <v>0</v>
      </c>
      <c r="AT105" s="47" t="n">
        <f aca="false">MAX(0,-AT103)</f>
        <v>0</v>
      </c>
      <c r="AU105" s="47" t="n">
        <f aca="false">MAX(0,-AU103)</f>
        <v>0</v>
      </c>
      <c r="AV105" s="47" t="n">
        <f aca="false">MAX(0,-AV103)</f>
        <v>0</v>
      </c>
      <c r="AW105" s="47" t="n">
        <f aca="false">MAX(0,-AW103)</f>
        <v>0</v>
      </c>
      <c r="AX105" s="47" t="n">
        <f aca="false">MAX(0,-AX103)</f>
        <v>0</v>
      </c>
      <c r="AY105" s="47" t="n">
        <f aca="false">MAX(0,-AY103)</f>
        <v>0</v>
      </c>
      <c r="AZ105" s="47" t="n">
        <f aca="false">MAX(0,-AZ103)</f>
        <v>0</v>
      </c>
      <c r="BA105" s="47" t="n">
        <f aca="false">MAX(0,-BA103)</f>
        <v>0</v>
      </c>
      <c r="BB105" s="47" t="n">
        <f aca="false">MAX(0,-BB103)</f>
        <v>0</v>
      </c>
      <c r="BC105" s="47" t="n">
        <f aca="false">MAX(0,-BC103)</f>
        <v>0</v>
      </c>
      <c r="BD105" s="47" t="n">
        <f aca="false">MAX(0,-BD103)</f>
        <v>0</v>
      </c>
      <c r="BE105" s="47" t="n">
        <f aca="false">MAX(0,-BE103)</f>
        <v>0</v>
      </c>
      <c r="BF105" s="47" t="n">
        <f aca="false">MAX(0,-BF103)</f>
        <v>0</v>
      </c>
      <c r="BG105" s="47" t="n">
        <f aca="false">MAX(0,-BG103)</f>
        <v>0</v>
      </c>
      <c r="BH105" s="47" t="n">
        <f aca="false">MAX(0,-BH103)</f>
        <v>0</v>
      </c>
      <c r="BI105" s="47" t="n">
        <f aca="false">MAX(0,-BI103)</f>
        <v>0</v>
      </c>
      <c r="BJ105" s="47" t="n">
        <f aca="false">MAX(0,-BJ103)</f>
        <v>0</v>
      </c>
      <c r="BK105" s="47" t="n">
        <f aca="false">MAX(0,-BK103)</f>
        <v>0</v>
      </c>
      <c r="BL105" s="47" t="n">
        <f aca="false">MAX(0,-BL103)</f>
        <v>0</v>
      </c>
      <c r="BM105" s="47" t="n">
        <f aca="false">MAX(0,-BM103)</f>
        <v>0</v>
      </c>
      <c r="BN105" s="47" t="n">
        <f aca="false">MAX(0,-BN103)</f>
        <v>0</v>
      </c>
      <c r="BO105" s="47" t="n">
        <f aca="false">MAX(0,-BO103)</f>
        <v>0</v>
      </c>
      <c r="BP105" s="47" t="n">
        <f aca="false">MAX(0,-BP103)</f>
        <v>0</v>
      </c>
      <c r="BQ105" s="47" t="n">
        <f aca="false">MAX(0,-BQ103)</f>
        <v>0</v>
      </c>
      <c r="BR105" s="47" t="n">
        <f aca="false">MAX(0,-BR103)</f>
        <v>0</v>
      </c>
      <c r="BS105" s="47" t="n">
        <f aca="false">MAX(0,-BS103)</f>
        <v>0</v>
      </c>
      <c r="BT105" s="47" t="n">
        <f aca="false">MAX(0,-BT103)</f>
        <v>0</v>
      </c>
      <c r="BU105" s="47" t="n">
        <f aca="false">MAX(0,-BU103)</f>
        <v>0</v>
      </c>
      <c r="BV105" s="47" t="n">
        <f aca="false">MAX(0,-BV103)</f>
        <v>0</v>
      </c>
      <c r="BW105" s="47" t="n">
        <f aca="false">MAX(0,-BW103)</f>
        <v>0</v>
      </c>
      <c r="BX105" s="47" t="n">
        <f aca="false">MAX(0,-BX103)</f>
        <v>0</v>
      </c>
      <c r="BY105" s="47" t="n">
        <f aca="false">MAX(0,-BY103)</f>
        <v>0</v>
      </c>
      <c r="BZ105" s="47" t="n">
        <f aca="false">MAX(0,-BZ103)</f>
        <v>0</v>
      </c>
      <c r="CA105" s="47" t="n">
        <f aca="false">MAX(0,-CA103)</f>
        <v>0</v>
      </c>
      <c r="CB105" s="47" t="n">
        <f aca="false">MAX(0,-CB103)</f>
        <v>0</v>
      </c>
      <c r="CC105" s="47" t="n">
        <f aca="false">MAX(0,-CC103)</f>
        <v>0</v>
      </c>
      <c r="CD105" s="47" t="n">
        <f aca="false">MAX(0,-CD103)</f>
        <v>0</v>
      </c>
      <c r="CE105" s="47" t="n">
        <f aca="false">MAX(0,-CE103)</f>
        <v>0</v>
      </c>
      <c r="CF105" s="47" t="n">
        <f aca="false">MAX(0,-CF103)</f>
        <v>0</v>
      </c>
      <c r="CG105" s="47" t="n">
        <f aca="false">MAX(0,-CG103)</f>
        <v>0</v>
      </c>
      <c r="CH105" s="47" t="n">
        <f aca="false">MAX(0,-CH103)</f>
        <v>0</v>
      </c>
      <c r="CI105" s="47" t="n">
        <f aca="false">MAX(0,-CI103)</f>
        <v>0</v>
      </c>
      <c r="CJ105" s="47" t="n">
        <f aca="false">MAX(0,-CJ103)</f>
        <v>0</v>
      </c>
      <c r="CK105" s="47" t="n">
        <f aca="false">MAX(0,-CK103)</f>
        <v>0</v>
      </c>
      <c r="CL105" s="47" t="n">
        <f aca="false">MAX(0,-CL103)</f>
        <v>0</v>
      </c>
      <c r="CM105" s="47" t="n">
        <f aca="false">MAX(0,-CM103)</f>
        <v>0</v>
      </c>
      <c r="CN105" s="47" t="n">
        <f aca="false">MAX(0,-CN103)</f>
        <v>0</v>
      </c>
      <c r="CO105" s="47" t="n">
        <f aca="false">MAX(0,-CO103)</f>
        <v>0</v>
      </c>
      <c r="CP105" s="47" t="n">
        <f aca="false">MAX(0,-CP103)</f>
        <v>0</v>
      </c>
      <c r="CQ105" s="47" t="n">
        <f aca="false">MAX(0,-CQ103)</f>
        <v>0</v>
      </c>
      <c r="CR105" s="47" t="n">
        <f aca="false">MAX(0,-CR103)</f>
        <v>0</v>
      </c>
      <c r="CS105" s="47" t="n">
        <f aca="false">MAX(0,-CS103)</f>
        <v>0</v>
      </c>
      <c r="CT105" s="47" t="n">
        <f aca="false">MAX(0,-CT103)</f>
        <v>0</v>
      </c>
      <c r="CU105" s="47" t="n">
        <f aca="false">MAX(0,-CU103)</f>
        <v>0</v>
      </c>
      <c r="CV105" s="47" t="n">
        <f aca="false">MAX(0,-CV103)</f>
        <v>0</v>
      </c>
      <c r="CW105" s="47" t="n">
        <f aca="false">MAX(0,-CW103)</f>
        <v>0</v>
      </c>
      <c r="CX105" s="47" t="n">
        <f aca="false">MAX(0,-CX103)</f>
        <v>0</v>
      </c>
      <c r="CY105" s="47" t="n">
        <f aca="false">MAX(0,-CY103)</f>
        <v>0</v>
      </c>
      <c r="CZ105" s="47" t="n">
        <f aca="false">MAX(0,-CZ103)</f>
        <v>0</v>
      </c>
      <c r="DA105" s="47" t="n">
        <f aca="false">MAX(0,-DA103)</f>
        <v>0</v>
      </c>
      <c r="DB105" s="47" t="n">
        <f aca="false">MAX(0,-DB103)</f>
        <v>0</v>
      </c>
      <c r="DC105" s="47" t="n">
        <f aca="false">MAX(0,-DC103)</f>
        <v>0</v>
      </c>
      <c r="DD105" s="47" t="n">
        <f aca="false">MAX(0,-DD103)</f>
        <v>0</v>
      </c>
      <c r="DE105" s="47" t="n">
        <f aca="false">MAX(0,-DE103)</f>
        <v>0</v>
      </c>
      <c r="DF105" s="47" t="n">
        <f aca="false">MAX(0,-DF103)</f>
        <v>0</v>
      </c>
      <c r="DG105" s="47" t="n">
        <f aca="false">MAX(0,-DG103)</f>
        <v>0</v>
      </c>
      <c r="DH105" s="47" t="n">
        <f aca="false">MAX(0,-DH103)</f>
        <v>0</v>
      </c>
      <c r="DI105" s="47" t="n">
        <f aca="false">MAX(0,-DI103)</f>
        <v>0</v>
      </c>
      <c r="DJ105" s="47" t="n">
        <f aca="false">MAX(0,-DJ103)</f>
        <v>0</v>
      </c>
      <c r="DK105" s="47" t="n">
        <f aca="false">MAX(0,-DK103)</f>
        <v>0</v>
      </c>
      <c r="DL105" s="47" t="n">
        <f aca="false">MAX(0,-DL103)</f>
        <v>0</v>
      </c>
      <c r="DM105" s="47" t="n">
        <f aca="false">MAX(0,-DM103)</f>
        <v>0</v>
      </c>
      <c r="DN105" s="47" t="n">
        <f aca="false">MAX(0,-DN103)</f>
        <v>0</v>
      </c>
      <c r="DO105" s="47" t="n">
        <f aca="false">MAX(0,-DO103)</f>
        <v>0</v>
      </c>
      <c r="DP105" s="47" t="n">
        <f aca="false">MAX(0,-DP103)</f>
        <v>0</v>
      </c>
      <c r="DQ105" s="47" t="n">
        <f aca="false">MAX(0,-DQ103)</f>
        <v>0</v>
      </c>
      <c r="DR105" s="47" t="n">
        <f aca="false">MAX(0,-DR103)</f>
        <v>0</v>
      </c>
      <c r="DS105" s="47" t="n">
        <f aca="false">MAX(0,-DS103)</f>
        <v>0</v>
      </c>
      <c r="DT105" s="47" t="n">
        <f aca="false">MAX(0,-DT103)</f>
        <v>0</v>
      </c>
      <c r="DU105" s="47" t="n">
        <f aca="false">MAX(0,-DU103)</f>
        <v>0</v>
      </c>
      <c r="DV105" s="47" t="n">
        <f aca="false">MAX(0,-DV103)</f>
        <v>0</v>
      </c>
      <c r="DW105" s="47" t="n">
        <f aca="false">MAX(0,-DW103)</f>
        <v>0</v>
      </c>
      <c r="DX105" s="47" t="n">
        <f aca="false">MAX(0,-DX103)</f>
        <v>0</v>
      </c>
      <c r="DY105" s="47" t="n">
        <f aca="false">MAX(0,-DY103)</f>
        <v>0</v>
      </c>
      <c r="DZ105" s="47" t="n">
        <f aca="false">MAX(0,-DZ103)</f>
        <v>0</v>
      </c>
      <c r="EA105" s="47" t="n">
        <f aca="false">MAX(0,-EA103)</f>
        <v>0</v>
      </c>
      <c r="EB105" s="47" t="n">
        <f aca="false">MAX(0,-EB103)</f>
        <v>0</v>
      </c>
      <c r="EC105" s="47" t="n">
        <f aca="false">MAX(0,-EC103)</f>
        <v>0</v>
      </c>
      <c r="ED105" s="47" t="n">
        <f aca="false">MAX(0,-ED103)</f>
        <v>0</v>
      </c>
      <c r="EE105" s="47" t="n">
        <f aca="false">MAX(0,-EE103)</f>
        <v>0</v>
      </c>
      <c r="EF105" s="47" t="n">
        <f aca="false">MAX(0,-EF103)</f>
        <v>0</v>
      </c>
      <c r="EG105" s="47" t="n">
        <f aca="false">MAX(0,-EG103)</f>
        <v>0</v>
      </c>
      <c r="EH105" s="47" t="n">
        <f aca="false">MAX(0,-EH103)</f>
        <v>0</v>
      </c>
      <c r="EI105" s="47" t="n">
        <f aca="false">MAX(0,-EI103)</f>
        <v>0</v>
      </c>
      <c r="EJ105" s="47" t="n">
        <f aca="false">MAX(0,-EJ103)</f>
        <v>0</v>
      </c>
      <c r="EK105" s="47" t="n">
        <f aca="false">MAX(0,-EK103)</f>
        <v>0</v>
      </c>
      <c r="EL105" s="47" t="n">
        <f aca="false">MAX(0,-EL103)</f>
        <v>0</v>
      </c>
      <c r="EM105" s="47" t="n">
        <f aca="false">MAX(0,-EM103)</f>
        <v>0</v>
      </c>
      <c r="EN105" s="47" t="n">
        <f aca="false">MAX(0,-EN103)</f>
        <v>0</v>
      </c>
      <c r="EO105" s="47" t="n">
        <f aca="false">MAX(0,-EO103)</f>
        <v>0</v>
      </c>
    </row>
    <row r="106" customFormat="false" ht="15" hidden="false" customHeight="false" outlineLevel="0" collapsed="false">
      <c r="C106" s="0" t="s">
        <v>450</v>
      </c>
      <c r="D106" s="11" t="s">
        <v>33</v>
      </c>
      <c r="I106" s="47" t="n">
        <f aca="false">SUM(J106:EO106)</f>
        <v>-1754.67583529558</v>
      </c>
      <c r="J106" s="47" t="n">
        <f aca="false">-MIN(J104,In_Loss_Cap*MAX(0,J103))</f>
        <v>-0</v>
      </c>
      <c r="K106" s="47" t="n">
        <f aca="false">-MIN(K104,In_Loss_Cap*MAX(0,K103))</f>
        <v>-0</v>
      </c>
      <c r="L106" s="47" t="n">
        <f aca="false">-MIN(L104,In_Loss_Cap*MAX(0,L103))</f>
        <v>-0</v>
      </c>
      <c r="M106" s="47" t="n">
        <f aca="false">-MIN(M104,In_Loss_Cap*MAX(0,M103))</f>
        <v>-0</v>
      </c>
      <c r="N106" s="47" t="n">
        <f aca="false">-MIN(N104,In_Loss_Cap*MAX(0,N103))</f>
        <v>-0</v>
      </c>
      <c r="O106" s="47" t="n">
        <f aca="false">-MIN(O104,In_Loss_Cap*MAX(0,O103))</f>
        <v>-0</v>
      </c>
      <c r="P106" s="47" t="n">
        <f aca="false">-MIN(P104,In_Loss_Cap*MAX(0,P103))</f>
        <v>-0</v>
      </c>
      <c r="Q106" s="47" t="n">
        <f aca="false">-MIN(Q104,In_Loss_Cap*MAX(0,Q103))</f>
        <v>-0</v>
      </c>
      <c r="R106" s="47" t="n">
        <f aca="false">-MIN(R104,In_Loss_Cap*MAX(0,R103))</f>
        <v>-0</v>
      </c>
      <c r="S106" s="47" t="n">
        <f aca="false">-MIN(S104,In_Loss_Cap*MAX(0,S103))</f>
        <v>-0</v>
      </c>
      <c r="T106" s="47" t="n">
        <f aca="false">-MIN(T104,In_Loss_Cap*MAX(0,T103))</f>
        <v>-0</v>
      </c>
      <c r="U106" s="47" t="n">
        <f aca="false">-MIN(U104,In_Loss_Cap*MAX(0,U103))</f>
        <v>-0</v>
      </c>
      <c r="V106" s="47" t="n">
        <f aca="false">-MIN(V104,In_Loss_Cap*MAX(0,V103))</f>
        <v>-0</v>
      </c>
      <c r="W106" s="47" t="n">
        <f aca="false">-MIN(W104,In_Loss_Cap*MAX(0,W103))</f>
        <v>-0</v>
      </c>
      <c r="X106" s="47" t="n">
        <f aca="false">-MIN(X104,In_Loss_Cap*MAX(0,X103))</f>
        <v>-0</v>
      </c>
      <c r="Y106" s="47" t="n">
        <f aca="false">-MIN(Y104,In_Loss_Cap*MAX(0,Y103))</f>
        <v>-0</v>
      </c>
      <c r="Z106" s="47" t="n">
        <f aca="false">-MIN(Z104,In_Loss_Cap*MAX(0,Z103))</f>
        <v>-118.211717352798</v>
      </c>
      <c r="AA106" s="47" t="n">
        <f aca="false">-MIN(AA104,In_Loss_Cap*MAX(0,AA103))</f>
        <v>-117.244465211439</v>
      </c>
      <c r="AB106" s="47" t="n">
        <f aca="false">-MIN(AB104,In_Loss_Cap*MAX(0,AB103))</f>
        <v>-126.690337409178</v>
      </c>
      <c r="AC106" s="47" t="n">
        <f aca="false">-MIN(AC104,In_Loss_Cap*MAX(0,AC103))</f>
        <v>-136.273756346269</v>
      </c>
      <c r="AD106" s="47" t="n">
        <f aca="false">-MIN(AD104,In_Loss_Cap*MAX(0,AD103))</f>
        <v>-136.025451032642</v>
      </c>
      <c r="AE106" s="47" t="n">
        <f aca="false">-MIN(AE104,In_Loss_Cap*MAX(0,AE103))</f>
        <v>-141.113431779075</v>
      </c>
      <c r="AF106" s="47" t="n">
        <f aca="false">-MIN(AF104,In_Loss_Cap*MAX(0,AF103))</f>
        <v>-144.895338042961</v>
      </c>
      <c r="AG106" s="47" t="n">
        <f aca="false">-MIN(AG104,In_Loss_Cap*MAX(0,AG103))</f>
        <v>-154.721092359981</v>
      </c>
      <c r="AH106" s="47" t="n">
        <f aca="false">-MIN(AH104,In_Loss_Cap*MAX(0,AH103))</f>
        <v>-154.656598188951</v>
      </c>
      <c r="AI106" s="47" t="n">
        <f aca="false">-MIN(AI104,In_Loss_Cap*MAX(0,AI103))</f>
        <v>-153.812980940234</v>
      </c>
      <c r="AJ106" s="47" t="n">
        <f aca="false">-MIN(AJ104,In_Loss_Cap*MAX(0,AJ103))</f>
        <v>-180.322852218056</v>
      </c>
      <c r="AK106" s="47" t="n">
        <f aca="false">-MIN(AK104,In_Loss_Cap*MAX(0,AK103))</f>
        <v>-190.707814413997</v>
      </c>
      <c r="AL106" s="47" t="n">
        <f aca="false">-MIN(AL104,In_Loss_Cap*MAX(0,AL103))</f>
        <v>-0</v>
      </c>
      <c r="AM106" s="47" t="n">
        <f aca="false">-MIN(AM104,In_Loss_Cap*MAX(0,AM103))</f>
        <v>-0</v>
      </c>
      <c r="AN106" s="47" t="n">
        <f aca="false">-MIN(AN104,In_Loss_Cap*MAX(0,AN103))</f>
        <v>-0</v>
      </c>
      <c r="AO106" s="47" t="n">
        <f aca="false">-MIN(AO104,In_Loss_Cap*MAX(0,AO103))</f>
        <v>-0</v>
      </c>
      <c r="AP106" s="47" t="n">
        <f aca="false">-MIN(AP104,In_Loss_Cap*MAX(0,AP103))</f>
        <v>-0</v>
      </c>
      <c r="AQ106" s="47" t="n">
        <f aca="false">-MIN(AQ104,In_Loss_Cap*MAX(0,AQ103))</f>
        <v>-0</v>
      </c>
      <c r="AR106" s="47" t="n">
        <f aca="false">-MIN(AR104,In_Loss_Cap*MAX(0,AR103))</f>
        <v>-0</v>
      </c>
      <c r="AS106" s="47" t="n">
        <f aca="false">-MIN(AS104,In_Loss_Cap*MAX(0,AS103))</f>
        <v>-0</v>
      </c>
      <c r="AT106" s="47" t="n">
        <f aca="false">-MIN(AT104,In_Loss_Cap*MAX(0,AT103))</f>
        <v>-0</v>
      </c>
      <c r="AU106" s="47" t="n">
        <f aca="false">-MIN(AU104,In_Loss_Cap*MAX(0,AU103))</f>
        <v>-0</v>
      </c>
      <c r="AV106" s="47" t="n">
        <f aca="false">-MIN(AV104,In_Loss_Cap*MAX(0,AV103))</f>
        <v>-0</v>
      </c>
      <c r="AW106" s="47" t="n">
        <f aca="false">-MIN(AW104,In_Loss_Cap*MAX(0,AW103))</f>
        <v>-0</v>
      </c>
      <c r="AX106" s="47" t="n">
        <f aca="false">-MIN(AX104,In_Loss_Cap*MAX(0,AX103))</f>
        <v>-0</v>
      </c>
      <c r="AY106" s="47" t="n">
        <f aca="false">-MIN(AY104,In_Loss_Cap*MAX(0,AY103))</f>
        <v>-0</v>
      </c>
      <c r="AZ106" s="47" t="n">
        <f aca="false">-MIN(AZ104,In_Loss_Cap*MAX(0,AZ103))</f>
        <v>-0</v>
      </c>
      <c r="BA106" s="47" t="n">
        <f aca="false">-MIN(BA104,In_Loss_Cap*MAX(0,BA103))</f>
        <v>-0</v>
      </c>
      <c r="BB106" s="47" t="n">
        <f aca="false">-MIN(BB104,In_Loss_Cap*MAX(0,BB103))</f>
        <v>-0</v>
      </c>
      <c r="BC106" s="47" t="n">
        <f aca="false">-MIN(BC104,In_Loss_Cap*MAX(0,BC103))</f>
        <v>-0</v>
      </c>
      <c r="BD106" s="47" t="n">
        <f aca="false">-MIN(BD104,In_Loss_Cap*MAX(0,BD103))</f>
        <v>-0</v>
      </c>
      <c r="BE106" s="47" t="n">
        <f aca="false">-MIN(BE104,In_Loss_Cap*MAX(0,BE103))</f>
        <v>-0</v>
      </c>
      <c r="BF106" s="47" t="n">
        <f aca="false">-MIN(BF104,In_Loss_Cap*MAX(0,BF103))</f>
        <v>-0</v>
      </c>
      <c r="BG106" s="47" t="n">
        <f aca="false">-MIN(BG104,In_Loss_Cap*MAX(0,BG103))</f>
        <v>-0</v>
      </c>
      <c r="BH106" s="47" t="n">
        <f aca="false">-MIN(BH104,In_Loss_Cap*MAX(0,BH103))</f>
        <v>-0</v>
      </c>
      <c r="BI106" s="47" t="n">
        <f aca="false">-MIN(BI104,In_Loss_Cap*MAX(0,BI103))</f>
        <v>-0</v>
      </c>
      <c r="BJ106" s="47" t="n">
        <f aca="false">-MIN(BJ104,In_Loss_Cap*MAX(0,BJ103))</f>
        <v>-0</v>
      </c>
      <c r="BK106" s="47" t="n">
        <f aca="false">-MIN(BK104,In_Loss_Cap*MAX(0,BK103))</f>
        <v>-0</v>
      </c>
      <c r="BL106" s="47" t="n">
        <f aca="false">-MIN(BL104,In_Loss_Cap*MAX(0,BL103))</f>
        <v>-0</v>
      </c>
      <c r="BM106" s="47" t="n">
        <f aca="false">-MIN(BM104,In_Loss_Cap*MAX(0,BM103))</f>
        <v>-0</v>
      </c>
      <c r="BN106" s="47" t="n">
        <f aca="false">-MIN(BN104,In_Loss_Cap*MAX(0,BN103))</f>
        <v>-0</v>
      </c>
      <c r="BO106" s="47" t="n">
        <f aca="false">-MIN(BO104,In_Loss_Cap*MAX(0,BO103))</f>
        <v>-0</v>
      </c>
      <c r="BP106" s="47" t="n">
        <f aca="false">-MIN(BP104,In_Loss_Cap*MAX(0,BP103))</f>
        <v>-0</v>
      </c>
      <c r="BQ106" s="47" t="n">
        <f aca="false">-MIN(BQ104,In_Loss_Cap*MAX(0,BQ103))</f>
        <v>-0</v>
      </c>
      <c r="BR106" s="47" t="n">
        <f aca="false">-MIN(BR104,In_Loss_Cap*MAX(0,BR103))</f>
        <v>-0</v>
      </c>
      <c r="BS106" s="47" t="n">
        <f aca="false">-MIN(BS104,In_Loss_Cap*MAX(0,BS103))</f>
        <v>-0</v>
      </c>
      <c r="BT106" s="47" t="n">
        <f aca="false">-MIN(BT104,In_Loss_Cap*MAX(0,BT103))</f>
        <v>-0</v>
      </c>
      <c r="BU106" s="47" t="n">
        <f aca="false">-MIN(BU104,In_Loss_Cap*MAX(0,BU103))</f>
        <v>-0</v>
      </c>
      <c r="BV106" s="47" t="n">
        <f aca="false">-MIN(BV104,In_Loss_Cap*MAX(0,BV103))</f>
        <v>-0</v>
      </c>
      <c r="BW106" s="47" t="n">
        <f aca="false">-MIN(BW104,In_Loss_Cap*MAX(0,BW103))</f>
        <v>-0</v>
      </c>
      <c r="BX106" s="47" t="n">
        <f aca="false">-MIN(BX104,In_Loss_Cap*MAX(0,BX103))</f>
        <v>-0</v>
      </c>
      <c r="BY106" s="47" t="n">
        <f aca="false">-MIN(BY104,In_Loss_Cap*MAX(0,BY103))</f>
        <v>-0</v>
      </c>
      <c r="BZ106" s="47" t="n">
        <f aca="false">-MIN(BZ104,In_Loss_Cap*MAX(0,BZ103))</f>
        <v>-0</v>
      </c>
      <c r="CA106" s="47" t="n">
        <f aca="false">-MIN(CA104,In_Loss_Cap*MAX(0,CA103))</f>
        <v>-0</v>
      </c>
      <c r="CB106" s="47" t="n">
        <f aca="false">-MIN(CB104,In_Loss_Cap*MAX(0,CB103))</f>
        <v>-0</v>
      </c>
      <c r="CC106" s="47" t="n">
        <f aca="false">-MIN(CC104,In_Loss_Cap*MAX(0,CC103))</f>
        <v>-0</v>
      </c>
      <c r="CD106" s="47" t="n">
        <f aca="false">-MIN(CD104,In_Loss_Cap*MAX(0,CD103))</f>
        <v>-0</v>
      </c>
      <c r="CE106" s="47" t="n">
        <f aca="false">-MIN(CE104,In_Loss_Cap*MAX(0,CE103))</f>
        <v>-0</v>
      </c>
      <c r="CF106" s="47" t="n">
        <f aca="false">-MIN(CF104,In_Loss_Cap*MAX(0,CF103))</f>
        <v>-0</v>
      </c>
      <c r="CG106" s="47" t="n">
        <f aca="false">-MIN(CG104,In_Loss_Cap*MAX(0,CG103))</f>
        <v>-0</v>
      </c>
      <c r="CH106" s="47" t="n">
        <f aca="false">-MIN(CH104,In_Loss_Cap*MAX(0,CH103))</f>
        <v>-0</v>
      </c>
      <c r="CI106" s="47" t="n">
        <f aca="false">-MIN(CI104,In_Loss_Cap*MAX(0,CI103))</f>
        <v>-0</v>
      </c>
      <c r="CJ106" s="47" t="n">
        <f aca="false">-MIN(CJ104,In_Loss_Cap*MAX(0,CJ103))</f>
        <v>-0</v>
      </c>
      <c r="CK106" s="47" t="n">
        <f aca="false">-MIN(CK104,In_Loss_Cap*MAX(0,CK103))</f>
        <v>-0</v>
      </c>
      <c r="CL106" s="47" t="n">
        <f aca="false">-MIN(CL104,In_Loss_Cap*MAX(0,CL103))</f>
        <v>-0</v>
      </c>
      <c r="CM106" s="47" t="n">
        <f aca="false">-MIN(CM104,In_Loss_Cap*MAX(0,CM103))</f>
        <v>-0</v>
      </c>
      <c r="CN106" s="47" t="n">
        <f aca="false">-MIN(CN104,In_Loss_Cap*MAX(0,CN103))</f>
        <v>-0</v>
      </c>
      <c r="CO106" s="47" t="n">
        <f aca="false">-MIN(CO104,In_Loss_Cap*MAX(0,CO103))</f>
        <v>-0</v>
      </c>
      <c r="CP106" s="47" t="n">
        <f aca="false">-MIN(CP104,In_Loss_Cap*MAX(0,CP103))</f>
        <v>-0</v>
      </c>
      <c r="CQ106" s="47" t="n">
        <f aca="false">-MIN(CQ104,In_Loss_Cap*MAX(0,CQ103))</f>
        <v>-0</v>
      </c>
      <c r="CR106" s="47" t="n">
        <f aca="false">-MIN(CR104,In_Loss_Cap*MAX(0,CR103))</f>
        <v>-0</v>
      </c>
      <c r="CS106" s="47" t="n">
        <f aca="false">-MIN(CS104,In_Loss_Cap*MAX(0,CS103))</f>
        <v>-0</v>
      </c>
      <c r="CT106" s="47" t="n">
        <f aca="false">-MIN(CT104,In_Loss_Cap*MAX(0,CT103))</f>
        <v>-0</v>
      </c>
      <c r="CU106" s="47" t="n">
        <f aca="false">-MIN(CU104,In_Loss_Cap*MAX(0,CU103))</f>
        <v>-0</v>
      </c>
      <c r="CV106" s="47" t="n">
        <f aca="false">-MIN(CV104,In_Loss_Cap*MAX(0,CV103))</f>
        <v>-0</v>
      </c>
      <c r="CW106" s="47" t="n">
        <f aca="false">-MIN(CW104,In_Loss_Cap*MAX(0,CW103))</f>
        <v>-0</v>
      </c>
      <c r="CX106" s="47" t="n">
        <f aca="false">-MIN(CX104,In_Loss_Cap*MAX(0,CX103))</f>
        <v>-0</v>
      </c>
      <c r="CY106" s="47" t="n">
        <f aca="false">-MIN(CY104,In_Loss_Cap*MAX(0,CY103))</f>
        <v>-0</v>
      </c>
      <c r="CZ106" s="47" t="n">
        <f aca="false">-MIN(CZ104,In_Loss_Cap*MAX(0,CZ103))</f>
        <v>-0</v>
      </c>
      <c r="DA106" s="47" t="n">
        <f aca="false">-MIN(DA104,In_Loss_Cap*MAX(0,DA103))</f>
        <v>-0</v>
      </c>
      <c r="DB106" s="47" t="n">
        <f aca="false">-MIN(DB104,In_Loss_Cap*MAX(0,DB103))</f>
        <v>-0</v>
      </c>
      <c r="DC106" s="47" t="n">
        <f aca="false">-MIN(DC104,In_Loss_Cap*MAX(0,DC103))</f>
        <v>-0</v>
      </c>
      <c r="DD106" s="47" t="n">
        <f aca="false">-MIN(DD104,In_Loss_Cap*MAX(0,DD103))</f>
        <v>-0</v>
      </c>
      <c r="DE106" s="47" t="n">
        <f aca="false">-MIN(DE104,In_Loss_Cap*MAX(0,DE103))</f>
        <v>-0</v>
      </c>
      <c r="DF106" s="47" t="n">
        <f aca="false">-MIN(DF104,In_Loss_Cap*MAX(0,DF103))</f>
        <v>-0</v>
      </c>
      <c r="DG106" s="47" t="n">
        <f aca="false">-MIN(DG104,In_Loss_Cap*MAX(0,DG103))</f>
        <v>-0</v>
      </c>
      <c r="DH106" s="47" t="n">
        <f aca="false">-MIN(DH104,In_Loss_Cap*MAX(0,DH103))</f>
        <v>-0</v>
      </c>
      <c r="DI106" s="47" t="n">
        <f aca="false">-MIN(DI104,In_Loss_Cap*MAX(0,DI103))</f>
        <v>-0</v>
      </c>
      <c r="DJ106" s="47" t="n">
        <f aca="false">-MIN(DJ104,In_Loss_Cap*MAX(0,DJ103))</f>
        <v>-0</v>
      </c>
      <c r="DK106" s="47" t="n">
        <f aca="false">-MIN(DK104,In_Loss_Cap*MAX(0,DK103))</f>
        <v>-0</v>
      </c>
      <c r="DL106" s="47" t="n">
        <f aca="false">-MIN(DL104,In_Loss_Cap*MAX(0,DL103))</f>
        <v>-0</v>
      </c>
      <c r="DM106" s="47" t="n">
        <f aca="false">-MIN(DM104,In_Loss_Cap*MAX(0,DM103))</f>
        <v>-0</v>
      </c>
      <c r="DN106" s="47" t="n">
        <f aca="false">-MIN(DN104,In_Loss_Cap*MAX(0,DN103))</f>
        <v>-0</v>
      </c>
      <c r="DO106" s="47" t="n">
        <f aca="false">-MIN(DO104,In_Loss_Cap*MAX(0,DO103))</f>
        <v>-0</v>
      </c>
      <c r="DP106" s="47" t="n">
        <f aca="false">-MIN(DP104,In_Loss_Cap*MAX(0,DP103))</f>
        <v>-0</v>
      </c>
      <c r="DQ106" s="47" t="n">
        <f aca="false">-MIN(DQ104,In_Loss_Cap*MAX(0,DQ103))</f>
        <v>-0</v>
      </c>
      <c r="DR106" s="47" t="n">
        <f aca="false">-MIN(DR104,In_Loss_Cap*MAX(0,DR103))</f>
        <v>-0</v>
      </c>
      <c r="DS106" s="47" t="n">
        <f aca="false">-MIN(DS104,In_Loss_Cap*MAX(0,DS103))</f>
        <v>-0</v>
      </c>
      <c r="DT106" s="47" t="n">
        <f aca="false">-MIN(DT104,In_Loss_Cap*MAX(0,DT103))</f>
        <v>-0</v>
      </c>
      <c r="DU106" s="47" t="n">
        <f aca="false">-MIN(DU104,In_Loss_Cap*MAX(0,DU103))</f>
        <v>-0</v>
      </c>
      <c r="DV106" s="47" t="n">
        <f aca="false">-MIN(DV104,In_Loss_Cap*MAX(0,DV103))</f>
        <v>-0</v>
      </c>
      <c r="DW106" s="47" t="n">
        <f aca="false">-MIN(DW104,In_Loss_Cap*MAX(0,DW103))</f>
        <v>-0</v>
      </c>
      <c r="DX106" s="47" t="n">
        <f aca="false">-MIN(DX104,In_Loss_Cap*MAX(0,DX103))</f>
        <v>-0</v>
      </c>
      <c r="DY106" s="47" t="n">
        <f aca="false">-MIN(DY104,In_Loss_Cap*MAX(0,DY103))</f>
        <v>-0</v>
      </c>
      <c r="DZ106" s="47" t="n">
        <f aca="false">-MIN(DZ104,In_Loss_Cap*MAX(0,DZ103))</f>
        <v>-0</v>
      </c>
      <c r="EA106" s="47" t="n">
        <f aca="false">-MIN(EA104,In_Loss_Cap*MAX(0,EA103))</f>
        <v>-0</v>
      </c>
      <c r="EB106" s="47" t="n">
        <f aca="false">-MIN(EB104,In_Loss_Cap*MAX(0,EB103))</f>
        <v>-0</v>
      </c>
      <c r="EC106" s="47" t="n">
        <f aca="false">-MIN(EC104,In_Loss_Cap*MAX(0,EC103))</f>
        <v>-0</v>
      </c>
      <c r="ED106" s="47" t="n">
        <f aca="false">-MIN(ED104,In_Loss_Cap*MAX(0,ED103))</f>
        <v>-0</v>
      </c>
      <c r="EE106" s="47" t="n">
        <f aca="false">-MIN(EE104,In_Loss_Cap*MAX(0,EE103))</f>
        <v>-0</v>
      </c>
      <c r="EF106" s="47" t="n">
        <f aca="false">-MIN(EF104,In_Loss_Cap*MAX(0,EF103))</f>
        <v>-0</v>
      </c>
      <c r="EG106" s="47" t="n">
        <f aca="false">-MIN(EG104,In_Loss_Cap*MAX(0,EG103))</f>
        <v>-0</v>
      </c>
      <c r="EH106" s="47" t="n">
        <f aca="false">-MIN(EH104,In_Loss_Cap*MAX(0,EH103))</f>
        <v>-0</v>
      </c>
      <c r="EI106" s="47" t="n">
        <f aca="false">-MIN(EI104,In_Loss_Cap*MAX(0,EI103))</f>
        <v>-0</v>
      </c>
      <c r="EJ106" s="47" t="n">
        <f aca="false">-MIN(EJ104,In_Loss_Cap*MAX(0,EJ103))</f>
        <v>-0</v>
      </c>
      <c r="EK106" s="47" t="n">
        <f aca="false">-MIN(EK104,In_Loss_Cap*MAX(0,EK103))</f>
        <v>-0</v>
      </c>
      <c r="EL106" s="47" t="n">
        <f aca="false">-MIN(EL104,In_Loss_Cap*MAX(0,EL103))</f>
        <v>-0</v>
      </c>
      <c r="EM106" s="47" t="n">
        <f aca="false">-MIN(EM104,In_Loss_Cap*MAX(0,EM103))</f>
        <v>-0</v>
      </c>
      <c r="EN106" s="47" t="n">
        <f aca="false">-MIN(EN104,In_Loss_Cap*MAX(0,EN103))</f>
        <v>-0</v>
      </c>
      <c r="EO106" s="47" t="n">
        <f aca="false">-MIN(EO104,In_Loss_Cap*MAX(0,EO103))</f>
        <v>-0</v>
      </c>
    </row>
    <row r="107" customFormat="false" ht="15" hidden="false" customHeight="false" outlineLevel="0" collapsed="false">
      <c r="C107" s="0" t="s">
        <v>451</v>
      </c>
      <c r="D107" s="11" t="s">
        <v>33</v>
      </c>
      <c r="E107" s="45" t="n">
        <f aca="false">EDATE(In_NTP,In_Loss_Years*Months_In_Year)</f>
        <v>48852</v>
      </c>
      <c r="I107" s="47" t="n">
        <f aca="false">SUM(J107:EO107)</f>
        <v>-901.646474744928</v>
      </c>
      <c r="J107" s="47" t="n">
        <f aca="false">-(J104+J105+J106)*N(AND(J$3&lt;=$E107,J$4&gt;=$E107))</f>
        <v>-0</v>
      </c>
      <c r="K107" s="47" t="n">
        <f aca="false">-(K104+K105+K106)*N(AND(K$3&lt;=$E107,K$4&gt;=$E107))</f>
        <v>-0</v>
      </c>
      <c r="L107" s="47" t="n">
        <f aca="false">-(L104+L105+L106)*N(AND(L$3&lt;=$E107,L$4&gt;=$E107))</f>
        <v>-0</v>
      </c>
      <c r="M107" s="47" t="n">
        <f aca="false">-(M104+M105+M106)*N(AND(M$3&lt;=$E107,M$4&gt;=$E107))</f>
        <v>-0</v>
      </c>
      <c r="N107" s="47" t="n">
        <f aca="false">-(N104+N105+N106)*N(AND(N$3&lt;=$E107,N$4&gt;=$E107))</f>
        <v>-0</v>
      </c>
      <c r="O107" s="47" t="n">
        <f aca="false">-(O104+O105+O106)*N(AND(O$3&lt;=$E107,O$4&gt;=$E107))</f>
        <v>-0</v>
      </c>
      <c r="P107" s="47" t="n">
        <f aca="false">-(P104+P105+P106)*N(AND(P$3&lt;=$E107,P$4&gt;=$E107))</f>
        <v>-0</v>
      </c>
      <c r="Q107" s="47" t="n">
        <f aca="false">-(Q104+Q105+Q106)*N(AND(Q$3&lt;=$E107,Q$4&gt;=$E107))</f>
        <v>-0</v>
      </c>
      <c r="R107" s="47" t="n">
        <f aca="false">-(R104+R105+R106)*N(AND(R$3&lt;=$E107,R$4&gt;=$E107))</f>
        <v>-0</v>
      </c>
      <c r="S107" s="47" t="n">
        <f aca="false">-(S104+S105+S106)*N(AND(S$3&lt;=$E107,S$4&gt;=$E107))</f>
        <v>-0</v>
      </c>
      <c r="T107" s="47" t="n">
        <f aca="false">-(T104+T105+T106)*N(AND(T$3&lt;=$E107,T$4&gt;=$E107))</f>
        <v>-0</v>
      </c>
      <c r="U107" s="47" t="n">
        <f aca="false">-(U104+U105+U106)*N(AND(U$3&lt;=$E107,U$4&gt;=$E107))</f>
        <v>-0</v>
      </c>
      <c r="V107" s="47" t="n">
        <f aca="false">-(V104+V105+V106)*N(AND(V$3&lt;=$E107,V$4&gt;=$E107))</f>
        <v>-0</v>
      </c>
      <c r="W107" s="47" t="n">
        <f aca="false">-(W104+W105+W106)*N(AND(W$3&lt;=$E107,W$4&gt;=$E107))</f>
        <v>-0</v>
      </c>
      <c r="X107" s="47" t="n">
        <f aca="false">-(X104+X105+X106)*N(AND(X$3&lt;=$E107,X$4&gt;=$E107))</f>
        <v>-0</v>
      </c>
      <c r="Y107" s="47" t="n">
        <f aca="false">-(Y104+Y105+Y106)*N(AND(Y$3&lt;=$E107,Y$4&gt;=$E107))</f>
        <v>-0</v>
      </c>
      <c r="Z107" s="47" t="n">
        <f aca="false">-(Z104+Z105+Z106)*N(AND(Z$3&lt;=$E107,Z$4&gt;=$E107))</f>
        <v>-0</v>
      </c>
      <c r="AA107" s="47" t="n">
        <f aca="false">-(AA104+AA105+AA106)*N(AND(AA$3&lt;=$E107,AA$4&gt;=$E107))</f>
        <v>-0</v>
      </c>
      <c r="AB107" s="47" t="n">
        <f aca="false">-(AB104+AB105+AB106)*N(AND(AB$3&lt;=$E107,AB$4&gt;=$E107))</f>
        <v>-0</v>
      </c>
      <c r="AC107" s="47" t="n">
        <f aca="false">-(AC104+AC105+AC106)*N(AND(AC$3&lt;=$E107,AC$4&gt;=$E107))</f>
        <v>-0</v>
      </c>
      <c r="AD107" s="47" t="n">
        <f aca="false">-(AD104+AD105+AD106)*N(AND(AD$3&lt;=$E107,AD$4&gt;=$E107))</f>
        <v>-0</v>
      </c>
      <c r="AE107" s="47" t="n">
        <f aca="false">-(AE104+AE105+AE106)*N(AND(AE$3&lt;=$E107,AE$4&gt;=$E107))</f>
        <v>-0</v>
      </c>
      <c r="AF107" s="47" t="n">
        <f aca="false">-(AF104+AF105+AF106)*N(AND(AF$3&lt;=$E107,AF$4&gt;=$E107))</f>
        <v>-0</v>
      </c>
      <c r="AG107" s="47" t="n">
        <f aca="false">-(AG104+AG105+AG106)*N(AND(AG$3&lt;=$E107,AG$4&gt;=$E107))</f>
        <v>-0</v>
      </c>
      <c r="AH107" s="47" t="n">
        <f aca="false">-(AH104+AH105+AH106)*N(AND(AH$3&lt;=$E107,AH$4&gt;=$E107))</f>
        <v>-0</v>
      </c>
      <c r="AI107" s="47" t="n">
        <f aca="false">-(AI104+AI105+AI106)*N(AND(AI$3&lt;=$E107,AI$4&gt;=$E107))</f>
        <v>-0</v>
      </c>
      <c r="AJ107" s="47" t="n">
        <f aca="false">-(AJ104+AJ105+AJ106)*N(AND(AJ$3&lt;=$E107,AJ$4&gt;=$E107))</f>
        <v>-0</v>
      </c>
      <c r="AK107" s="47" t="n">
        <f aca="false">-(AK104+AK105+AK106)*N(AND(AK$3&lt;=$E107,AK$4&gt;=$E107))</f>
        <v>-901.646474744928</v>
      </c>
      <c r="AL107" s="47" t="n">
        <f aca="false">-(AL104+AL105+AL106)*N(AND(AL$3&lt;=$E107,AL$4&gt;=$E107))</f>
        <v>-0</v>
      </c>
      <c r="AM107" s="47" t="n">
        <f aca="false">-(AM104+AM105+AM106)*N(AND(AM$3&lt;=$E107,AM$4&gt;=$E107))</f>
        <v>-0</v>
      </c>
      <c r="AN107" s="47" t="n">
        <f aca="false">-(AN104+AN105+AN106)*N(AND(AN$3&lt;=$E107,AN$4&gt;=$E107))</f>
        <v>-0</v>
      </c>
      <c r="AO107" s="47" t="n">
        <f aca="false">-(AO104+AO105+AO106)*N(AND(AO$3&lt;=$E107,AO$4&gt;=$E107))</f>
        <v>-0</v>
      </c>
      <c r="AP107" s="47" t="n">
        <f aca="false">-(AP104+AP105+AP106)*N(AND(AP$3&lt;=$E107,AP$4&gt;=$E107))</f>
        <v>-0</v>
      </c>
      <c r="AQ107" s="47" t="n">
        <f aca="false">-(AQ104+AQ105+AQ106)*N(AND(AQ$3&lt;=$E107,AQ$4&gt;=$E107))</f>
        <v>-0</v>
      </c>
      <c r="AR107" s="47" t="n">
        <f aca="false">-(AR104+AR105+AR106)*N(AND(AR$3&lt;=$E107,AR$4&gt;=$E107))</f>
        <v>-0</v>
      </c>
      <c r="AS107" s="47" t="n">
        <f aca="false">-(AS104+AS105+AS106)*N(AND(AS$3&lt;=$E107,AS$4&gt;=$E107))</f>
        <v>-0</v>
      </c>
      <c r="AT107" s="47" t="n">
        <f aca="false">-(AT104+AT105+AT106)*N(AND(AT$3&lt;=$E107,AT$4&gt;=$E107))</f>
        <v>-0</v>
      </c>
      <c r="AU107" s="47" t="n">
        <f aca="false">-(AU104+AU105+AU106)*N(AND(AU$3&lt;=$E107,AU$4&gt;=$E107))</f>
        <v>-0</v>
      </c>
      <c r="AV107" s="47" t="n">
        <f aca="false">-(AV104+AV105+AV106)*N(AND(AV$3&lt;=$E107,AV$4&gt;=$E107))</f>
        <v>-0</v>
      </c>
      <c r="AW107" s="47" t="n">
        <f aca="false">-(AW104+AW105+AW106)*N(AND(AW$3&lt;=$E107,AW$4&gt;=$E107))</f>
        <v>-0</v>
      </c>
      <c r="AX107" s="47" t="n">
        <f aca="false">-(AX104+AX105+AX106)*N(AND(AX$3&lt;=$E107,AX$4&gt;=$E107))</f>
        <v>-0</v>
      </c>
      <c r="AY107" s="47" t="n">
        <f aca="false">-(AY104+AY105+AY106)*N(AND(AY$3&lt;=$E107,AY$4&gt;=$E107))</f>
        <v>-0</v>
      </c>
      <c r="AZ107" s="47" t="n">
        <f aca="false">-(AZ104+AZ105+AZ106)*N(AND(AZ$3&lt;=$E107,AZ$4&gt;=$E107))</f>
        <v>-0</v>
      </c>
      <c r="BA107" s="47" t="n">
        <f aca="false">-(BA104+BA105+BA106)*N(AND(BA$3&lt;=$E107,BA$4&gt;=$E107))</f>
        <v>-0</v>
      </c>
      <c r="BB107" s="47" t="n">
        <f aca="false">-(BB104+BB105+BB106)*N(AND(BB$3&lt;=$E107,BB$4&gt;=$E107))</f>
        <v>-0</v>
      </c>
      <c r="BC107" s="47" t="n">
        <f aca="false">-(BC104+BC105+BC106)*N(AND(BC$3&lt;=$E107,BC$4&gt;=$E107))</f>
        <v>-0</v>
      </c>
      <c r="BD107" s="47" t="n">
        <f aca="false">-(BD104+BD105+BD106)*N(AND(BD$3&lt;=$E107,BD$4&gt;=$E107))</f>
        <v>-0</v>
      </c>
      <c r="BE107" s="47" t="n">
        <f aca="false">-(BE104+BE105+BE106)*N(AND(BE$3&lt;=$E107,BE$4&gt;=$E107))</f>
        <v>-0</v>
      </c>
      <c r="BF107" s="47" t="n">
        <f aca="false">-(BF104+BF105+BF106)*N(AND(BF$3&lt;=$E107,BF$4&gt;=$E107))</f>
        <v>-0</v>
      </c>
      <c r="BG107" s="47" t="n">
        <f aca="false">-(BG104+BG105+BG106)*N(AND(BG$3&lt;=$E107,BG$4&gt;=$E107))</f>
        <v>-0</v>
      </c>
      <c r="BH107" s="47" t="n">
        <f aca="false">-(BH104+BH105+BH106)*N(AND(BH$3&lt;=$E107,BH$4&gt;=$E107))</f>
        <v>-0</v>
      </c>
      <c r="BI107" s="47" t="n">
        <f aca="false">-(BI104+BI105+BI106)*N(AND(BI$3&lt;=$E107,BI$4&gt;=$E107))</f>
        <v>-0</v>
      </c>
      <c r="BJ107" s="47" t="n">
        <f aca="false">-(BJ104+BJ105+BJ106)*N(AND(BJ$3&lt;=$E107,BJ$4&gt;=$E107))</f>
        <v>-0</v>
      </c>
      <c r="BK107" s="47" t="n">
        <f aca="false">-(BK104+BK105+BK106)*N(AND(BK$3&lt;=$E107,BK$4&gt;=$E107))</f>
        <v>-0</v>
      </c>
      <c r="BL107" s="47" t="n">
        <f aca="false">-(BL104+BL105+BL106)*N(AND(BL$3&lt;=$E107,BL$4&gt;=$E107))</f>
        <v>-0</v>
      </c>
      <c r="BM107" s="47" t="n">
        <f aca="false">-(BM104+BM105+BM106)*N(AND(BM$3&lt;=$E107,BM$4&gt;=$E107))</f>
        <v>-0</v>
      </c>
      <c r="BN107" s="47" t="n">
        <f aca="false">-(BN104+BN105+BN106)*N(AND(BN$3&lt;=$E107,BN$4&gt;=$E107))</f>
        <v>-0</v>
      </c>
      <c r="BO107" s="47" t="n">
        <f aca="false">-(BO104+BO105+BO106)*N(AND(BO$3&lt;=$E107,BO$4&gt;=$E107))</f>
        <v>-0</v>
      </c>
      <c r="BP107" s="47" t="n">
        <f aca="false">-(BP104+BP105+BP106)*N(AND(BP$3&lt;=$E107,BP$4&gt;=$E107))</f>
        <v>-0</v>
      </c>
      <c r="BQ107" s="47" t="n">
        <f aca="false">-(BQ104+BQ105+BQ106)*N(AND(BQ$3&lt;=$E107,BQ$4&gt;=$E107))</f>
        <v>-0</v>
      </c>
      <c r="BR107" s="47" t="n">
        <f aca="false">-(BR104+BR105+BR106)*N(AND(BR$3&lt;=$E107,BR$4&gt;=$E107))</f>
        <v>-0</v>
      </c>
      <c r="BS107" s="47" t="n">
        <f aca="false">-(BS104+BS105+BS106)*N(AND(BS$3&lt;=$E107,BS$4&gt;=$E107))</f>
        <v>-0</v>
      </c>
      <c r="BT107" s="47" t="n">
        <f aca="false">-(BT104+BT105+BT106)*N(AND(BT$3&lt;=$E107,BT$4&gt;=$E107))</f>
        <v>-0</v>
      </c>
      <c r="BU107" s="47" t="n">
        <f aca="false">-(BU104+BU105+BU106)*N(AND(BU$3&lt;=$E107,BU$4&gt;=$E107))</f>
        <v>-0</v>
      </c>
      <c r="BV107" s="47" t="n">
        <f aca="false">-(BV104+BV105+BV106)*N(AND(BV$3&lt;=$E107,BV$4&gt;=$E107))</f>
        <v>-0</v>
      </c>
      <c r="BW107" s="47" t="n">
        <f aca="false">-(BW104+BW105+BW106)*N(AND(BW$3&lt;=$E107,BW$4&gt;=$E107))</f>
        <v>-0</v>
      </c>
      <c r="BX107" s="47" t="n">
        <f aca="false">-(BX104+BX105+BX106)*N(AND(BX$3&lt;=$E107,BX$4&gt;=$E107))</f>
        <v>-0</v>
      </c>
      <c r="BY107" s="47" t="n">
        <f aca="false">-(BY104+BY105+BY106)*N(AND(BY$3&lt;=$E107,BY$4&gt;=$E107))</f>
        <v>-0</v>
      </c>
      <c r="BZ107" s="47" t="n">
        <f aca="false">-(BZ104+BZ105+BZ106)*N(AND(BZ$3&lt;=$E107,BZ$4&gt;=$E107))</f>
        <v>-0</v>
      </c>
      <c r="CA107" s="47" t="n">
        <f aca="false">-(CA104+CA105+CA106)*N(AND(CA$3&lt;=$E107,CA$4&gt;=$E107))</f>
        <v>-0</v>
      </c>
      <c r="CB107" s="47" t="n">
        <f aca="false">-(CB104+CB105+CB106)*N(AND(CB$3&lt;=$E107,CB$4&gt;=$E107))</f>
        <v>-0</v>
      </c>
      <c r="CC107" s="47" t="n">
        <f aca="false">-(CC104+CC105+CC106)*N(AND(CC$3&lt;=$E107,CC$4&gt;=$E107))</f>
        <v>-0</v>
      </c>
      <c r="CD107" s="47" t="n">
        <f aca="false">-(CD104+CD105+CD106)*N(AND(CD$3&lt;=$E107,CD$4&gt;=$E107))</f>
        <v>-0</v>
      </c>
      <c r="CE107" s="47" t="n">
        <f aca="false">-(CE104+CE105+CE106)*N(AND(CE$3&lt;=$E107,CE$4&gt;=$E107))</f>
        <v>-0</v>
      </c>
      <c r="CF107" s="47" t="n">
        <f aca="false">-(CF104+CF105+CF106)*N(AND(CF$3&lt;=$E107,CF$4&gt;=$E107))</f>
        <v>-0</v>
      </c>
      <c r="CG107" s="47" t="n">
        <f aca="false">-(CG104+CG105+CG106)*N(AND(CG$3&lt;=$E107,CG$4&gt;=$E107))</f>
        <v>-0</v>
      </c>
      <c r="CH107" s="47" t="n">
        <f aca="false">-(CH104+CH105+CH106)*N(AND(CH$3&lt;=$E107,CH$4&gt;=$E107))</f>
        <v>-0</v>
      </c>
      <c r="CI107" s="47" t="n">
        <f aca="false">-(CI104+CI105+CI106)*N(AND(CI$3&lt;=$E107,CI$4&gt;=$E107))</f>
        <v>-0</v>
      </c>
      <c r="CJ107" s="47" t="n">
        <f aca="false">-(CJ104+CJ105+CJ106)*N(AND(CJ$3&lt;=$E107,CJ$4&gt;=$E107))</f>
        <v>-0</v>
      </c>
      <c r="CK107" s="47" t="n">
        <f aca="false">-(CK104+CK105+CK106)*N(AND(CK$3&lt;=$E107,CK$4&gt;=$E107))</f>
        <v>-0</v>
      </c>
      <c r="CL107" s="47" t="n">
        <f aca="false">-(CL104+CL105+CL106)*N(AND(CL$3&lt;=$E107,CL$4&gt;=$E107))</f>
        <v>-0</v>
      </c>
      <c r="CM107" s="47" t="n">
        <f aca="false">-(CM104+CM105+CM106)*N(AND(CM$3&lt;=$E107,CM$4&gt;=$E107))</f>
        <v>-0</v>
      </c>
      <c r="CN107" s="47" t="n">
        <f aca="false">-(CN104+CN105+CN106)*N(AND(CN$3&lt;=$E107,CN$4&gt;=$E107))</f>
        <v>-0</v>
      </c>
      <c r="CO107" s="47" t="n">
        <f aca="false">-(CO104+CO105+CO106)*N(AND(CO$3&lt;=$E107,CO$4&gt;=$E107))</f>
        <v>-0</v>
      </c>
      <c r="CP107" s="47" t="n">
        <f aca="false">-(CP104+CP105+CP106)*N(AND(CP$3&lt;=$E107,CP$4&gt;=$E107))</f>
        <v>-0</v>
      </c>
      <c r="CQ107" s="47" t="n">
        <f aca="false">-(CQ104+CQ105+CQ106)*N(AND(CQ$3&lt;=$E107,CQ$4&gt;=$E107))</f>
        <v>-0</v>
      </c>
      <c r="CR107" s="47" t="n">
        <f aca="false">-(CR104+CR105+CR106)*N(AND(CR$3&lt;=$E107,CR$4&gt;=$E107))</f>
        <v>-0</v>
      </c>
      <c r="CS107" s="47" t="n">
        <f aca="false">-(CS104+CS105+CS106)*N(AND(CS$3&lt;=$E107,CS$4&gt;=$E107))</f>
        <v>-0</v>
      </c>
      <c r="CT107" s="47" t="n">
        <f aca="false">-(CT104+CT105+CT106)*N(AND(CT$3&lt;=$E107,CT$4&gt;=$E107))</f>
        <v>-0</v>
      </c>
      <c r="CU107" s="47" t="n">
        <f aca="false">-(CU104+CU105+CU106)*N(AND(CU$3&lt;=$E107,CU$4&gt;=$E107))</f>
        <v>-0</v>
      </c>
      <c r="CV107" s="47" t="n">
        <f aca="false">-(CV104+CV105+CV106)*N(AND(CV$3&lt;=$E107,CV$4&gt;=$E107))</f>
        <v>-0</v>
      </c>
      <c r="CW107" s="47" t="n">
        <f aca="false">-(CW104+CW105+CW106)*N(AND(CW$3&lt;=$E107,CW$4&gt;=$E107))</f>
        <v>-0</v>
      </c>
      <c r="CX107" s="47" t="n">
        <f aca="false">-(CX104+CX105+CX106)*N(AND(CX$3&lt;=$E107,CX$4&gt;=$E107))</f>
        <v>-0</v>
      </c>
      <c r="CY107" s="47" t="n">
        <f aca="false">-(CY104+CY105+CY106)*N(AND(CY$3&lt;=$E107,CY$4&gt;=$E107))</f>
        <v>-0</v>
      </c>
      <c r="CZ107" s="47" t="n">
        <f aca="false">-(CZ104+CZ105+CZ106)*N(AND(CZ$3&lt;=$E107,CZ$4&gt;=$E107))</f>
        <v>-0</v>
      </c>
      <c r="DA107" s="47" t="n">
        <f aca="false">-(DA104+DA105+DA106)*N(AND(DA$3&lt;=$E107,DA$4&gt;=$E107))</f>
        <v>-0</v>
      </c>
      <c r="DB107" s="47" t="n">
        <f aca="false">-(DB104+DB105+DB106)*N(AND(DB$3&lt;=$E107,DB$4&gt;=$E107))</f>
        <v>-0</v>
      </c>
      <c r="DC107" s="47" t="n">
        <f aca="false">-(DC104+DC105+DC106)*N(AND(DC$3&lt;=$E107,DC$4&gt;=$E107))</f>
        <v>-0</v>
      </c>
      <c r="DD107" s="47" t="n">
        <f aca="false">-(DD104+DD105+DD106)*N(AND(DD$3&lt;=$E107,DD$4&gt;=$E107))</f>
        <v>-0</v>
      </c>
      <c r="DE107" s="47" t="n">
        <f aca="false">-(DE104+DE105+DE106)*N(AND(DE$3&lt;=$E107,DE$4&gt;=$E107))</f>
        <v>-0</v>
      </c>
      <c r="DF107" s="47" t="n">
        <f aca="false">-(DF104+DF105+DF106)*N(AND(DF$3&lt;=$E107,DF$4&gt;=$E107))</f>
        <v>-0</v>
      </c>
      <c r="DG107" s="47" t="n">
        <f aca="false">-(DG104+DG105+DG106)*N(AND(DG$3&lt;=$E107,DG$4&gt;=$E107))</f>
        <v>-0</v>
      </c>
      <c r="DH107" s="47" t="n">
        <f aca="false">-(DH104+DH105+DH106)*N(AND(DH$3&lt;=$E107,DH$4&gt;=$E107))</f>
        <v>-0</v>
      </c>
      <c r="DI107" s="47" t="n">
        <f aca="false">-(DI104+DI105+DI106)*N(AND(DI$3&lt;=$E107,DI$4&gt;=$E107))</f>
        <v>-0</v>
      </c>
      <c r="DJ107" s="47" t="n">
        <f aca="false">-(DJ104+DJ105+DJ106)*N(AND(DJ$3&lt;=$E107,DJ$4&gt;=$E107))</f>
        <v>-0</v>
      </c>
      <c r="DK107" s="47" t="n">
        <f aca="false">-(DK104+DK105+DK106)*N(AND(DK$3&lt;=$E107,DK$4&gt;=$E107))</f>
        <v>-0</v>
      </c>
      <c r="DL107" s="47" t="n">
        <f aca="false">-(DL104+DL105+DL106)*N(AND(DL$3&lt;=$E107,DL$4&gt;=$E107))</f>
        <v>-0</v>
      </c>
      <c r="DM107" s="47" t="n">
        <f aca="false">-(DM104+DM105+DM106)*N(AND(DM$3&lt;=$E107,DM$4&gt;=$E107))</f>
        <v>-0</v>
      </c>
      <c r="DN107" s="47" t="n">
        <f aca="false">-(DN104+DN105+DN106)*N(AND(DN$3&lt;=$E107,DN$4&gt;=$E107))</f>
        <v>-0</v>
      </c>
      <c r="DO107" s="47" t="n">
        <f aca="false">-(DO104+DO105+DO106)*N(AND(DO$3&lt;=$E107,DO$4&gt;=$E107))</f>
        <v>-0</v>
      </c>
      <c r="DP107" s="47" t="n">
        <f aca="false">-(DP104+DP105+DP106)*N(AND(DP$3&lt;=$E107,DP$4&gt;=$E107))</f>
        <v>-0</v>
      </c>
      <c r="DQ107" s="47" t="n">
        <f aca="false">-(DQ104+DQ105+DQ106)*N(AND(DQ$3&lt;=$E107,DQ$4&gt;=$E107))</f>
        <v>-0</v>
      </c>
      <c r="DR107" s="47" t="n">
        <f aca="false">-(DR104+DR105+DR106)*N(AND(DR$3&lt;=$E107,DR$4&gt;=$E107))</f>
        <v>-0</v>
      </c>
      <c r="DS107" s="47" t="n">
        <f aca="false">-(DS104+DS105+DS106)*N(AND(DS$3&lt;=$E107,DS$4&gt;=$E107))</f>
        <v>-0</v>
      </c>
      <c r="DT107" s="47" t="n">
        <f aca="false">-(DT104+DT105+DT106)*N(AND(DT$3&lt;=$E107,DT$4&gt;=$E107))</f>
        <v>-0</v>
      </c>
      <c r="DU107" s="47" t="n">
        <f aca="false">-(DU104+DU105+DU106)*N(AND(DU$3&lt;=$E107,DU$4&gt;=$E107))</f>
        <v>-0</v>
      </c>
      <c r="DV107" s="47" t="n">
        <f aca="false">-(DV104+DV105+DV106)*N(AND(DV$3&lt;=$E107,DV$4&gt;=$E107))</f>
        <v>-0</v>
      </c>
      <c r="DW107" s="47" t="n">
        <f aca="false">-(DW104+DW105+DW106)*N(AND(DW$3&lt;=$E107,DW$4&gt;=$E107))</f>
        <v>-0</v>
      </c>
      <c r="DX107" s="47" t="n">
        <f aca="false">-(DX104+DX105+DX106)*N(AND(DX$3&lt;=$E107,DX$4&gt;=$E107))</f>
        <v>-0</v>
      </c>
      <c r="DY107" s="47" t="n">
        <f aca="false">-(DY104+DY105+DY106)*N(AND(DY$3&lt;=$E107,DY$4&gt;=$E107))</f>
        <v>-0</v>
      </c>
      <c r="DZ107" s="47" t="n">
        <f aca="false">-(DZ104+DZ105+DZ106)*N(AND(DZ$3&lt;=$E107,DZ$4&gt;=$E107))</f>
        <v>-0</v>
      </c>
      <c r="EA107" s="47" t="n">
        <f aca="false">-(EA104+EA105+EA106)*N(AND(EA$3&lt;=$E107,EA$4&gt;=$E107))</f>
        <v>-0</v>
      </c>
      <c r="EB107" s="47" t="n">
        <f aca="false">-(EB104+EB105+EB106)*N(AND(EB$3&lt;=$E107,EB$4&gt;=$E107))</f>
        <v>-0</v>
      </c>
      <c r="EC107" s="47" t="n">
        <f aca="false">-(EC104+EC105+EC106)*N(AND(EC$3&lt;=$E107,EC$4&gt;=$E107))</f>
        <v>-0</v>
      </c>
      <c r="ED107" s="47" t="n">
        <f aca="false">-(ED104+ED105+ED106)*N(AND(ED$3&lt;=$E107,ED$4&gt;=$E107))</f>
        <v>-0</v>
      </c>
      <c r="EE107" s="47" t="n">
        <f aca="false">-(EE104+EE105+EE106)*N(AND(EE$3&lt;=$E107,EE$4&gt;=$E107))</f>
        <v>-0</v>
      </c>
      <c r="EF107" s="47" t="n">
        <f aca="false">-(EF104+EF105+EF106)*N(AND(EF$3&lt;=$E107,EF$4&gt;=$E107))</f>
        <v>-0</v>
      </c>
      <c r="EG107" s="47" t="n">
        <f aca="false">-(EG104+EG105+EG106)*N(AND(EG$3&lt;=$E107,EG$4&gt;=$E107))</f>
        <v>-0</v>
      </c>
      <c r="EH107" s="47" t="n">
        <f aca="false">-(EH104+EH105+EH106)*N(AND(EH$3&lt;=$E107,EH$4&gt;=$E107))</f>
        <v>-0</v>
      </c>
      <c r="EI107" s="47" t="n">
        <f aca="false">-(EI104+EI105+EI106)*N(AND(EI$3&lt;=$E107,EI$4&gt;=$E107))</f>
        <v>-0</v>
      </c>
      <c r="EJ107" s="47" t="n">
        <f aca="false">-(EJ104+EJ105+EJ106)*N(AND(EJ$3&lt;=$E107,EJ$4&gt;=$E107))</f>
        <v>-0</v>
      </c>
      <c r="EK107" s="47" t="n">
        <f aca="false">-(EK104+EK105+EK106)*N(AND(EK$3&lt;=$E107,EK$4&gt;=$E107))</f>
        <v>-0</v>
      </c>
      <c r="EL107" s="47" t="n">
        <f aca="false">-(EL104+EL105+EL106)*N(AND(EL$3&lt;=$E107,EL$4&gt;=$E107))</f>
        <v>-0</v>
      </c>
      <c r="EM107" s="47" t="n">
        <f aca="false">-(EM104+EM105+EM106)*N(AND(EM$3&lt;=$E107,EM$4&gt;=$E107))</f>
        <v>-0</v>
      </c>
      <c r="EN107" s="47" t="n">
        <f aca="false">-(EN104+EN105+EN106)*N(AND(EN$3&lt;=$E107,EN$4&gt;=$E107))</f>
        <v>-0</v>
      </c>
      <c r="EO107" s="47" t="n">
        <f aca="false">-(EO104+EO105+EO106)*N(AND(EO$3&lt;=$E107,EO$4&gt;=$E107))</f>
        <v>-0</v>
      </c>
    </row>
    <row r="108" customFormat="false" ht="15" hidden="false" customHeight="false" outlineLevel="0" collapsed="false">
      <c r="C108" s="0" t="s">
        <v>452</v>
      </c>
      <c r="D108" s="11" t="s">
        <v>33</v>
      </c>
      <c r="I108" s="58"/>
      <c r="J108" s="47" t="n">
        <f aca="false">SUM(J104:J107)</f>
        <v>12.8099380746857</v>
      </c>
      <c r="K108" s="47" t="n">
        <f aca="false">SUM(K104:K107)</f>
        <v>32.4846237568024</v>
      </c>
      <c r="L108" s="47" t="n">
        <f aca="false">SUM(L104:L107)</f>
        <v>65.6401125914806</v>
      </c>
      <c r="M108" s="47" t="n">
        <f aca="false">SUM(M104:M107)</f>
        <v>99.1599474573091</v>
      </c>
      <c r="N108" s="47" t="n">
        <f aca="false">SUM(N104:N107)</f>
        <v>132.679782323138</v>
      </c>
      <c r="O108" s="47" t="n">
        <f aca="false">SUM(O104:O107)</f>
        <v>165.835271157816</v>
      </c>
      <c r="P108" s="47" t="n">
        <f aca="false">SUM(P104:P107)</f>
        <v>198.990759992494</v>
      </c>
      <c r="Q108" s="47" t="n">
        <f aca="false">SUM(Q104:Q107)</f>
        <v>232.510594858322</v>
      </c>
      <c r="R108" s="47" t="n">
        <f aca="false">SUM(R104:R107)</f>
        <v>1638.40279367838</v>
      </c>
      <c r="S108" s="47" t="n">
        <f aca="false">SUM(S104:S107)</f>
        <v>1840.63387028647</v>
      </c>
      <c r="T108" s="47" t="n">
        <f aca="false">SUM(T104:T107)</f>
        <v>2014.94833264677</v>
      </c>
      <c r="U108" s="47" t="n">
        <f aca="false">SUM(U104:U107)</f>
        <v>2175.30817488652</v>
      </c>
      <c r="V108" s="47" t="n">
        <f aca="false">SUM(V104:V107)</f>
        <v>2319.6234560604</v>
      </c>
      <c r="W108" s="47" t="n">
        <f aca="false">SUM(W104:W107)</f>
        <v>2446.14761342576</v>
      </c>
      <c r="X108" s="47" t="n">
        <f aca="false">SUM(X104:X107)</f>
        <v>2558.55243465676</v>
      </c>
      <c r="Y108" s="47" t="n">
        <f aca="false">SUM(Y104:Y107)</f>
        <v>2656.32231004051</v>
      </c>
      <c r="Z108" s="47" t="n">
        <f aca="false">SUM(Z104:Z107)</f>
        <v>2538.11059268771</v>
      </c>
      <c r="AA108" s="47" t="n">
        <f aca="false">SUM(AA104:AA107)</f>
        <v>2420.86612747627</v>
      </c>
      <c r="AB108" s="47" t="n">
        <f aca="false">SUM(AB104:AB107)</f>
        <v>2294.17579006709</v>
      </c>
      <c r="AC108" s="47" t="n">
        <f aca="false">SUM(AC104:AC107)</f>
        <v>2157.90203372082</v>
      </c>
      <c r="AD108" s="47" t="n">
        <f aca="false">SUM(AD104:AD107)</f>
        <v>2021.87658268818</v>
      </c>
      <c r="AE108" s="47" t="n">
        <f aca="false">SUM(AE104:AE107)</f>
        <v>1880.76315090911</v>
      </c>
      <c r="AF108" s="47" t="n">
        <f aca="false">SUM(AF104:AF107)</f>
        <v>1735.86781286615</v>
      </c>
      <c r="AG108" s="47" t="n">
        <f aca="false">SUM(AG104:AG107)</f>
        <v>1581.14672050617</v>
      </c>
      <c r="AH108" s="47" t="n">
        <f aca="false">SUM(AH104:AH107)</f>
        <v>1426.49012231721</v>
      </c>
      <c r="AI108" s="47" t="n">
        <f aca="false">SUM(AI104:AI107)</f>
        <v>1272.67714137698</v>
      </c>
      <c r="AJ108" s="47" t="n">
        <f aca="false">SUM(AJ104:AJ107)</f>
        <v>1092.35428915892</v>
      </c>
      <c r="AK108" s="47" t="n">
        <f aca="false">SUM(AK104:AK107)</f>
        <v>0</v>
      </c>
      <c r="AL108" s="47" t="n">
        <f aca="false">SUM(AL104:AL107)</f>
        <v>0</v>
      </c>
      <c r="AM108" s="47" t="n">
        <f aca="false">SUM(AM104:AM107)</f>
        <v>0</v>
      </c>
      <c r="AN108" s="47" t="n">
        <f aca="false">SUM(AN104:AN107)</f>
        <v>0</v>
      </c>
      <c r="AO108" s="47" t="n">
        <f aca="false">SUM(AO104:AO107)</f>
        <v>0</v>
      </c>
      <c r="AP108" s="47" t="n">
        <f aca="false">SUM(AP104:AP107)</f>
        <v>0</v>
      </c>
      <c r="AQ108" s="47" t="n">
        <f aca="false">SUM(AQ104:AQ107)</f>
        <v>0</v>
      </c>
      <c r="AR108" s="47" t="n">
        <f aca="false">SUM(AR104:AR107)</f>
        <v>0</v>
      </c>
      <c r="AS108" s="47" t="n">
        <f aca="false">SUM(AS104:AS107)</f>
        <v>0</v>
      </c>
      <c r="AT108" s="47" t="n">
        <f aca="false">SUM(AT104:AT107)</f>
        <v>0</v>
      </c>
      <c r="AU108" s="47" t="n">
        <f aca="false">SUM(AU104:AU107)</f>
        <v>0</v>
      </c>
      <c r="AV108" s="47" t="n">
        <f aca="false">SUM(AV104:AV107)</f>
        <v>0</v>
      </c>
      <c r="AW108" s="47" t="n">
        <f aca="false">SUM(AW104:AW107)</f>
        <v>0</v>
      </c>
      <c r="AX108" s="47" t="n">
        <f aca="false">SUM(AX104:AX107)</f>
        <v>0</v>
      </c>
      <c r="AY108" s="47" t="n">
        <f aca="false">SUM(AY104:AY107)</f>
        <v>0</v>
      </c>
      <c r="AZ108" s="47" t="n">
        <f aca="false">SUM(AZ104:AZ107)</f>
        <v>0</v>
      </c>
      <c r="BA108" s="47" t="n">
        <f aca="false">SUM(BA104:BA107)</f>
        <v>0</v>
      </c>
      <c r="BB108" s="47" t="n">
        <f aca="false">SUM(BB104:BB107)</f>
        <v>0</v>
      </c>
      <c r="BC108" s="47" t="n">
        <f aca="false">SUM(BC104:BC107)</f>
        <v>0</v>
      </c>
      <c r="BD108" s="47" t="n">
        <f aca="false">SUM(BD104:BD107)</f>
        <v>0</v>
      </c>
      <c r="BE108" s="47" t="n">
        <f aca="false">SUM(BE104:BE107)</f>
        <v>0</v>
      </c>
      <c r="BF108" s="47" t="n">
        <f aca="false">SUM(BF104:BF107)</f>
        <v>0</v>
      </c>
      <c r="BG108" s="47" t="n">
        <f aca="false">SUM(BG104:BG107)</f>
        <v>0</v>
      </c>
      <c r="BH108" s="47" t="n">
        <f aca="false">SUM(BH104:BH107)</f>
        <v>0</v>
      </c>
      <c r="BI108" s="47" t="n">
        <f aca="false">SUM(BI104:BI107)</f>
        <v>0</v>
      </c>
      <c r="BJ108" s="47" t="n">
        <f aca="false">SUM(BJ104:BJ107)</f>
        <v>0</v>
      </c>
      <c r="BK108" s="47" t="n">
        <f aca="false">SUM(BK104:BK107)</f>
        <v>0</v>
      </c>
      <c r="BL108" s="47" t="n">
        <f aca="false">SUM(BL104:BL107)</f>
        <v>0</v>
      </c>
      <c r="BM108" s="47" t="n">
        <f aca="false">SUM(BM104:BM107)</f>
        <v>0</v>
      </c>
      <c r="BN108" s="47" t="n">
        <f aca="false">SUM(BN104:BN107)</f>
        <v>0</v>
      </c>
      <c r="BO108" s="47" t="n">
        <f aca="false">SUM(BO104:BO107)</f>
        <v>0</v>
      </c>
      <c r="BP108" s="47" t="n">
        <f aca="false">SUM(BP104:BP107)</f>
        <v>0</v>
      </c>
      <c r="BQ108" s="47" t="n">
        <f aca="false">SUM(BQ104:BQ107)</f>
        <v>0</v>
      </c>
      <c r="BR108" s="47" t="n">
        <f aca="false">SUM(BR104:BR107)</f>
        <v>0</v>
      </c>
      <c r="BS108" s="47" t="n">
        <f aca="false">SUM(BS104:BS107)</f>
        <v>0</v>
      </c>
      <c r="BT108" s="47" t="n">
        <f aca="false">SUM(BT104:BT107)</f>
        <v>0</v>
      </c>
      <c r="BU108" s="47" t="n">
        <f aca="false">SUM(BU104:BU107)</f>
        <v>0</v>
      </c>
      <c r="BV108" s="47" t="n">
        <f aca="false">SUM(BV104:BV107)</f>
        <v>0</v>
      </c>
      <c r="BW108" s="47" t="n">
        <f aca="false">SUM(BW104:BW107)</f>
        <v>0</v>
      </c>
      <c r="BX108" s="47" t="n">
        <f aca="false">SUM(BX104:BX107)</f>
        <v>0</v>
      </c>
      <c r="BY108" s="47" t="n">
        <f aca="false">SUM(BY104:BY107)</f>
        <v>0</v>
      </c>
      <c r="BZ108" s="47" t="n">
        <f aca="false">SUM(BZ104:BZ107)</f>
        <v>0</v>
      </c>
      <c r="CA108" s="47" t="n">
        <f aca="false">SUM(CA104:CA107)</f>
        <v>0</v>
      </c>
      <c r="CB108" s="47" t="n">
        <f aca="false">SUM(CB104:CB107)</f>
        <v>0</v>
      </c>
      <c r="CC108" s="47" t="n">
        <f aca="false">SUM(CC104:CC107)</f>
        <v>0</v>
      </c>
      <c r="CD108" s="47" t="n">
        <f aca="false">SUM(CD104:CD107)</f>
        <v>0</v>
      </c>
      <c r="CE108" s="47" t="n">
        <f aca="false">SUM(CE104:CE107)</f>
        <v>0</v>
      </c>
      <c r="CF108" s="47" t="n">
        <f aca="false">SUM(CF104:CF107)</f>
        <v>0</v>
      </c>
      <c r="CG108" s="47" t="n">
        <f aca="false">SUM(CG104:CG107)</f>
        <v>0</v>
      </c>
      <c r="CH108" s="47" t="n">
        <f aca="false">SUM(CH104:CH107)</f>
        <v>0</v>
      </c>
      <c r="CI108" s="47" t="n">
        <f aca="false">SUM(CI104:CI107)</f>
        <v>0</v>
      </c>
      <c r="CJ108" s="47" t="n">
        <f aca="false">SUM(CJ104:CJ107)</f>
        <v>0</v>
      </c>
      <c r="CK108" s="47" t="n">
        <f aca="false">SUM(CK104:CK107)</f>
        <v>0</v>
      </c>
      <c r="CL108" s="47" t="n">
        <f aca="false">SUM(CL104:CL107)</f>
        <v>0</v>
      </c>
      <c r="CM108" s="47" t="n">
        <f aca="false">SUM(CM104:CM107)</f>
        <v>0</v>
      </c>
      <c r="CN108" s="47" t="n">
        <f aca="false">SUM(CN104:CN107)</f>
        <v>0</v>
      </c>
      <c r="CO108" s="47" t="n">
        <f aca="false">SUM(CO104:CO107)</f>
        <v>0</v>
      </c>
      <c r="CP108" s="47" t="n">
        <f aca="false">SUM(CP104:CP107)</f>
        <v>0</v>
      </c>
      <c r="CQ108" s="47" t="n">
        <f aca="false">SUM(CQ104:CQ107)</f>
        <v>0</v>
      </c>
      <c r="CR108" s="47" t="n">
        <f aca="false">SUM(CR104:CR107)</f>
        <v>0</v>
      </c>
      <c r="CS108" s="47" t="n">
        <f aca="false">SUM(CS104:CS107)</f>
        <v>0</v>
      </c>
      <c r="CT108" s="47" t="n">
        <f aca="false">SUM(CT104:CT107)</f>
        <v>0</v>
      </c>
      <c r="CU108" s="47" t="n">
        <f aca="false">SUM(CU104:CU107)</f>
        <v>0</v>
      </c>
      <c r="CV108" s="47" t="n">
        <f aca="false">SUM(CV104:CV107)</f>
        <v>0</v>
      </c>
      <c r="CW108" s="47" t="n">
        <f aca="false">SUM(CW104:CW107)</f>
        <v>0</v>
      </c>
      <c r="CX108" s="47" t="n">
        <f aca="false">SUM(CX104:CX107)</f>
        <v>0</v>
      </c>
      <c r="CY108" s="47" t="n">
        <f aca="false">SUM(CY104:CY107)</f>
        <v>0</v>
      </c>
      <c r="CZ108" s="47" t="n">
        <f aca="false">SUM(CZ104:CZ107)</f>
        <v>0</v>
      </c>
      <c r="DA108" s="47" t="n">
        <f aca="false">SUM(DA104:DA107)</f>
        <v>0</v>
      </c>
      <c r="DB108" s="47" t="n">
        <f aca="false">SUM(DB104:DB107)</f>
        <v>0</v>
      </c>
      <c r="DC108" s="47" t="n">
        <f aca="false">SUM(DC104:DC107)</f>
        <v>0</v>
      </c>
      <c r="DD108" s="47" t="n">
        <f aca="false">SUM(DD104:DD107)</f>
        <v>0</v>
      </c>
      <c r="DE108" s="47" t="n">
        <f aca="false">SUM(DE104:DE107)</f>
        <v>0</v>
      </c>
      <c r="DF108" s="47" t="n">
        <f aca="false">SUM(DF104:DF107)</f>
        <v>0</v>
      </c>
      <c r="DG108" s="47" t="n">
        <f aca="false">SUM(DG104:DG107)</f>
        <v>0</v>
      </c>
      <c r="DH108" s="47" t="n">
        <f aca="false">SUM(DH104:DH107)</f>
        <v>0</v>
      </c>
      <c r="DI108" s="47" t="n">
        <f aca="false">SUM(DI104:DI107)</f>
        <v>0</v>
      </c>
      <c r="DJ108" s="47" t="n">
        <f aca="false">SUM(DJ104:DJ107)</f>
        <v>0</v>
      </c>
      <c r="DK108" s="47" t="n">
        <f aca="false">SUM(DK104:DK107)</f>
        <v>0</v>
      </c>
      <c r="DL108" s="47" t="n">
        <f aca="false">SUM(DL104:DL107)</f>
        <v>0</v>
      </c>
      <c r="DM108" s="47" t="n">
        <f aca="false">SUM(DM104:DM107)</f>
        <v>0</v>
      </c>
      <c r="DN108" s="47" t="n">
        <f aca="false">SUM(DN104:DN107)</f>
        <v>0</v>
      </c>
      <c r="DO108" s="47" t="n">
        <f aca="false">SUM(DO104:DO107)</f>
        <v>0</v>
      </c>
      <c r="DP108" s="47" t="n">
        <f aca="false">SUM(DP104:DP107)</f>
        <v>0</v>
      </c>
      <c r="DQ108" s="47" t="n">
        <f aca="false">SUM(DQ104:DQ107)</f>
        <v>0</v>
      </c>
      <c r="DR108" s="47" t="n">
        <f aca="false">SUM(DR104:DR107)</f>
        <v>0</v>
      </c>
      <c r="DS108" s="47" t="n">
        <f aca="false">SUM(DS104:DS107)</f>
        <v>0</v>
      </c>
      <c r="DT108" s="47" t="n">
        <f aca="false">SUM(DT104:DT107)</f>
        <v>0</v>
      </c>
      <c r="DU108" s="47" t="n">
        <f aca="false">SUM(DU104:DU107)</f>
        <v>0</v>
      </c>
      <c r="DV108" s="47" t="n">
        <f aca="false">SUM(DV104:DV107)</f>
        <v>0</v>
      </c>
      <c r="DW108" s="47" t="n">
        <f aca="false">SUM(DW104:DW107)</f>
        <v>0</v>
      </c>
      <c r="DX108" s="47" t="n">
        <f aca="false">SUM(DX104:DX107)</f>
        <v>0</v>
      </c>
      <c r="DY108" s="47" t="n">
        <f aca="false">SUM(DY104:DY107)</f>
        <v>0</v>
      </c>
      <c r="DZ108" s="47" t="n">
        <f aca="false">SUM(DZ104:DZ107)</f>
        <v>0</v>
      </c>
      <c r="EA108" s="47" t="n">
        <f aca="false">SUM(EA104:EA107)</f>
        <v>0</v>
      </c>
      <c r="EB108" s="47" t="n">
        <f aca="false">SUM(EB104:EB107)</f>
        <v>0</v>
      </c>
      <c r="EC108" s="47" t="n">
        <f aca="false">SUM(EC104:EC107)</f>
        <v>0</v>
      </c>
      <c r="ED108" s="47" t="n">
        <f aca="false">SUM(ED104:ED107)</f>
        <v>0</v>
      </c>
      <c r="EE108" s="47" t="n">
        <f aca="false">SUM(EE104:EE107)</f>
        <v>0</v>
      </c>
      <c r="EF108" s="47" t="n">
        <f aca="false">SUM(EF104:EF107)</f>
        <v>0</v>
      </c>
      <c r="EG108" s="47" t="n">
        <f aca="false">SUM(EG104:EG107)</f>
        <v>0</v>
      </c>
      <c r="EH108" s="47" t="n">
        <f aca="false">SUM(EH104:EH107)</f>
        <v>0</v>
      </c>
      <c r="EI108" s="47" t="n">
        <f aca="false">SUM(EI104:EI107)</f>
        <v>0</v>
      </c>
      <c r="EJ108" s="47" t="n">
        <f aca="false">SUM(EJ104:EJ107)</f>
        <v>0</v>
      </c>
      <c r="EK108" s="47" t="n">
        <f aca="false">SUM(EK104:EK107)</f>
        <v>0</v>
      </c>
      <c r="EL108" s="47" t="n">
        <f aca="false">SUM(EL104:EL107)</f>
        <v>0</v>
      </c>
      <c r="EM108" s="47" t="n">
        <f aca="false">SUM(EM104:EM107)</f>
        <v>0</v>
      </c>
      <c r="EN108" s="47" t="n">
        <f aca="false">SUM(EN104:EN107)</f>
        <v>0</v>
      </c>
      <c r="EO108" s="47" t="n">
        <f aca="false">SUM(EO104:EO107)</f>
        <v>0</v>
      </c>
    </row>
    <row r="109" customFormat="false" ht="15" hidden="false" customHeight="false" outlineLevel="0" collapsed="false">
      <c r="C109" s="0" t="s">
        <v>453</v>
      </c>
      <c r="D109" s="11" t="s">
        <v>33</v>
      </c>
      <c r="J109" s="47" t="n">
        <f aca="false">-In_CIT*(MAX(0,J103)+J106)</f>
        <v>-0</v>
      </c>
      <c r="K109" s="47" t="n">
        <f aca="false">-In_CIT*(MAX(0,K103)+K106)</f>
        <v>-0</v>
      </c>
      <c r="L109" s="47" t="n">
        <f aca="false">-In_CIT*(MAX(0,L103)+L106)</f>
        <v>-0</v>
      </c>
      <c r="M109" s="47" t="n">
        <f aca="false">-In_CIT*(MAX(0,M103)+M106)</f>
        <v>-0</v>
      </c>
      <c r="N109" s="47" t="n">
        <f aca="false">-In_CIT*(MAX(0,N103)+N106)</f>
        <v>-0</v>
      </c>
      <c r="O109" s="47" t="n">
        <f aca="false">-In_CIT*(MAX(0,O103)+O106)</f>
        <v>-0</v>
      </c>
      <c r="P109" s="47" t="n">
        <f aca="false">-In_CIT*(MAX(0,P103)+P106)</f>
        <v>-0</v>
      </c>
      <c r="Q109" s="47" t="n">
        <f aca="false">-In_CIT*(MAX(0,Q103)+Q106)</f>
        <v>-0</v>
      </c>
      <c r="R109" s="47" t="n">
        <f aca="false">-In_CIT*(MAX(0,R103)+R106)</f>
        <v>-0</v>
      </c>
      <c r="S109" s="47" t="n">
        <f aca="false">-In_CIT*(MAX(0,S103)+S106)</f>
        <v>-0</v>
      </c>
      <c r="T109" s="47" t="n">
        <f aca="false">-In_CIT*(MAX(0,T103)+T106)</f>
        <v>-0</v>
      </c>
      <c r="U109" s="47" t="n">
        <f aca="false">-In_CIT*(MAX(0,U103)+U106)</f>
        <v>-0</v>
      </c>
      <c r="V109" s="47" t="n">
        <f aca="false">-In_CIT*(MAX(0,V103)+V106)</f>
        <v>-0</v>
      </c>
      <c r="W109" s="47" t="n">
        <f aca="false">-In_CIT*(MAX(0,W103)+W106)</f>
        <v>-0</v>
      </c>
      <c r="X109" s="47" t="n">
        <f aca="false">-In_CIT*(MAX(0,X103)+X106)</f>
        <v>-0</v>
      </c>
      <c r="Y109" s="47" t="n">
        <f aca="false">-In_CIT*(MAX(0,Y103)+Y106)</f>
        <v>-0</v>
      </c>
      <c r="Z109" s="47" t="n">
        <f aca="false">-In_CIT*(MAX(0,Z103)+Z106)</f>
        <v>-10.6390545617518</v>
      </c>
      <c r="AA109" s="47" t="n">
        <f aca="false">-In_CIT*(MAX(0,AA103)+AA106)</f>
        <v>-10.5520018690295</v>
      </c>
      <c r="AB109" s="47" t="n">
        <f aca="false">-In_CIT*(MAX(0,AB103)+AB106)</f>
        <v>-11.402130366826</v>
      </c>
      <c r="AC109" s="47" t="n">
        <f aca="false">-In_CIT*(MAX(0,AC103)+AC106)</f>
        <v>-12.2646380711642</v>
      </c>
      <c r="AD109" s="47" t="n">
        <f aca="false">-In_CIT*(MAX(0,AD103)+AD106)</f>
        <v>-12.2422905929378</v>
      </c>
      <c r="AE109" s="47" t="n">
        <f aca="false">-In_CIT*(MAX(0,AE103)+AE106)</f>
        <v>-12.7002088601167</v>
      </c>
      <c r="AF109" s="47" t="n">
        <f aca="false">-In_CIT*(MAX(0,AF103)+AF106)</f>
        <v>-13.0405804238665</v>
      </c>
      <c r="AG109" s="47" t="n">
        <f aca="false">-In_CIT*(MAX(0,AG103)+AG106)</f>
        <v>-13.9248983123983</v>
      </c>
      <c r="AH109" s="47" t="n">
        <f aca="false">-In_CIT*(MAX(0,AH103)+AH106)</f>
        <v>-13.9190938370055</v>
      </c>
      <c r="AI109" s="47" t="n">
        <f aca="false">-In_CIT*(MAX(0,AI103)+AI106)</f>
        <v>-13.843168284621</v>
      </c>
      <c r="AJ109" s="47" t="n">
        <f aca="false">-In_CIT*(MAX(0,AJ103)+AJ106)</f>
        <v>-16.229056699625</v>
      </c>
      <c r="AK109" s="47" t="n">
        <f aca="false">-In_CIT*(MAX(0,AK103)+AK106)</f>
        <v>-17.1637032972597</v>
      </c>
      <c r="AL109" s="47" t="n">
        <f aca="false">-In_CIT*(MAX(0,AL103)+AL106)</f>
        <v>-34.3738594780818</v>
      </c>
      <c r="AM109" s="47" t="n">
        <f aca="false">-In_CIT*(MAX(0,AM103)+AM106)</f>
        <v>-34.1809665806662</v>
      </c>
      <c r="AN109" s="47" t="n">
        <f aca="false">-In_CIT*(MAX(0,AN103)+AN106)</f>
        <v>-36.058495733354</v>
      </c>
      <c r="AO109" s="47" t="n">
        <f aca="false">-In_CIT*(MAX(0,AO103)+AO106)</f>
        <v>-37.9620251501542</v>
      </c>
      <c r="AP109" s="47" t="n">
        <f aca="false">-In_CIT*(MAX(0,AP103)+AP106)</f>
        <v>-38.0317502211709</v>
      </c>
      <c r="AQ109" s="47" t="n">
        <f aca="false">-In_CIT*(MAX(0,AQ103)+AQ106)</f>
        <v>-37.8528562165163</v>
      </c>
      <c r="AR109" s="47" t="n">
        <f aca="false">-In_CIT*(MAX(0,AR103)+AR106)</f>
        <v>-39.7771286750404</v>
      </c>
      <c r="AS109" s="47" t="n">
        <f aca="false">-In_CIT*(MAX(0,AS103)+AS106)</f>
        <v>-41.7279258226542</v>
      </c>
      <c r="AT109" s="47" t="n">
        <f aca="false">-In_CIT*(MAX(0,AT103)+AT106)</f>
        <v>-41.8349841306666</v>
      </c>
      <c r="AU109" s="47" t="n">
        <f aca="false">-In_CIT*(MAX(0,AU103)+AU106)</f>
        <v>-42.8078548275364</v>
      </c>
      <c r="AV109" s="47" t="n">
        <f aca="false">-In_CIT*(MAX(0,AV103)+AV106)</f>
        <v>-43.6614785393078</v>
      </c>
      <c r="AW109" s="47" t="n">
        <f aca="false">-In_CIT*(MAX(0,AW103)+AW106)</f>
        <v>-45.6613637924859</v>
      </c>
      <c r="AX109" s="47" t="n">
        <f aca="false">-In_CIT*(MAX(0,AX103)+AX106)</f>
        <v>-45.8078035212488</v>
      </c>
      <c r="AY109" s="47" t="n">
        <f aca="false">-In_CIT*(MAX(0,AY103)+AY106)</f>
        <v>-45.66185976254</v>
      </c>
      <c r="AZ109" s="47" t="n">
        <f aca="false">-In_CIT*(MAX(0,AZ103)+AZ106)</f>
        <v>-47.6846964224466</v>
      </c>
      <c r="BA109" s="47" t="n">
        <f aca="false">-In_CIT*(MAX(0,BA103)+BA106)</f>
        <v>-49.7351693768134</v>
      </c>
      <c r="BB109" s="47" t="n">
        <f aca="false">-In_CIT*(MAX(0,BB103)+BB106)</f>
        <v>-49.9227222345507</v>
      </c>
      <c r="BC109" s="47" t="n">
        <f aca="false">-In_CIT*(MAX(0,BC103)+BC106)</f>
        <v>-49.7956913825684</v>
      </c>
      <c r="BD109" s="47" t="n">
        <f aca="false">-In_CIT*(MAX(0,BD103)+BD106)</f>
        <v>-51.8703008310879</v>
      </c>
      <c r="BE109" s="47" t="n">
        <f aca="false">-In_CIT*(MAX(0,BE103)+BE106)</f>
        <v>-53.9731332580679</v>
      </c>
      <c r="BF109" s="47" t="n">
        <f aca="false">-In_CIT*(MAX(0,BF103)+BF106)</f>
        <v>-54.2038146318654</v>
      </c>
      <c r="BG109" s="47" t="n">
        <f aca="false">-In_CIT*(MAX(0,BG103)+BG106)</f>
        <v>-54.0974973405592</v>
      </c>
      <c r="BH109" s="47" t="n">
        <f aca="false">-In_CIT*(MAX(0,BH103)+BH106)</f>
        <v>-56.2257111805225</v>
      </c>
      <c r="BI109" s="47" t="n">
        <f aca="false">-In_CIT*(MAX(0,BI103)+BI106)</f>
        <v>-58.3827573339829</v>
      </c>
      <c r="BJ109" s="47" t="n">
        <f aca="false">-In_CIT*(MAX(0,BJ103)+BJ106)</f>
        <v>-58.6586745856126</v>
      </c>
      <c r="BK109" s="47" t="n">
        <f aca="false">-In_CIT*(MAX(0,BK103)+BK106)</f>
        <v>-59.7313130145743</v>
      </c>
      <c r="BL109" s="47" t="n">
        <f aca="false">-In_CIT*(MAX(0,BL103)+BL106)</f>
        <v>-60.7760639908993</v>
      </c>
      <c r="BM109" s="47" t="n">
        <f aca="false">-In_CIT*(MAX(0,BM103)+BM106)</f>
        <v>-62.9894690974549</v>
      </c>
      <c r="BN109" s="47" t="n">
        <f aca="false">-In_CIT*(MAX(0,BN103)+BN106)</f>
        <v>-63.3130327370472</v>
      </c>
      <c r="BO109" s="47" t="n">
        <f aca="false">-In_CIT*(MAX(0,BO103)+BO106)</f>
        <v>-63.2541155231964</v>
      </c>
      <c r="BP109" s="47" t="n">
        <f aca="false">-In_CIT*(MAX(0,BP103)+BP106)</f>
        <v>-65.4955905860824</v>
      </c>
      <c r="BQ109" s="47" t="n">
        <f aca="false">-In_CIT*(MAX(0,BQ103)+BQ106)</f>
        <v>-67.7671913023556</v>
      </c>
      <c r="BR109" s="47" t="n">
        <f aca="false">-In_CIT*(MAX(0,BR103)+BR106)</f>
        <v>-68.1405086201042</v>
      </c>
      <c r="BS109" s="47" t="n">
        <f aca="false">-In_CIT*(MAX(0,BS103)+BS106)</f>
        <v>-68.1082702149765</v>
      </c>
      <c r="BT109" s="47" t="n">
        <f aca="false">-In_CIT*(MAX(0,BT103)+BT106)</f>
        <v>-70.4093838673927</v>
      </c>
      <c r="BU109" s="47" t="n">
        <f aca="false">-In_CIT*(MAX(0,BU103)+BU106)</f>
        <v>-72.7413070410345</v>
      </c>
      <c r="BV109" s="47" t="n">
        <f aca="false">-In_CIT*(MAX(0,BV103)+BV106)</f>
        <v>-73.1667881585633</v>
      </c>
      <c r="BW109" s="47" t="n">
        <f aca="false">-In_CIT*(MAX(0,BW103)+BW106)</f>
        <v>-73.163413323992</v>
      </c>
      <c r="BX109" s="47" t="n">
        <f aca="false">-In_CIT*(MAX(0,BX103)+BX106)</f>
        <v>-75.5263649049334</v>
      </c>
      <c r="BY109" s="47" t="n">
        <f aca="false">-In_CIT*(MAX(0,BY103)+BY106)</f>
        <v>-77.9208370116992</v>
      </c>
      <c r="BZ109" s="47" t="n">
        <f aca="false">-In_CIT*(MAX(0,BZ103)+BZ106)</f>
        <v>-78.401002321146</v>
      </c>
      <c r="CA109" s="47" t="n">
        <f aca="false">-In_CIT*(MAX(0,CA103)+CA106)</f>
        <v>-79.6010986749364</v>
      </c>
      <c r="CB109" s="47" t="n">
        <f aca="false">-In_CIT*(MAX(0,CB103)+CB106)</f>
        <v>-80.8733602926194</v>
      </c>
      <c r="CC109" s="47" t="n">
        <f aca="false">-In_CIT*(MAX(0,CC103)+CC106)</f>
        <v>-83.3329181319395</v>
      </c>
      <c r="CD109" s="47" t="n">
        <f aca="false">-In_CIT*(MAX(0,CD103)+CD106)</f>
        <v>-83.8706117244902</v>
      </c>
      <c r="CE109" s="47" t="n">
        <f aca="false">-In_CIT*(MAX(0,CE103)+CE106)</f>
        <v>-83.9321644016748</v>
      </c>
      <c r="CF109" s="47" t="n">
        <f aca="false">-In_CIT*(MAX(0,CF103)+CF106)</f>
        <v>-86.426020811783</v>
      </c>
      <c r="CG109" s="47" t="n">
        <f aca="false">-In_CIT*(MAX(0,CG103)+CG106)</f>
        <v>-88.9529087638046</v>
      </c>
      <c r="CH109" s="47" t="n">
        <f aca="false">-In_CIT*(MAX(0,CH103)+CH106)</f>
        <v>-89.5506888477067</v>
      </c>
      <c r="CI109" s="47" t="n">
        <f aca="false">-In_CIT*(MAX(0,CI103)+CI106)</f>
        <v>-89.6483354565105</v>
      </c>
      <c r="CJ109" s="47" t="n">
        <f aca="false">-In_CIT*(MAX(0,CJ103)+CJ106)</f>
        <v>-92.2112772987528</v>
      </c>
      <c r="CK109" s="47" t="n">
        <f aca="false">-In_CIT*(MAX(0,CK103)+CK106)</f>
        <v>-94.8080509989077</v>
      </c>
      <c r="CL109" s="47" t="n">
        <f aca="false">-In_CIT*(MAX(0,CL103)+CL106)</f>
        <v>-95.4688009470442</v>
      </c>
      <c r="CM109" s="47" t="n">
        <f aca="false">-In_CIT*(MAX(0,CM103)+CM106)</f>
        <v>-95.6051885274261</v>
      </c>
      <c r="CN109" s="47" t="n">
        <f aca="false">-In_CIT*(MAX(0,CN103)+CN106)</f>
        <v>-98.2398592289289</v>
      </c>
      <c r="CO109" s="47" t="n">
        <f aca="false">-In_CIT*(MAX(0,CO103)+CO106)</f>
        <v>-100.909194642911</v>
      </c>
      <c r="CP109" s="47" t="n">
        <f aca="false">-In_CIT*(MAX(0,CP103)+CP106)</f>
        <v>-101.635930090933</v>
      </c>
      <c r="CQ109" s="47" t="n">
        <f aca="false">-In_CIT*(MAX(0,CQ103)+CQ106)</f>
        <v>-102.997344125387</v>
      </c>
      <c r="CR109" s="47" t="n">
        <f aca="false">-In_CIT*(MAX(0,CR103)+CR106)</f>
        <v>-104.540569706994</v>
      </c>
      <c r="CS109" s="47" t="n">
        <f aca="false">-In_CIT*(MAX(0,CS103)+CS106)</f>
        <v>-107.285475791039</v>
      </c>
      <c r="CT109" s="47" t="n">
        <f aca="false">-In_CIT*(MAX(0,CT103)+CT106)</f>
        <v>-108.081560079775</v>
      </c>
      <c r="CU109" s="47" t="n">
        <f aca="false">-In_CIT*(MAX(0,CU103)+CU106)</f>
        <v>-106.693821559351</v>
      </c>
      <c r="CV109" s="47" t="n">
        <f aca="false">-In_CIT*(MAX(0,CV103)+CV106)</f>
        <v>-107.879308465566</v>
      </c>
      <c r="CW109" s="47" t="n">
        <f aca="false">-In_CIT*(MAX(0,CW103)+CW106)</f>
        <v>-109.064795371781</v>
      </c>
      <c r="CX109" s="47" t="n">
        <f aca="false">-In_CIT*(MAX(0,CX103)+CX106)</f>
        <v>-108.258735189678</v>
      </c>
      <c r="CY109" s="47" t="n">
        <f aca="false">-In_CIT*(MAX(0,CY103)+CY106)</f>
        <v>-106.84037277062</v>
      </c>
      <c r="CZ109" s="47" t="n">
        <f aca="false">-In_CIT*(MAX(0,CZ103)+CZ106)</f>
        <v>-108.027488023627</v>
      </c>
      <c r="DA109" s="47" t="n">
        <f aca="false">-In_CIT*(MAX(0,DA103)+DA106)</f>
        <v>-109.214603276634</v>
      </c>
      <c r="DB109" s="47" t="n">
        <f aca="false">-In_CIT*(MAX(0,DB103)+DB106)</f>
        <v>-209.955906903205</v>
      </c>
      <c r="DC109" s="47" t="n">
        <f aca="false">-In_CIT*(MAX(0,DC103)+DC106)</f>
        <v>-206.298966746317</v>
      </c>
      <c r="DD109" s="47" t="n">
        <f aca="false">-In_CIT*(MAX(0,DD103)+DD106)</f>
        <v>-208.591177487942</v>
      </c>
      <c r="DE109" s="47" t="n">
        <f aca="false">-In_CIT*(MAX(0,DE103)+DE106)</f>
        <v>-210.883388229568</v>
      </c>
      <c r="DF109" s="47" t="n">
        <f aca="false">-In_CIT*(MAX(0,DF103)+DF106)</f>
        <v>-210.067709428949</v>
      </c>
      <c r="DG109" s="47" t="n">
        <f aca="false">-In_CIT*(MAX(0,DG103)+DG106)</f>
        <v>-208.672651141679</v>
      </c>
      <c r="DH109" s="47" t="n">
        <f aca="false">-In_CIT*(MAX(0,DH103)+DH106)</f>
        <v>-208.672651141679</v>
      </c>
      <c r="DI109" s="47" t="n">
        <f aca="false">-In_CIT*(MAX(0,DI103)+DI106)</f>
        <v>-210.965757198181</v>
      </c>
      <c r="DJ109" s="47" t="n">
        <f aca="false">-In_CIT*(MAX(0,DJ103)+DJ106)</f>
        <v>-210.145255574759</v>
      </c>
      <c r="DK109" s="47" t="n">
        <f aca="false">-In_CIT*(MAX(0,DK103)+DK106)</f>
        <v>-206.425560393512</v>
      </c>
      <c r="DL109" s="47" t="n">
        <f aca="false">-In_CIT*(MAX(0,DL103)+DL106)</f>
        <v>-208.719177731218</v>
      </c>
      <c r="DM109" s="47" t="n">
        <f aca="false">-In_CIT*(MAX(0,DM103)+DM106)</f>
        <v>-211.012795068924</v>
      </c>
      <c r="DN109" s="47" t="n">
        <f aca="false">-In_CIT*(MAX(0,DN103)+DN106)</f>
        <v>-210.187462223093</v>
      </c>
      <c r="DO109" s="47" t="n">
        <f aca="false">-In_CIT*(MAX(0,DO103)+DO106)</f>
        <v>-206.435925103432</v>
      </c>
      <c r="DP109" s="47" t="n">
        <f aca="false">-In_CIT*(MAX(0,DP103)+DP106)</f>
        <v>-208.729657604581</v>
      </c>
      <c r="DQ109" s="47" t="n">
        <f aca="false">-In_CIT*(MAX(0,DQ103)+DQ106)</f>
        <v>-211.02339010573</v>
      </c>
      <c r="DR109" s="47" t="n">
        <f aca="false">-In_CIT*(MAX(0,DR103)+DR106)</f>
        <v>-210.193218113273</v>
      </c>
      <c r="DS109" s="47" t="n">
        <f aca="false">-In_CIT*(MAX(0,DS103)+DS106)</f>
        <v>-206.409523416985</v>
      </c>
      <c r="DT109" s="47" t="n">
        <f aca="false">-In_CIT*(MAX(0,DT103)+DT106)</f>
        <v>-208.702962566063</v>
      </c>
      <c r="DU109" s="47" t="n">
        <f aca="false">-In_CIT*(MAX(0,DU103)+DU106)</f>
        <v>-210.99640171514</v>
      </c>
      <c r="DV109" s="47" t="n">
        <f aca="false">-In_CIT*(MAX(0,DV103)+DV106)</f>
        <v>-210.161383142302</v>
      </c>
      <c r="DW109" s="47" t="n">
        <f aca="false">-In_CIT*(MAX(0,DW103)+DW106)</f>
        <v>-208.637935167281</v>
      </c>
      <c r="DX109" s="47" t="n">
        <f aca="false">-In_CIT*(MAX(0,DX103)+DX106)</f>
        <v>-208.637935167281</v>
      </c>
      <c r="DY109" s="47" t="n">
        <f aca="false">-In_CIT*(MAX(0,DY103)+DY106)</f>
        <v>-210.930659729559</v>
      </c>
      <c r="DZ109" s="47" t="n">
        <f aca="false">-In_CIT*(MAX(0,DZ103)+DZ106)</f>
        <v>-210.090787648485</v>
      </c>
      <c r="EA109" s="47" t="n">
        <f aca="false">-In_CIT*(MAX(0,EA103)+EA106)</f>
        <v>-206.241812288705</v>
      </c>
      <c r="EB109" s="47" t="n">
        <f aca="false">-In_CIT*(MAX(0,EB103)+EB106)</f>
        <v>-208.533387980801</v>
      </c>
      <c r="EC109" s="47" t="n">
        <f aca="false">-In_CIT*(MAX(0,EC103)+EC106)</f>
        <v>-210.824963672898</v>
      </c>
      <c r="ED109" s="47" t="n">
        <f aca="false">-In_CIT*(MAX(0,ED103)+ED106)</f>
        <v>-209.980231677447</v>
      </c>
      <c r="EE109" s="47" t="n">
        <f aca="false">-In_CIT*(MAX(0,EE103)+EE106)</f>
        <v>-206.098123703639</v>
      </c>
      <c r="EF109" s="47" t="n">
        <f aca="false">-In_CIT*(MAX(0,EF103)+EF106)</f>
        <v>-208.388102855902</v>
      </c>
      <c r="EG109" s="47" t="n">
        <f aca="false">-In_CIT*(MAX(0,EG103)+EG106)</f>
        <v>-210.678082008164</v>
      </c>
      <c r="EH109" s="47" t="n">
        <f aca="false">-In_CIT*(MAX(0,EH103)+EH106)</f>
        <v>-209.828484230097</v>
      </c>
      <c r="EI109" s="47" t="n">
        <f aca="false">-In_CIT*(MAX(0,EI103)+EI106)</f>
        <v>-205.912908945536</v>
      </c>
      <c r="EJ109" s="47" t="n">
        <f aca="false">-In_CIT*(MAX(0,EJ103)+EJ106)</f>
        <v>-208.200830156042</v>
      </c>
      <c r="EK109" s="47" t="n">
        <f aca="false">-In_CIT*(MAX(0,EK103)+EK106)</f>
        <v>-210.488751366548</v>
      </c>
      <c r="EL109" s="47" t="n">
        <f aca="false">-In_CIT*(MAX(0,EL103)+EL106)</f>
        <v>-209.634282492104</v>
      </c>
      <c r="EM109" s="47" t="n">
        <f aca="false">-In_CIT*(MAX(0,EM103)+EM106)</f>
        <v>-207.970287977588</v>
      </c>
      <c r="EN109" s="47" t="n">
        <f aca="false">-In_CIT*(MAX(0,EN103)+EN106)</f>
        <v>-207.970287977588</v>
      </c>
      <c r="EO109" s="47" t="n">
        <f aca="false">-In_CIT*(MAX(0,EO103)+EO106)</f>
        <v>-210.255675757561</v>
      </c>
    </row>
    <row r="110" customFormat="false" ht="15" hidden="false" customHeight="false" outlineLevel="0" collapsed="false">
      <c r="C110" s="0" t="s">
        <v>454</v>
      </c>
      <c r="D110" s="11" t="s">
        <v>33</v>
      </c>
      <c r="I110" s="47" t="n">
        <f aca="false">SUM(J110:EO110)</f>
        <v>3.33354037707068E-008</v>
      </c>
      <c r="J110" s="47" t="n">
        <f aca="false">ABS(J109-J82)</f>
        <v>0</v>
      </c>
      <c r="K110" s="47" t="n">
        <f aca="false">ABS(K109-K82)</f>
        <v>0</v>
      </c>
      <c r="L110" s="47" t="n">
        <f aca="false">ABS(L109-L82)</f>
        <v>0</v>
      </c>
      <c r="M110" s="47" t="n">
        <f aca="false">ABS(M109-M82)</f>
        <v>0</v>
      </c>
      <c r="N110" s="47" t="n">
        <f aca="false">ABS(N109-N82)</f>
        <v>0</v>
      </c>
      <c r="O110" s="47" t="n">
        <f aca="false">ABS(O109-O82)</f>
        <v>0</v>
      </c>
      <c r="P110" s="47" t="n">
        <f aca="false">ABS(P109-P82)</f>
        <v>0</v>
      </c>
      <c r="Q110" s="47" t="n">
        <f aca="false">ABS(Q109-Q82)</f>
        <v>0</v>
      </c>
      <c r="R110" s="47" t="n">
        <f aca="false">ABS(R109-R82)</f>
        <v>0</v>
      </c>
      <c r="S110" s="47" t="n">
        <f aca="false">ABS(S109-S82)</f>
        <v>0</v>
      </c>
      <c r="T110" s="47" t="n">
        <f aca="false">ABS(T109-T82)</f>
        <v>0</v>
      </c>
      <c r="U110" s="47" t="n">
        <f aca="false">ABS(U109-U82)</f>
        <v>0</v>
      </c>
      <c r="V110" s="47" t="n">
        <f aca="false">ABS(V109-V82)</f>
        <v>0</v>
      </c>
      <c r="W110" s="47" t="n">
        <f aca="false">ABS(W109-W82)</f>
        <v>0</v>
      </c>
      <c r="X110" s="47" t="n">
        <f aca="false">ABS(X109-X82)</f>
        <v>0</v>
      </c>
      <c r="Y110" s="47" t="n">
        <f aca="false">ABS(Y109-Y82)</f>
        <v>0</v>
      </c>
      <c r="Z110" s="47" t="n">
        <f aca="false">ABS(Z109-Z82)</f>
        <v>0</v>
      </c>
      <c r="AA110" s="47" t="n">
        <f aca="false">ABS(AA109-AA82)</f>
        <v>1.06599173932409E-011</v>
      </c>
      <c r="AB110" s="47" t="n">
        <f aca="false">ABS(AB109-AB82)</f>
        <v>2.20126139538479E-011</v>
      </c>
      <c r="AC110" s="47" t="n">
        <f aca="false">ABS(AC109-AC82)</f>
        <v>3.43032269256582E-011</v>
      </c>
      <c r="AD110" s="47" t="n">
        <f aca="false">ABS(AD109-AD82)</f>
        <v>4.75282035949931E-011</v>
      </c>
      <c r="AE110" s="47" t="n">
        <f aca="false">ABS(AE109-AE82)</f>
        <v>6.15134609915913E-011</v>
      </c>
      <c r="AF110" s="47" t="n">
        <f aca="false">ABS(AF109-AF82)</f>
        <v>7.62305774060224E-011</v>
      </c>
      <c r="AG110" s="47" t="n">
        <f aca="false">ABS(AG109-AG82)</f>
        <v>9.16973164066803E-011</v>
      </c>
      <c r="AH110" s="47" t="n">
        <f aca="false">ABS(AH109-AH82)</f>
        <v>1.07997166765017E-010</v>
      </c>
      <c r="AI110" s="47" t="n">
        <f aca="false">ABS(AI109-AI82)</f>
        <v>1.24972032722326E-010</v>
      </c>
      <c r="AJ110" s="47" t="n">
        <f aca="false">ABS(AJ109-AJ82)</f>
        <v>1.42446054951506E-010</v>
      </c>
      <c r="AK110" s="47" t="n">
        <f aca="false">ABS(AK109-AK82)</f>
        <v>1.60831348239299E-010</v>
      </c>
      <c r="AL110" s="47" t="n">
        <f aca="false">ABS(AL109-AL82)</f>
        <v>3.59875684807776E-010</v>
      </c>
      <c r="AM110" s="47" t="n">
        <f aca="false">ABS(AM109-AM82)</f>
        <v>4.12107681313501E-010</v>
      </c>
      <c r="AN110" s="47" t="n">
        <f aca="false">ABS(AN109-AN82)</f>
        <v>4.63870719613624E-010</v>
      </c>
      <c r="AO110" s="47" t="n">
        <f aca="false">ABS(AO109-AO82)</f>
        <v>5.15264275691152E-010</v>
      </c>
      <c r="AP110" s="47" t="n">
        <f aca="false">ABS(AP109-AP82)</f>
        <v>5.6597571074235E-010</v>
      </c>
      <c r="AQ110" s="47" t="n">
        <f aca="false">ABS(AQ109-AQ82)</f>
        <v>6.1535132545032E-010</v>
      </c>
      <c r="AR110" s="47" t="n">
        <f aca="false">ABS(AR109-AR82)</f>
        <v>6.62765842207591E-010</v>
      </c>
      <c r="AS110" s="47" t="n">
        <f aca="false">ABS(AS109-AS82)</f>
        <v>7.08404002125462E-010</v>
      </c>
      <c r="AT110" s="47" t="n">
        <f aca="false">ABS(AT109-AT82)</f>
        <v>7.51960271827556E-010</v>
      </c>
      <c r="AU110" s="47" t="n">
        <f aca="false">ABS(AU109-AU82)</f>
        <v>7.92894638834696E-010</v>
      </c>
      <c r="AV110" s="47" t="n">
        <f aca="false">ABS(AV109-AV82)</f>
        <v>8.30851831779E-010</v>
      </c>
      <c r="AW110" s="47" t="n">
        <f aca="false">ABS(AW109-AW82)</f>
        <v>8.65668425831245E-010</v>
      </c>
      <c r="AX110" s="47" t="n">
        <f aca="false">ABS(AX109-AX82)</f>
        <v>8.97330210136715E-010</v>
      </c>
      <c r="AY110" s="47" t="n">
        <f aca="false">ABS(AY109-AY82)</f>
        <v>9.25354015635094E-010</v>
      </c>
      <c r="AZ110" s="47" t="n">
        <f aca="false">ABS(AZ109-AZ82)</f>
        <v>9.49263778693421E-010</v>
      </c>
      <c r="BA110" s="47" t="n">
        <f aca="false">ABS(BA109-BA82)</f>
        <v>9.6943608696165E-010</v>
      </c>
      <c r="BB110" s="47" t="n">
        <f aca="false">ABS(BB109-BB82)</f>
        <v>9.85743042747345E-010</v>
      </c>
      <c r="BC110" s="47" t="n">
        <f aca="false">ABS(BC109-BC82)</f>
        <v>9.97836480109982E-010</v>
      </c>
      <c r="BD110" s="47" t="n">
        <f aca="false">ABS(BD109-BD82)</f>
        <v>1.00534691682697E-009</v>
      </c>
      <c r="BE110" s="47" t="n">
        <f aca="false">ABS(BE109-BE82)</f>
        <v>1.00875752195861E-009</v>
      </c>
      <c r="BF110" s="47" t="n">
        <f aca="false">ABS(BF109-BF82)</f>
        <v>1.00808250635964E-009</v>
      </c>
      <c r="BG110" s="47" t="n">
        <f aca="false">ABS(BG109-BG82)</f>
        <v>1.00307318007253E-009</v>
      </c>
      <c r="BH110" s="47" t="n">
        <f aca="false">ABS(BH109-BH82)</f>
        <v>9.93502169421845E-010</v>
      </c>
      <c r="BI110" s="47" t="n">
        <f aca="false">ABS(BI109-BI82)</f>
        <v>9.79959224878257E-010</v>
      </c>
      <c r="BJ110" s="47" t="n">
        <f aca="false">ABS(BJ109-BJ82)</f>
        <v>9.62629087553069E-010</v>
      </c>
      <c r="BK110" s="47" t="n">
        <f aca="false">ABS(BK109-BK82)</f>
        <v>9.41362543471769E-010</v>
      </c>
      <c r="BL110" s="47" t="n">
        <f aca="false">ABS(BL109-BL82)</f>
        <v>9.16280384899437E-010</v>
      </c>
      <c r="BM110" s="47" t="n">
        <f aca="false">ABS(BM109-BM82)</f>
        <v>8.87681039785093E-010</v>
      </c>
      <c r="BN110" s="47" t="n">
        <f aca="false">ABS(BN109-BN82)</f>
        <v>8.56040571761696E-010</v>
      </c>
      <c r="BO110" s="47" t="n">
        <f aca="false">ABS(BO109-BO82)</f>
        <v>8.21351875401888E-010</v>
      </c>
      <c r="BP110" s="47" t="n">
        <f aca="false">ABS(BP109-BP82)</f>
        <v>7.83572318141523E-010</v>
      </c>
      <c r="BQ110" s="47" t="n">
        <f aca="false">ABS(BQ109-BQ82)</f>
        <v>7.4359718382766E-010</v>
      </c>
      <c r="BR110" s="47" t="n">
        <f aca="false">ABS(BR109-BR82)</f>
        <v>7.01689373272529E-010</v>
      </c>
      <c r="BS110" s="47" t="n">
        <f aca="false">ABS(BS109-BS82)</f>
        <v>6.58019416732714E-010</v>
      </c>
      <c r="BT110" s="47" t="n">
        <f aca="false">ABS(BT109-BT82)</f>
        <v>6.12601525062928E-010</v>
      </c>
      <c r="BU110" s="47" t="n">
        <f aca="false">ABS(BU109-BU82)</f>
        <v>5.66316771255515E-010</v>
      </c>
      <c r="BV110" s="47" t="n">
        <f aca="false">ABS(BV109-BV82)</f>
        <v>5.19591480951931E-010</v>
      </c>
      <c r="BW110" s="47" t="n">
        <f aca="false">ABS(BW109-BW82)</f>
        <v>4.72539340989897E-010</v>
      </c>
      <c r="BX110" s="47" t="n">
        <f aca="false">ABS(BX109-BX82)</f>
        <v>4.25202983933559E-010</v>
      </c>
      <c r="BY110" s="47" t="n">
        <f aca="false">ABS(BY109-BY82)</f>
        <v>3.78477693629975E-010</v>
      </c>
      <c r="BZ110" s="47" t="n">
        <f aca="false">ABS(BZ109-BZ82)</f>
        <v>3.32846639139461E-010</v>
      </c>
      <c r="CA110" s="47" t="n">
        <f aca="false">ABS(CA109-CA82)</f>
        <v>2.88324031316733E-010</v>
      </c>
      <c r="CB110" s="47" t="n">
        <f aca="false">ABS(CB109-CB82)</f>
        <v>2.4517987640138E-010</v>
      </c>
      <c r="CC110" s="47" t="n">
        <f aca="false">ABS(CC109-CC82)</f>
        <v>2.03911554308434E-010</v>
      </c>
      <c r="CD110" s="47" t="n">
        <f aca="false">ABS(CD109-CD82)</f>
        <v>1.65030655807641E-010</v>
      </c>
      <c r="CE110" s="47" t="n">
        <f aca="false">ABS(CE109-CE82)</f>
        <v>1.28565602608433E-010</v>
      </c>
      <c r="CF110" s="47" t="n">
        <f aca="false">ABS(CF109-CF82)</f>
        <v>9.45021838560933E-011</v>
      </c>
      <c r="CG110" s="47" t="n">
        <f aca="false">ABS(CG109-CG82)</f>
        <v>6.36219965599594E-011</v>
      </c>
      <c r="CH110" s="47" t="n">
        <f aca="false">ABS(CH109-CH82)</f>
        <v>3.62234686690499E-011</v>
      </c>
      <c r="CI110" s="47" t="n">
        <f aca="false">ABS(CI109-CI82)</f>
        <v>1.21644916362129E-011</v>
      </c>
      <c r="CJ110" s="47" t="n">
        <f aca="false">ABS(CJ109-CJ82)</f>
        <v>8.59756710269721E-012</v>
      </c>
      <c r="CK110" s="47" t="n">
        <f aca="false">ABS(CK109-CK82)</f>
        <v>2.54516407949268E-011</v>
      </c>
      <c r="CL110" s="47" t="n">
        <f aca="false">ABS(CL109-CL82)</f>
        <v>3.8198777474463E-011</v>
      </c>
      <c r="CM110" s="47" t="n">
        <f aca="false">ABS(CM109-CM82)</f>
        <v>4.70947725261794E-011</v>
      </c>
      <c r="CN110" s="47" t="n">
        <f aca="false">ABS(CN109-CN82)</f>
        <v>5.23243670613738E-011</v>
      </c>
      <c r="CO110" s="47" t="n">
        <f aca="false">ABS(CO109-CO82)</f>
        <v>5.33759703102987E-011</v>
      </c>
      <c r="CP110" s="47" t="n">
        <f aca="false">ABS(CP109-CP82)</f>
        <v>5.02495822729543E-011</v>
      </c>
      <c r="CQ110" s="47" t="n">
        <f aca="false">ABS(CQ109-CQ82)</f>
        <v>4.32436308983597E-011</v>
      </c>
      <c r="CR110" s="47" t="n">
        <f aca="false">ABS(CR109-CR82)</f>
        <v>3.25428572978126E-011</v>
      </c>
      <c r="CS110" s="47" t="n">
        <f aca="false">ABS(CS109-CS82)</f>
        <v>1.81330506165978E-011</v>
      </c>
      <c r="CT110" s="47" t="n">
        <f aca="false">ABS(CT109-CT82)</f>
        <v>0</v>
      </c>
      <c r="CU110" s="47" t="n">
        <f aca="false">ABS(CU109-CU82)</f>
        <v>0</v>
      </c>
      <c r="CV110" s="47" t="n">
        <f aca="false">ABS(CV109-CV82)</f>
        <v>0</v>
      </c>
      <c r="CW110" s="47" t="n">
        <f aca="false">ABS(CW109-CW82)</f>
        <v>0</v>
      </c>
      <c r="CX110" s="47" t="n">
        <f aca="false">ABS(CX109-CX82)</f>
        <v>0</v>
      </c>
      <c r="CY110" s="47" t="n">
        <f aca="false">ABS(CY109-CY82)</f>
        <v>0</v>
      </c>
      <c r="CZ110" s="47" t="n">
        <f aca="false">ABS(CZ109-CZ82)</f>
        <v>0</v>
      </c>
      <c r="DA110" s="47" t="n">
        <f aca="false">ABS(DA109-DA82)</f>
        <v>0</v>
      </c>
      <c r="DB110" s="47" t="n">
        <f aca="false">ABS(DB109-DB82)</f>
        <v>0</v>
      </c>
      <c r="DC110" s="47" t="n">
        <f aca="false">ABS(DC109-DC82)</f>
        <v>0</v>
      </c>
      <c r="DD110" s="47" t="n">
        <f aca="false">ABS(DD109-DD82)</f>
        <v>0</v>
      </c>
      <c r="DE110" s="47" t="n">
        <f aca="false">ABS(DE109-DE82)</f>
        <v>0</v>
      </c>
      <c r="DF110" s="47" t="n">
        <f aca="false">ABS(DF109-DF82)</f>
        <v>0</v>
      </c>
      <c r="DG110" s="47" t="n">
        <f aca="false">ABS(DG109-DG82)</f>
        <v>0</v>
      </c>
      <c r="DH110" s="47" t="n">
        <f aca="false">ABS(DH109-DH82)</f>
        <v>0</v>
      </c>
      <c r="DI110" s="47" t="n">
        <f aca="false">ABS(DI109-DI82)</f>
        <v>0</v>
      </c>
      <c r="DJ110" s="47" t="n">
        <f aca="false">ABS(DJ109-DJ82)</f>
        <v>0</v>
      </c>
      <c r="DK110" s="47" t="n">
        <f aca="false">ABS(DK109-DK82)</f>
        <v>0</v>
      </c>
      <c r="DL110" s="47" t="n">
        <f aca="false">ABS(DL109-DL82)</f>
        <v>0</v>
      </c>
      <c r="DM110" s="47" t="n">
        <f aca="false">ABS(DM109-DM82)</f>
        <v>0</v>
      </c>
      <c r="DN110" s="47" t="n">
        <f aca="false">ABS(DN109-DN82)</f>
        <v>0</v>
      </c>
      <c r="DO110" s="47" t="n">
        <f aca="false">ABS(DO109-DO82)</f>
        <v>0</v>
      </c>
      <c r="DP110" s="47" t="n">
        <f aca="false">ABS(DP109-DP82)</f>
        <v>0</v>
      </c>
      <c r="DQ110" s="47" t="n">
        <f aca="false">ABS(DQ109-DQ82)</f>
        <v>0</v>
      </c>
      <c r="DR110" s="47" t="n">
        <f aca="false">ABS(DR109-DR82)</f>
        <v>0</v>
      </c>
      <c r="DS110" s="47" t="n">
        <f aca="false">ABS(DS109-DS82)</f>
        <v>0</v>
      </c>
      <c r="DT110" s="47" t="n">
        <f aca="false">ABS(DT109-DT82)</f>
        <v>0</v>
      </c>
      <c r="DU110" s="47" t="n">
        <f aca="false">ABS(DU109-DU82)</f>
        <v>0</v>
      </c>
      <c r="DV110" s="47" t="n">
        <f aca="false">ABS(DV109-DV82)</f>
        <v>0</v>
      </c>
      <c r="DW110" s="47" t="n">
        <f aca="false">ABS(DW109-DW82)</f>
        <v>0</v>
      </c>
      <c r="DX110" s="47" t="n">
        <f aca="false">ABS(DX109-DX82)</f>
        <v>0</v>
      </c>
      <c r="DY110" s="47" t="n">
        <f aca="false">ABS(DY109-DY82)</f>
        <v>0</v>
      </c>
      <c r="DZ110" s="47" t="n">
        <f aca="false">ABS(DZ109-DZ82)</f>
        <v>0</v>
      </c>
      <c r="EA110" s="47" t="n">
        <f aca="false">ABS(EA109-EA82)</f>
        <v>0</v>
      </c>
      <c r="EB110" s="47" t="n">
        <f aca="false">ABS(EB109-EB82)</f>
        <v>0</v>
      </c>
      <c r="EC110" s="47" t="n">
        <f aca="false">ABS(EC109-EC82)</f>
        <v>0</v>
      </c>
      <c r="ED110" s="47" t="n">
        <f aca="false">ABS(ED109-ED82)</f>
        <v>0</v>
      </c>
      <c r="EE110" s="47" t="n">
        <f aca="false">ABS(EE109-EE82)</f>
        <v>0</v>
      </c>
      <c r="EF110" s="47" t="n">
        <f aca="false">ABS(EF109-EF82)</f>
        <v>0</v>
      </c>
      <c r="EG110" s="47" t="n">
        <f aca="false">ABS(EG109-EG82)</f>
        <v>0</v>
      </c>
      <c r="EH110" s="47" t="n">
        <f aca="false">ABS(EH109-EH82)</f>
        <v>0</v>
      </c>
      <c r="EI110" s="47" t="n">
        <f aca="false">ABS(EI109-EI82)</f>
        <v>0</v>
      </c>
      <c r="EJ110" s="47" t="n">
        <f aca="false">ABS(EJ109-EJ82)</f>
        <v>0</v>
      </c>
      <c r="EK110" s="47" t="n">
        <f aca="false">ABS(EK109-EK82)</f>
        <v>0</v>
      </c>
      <c r="EL110" s="47" t="n">
        <f aca="false">ABS(EL109-EL82)</f>
        <v>0</v>
      </c>
      <c r="EM110" s="47" t="n">
        <f aca="false">ABS(EM109-EM82)</f>
        <v>0</v>
      </c>
      <c r="EN110" s="47" t="n">
        <f aca="false">ABS(EN109-EN82)</f>
        <v>0</v>
      </c>
      <c r="EO110" s="47" t="n">
        <f aca="false">ABS(EO109-EO82)</f>
        <v>0</v>
      </c>
    </row>
    <row r="112" customFormat="false" ht="15" hidden="false" customHeight="false" outlineLevel="0" collapsed="false">
      <c r="A112" s="9" t="s">
        <v>13</v>
      </c>
      <c r="B112" s="9"/>
      <c r="C112" s="9" t="s">
        <v>455</v>
      </c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  <c r="AL112" s="9"/>
      <c r="AM112" s="9"/>
      <c r="AN112" s="9"/>
      <c r="AO112" s="9"/>
      <c r="AP112" s="9"/>
      <c r="AQ112" s="9"/>
      <c r="AR112" s="9"/>
      <c r="AS112" s="9"/>
      <c r="AT112" s="9"/>
      <c r="AU112" s="9"/>
      <c r="AV112" s="9"/>
      <c r="AW112" s="9"/>
      <c r="AX112" s="9"/>
      <c r="AY112" s="9"/>
      <c r="AZ112" s="9"/>
      <c r="BA112" s="9"/>
      <c r="BB112" s="9"/>
      <c r="BC112" s="9"/>
      <c r="BD112" s="9"/>
      <c r="BE112" s="9"/>
      <c r="BF112" s="9"/>
      <c r="BG112" s="9"/>
      <c r="BH112" s="9"/>
      <c r="BI112" s="9"/>
      <c r="BJ112" s="9"/>
      <c r="BK112" s="9"/>
      <c r="BL112" s="9"/>
      <c r="BM112" s="9"/>
      <c r="BN112" s="9"/>
      <c r="BO112" s="9"/>
      <c r="BP112" s="9"/>
      <c r="BQ112" s="9"/>
      <c r="BR112" s="9"/>
      <c r="BS112" s="9"/>
      <c r="BT112" s="9"/>
      <c r="BU112" s="9"/>
      <c r="BV112" s="9"/>
      <c r="BW112" s="9"/>
      <c r="BX112" s="9"/>
      <c r="BY112" s="9"/>
      <c r="BZ112" s="9"/>
      <c r="CA112" s="9"/>
      <c r="CB112" s="9"/>
      <c r="CC112" s="9"/>
      <c r="CD112" s="9"/>
      <c r="CE112" s="9"/>
      <c r="CF112" s="9"/>
      <c r="CG112" s="9"/>
      <c r="CH112" s="9"/>
      <c r="CI112" s="9"/>
      <c r="CJ112" s="9"/>
      <c r="CK112" s="9"/>
      <c r="CL112" s="9"/>
      <c r="CM112" s="9"/>
      <c r="CN112" s="9"/>
      <c r="CO112" s="9"/>
      <c r="CP112" s="9"/>
      <c r="CQ112" s="9"/>
      <c r="CR112" s="9"/>
      <c r="CS112" s="9"/>
      <c r="CT112" s="9"/>
      <c r="CU112" s="9"/>
      <c r="CV112" s="9"/>
      <c r="CW112" s="9"/>
      <c r="CX112" s="9"/>
      <c r="CY112" s="9"/>
      <c r="CZ112" s="9"/>
      <c r="DA112" s="9"/>
      <c r="DB112" s="9"/>
      <c r="DC112" s="9"/>
      <c r="DD112" s="9"/>
      <c r="DE112" s="9"/>
      <c r="DF112" s="9"/>
      <c r="DG112" s="9"/>
      <c r="DH112" s="9"/>
      <c r="DI112" s="9"/>
      <c r="DJ112" s="9"/>
      <c r="DK112" s="9"/>
      <c r="DL112" s="9"/>
      <c r="DM112" s="9"/>
      <c r="DN112" s="9"/>
      <c r="DO112" s="9"/>
      <c r="DP112" s="9"/>
      <c r="DQ112" s="9"/>
      <c r="DR112" s="9"/>
      <c r="DS112" s="9"/>
      <c r="DT112" s="9"/>
      <c r="DU112" s="9"/>
      <c r="DV112" s="9"/>
      <c r="DW112" s="9"/>
      <c r="DX112" s="9"/>
      <c r="DY112" s="9"/>
      <c r="DZ112" s="9"/>
      <c r="EA112" s="9"/>
      <c r="EB112" s="9"/>
      <c r="EC112" s="9"/>
      <c r="ED112" s="9"/>
      <c r="EE112" s="9"/>
      <c r="EF112" s="9"/>
      <c r="EG112" s="9"/>
      <c r="EH112" s="9"/>
      <c r="EI112" s="9"/>
      <c r="EJ112" s="9"/>
      <c r="EK112" s="9"/>
      <c r="EL112" s="9"/>
      <c r="EM112" s="9"/>
      <c r="EN112" s="9"/>
      <c r="EO112" s="9"/>
    </row>
    <row r="113" customFormat="false" ht="15" hidden="false" customHeight="false" outlineLevel="0" collapsed="false">
      <c r="C113" s="0" t="s">
        <v>93</v>
      </c>
      <c r="D113" s="11" t="s">
        <v>33</v>
      </c>
      <c r="E113" s="47" t="n">
        <f aca="false">-($I44+$I45+$I46)</f>
        <v>5150</v>
      </c>
    </row>
    <row r="114" customFormat="false" ht="15" hidden="false" customHeight="false" outlineLevel="0" collapsed="false">
      <c r="C114" s="0" t="s">
        <v>94</v>
      </c>
      <c r="D114" s="11" t="s">
        <v>33</v>
      </c>
      <c r="E114" s="47" t="n">
        <f aca="false">-($I48+$I51+$E55)</f>
        <v>1114.92155376243</v>
      </c>
    </row>
    <row r="115" customFormat="false" ht="15" hidden="false" customHeight="false" outlineLevel="0" collapsed="false">
      <c r="C115" s="0" t="s">
        <v>95</v>
      </c>
      <c r="D115" s="11" t="s">
        <v>33</v>
      </c>
      <c r="E115" s="47" t="n">
        <f aca="false">-$I64</f>
        <v>70151.25</v>
      </c>
    </row>
    <row r="116" customFormat="false" ht="15" hidden="false" customHeight="false" outlineLevel="0" collapsed="false">
      <c r="C116" s="0" t="s">
        <v>96</v>
      </c>
      <c r="D116" s="11" t="s">
        <v>33</v>
      </c>
      <c r="E116" s="47" t="n">
        <f aca="false">-$I54</f>
        <v>8154.82315068493</v>
      </c>
    </row>
    <row r="117" customFormat="false" ht="15" hidden="false" customHeight="false" outlineLevel="0" collapsed="false">
      <c r="C117" s="0" t="s">
        <v>97</v>
      </c>
      <c r="D117" s="11" t="s">
        <v>33</v>
      </c>
      <c r="E117" s="47" t="n">
        <f aca="false">-$I65</f>
        <v>2500</v>
      </c>
    </row>
    <row r="118" customFormat="false" ht="15" hidden="false" customHeight="false" outlineLevel="0" collapsed="false">
      <c r="C118" s="0" t="s">
        <v>98</v>
      </c>
      <c r="D118" s="11" t="s">
        <v>33</v>
      </c>
      <c r="E118" s="47" t="n">
        <f aca="false">$I93-$I96-$I97</f>
        <v>4839.19009336073</v>
      </c>
    </row>
    <row r="119" customFormat="false" ht="15" hidden="false" customHeight="false" outlineLevel="0" collapsed="false">
      <c r="C119" s="0" t="s">
        <v>99</v>
      </c>
      <c r="D119" s="11" t="s">
        <v>33</v>
      </c>
      <c r="E119" s="47" t="n">
        <f aca="false">-SUMIF($J$4:$EO$4,"&lt;="&amp;In_COD,$J79:$EO79)</f>
        <v>340.170197534084</v>
      </c>
    </row>
    <row r="120" customFormat="false" ht="15" hidden="false" customHeight="false" outlineLevel="0" collapsed="false">
      <c r="C120" s="25" t="s">
        <v>100</v>
      </c>
      <c r="D120" s="11" t="s">
        <v>33</v>
      </c>
      <c r="E120" s="56" t="n">
        <f aca="false">SUM($E113:$E119)</f>
        <v>92250.3549953422</v>
      </c>
    </row>
    <row r="121" customFormat="false" ht="15" hidden="false" customHeight="false" outlineLevel="0" collapsed="false">
      <c r="C121" s="0" t="s">
        <v>456</v>
      </c>
      <c r="D121" s="11" t="s">
        <v>33</v>
      </c>
      <c r="E121" s="47" t="n">
        <f aca="false">$E120-$E95</f>
        <v>24583.9752963419</v>
      </c>
      <c r="F121" s="47" t="n">
        <f aca="false">$E121+$E98</f>
        <v>26001.6712866069</v>
      </c>
    </row>
    <row r="122" customFormat="false" ht="15" hidden="false" customHeight="false" outlineLevel="0" collapsed="false">
      <c r="C122" s="0" t="s">
        <v>104</v>
      </c>
      <c r="D122" s="11" t="s">
        <v>27</v>
      </c>
      <c r="E122" s="48" t="n">
        <f aca="false">$E95/$E120</f>
        <v>0.733508068369134</v>
      </c>
    </row>
    <row r="124" customFormat="false" ht="15" hidden="false" customHeight="false" outlineLevel="0" collapsed="false">
      <c r="A124" s="9" t="s">
        <v>13</v>
      </c>
      <c r="B124" s="9"/>
      <c r="C124" s="9" t="s">
        <v>120</v>
      </c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9"/>
      <c r="AL124" s="9"/>
      <c r="AM124" s="9"/>
      <c r="AN124" s="9"/>
      <c r="AO124" s="9"/>
      <c r="AP124" s="9"/>
      <c r="AQ124" s="9"/>
      <c r="AR124" s="9"/>
      <c r="AS124" s="9"/>
      <c r="AT124" s="9"/>
      <c r="AU124" s="9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9"/>
      <c r="BH124" s="9"/>
      <c r="BI124" s="9"/>
      <c r="BJ124" s="9"/>
      <c r="BK124" s="9"/>
      <c r="BL124" s="9"/>
      <c r="BM124" s="9"/>
      <c r="BN124" s="9"/>
      <c r="BO124" s="9"/>
      <c r="BP124" s="9"/>
      <c r="BQ124" s="9"/>
      <c r="BR124" s="9"/>
      <c r="BS124" s="9"/>
      <c r="BT124" s="9"/>
      <c r="BU124" s="9"/>
      <c r="BV124" s="9"/>
      <c r="BW124" s="9"/>
      <c r="BX124" s="9"/>
      <c r="BY124" s="9"/>
      <c r="BZ124" s="9"/>
      <c r="CA124" s="9"/>
      <c r="CB124" s="9"/>
      <c r="CC124" s="9"/>
      <c r="CD124" s="9"/>
      <c r="CE124" s="9"/>
      <c r="CF124" s="9"/>
      <c r="CG124" s="9"/>
      <c r="CH124" s="9"/>
      <c r="CI124" s="9"/>
      <c r="CJ124" s="9"/>
      <c r="CK124" s="9"/>
      <c r="CL124" s="9"/>
      <c r="CM124" s="9"/>
      <c r="CN124" s="9"/>
      <c r="CO124" s="9"/>
      <c r="CP124" s="9"/>
      <c r="CQ124" s="9"/>
      <c r="CR124" s="9"/>
      <c r="CS124" s="9"/>
      <c r="CT124" s="9"/>
      <c r="CU124" s="9"/>
      <c r="CV124" s="9"/>
      <c r="CW124" s="9"/>
      <c r="CX124" s="9"/>
      <c r="CY124" s="9"/>
      <c r="CZ124" s="9"/>
      <c r="DA124" s="9"/>
      <c r="DB124" s="9"/>
      <c r="DC124" s="9"/>
      <c r="DD124" s="9"/>
      <c r="DE124" s="9"/>
      <c r="DF124" s="9"/>
      <c r="DG124" s="9"/>
      <c r="DH124" s="9"/>
      <c r="DI124" s="9"/>
      <c r="DJ124" s="9"/>
      <c r="DK124" s="9"/>
      <c r="DL124" s="9"/>
      <c r="DM124" s="9"/>
      <c r="DN124" s="9"/>
      <c r="DO124" s="9"/>
      <c r="DP124" s="9"/>
      <c r="DQ124" s="9"/>
      <c r="DR124" s="9"/>
      <c r="DS124" s="9"/>
      <c r="DT124" s="9"/>
      <c r="DU124" s="9"/>
      <c r="DV124" s="9"/>
      <c r="DW124" s="9"/>
      <c r="DX124" s="9"/>
      <c r="DY124" s="9"/>
      <c r="DZ124" s="9"/>
      <c r="EA124" s="9"/>
      <c r="EB124" s="9"/>
      <c r="EC124" s="9"/>
      <c r="ED124" s="9"/>
      <c r="EE124" s="9"/>
      <c r="EF124" s="9"/>
      <c r="EG124" s="9"/>
      <c r="EH124" s="9"/>
      <c r="EI124" s="9"/>
      <c r="EJ124" s="9"/>
      <c r="EK124" s="9"/>
      <c r="EL124" s="9"/>
      <c r="EM124" s="9"/>
      <c r="EN124" s="9"/>
      <c r="EO124" s="9"/>
    </row>
    <row r="125" customFormat="false" ht="15" hidden="false" customHeight="false" outlineLevel="0" collapsed="false">
      <c r="C125" s="0" t="s">
        <v>457</v>
      </c>
      <c r="D125" s="11" t="s">
        <v>33</v>
      </c>
      <c r="I125" s="47" t="n">
        <f aca="false">SUM(J125:EO125)</f>
        <v>-24583.9752963419</v>
      </c>
      <c r="J125" s="47" t="n">
        <f aca="false">(J59+J66+J92+J96+J97+J79)*(J$4&lt;=In_COD)</f>
        <v>-4662.80993807469</v>
      </c>
      <c r="K125" s="47" t="n">
        <f aca="false">(K59+K66+K92+K96+K97+K79)*(K$4&lt;=In_COD)</f>
        <v>-706.535577057768</v>
      </c>
      <c r="L125" s="47" t="n">
        <f aca="false">(L59+L66+L92+L96+L97+L79)*(L$4&lt;=In_COD)</f>
        <v>-104.360496659404</v>
      </c>
      <c r="M125" s="47" t="n">
        <f aca="false">(M59+M66+M92+M96+M97+M79)*(M$4&lt;=In_COD)</f>
        <v>-105.507315304013</v>
      </c>
      <c r="N125" s="47" t="n">
        <f aca="false">(N59+N66+N92+N96+N97+N79)*(N$4&lt;=In_COD)</f>
        <v>-105.507315304013</v>
      </c>
      <c r="O125" s="47" t="n">
        <f aca="false">(O59+O66+O92+O96+O97+O79)*(O$4&lt;=In_COD)</f>
        <v>-104.360496659404</v>
      </c>
      <c r="P125" s="47" t="n">
        <f aca="false">(P59+P66+P92+P96+P97+P79)*(P$4&lt;=In_COD)</f>
        <v>-104.360496659404</v>
      </c>
      <c r="Q125" s="47" t="n">
        <f aca="false">(Q59+Q66+Q92+Q96+Q97+Q79)*(Q$4&lt;=In_COD)</f>
        <v>-105.507315304013</v>
      </c>
      <c r="R125" s="47" t="n">
        <f aca="false">(R59+R66+R92+R96+R97+R79)*(R$4&lt;=In_COD)</f>
        <v>-3174.08808923102</v>
      </c>
      <c r="S125" s="47" t="n">
        <f aca="false">(S59+S66+S92+S96+S97+S79)*(S$4&lt;=In_COD)</f>
        <v>-3562.95255606014</v>
      </c>
      <c r="T125" s="47" t="n">
        <f aca="false">(T59+T66+T92+T96+T97+T79)*(T$4&lt;=In_COD)</f>
        <v>-1923.29083222332</v>
      </c>
      <c r="U125" s="47" t="n">
        <f aca="false">(U59+U66+U92+U96+U97+U79)*(U$4&lt;=In_COD)</f>
        <v>-1928.55573265071</v>
      </c>
      <c r="V125" s="47" t="n">
        <f aca="false">(V59+V66+V92+V96+V97+V79)*(V$4&lt;=In_COD)</f>
        <v>-1912.51117158484</v>
      </c>
      <c r="W125" s="47" t="n">
        <f aca="false">(W59+W66+W92+W96+W97+W79)*(W$4&lt;=In_COD)</f>
        <v>-1856.28100668043</v>
      </c>
      <c r="X125" s="47" t="n">
        <f aca="false">(X59+X66+X92+X96+X97+X79)*(X$4&lt;=In_COD)</f>
        <v>-1861.38119109401</v>
      </c>
      <c r="Y125" s="47" t="n">
        <f aca="false">(Y59+Y66+Y92+Y96+Y97+Y79)*(Y$4&lt;=In_COD)</f>
        <v>-2365.96576579471</v>
      </c>
      <c r="Z125" s="47" t="n">
        <f aca="false">(Z59+Z66+Z92+Z96+Z97+Z79)*(Z$4&lt;=In_COD)</f>
        <v>0</v>
      </c>
      <c r="AA125" s="47" t="n">
        <f aca="false">(AA59+AA66+AA92+AA96+AA97+AA79)*(AA$4&lt;=In_COD)</f>
        <v>0</v>
      </c>
      <c r="AB125" s="47" t="n">
        <f aca="false">(AB59+AB66+AB92+AB96+AB97+AB79)*(AB$4&lt;=In_COD)</f>
        <v>0</v>
      </c>
      <c r="AC125" s="47" t="n">
        <f aca="false">(AC59+AC66+AC92+AC96+AC97+AC79)*(AC$4&lt;=In_COD)</f>
        <v>0</v>
      </c>
      <c r="AD125" s="47" t="n">
        <f aca="false">(AD59+AD66+AD92+AD96+AD97+AD79)*(AD$4&lt;=In_COD)</f>
        <v>0</v>
      </c>
      <c r="AE125" s="47" t="n">
        <f aca="false">(AE59+AE66+AE92+AE96+AE97+AE79)*(AE$4&lt;=In_COD)</f>
        <v>0</v>
      </c>
      <c r="AF125" s="47" t="n">
        <f aca="false">(AF59+AF66+AF92+AF96+AF97+AF79)*(AF$4&lt;=In_COD)</f>
        <v>0</v>
      </c>
      <c r="AG125" s="47" t="n">
        <f aca="false">(AG59+AG66+AG92+AG96+AG97+AG79)*(AG$4&lt;=In_COD)</f>
        <v>0</v>
      </c>
      <c r="AH125" s="47" t="n">
        <f aca="false">(AH59+AH66+AH92+AH96+AH97+AH79)*(AH$4&lt;=In_COD)</f>
        <v>0</v>
      </c>
      <c r="AI125" s="47" t="n">
        <f aca="false">(AI59+AI66+AI92+AI96+AI97+AI79)*(AI$4&lt;=In_COD)</f>
        <v>0</v>
      </c>
      <c r="AJ125" s="47" t="n">
        <f aca="false">(AJ59+AJ66+AJ92+AJ96+AJ97+AJ79)*(AJ$4&lt;=In_COD)</f>
        <v>0</v>
      </c>
      <c r="AK125" s="47" t="n">
        <f aca="false">(AK59+AK66+AK92+AK96+AK97+AK79)*(AK$4&lt;=In_COD)</f>
        <v>0</v>
      </c>
      <c r="AL125" s="47" t="n">
        <f aca="false">(AL59+AL66+AL92+AL96+AL97+AL79)*(AL$4&lt;=In_COD)</f>
        <v>0</v>
      </c>
      <c r="AM125" s="47" t="n">
        <f aca="false">(AM59+AM66+AM92+AM96+AM97+AM79)*(AM$4&lt;=In_COD)</f>
        <v>0</v>
      </c>
      <c r="AN125" s="47" t="n">
        <f aca="false">(AN59+AN66+AN92+AN96+AN97+AN79)*(AN$4&lt;=In_COD)</f>
        <v>0</v>
      </c>
      <c r="AO125" s="47" t="n">
        <f aca="false">(AO59+AO66+AO92+AO96+AO97+AO79)*(AO$4&lt;=In_COD)</f>
        <v>0</v>
      </c>
      <c r="AP125" s="47" t="n">
        <f aca="false">(AP59+AP66+AP92+AP96+AP97+AP79)*(AP$4&lt;=In_COD)</f>
        <v>0</v>
      </c>
      <c r="AQ125" s="47" t="n">
        <f aca="false">(AQ59+AQ66+AQ92+AQ96+AQ97+AQ79)*(AQ$4&lt;=In_COD)</f>
        <v>0</v>
      </c>
      <c r="AR125" s="47" t="n">
        <f aca="false">(AR59+AR66+AR92+AR96+AR97+AR79)*(AR$4&lt;=In_COD)</f>
        <v>0</v>
      </c>
      <c r="AS125" s="47" t="n">
        <f aca="false">(AS59+AS66+AS92+AS96+AS97+AS79)*(AS$4&lt;=In_COD)</f>
        <v>0</v>
      </c>
      <c r="AT125" s="47" t="n">
        <f aca="false">(AT59+AT66+AT92+AT96+AT97+AT79)*(AT$4&lt;=In_COD)</f>
        <v>0</v>
      </c>
      <c r="AU125" s="47" t="n">
        <f aca="false">(AU59+AU66+AU92+AU96+AU97+AU79)*(AU$4&lt;=In_COD)</f>
        <v>0</v>
      </c>
      <c r="AV125" s="47" t="n">
        <f aca="false">(AV59+AV66+AV92+AV96+AV97+AV79)*(AV$4&lt;=In_COD)</f>
        <v>0</v>
      </c>
      <c r="AW125" s="47" t="n">
        <f aca="false">(AW59+AW66+AW92+AW96+AW97+AW79)*(AW$4&lt;=In_COD)</f>
        <v>0</v>
      </c>
      <c r="AX125" s="47" t="n">
        <f aca="false">(AX59+AX66+AX92+AX96+AX97+AX79)*(AX$4&lt;=In_COD)</f>
        <v>0</v>
      </c>
      <c r="AY125" s="47" t="n">
        <f aca="false">(AY59+AY66+AY92+AY96+AY97+AY79)*(AY$4&lt;=In_COD)</f>
        <v>0</v>
      </c>
      <c r="AZ125" s="47" t="n">
        <f aca="false">(AZ59+AZ66+AZ92+AZ96+AZ97+AZ79)*(AZ$4&lt;=In_COD)</f>
        <v>0</v>
      </c>
      <c r="BA125" s="47" t="n">
        <f aca="false">(BA59+BA66+BA92+BA96+BA97+BA79)*(BA$4&lt;=In_COD)</f>
        <v>0</v>
      </c>
      <c r="BB125" s="47" t="n">
        <f aca="false">(BB59+BB66+BB92+BB96+BB97+BB79)*(BB$4&lt;=In_COD)</f>
        <v>0</v>
      </c>
      <c r="BC125" s="47" t="n">
        <f aca="false">(BC59+BC66+BC92+BC96+BC97+BC79)*(BC$4&lt;=In_COD)</f>
        <v>0</v>
      </c>
      <c r="BD125" s="47" t="n">
        <f aca="false">(BD59+BD66+BD92+BD96+BD97+BD79)*(BD$4&lt;=In_COD)</f>
        <v>0</v>
      </c>
      <c r="BE125" s="47" t="n">
        <f aca="false">(BE59+BE66+BE92+BE96+BE97+BE79)*(BE$4&lt;=In_COD)</f>
        <v>0</v>
      </c>
      <c r="BF125" s="47" t="n">
        <f aca="false">(BF59+BF66+BF92+BF96+BF97+BF79)*(BF$4&lt;=In_COD)</f>
        <v>0</v>
      </c>
      <c r="BG125" s="47" t="n">
        <f aca="false">(BG59+BG66+BG92+BG96+BG97+BG79)*(BG$4&lt;=In_COD)</f>
        <v>0</v>
      </c>
      <c r="BH125" s="47" t="n">
        <f aca="false">(BH59+BH66+BH92+BH96+BH97+BH79)*(BH$4&lt;=In_COD)</f>
        <v>0</v>
      </c>
      <c r="BI125" s="47" t="n">
        <f aca="false">(BI59+BI66+BI92+BI96+BI97+BI79)*(BI$4&lt;=In_COD)</f>
        <v>0</v>
      </c>
      <c r="BJ125" s="47" t="n">
        <f aca="false">(BJ59+BJ66+BJ92+BJ96+BJ97+BJ79)*(BJ$4&lt;=In_COD)</f>
        <v>0</v>
      </c>
      <c r="BK125" s="47" t="n">
        <f aca="false">(BK59+BK66+BK92+BK96+BK97+BK79)*(BK$4&lt;=In_COD)</f>
        <v>0</v>
      </c>
      <c r="BL125" s="47" t="n">
        <f aca="false">(BL59+BL66+BL92+BL96+BL97+BL79)*(BL$4&lt;=In_COD)</f>
        <v>0</v>
      </c>
      <c r="BM125" s="47" t="n">
        <f aca="false">(BM59+BM66+BM92+BM96+BM97+BM79)*(BM$4&lt;=In_COD)</f>
        <v>0</v>
      </c>
      <c r="BN125" s="47" t="n">
        <f aca="false">(BN59+BN66+BN92+BN96+BN97+BN79)*(BN$4&lt;=In_COD)</f>
        <v>0</v>
      </c>
      <c r="BO125" s="47" t="n">
        <f aca="false">(BO59+BO66+BO92+BO96+BO97+BO79)*(BO$4&lt;=In_COD)</f>
        <v>0</v>
      </c>
      <c r="BP125" s="47" t="n">
        <f aca="false">(BP59+BP66+BP92+BP96+BP97+BP79)*(BP$4&lt;=In_COD)</f>
        <v>0</v>
      </c>
      <c r="BQ125" s="47" t="n">
        <f aca="false">(BQ59+BQ66+BQ92+BQ96+BQ97+BQ79)*(BQ$4&lt;=In_COD)</f>
        <v>0</v>
      </c>
      <c r="BR125" s="47" t="n">
        <f aca="false">(BR59+BR66+BR92+BR96+BR97+BR79)*(BR$4&lt;=In_COD)</f>
        <v>0</v>
      </c>
      <c r="BS125" s="47" t="n">
        <f aca="false">(BS59+BS66+BS92+BS96+BS97+BS79)*(BS$4&lt;=In_COD)</f>
        <v>0</v>
      </c>
      <c r="BT125" s="47" t="n">
        <f aca="false">(BT59+BT66+BT92+BT96+BT97+BT79)*(BT$4&lt;=In_COD)</f>
        <v>0</v>
      </c>
      <c r="BU125" s="47" t="n">
        <f aca="false">(BU59+BU66+BU92+BU96+BU97+BU79)*(BU$4&lt;=In_COD)</f>
        <v>0</v>
      </c>
      <c r="BV125" s="47" t="n">
        <f aca="false">(BV59+BV66+BV92+BV96+BV97+BV79)*(BV$4&lt;=In_COD)</f>
        <v>0</v>
      </c>
      <c r="BW125" s="47" t="n">
        <f aca="false">(BW59+BW66+BW92+BW96+BW97+BW79)*(BW$4&lt;=In_COD)</f>
        <v>0</v>
      </c>
      <c r="BX125" s="47" t="n">
        <f aca="false">(BX59+BX66+BX92+BX96+BX97+BX79)*(BX$4&lt;=In_COD)</f>
        <v>0</v>
      </c>
      <c r="BY125" s="47" t="n">
        <f aca="false">(BY59+BY66+BY92+BY96+BY97+BY79)*(BY$4&lt;=In_COD)</f>
        <v>0</v>
      </c>
      <c r="BZ125" s="47" t="n">
        <f aca="false">(BZ59+BZ66+BZ92+BZ96+BZ97+BZ79)*(BZ$4&lt;=In_COD)</f>
        <v>0</v>
      </c>
      <c r="CA125" s="47" t="n">
        <f aca="false">(CA59+CA66+CA92+CA96+CA97+CA79)*(CA$4&lt;=In_COD)</f>
        <v>0</v>
      </c>
      <c r="CB125" s="47" t="n">
        <f aca="false">(CB59+CB66+CB92+CB96+CB97+CB79)*(CB$4&lt;=In_COD)</f>
        <v>0</v>
      </c>
      <c r="CC125" s="47" t="n">
        <f aca="false">(CC59+CC66+CC92+CC96+CC97+CC79)*(CC$4&lt;=In_COD)</f>
        <v>0</v>
      </c>
      <c r="CD125" s="47" t="n">
        <f aca="false">(CD59+CD66+CD92+CD96+CD97+CD79)*(CD$4&lt;=In_COD)</f>
        <v>0</v>
      </c>
      <c r="CE125" s="47" t="n">
        <f aca="false">(CE59+CE66+CE92+CE96+CE97+CE79)*(CE$4&lt;=In_COD)</f>
        <v>0</v>
      </c>
      <c r="CF125" s="47" t="n">
        <f aca="false">(CF59+CF66+CF92+CF96+CF97+CF79)*(CF$4&lt;=In_COD)</f>
        <v>0</v>
      </c>
      <c r="CG125" s="47" t="n">
        <f aca="false">(CG59+CG66+CG92+CG96+CG97+CG79)*(CG$4&lt;=In_COD)</f>
        <v>0</v>
      </c>
      <c r="CH125" s="47" t="n">
        <f aca="false">(CH59+CH66+CH92+CH96+CH97+CH79)*(CH$4&lt;=In_COD)</f>
        <v>0</v>
      </c>
      <c r="CI125" s="47" t="n">
        <f aca="false">(CI59+CI66+CI92+CI96+CI97+CI79)*(CI$4&lt;=In_COD)</f>
        <v>0</v>
      </c>
      <c r="CJ125" s="47" t="n">
        <f aca="false">(CJ59+CJ66+CJ92+CJ96+CJ97+CJ79)*(CJ$4&lt;=In_COD)</f>
        <v>0</v>
      </c>
      <c r="CK125" s="47" t="n">
        <f aca="false">(CK59+CK66+CK92+CK96+CK97+CK79)*(CK$4&lt;=In_COD)</f>
        <v>0</v>
      </c>
      <c r="CL125" s="47" t="n">
        <f aca="false">(CL59+CL66+CL92+CL96+CL97+CL79)*(CL$4&lt;=In_COD)</f>
        <v>0</v>
      </c>
      <c r="CM125" s="47" t="n">
        <f aca="false">(CM59+CM66+CM92+CM96+CM97+CM79)*(CM$4&lt;=In_COD)</f>
        <v>0</v>
      </c>
      <c r="CN125" s="47" t="n">
        <f aca="false">(CN59+CN66+CN92+CN96+CN97+CN79)*(CN$4&lt;=In_COD)</f>
        <v>0</v>
      </c>
      <c r="CO125" s="47" t="n">
        <f aca="false">(CO59+CO66+CO92+CO96+CO97+CO79)*(CO$4&lt;=In_COD)</f>
        <v>0</v>
      </c>
      <c r="CP125" s="47" t="n">
        <f aca="false">(CP59+CP66+CP92+CP96+CP97+CP79)*(CP$4&lt;=In_COD)</f>
        <v>0</v>
      </c>
      <c r="CQ125" s="47" t="n">
        <f aca="false">(CQ59+CQ66+CQ92+CQ96+CQ97+CQ79)*(CQ$4&lt;=In_COD)</f>
        <v>0</v>
      </c>
      <c r="CR125" s="47" t="n">
        <f aca="false">(CR59+CR66+CR92+CR96+CR97+CR79)*(CR$4&lt;=In_COD)</f>
        <v>0</v>
      </c>
      <c r="CS125" s="47" t="n">
        <f aca="false">(CS59+CS66+CS92+CS96+CS97+CS79)*(CS$4&lt;=In_COD)</f>
        <v>0</v>
      </c>
      <c r="CT125" s="47" t="n">
        <f aca="false">(CT59+CT66+CT92+CT96+CT97+CT79)*(CT$4&lt;=In_COD)</f>
        <v>0</v>
      </c>
      <c r="CU125" s="47" t="n">
        <f aca="false">(CU59+CU66+CU92+CU96+CU97+CU79)*(CU$4&lt;=In_COD)</f>
        <v>0</v>
      </c>
      <c r="CV125" s="47" t="n">
        <f aca="false">(CV59+CV66+CV92+CV96+CV97+CV79)*(CV$4&lt;=In_COD)</f>
        <v>0</v>
      </c>
      <c r="CW125" s="47" t="n">
        <f aca="false">(CW59+CW66+CW92+CW96+CW97+CW79)*(CW$4&lt;=In_COD)</f>
        <v>0</v>
      </c>
      <c r="CX125" s="47" t="n">
        <f aca="false">(CX59+CX66+CX92+CX96+CX97+CX79)*(CX$4&lt;=In_COD)</f>
        <v>0</v>
      </c>
      <c r="CY125" s="47" t="n">
        <f aca="false">(CY59+CY66+CY92+CY96+CY97+CY79)*(CY$4&lt;=In_COD)</f>
        <v>0</v>
      </c>
      <c r="CZ125" s="47" t="n">
        <f aca="false">(CZ59+CZ66+CZ92+CZ96+CZ97+CZ79)*(CZ$4&lt;=In_COD)</f>
        <v>0</v>
      </c>
      <c r="DA125" s="47" t="n">
        <f aca="false">(DA59+DA66+DA92+DA96+DA97+DA79)*(DA$4&lt;=In_COD)</f>
        <v>0</v>
      </c>
      <c r="DB125" s="47" t="n">
        <f aca="false">(DB59+DB66+DB92+DB96+DB97+DB79)*(DB$4&lt;=In_COD)</f>
        <v>0</v>
      </c>
      <c r="DC125" s="47" t="n">
        <f aca="false">(DC59+DC66+DC92+DC96+DC97+DC79)*(DC$4&lt;=In_COD)</f>
        <v>0</v>
      </c>
      <c r="DD125" s="47" t="n">
        <f aca="false">(DD59+DD66+DD92+DD96+DD97+DD79)*(DD$4&lt;=In_COD)</f>
        <v>0</v>
      </c>
      <c r="DE125" s="47" t="n">
        <f aca="false">(DE59+DE66+DE92+DE96+DE97+DE79)*(DE$4&lt;=In_COD)</f>
        <v>0</v>
      </c>
      <c r="DF125" s="47" t="n">
        <f aca="false">(DF59+DF66+DF92+DF96+DF97+DF79)*(DF$4&lt;=In_COD)</f>
        <v>0</v>
      </c>
      <c r="DG125" s="47" t="n">
        <f aca="false">(DG59+DG66+DG92+DG96+DG97+DG79)*(DG$4&lt;=In_COD)</f>
        <v>0</v>
      </c>
      <c r="DH125" s="47" t="n">
        <f aca="false">(DH59+DH66+DH92+DH96+DH97+DH79)*(DH$4&lt;=In_COD)</f>
        <v>0</v>
      </c>
      <c r="DI125" s="47" t="n">
        <f aca="false">(DI59+DI66+DI92+DI96+DI97+DI79)*(DI$4&lt;=In_COD)</f>
        <v>0</v>
      </c>
      <c r="DJ125" s="47" t="n">
        <f aca="false">(DJ59+DJ66+DJ92+DJ96+DJ97+DJ79)*(DJ$4&lt;=In_COD)</f>
        <v>0</v>
      </c>
      <c r="DK125" s="47" t="n">
        <f aca="false">(DK59+DK66+DK92+DK96+DK97+DK79)*(DK$4&lt;=In_COD)</f>
        <v>0</v>
      </c>
      <c r="DL125" s="47" t="n">
        <f aca="false">(DL59+DL66+DL92+DL96+DL97+DL79)*(DL$4&lt;=In_COD)</f>
        <v>0</v>
      </c>
      <c r="DM125" s="47" t="n">
        <f aca="false">(DM59+DM66+DM92+DM96+DM97+DM79)*(DM$4&lt;=In_COD)</f>
        <v>0</v>
      </c>
      <c r="DN125" s="47" t="n">
        <f aca="false">(DN59+DN66+DN92+DN96+DN97+DN79)*(DN$4&lt;=In_COD)</f>
        <v>0</v>
      </c>
      <c r="DO125" s="47" t="n">
        <f aca="false">(DO59+DO66+DO92+DO96+DO97+DO79)*(DO$4&lt;=In_COD)</f>
        <v>0</v>
      </c>
      <c r="DP125" s="47" t="n">
        <f aca="false">(DP59+DP66+DP92+DP96+DP97+DP79)*(DP$4&lt;=In_COD)</f>
        <v>0</v>
      </c>
      <c r="DQ125" s="47" t="n">
        <f aca="false">(DQ59+DQ66+DQ92+DQ96+DQ97+DQ79)*(DQ$4&lt;=In_COD)</f>
        <v>0</v>
      </c>
      <c r="DR125" s="47" t="n">
        <f aca="false">(DR59+DR66+DR92+DR96+DR97+DR79)*(DR$4&lt;=In_COD)</f>
        <v>0</v>
      </c>
      <c r="DS125" s="47" t="n">
        <f aca="false">(DS59+DS66+DS92+DS96+DS97+DS79)*(DS$4&lt;=In_COD)</f>
        <v>0</v>
      </c>
      <c r="DT125" s="47" t="n">
        <f aca="false">(DT59+DT66+DT92+DT96+DT97+DT79)*(DT$4&lt;=In_COD)</f>
        <v>0</v>
      </c>
      <c r="DU125" s="47" t="n">
        <f aca="false">(DU59+DU66+DU92+DU96+DU97+DU79)*(DU$4&lt;=In_COD)</f>
        <v>0</v>
      </c>
      <c r="DV125" s="47" t="n">
        <f aca="false">(DV59+DV66+DV92+DV96+DV97+DV79)*(DV$4&lt;=In_COD)</f>
        <v>0</v>
      </c>
      <c r="DW125" s="47" t="n">
        <f aca="false">(DW59+DW66+DW92+DW96+DW97+DW79)*(DW$4&lt;=In_COD)</f>
        <v>0</v>
      </c>
      <c r="DX125" s="47" t="n">
        <f aca="false">(DX59+DX66+DX92+DX96+DX97+DX79)*(DX$4&lt;=In_COD)</f>
        <v>0</v>
      </c>
      <c r="DY125" s="47" t="n">
        <f aca="false">(DY59+DY66+DY92+DY96+DY97+DY79)*(DY$4&lt;=In_COD)</f>
        <v>0</v>
      </c>
      <c r="DZ125" s="47" t="n">
        <f aca="false">(DZ59+DZ66+DZ92+DZ96+DZ97+DZ79)*(DZ$4&lt;=In_COD)</f>
        <v>0</v>
      </c>
      <c r="EA125" s="47" t="n">
        <f aca="false">(EA59+EA66+EA92+EA96+EA97+EA79)*(EA$4&lt;=In_COD)</f>
        <v>0</v>
      </c>
      <c r="EB125" s="47" t="n">
        <f aca="false">(EB59+EB66+EB92+EB96+EB97+EB79)*(EB$4&lt;=In_COD)</f>
        <v>0</v>
      </c>
      <c r="EC125" s="47" t="n">
        <f aca="false">(EC59+EC66+EC92+EC96+EC97+EC79)*(EC$4&lt;=In_COD)</f>
        <v>0</v>
      </c>
      <c r="ED125" s="47" t="n">
        <f aca="false">(ED59+ED66+ED92+ED96+ED97+ED79)*(ED$4&lt;=In_COD)</f>
        <v>0</v>
      </c>
      <c r="EE125" s="47" t="n">
        <f aca="false">(EE59+EE66+EE92+EE96+EE97+EE79)*(EE$4&lt;=In_COD)</f>
        <v>0</v>
      </c>
      <c r="EF125" s="47" t="n">
        <f aca="false">(EF59+EF66+EF92+EF96+EF97+EF79)*(EF$4&lt;=In_COD)</f>
        <v>0</v>
      </c>
      <c r="EG125" s="47" t="n">
        <f aca="false">(EG59+EG66+EG92+EG96+EG97+EG79)*(EG$4&lt;=In_COD)</f>
        <v>0</v>
      </c>
      <c r="EH125" s="47" t="n">
        <f aca="false">(EH59+EH66+EH92+EH96+EH97+EH79)*(EH$4&lt;=In_COD)</f>
        <v>0</v>
      </c>
      <c r="EI125" s="47" t="n">
        <f aca="false">(EI59+EI66+EI92+EI96+EI97+EI79)*(EI$4&lt;=In_COD)</f>
        <v>0</v>
      </c>
      <c r="EJ125" s="47" t="n">
        <f aca="false">(EJ59+EJ66+EJ92+EJ96+EJ97+EJ79)*(EJ$4&lt;=In_COD)</f>
        <v>0</v>
      </c>
      <c r="EK125" s="47" t="n">
        <f aca="false">(EK59+EK66+EK92+EK96+EK97+EK79)*(EK$4&lt;=In_COD)</f>
        <v>0</v>
      </c>
      <c r="EL125" s="47" t="n">
        <f aca="false">(EL59+EL66+EL92+EL96+EL97+EL79)*(EL$4&lt;=In_COD)</f>
        <v>0</v>
      </c>
      <c r="EM125" s="47" t="n">
        <f aca="false">(EM59+EM66+EM92+EM96+EM97+EM79)*(EM$4&lt;=In_COD)</f>
        <v>0</v>
      </c>
      <c r="EN125" s="47" t="n">
        <f aca="false">(EN59+EN66+EN92+EN96+EN97+EN79)*(EN$4&lt;=In_COD)</f>
        <v>0</v>
      </c>
      <c r="EO125" s="47" t="n">
        <f aca="false">(EO59+EO66+EO92+EO96+EO97+EO79)*(EO$4&lt;=In_COD)</f>
        <v>0</v>
      </c>
    </row>
    <row r="126" customFormat="false" ht="15" hidden="false" customHeight="false" outlineLevel="0" collapsed="false">
      <c r="C126" s="0" t="s">
        <v>458</v>
      </c>
      <c r="D126" s="11" t="s">
        <v>33</v>
      </c>
      <c r="E126" s="47" t="n">
        <f aca="false">IF($E38=1,In_COD_Price,In_COD_Price_CN)*$F24*(1-$E27)</f>
        <v>134137.5</v>
      </c>
    </row>
    <row r="127" customFormat="false" ht="15" hidden="false" customHeight="false" outlineLevel="0" collapsed="false">
      <c r="C127" s="0" t="s">
        <v>459</v>
      </c>
      <c r="D127" s="11" t="s">
        <v>33</v>
      </c>
      <c r="E127" s="47" t="n">
        <f aca="false">$E126+$I58-$E95-In_Sale_Costs</f>
        <v>65971.1203009997</v>
      </c>
    </row>
    <row r="128" customFormat="false" ht="15" hidden="false" customHeight="false" outlineLevel="0" collapsed="false">
      <c r="C128" s="0" t="s">
        <v>123</v>
      </c>
      <c r="D128" s="11" t="s">
        <v>33</v>
      </c>
      <c r="E128" s="47" t="n">
        <f aca="false">-In_CIT*In_Sale_Gain_Taxed*MAX(0,$E127+$I125)</f>
        <v>-0</v>
      </c>
    </row>
    <row r="129" customFormat="false" ht="15" hidden="false" customHeight="false" outlineLevel="0" collapsed="false">
      <c r="C129" s="25" t="s">
        <v>460</v>
      </c>
      <c r="D129" s="11" t="s">
        <v>33</v>
      </c>
      <c r="I129" s="56" t="n">
        <f aca="false">SUM(J129:EO129)</f>
        <v>41387.1450046578</v>
      </c>
      <c r="J129" s="56" t="n">
        <f aca="false">J125+($E127+$E128)*J14</f>
        <v>-4662.80993807469</v>
      </c>
      <c r="K129" s="56" t="n">
        <f aca="false">K125+($E127+$E128)*K14</f>
        <v>-706.535577057768</v>
      </c>
      <c r="L129" s="56" t="n">
        <f aca="false">L125+($E127+$E128)*L14</f>
        <v>-104.360496659404</v>
      </c>
      <c r="M129" s="56" t="n">
        <f aca="false">M125+($E127+$E128)*M14</f>
        <v>-105.507315304013</v>
      </c>
      <c r="N129" s="56" t="n">
        <f aca="false">N125+($E127+$E128)*N14</f>
        <v>-105.507315304013</v>
      </c>
      <c r="O129" s="56" t="n">
        <f aca="false">O125+($E127+$E128)*O14</f>
        <v>-104.360496659404</v>
      </c>
      <c r="P129" s="56" t="n">
        <f aca="false">P125+($E127+$E128)*P14</f>
        <v>-104.360496659404</v>
      </c>
      <c r="Q129" s="56" t="n">
        <f aca="false">Q125+($E127+$E128)*Q14</f>
        <v>-105.507315304013</v>
      </c>
      <c r="R129" s="56" t="n">
        <f aca="false">R125+($E127+$E128)*R14</f>
        <v>-3174.08808923102</v>
      </c>
      <c r="S129" s="56" t="n">
        <f aca="false">S125+($E127+$E128)*S14</f>
        <v>-3562.95255606014</v>
      </c>
      <c r="T129" s="56" t="n">
        <f aca="false">T125+($E127+$E128)*T14</f>
        <v>-1923.29083222332</v>
      </c>
      <c r="U129" s="56" t="n">
        <f aca="false">U125+($E127+$E128)*U14</f>
        <v>-1928.55573265071</v>
      </c>
      <c r="V129" s="56" t="n">
        <f aca="false">V125+($E127+$E128)*V14</f>
        <v>-1912.51117158484</v>
      </c>
      <c r="W129" s="56" t="n">
        <f aca="false">W125+($E127+$E128)*W14</f>
        <v>-1856.28100668043</v>
      </c>
      <c r="X129" s="56" t="n">
        <f aca="false">X125+($E127+$E128)*X14</f>
        <v>-1861.38119109401</v>
      </c>
      <c r="Y129" s="56" t="n">
        <f aca="false">Y125+($E127+$E128)*Y14</f>
        <v>63605.154535205</v>
      </c>
      <c r="Z129" s="56" t="n">
        <f aca="false">Z125+($E127+$E128)*Z14</f>
        <v>0</v>
      </c>
      <c r="AA129" s="56" t="n">
        <f aca="false">AA125+($E127+$E128)*AA14</f>
        <v>0</v>
      </c>
      <c r="AB129" s="56" t="n">
        <f aca="false">AB125+($E127+$E128)*AB14</f>
        <v>0</v>
      </c>
      <c r="AC129" s="56" t="n">
        <f aca="false">AC125+($E127+$E128)*AC14</f>
        <v>0</v>
      </c>
      <c r="AD129" s="56" t="n">
        <f aca="false">AD125+($E127+$E128)*AD14</f>
        <v>0</v>
      </c>
      <c r="AE129" s="56" t="n">
        <f aca="false">AE125+($E127+$E128)*AE14</f>
        <v>0</v>
      </c>
      <c r="AF129" s="56" t="n">
        <f aca="false">AF125+($E127+$E128)*AF14</f>
        <v>0</v>
      </c>
      <c r="AG129" s="56" t="n">
        <f aca="false">AG125+($E127+$E128)*AG14</f>
        <v>0</v>
      </c>
      <c r="AH129" s="56" t="n">
        <f aca="false">AH125+($E127+$E128)*AH14</f>
        <v>0</v>
      </c>
      <c r="AI129" s="56" t="n">
        <f aca="false">AI125+($E127+$E128)*AI14</f>
        <v>0</v>
      </c>
      <c r="AJ129" s="56" t="n">
        <f aca="false">AJ125+($E127+$E128)*AJ14</f>
        <v>0</v>
      </c>
      <c r="AK129" s="56" t="n">
        <f aca="false">AK125+($E127+$E128)*AK14</f>
        <v>0</v>
      </c>
      <c r="AL129" s="56" t="n">
        <f aca="false">AL125+($E127+$E128)*AL14</f>
        <v>0</v>
      </c>
      <c r="AM129" s="56" t="n">
        <f aca="false">AM125+($E127+$E128)*AM14</f>
        <v>0</v>
      </c>
      <c r="AN129" s="56" t="n">
        <f aca="false">AN125+($E127+$E128)*AN14</f>
        <v>0</v>
      </c>
      <c r="AO129" s="56" t="n">
        <f aca="false">AO125+($E127+$E128)*AO14</f>
        <v>0</v>
      </c>
      <c r="AP129" s="56" t="n">
        <f aca="false">AP125+($E127+$E128)*AP14</f>
        <v>0</v>
      </c>
      <c r="AQ129" s="56" t="n">
        <f aca="false">AQ125+($E127+$E128)*AQ14</f>
        <v>0</v>
      </c>
      <c r="AR129" s="56" t="n">
        <f aca="false">AR125+($E127+$E128)*AR14</f>
        <v>0</v>
      </c>
      <c r="AS129" s="56" t="n">
        <f aca="false">AS125+($E127+$E128)*AS14</f>
        <v>0</v>
      </c>
      <c r="AT129" s="56" t="n">
        <f aca="false">AT125+($E127+$E128)*AT14</f>
        <v>0</v>
      </c>
      <c r="AU129" s="56" t="n">
        <f aca="false">AU125+($E127+$E128)*AU14</f>
        <v>0</v>
      </c>
      <c r="AV129" s="56" t="n">
        <f aca="false">AV125+($E127+$E128)*AV14</f>
        <v>0</v>
      </c>
      <c r="AW129" s="56" t="n">
        <f aca="false">AW125+($E127+$E128)*AW14</f>
        <v>0</v>
      </c>
      <c r="AX129" s="56" t="n">
        <f aca="false">AX125+($E127+$E128)*AX14</f>
        <v>0</v>
      </c>
      <c r="AY129" s="56" t="n">
        <f aca="false">AY125+($E127+$E128)*AY14</f>
        <v>0</v>
      </c>
      <c r="AZ129" s="56" t="n">
        <f aca="false">AZ125+($E127+$E128)*AZ14</f>
        <v>0</v>
      </c>
      <c r="BA129" s="56" t="n">
        <f aca="false">BA125+($E127+$E128)*BA14</f>
        <v>0</v>
      </c>
      <c r="BB129" s="56" t="n">
        <f aca="false">BB125+($E127+$E128)*BB14</f>
        <v>0</v>
      </c>
      <c r="BC129" s="56" t="n">
        <f aca="false">BC125+($E127+$E128)*BC14</f>
        <v>0</v>
      </c>
      <c r="BD129" s="56" t="n">
        <f aca="false">BD125+($E127+$E128)*BD14</f>
        <v>0</v>
      </c>
      <c r="BE129" s="56" t="n">
        <f aca="false">BE125+($E127+$E128)*BE14</f>
        <v>0</v>
      </c>
      <c r="BF129" s="56" t="n">
        <f aca="false">BF125+($E127+$E128)*BF14</f>
        <v>0</v>
      </c>
      <c r="BG129" s="56" t="n">
        <f aca="false">BG125+($E127+$E128)*BG14</f>
        <v>0</v>
      </c>
      <c r="BH129" s="56" t="n">
        <f aca="false">BH125+($E127+$E128)*BH14</f>
        <v>0</v>
      </c>
      <c r="BI129" s="56" t="n">
        <f aca="false">BI125+($E127+$E128)*BI14</f>
        <v>0</v>
      </c>
      <c r="BJ129" s="56" t="n">
        <f aca="false">BJ125+($E127+$E128)*BJ14</f>
        <v>0</v>
      </c>
      <c r="BK129" s="56" t="n">
        <f aca="false">BK125+($E127+$E128)*BK14</f>
        <v>0</v>
      </c>
      <c r="BL129" s="56" t="n">
        <f aca="false">BL125+($E127+$E128)*BL14</f>
        <v>0</v>
      </c>
      <c r="BM129" s="56" t="n">
        <f aca="false">BM125+($E127+$E128)*BM14</f>
        <v>0</v>
      </c>
      <c r="BN129" s="56" t="n">
        <f aca="false">BN125+($E127+$E128)*BN14</f>
        <v>0</v>
      </c>
      <c r="BO129" s="56" t="n">
        <f aca="false">BO125+($E127+$E128)*BO14</f>
        <v>0</v>
      </c>
      <c r="BP129" s="56" t="n">
        <f aca="false">BP125+($E127+$E128)*BP14</f>
        <v>0</v>
      </c>
      <c r="BQ129" s="56" t="n">
        <f aca="false">BQ125+($E127+$E128)*BQ14</f>
        <v>0</v>
      </c>
      <c r="BR129" s="56" t="n">
        <f aca="false">BR125+($E127+$E128)*BR14</f>
        <v>0</v>
      </c>
      <c r="BS129" s="56" t="n">
        <f aca="false">BS125+($E127+$E128)*BS14</f>
        <v>0</v>
      </c>
      <c r="BT129" s="56" t="n">
        <f aca="false">BT125+($E127+$E128)*BT14</f>
        <v>0</v>
      </c>
      <c r="BU129" s="56" t="n">
        <f aca="false">BU125+($E127+$E128)*BU14</f>
        <v>0</v>
      </c>
      <c r="BV129" s="56" t="n">
        <f aca="false">BV125+($E127+$E128)*BV14</f>
        <v>0</v>
      </c>
      <c r="BW129" s="56" t="n">
        <f aca="false">BW125+($E127+$E128)*BW14</f>
        <v>0</v>
      </c>
      <c r="BX129" s="56" t="n">
        <f aca="false">BX125+($E127+$E128)*BX14</f>
        <v>0</v>
      </c>
      <c r="BY129" s="56" t="n">
        <f aca="false">BY125+($E127+$E128)*BY14</f>
        <v>0</v>
      </c>
      <c r="BZ129" s="56" t="n">
        <f aca="false">BZ125+($E127+$E128)*BZ14</f>
        <v>0</v>
      </c>
      <c r="CA129" s="56" t="n">
        <f aca="false">CA125+($E127+$E128)*CA14</f>
        <v>0</v>
      </c>
      <c r="CB129" s="56" t="n">
        <f aca="false">CB125+($E127+$E128)*CB14</f>
        <v>0</v>
      </c>
      <c r="CC129" s="56" t="n">
        <f aca="false">CC125+($E127+$E128)*CC14</f>
        <v>0</v>
      </c>
      <c r="CD129" s="56" t="n">
        <f aca="false">CD125+($E127+$E128)*CD14</f>
        <v>0</v>
      </c>
      <c r="CE129" s="56" t="n">
        <f aca="false">CE125+($E127+$E128)*CE14</f>
        <v>0</v>
      </c>
      <c r="CF129" s="56" t="n">
        <f aca="false">CF125+($E127+$E128)*CF14</f>
        <v>0</v>
      </c>
      <c r="CG129" s="56" t="n">
        <f aca="false">CG125+($E127+$E128)*CG14</f>
        <v>0</v>
      </c>
      <c r="CH129" s="56" t="n">
        <f aca="false">CH125+($E127+$E128)*CH14</f>
        <v>0</v>
      </c>
      <c r="CI129" s="56" t="n">
        <f aca="false">CI125+($E127+$E128)*CI14</f>
        <v>0</v>
      </c>
      <c r="CJ129" s="56" t="n">
        <f aca="false">CJ125+($E127+$E128)*CJ14</f>
        <v>0</v>
      </c>
      <c r="CK129" s="56" t="n">
        <f aca="false">CK125+($E127+$E128)*CK14</f>
        <v>0</v>
      </c>
      <c r="CL129" s="56" t="n">
        <f aca="false">CL125+($E127+$E128)*CL14</f>
        <v>0</v>
      </c>
      <c r="CM129" s="56" t="n">
        <f aca="false">CM125+($E127+$E128)*CM14</f>
        <v>0</v>
      </c>
      <c r="CN129" s="56" t="n">
        <f aca="false">CN125+($E127+$E128)*CN14</f>
        <v>0</v>
      </c>
      <c r="CO129" s="56" t="n">
        <f aca="false">CO125+($E127+$E128)*CO14</f>
        <v>0</v>
      </c>
      <c r="CP129" s="56" t="n">
        <f aca="false">CP125+($E127+$E128)*CP14</f>
        <v>0</v>
      </c>
      <c r="CQ129" s="56" t="n">
        <f aca="false">CQ125+($E127+$E128)*CQ14</f>
        <v>0</v>
      </c>
      <c r="CR129" s="56" t="n">
        <f aca="false">CR125+($E127+$E128)*CR14</f>
        <v>0</v>
      </c>
      <c r="CS129" s="56" t="n">
        <f aca="false">CS125+($E127+$E128)*CS14</f>
        <v>0</v>
      </c>
      <c r="CT129" s="56" t="n">
        <f aca="false">CT125+($E127+$E128)*CT14</f>
        <v>0</v>
      </c>
      <c r="CU129" s="56" t="n">
        <f aca="false">CU125+($E127+$E128)*CU14</f>
        <v>0</v>
      </c>
      <c r="CV129" s="56" t="n">
        <f aca="false">CV125+($E127+$E128)*CV14</f>
        <v>0</v>
      </c>
      <c r="CW129" s="56" t="n">
        <f aca="false">CW125+($E127+$E128)*CW14</f>
        <v>0</v>
      </c>
      <c r="CX129" s="56" t="n">
        <f aca="false">CX125+($E127+$E128)*CX14</f>
        <v>0</v>
      </c>
      <c r="CY129" s="56" t="n">
        <f aca="false">CY125+($E127+$E128)*CY14</f>
        <v>0</v>
      </c>
      <c r="CZ129" s="56" t="n">
        <f aca="false">CZ125+($E127+$E128)*CZ14</f>
        <v>0</v>
      </c>
      <c r="DA129" s="56" t="n">
        <f aca="false">DA125+($E127+$E128)*DA14</f>
        <v>0</v>
      </c>
      <c r="DB129" s="56" t="n">
        <f aca="false">DB125+($E127+$E128)*DB14</f>
        <v>0</v>
      </c>
      <c r="DC129" s="56" t="n">
        <f aca="false">DC125+($E127+$E128)*DC14</f>
        <v>0</v>
      </c>
      <c r="DD129" s="56" t="n">
        <f aca="false">DD125+($E127+$E128)*DD14</f>
        <v>0</v>
      </c>
      <c r="DE129" s="56" t="n">
        <f aca="false">DE125+($E127+$E128)*DE14</f>
        <v>0</v>
      </c>
      <c r="DF129" s="56" t="n">
        <f aca="false">DF125+($E127+$E128)*DF14</f>
        <v>0</v>
      </c>
      <c r="DG129" s="56" t="n">
        <f aca="false">DG125+($E127+$E128)*DG14</f>
        <v>0</v>
      </c>
      <c r="DH129" s="56" t="n">
        <f aca="false">DH125+($E127+$E128)*DH14</f>
        <v>0</v>
      </c>
      <c r="DI129" s="56" t="n">
        <f aca="false">DI125+($E127+$E128)*DI14</f>
        <v>0</v>
      </c>
      <c r="DJ129" s="56" t="n">
        <f aca="false">DJ125+($E127+$E128)*DJ14</f>
        <v>0</v>
      </c>
      <c r="DK129" s="56" t="n">
        <f aca="false">DK125+($E127+$E128)*DK14</f>
        <v>0</v>
      </c>
      <c r="DL129" s="56" t="n">
        <f aca="false">DL125+($E127+$E128)*DL14</f>
        <v>0</v>
      </c>
      <c r="DM129" s="56" t="n">
        <f aca="false">DM125+($E127+$E128)*DM14</f>
        <v>0</v>
      </c>
      <c r="DN129" s="56" t="n">
        <f aca="false">DN125+($E127+$E128)*DN14</f>
        <v>0</v>
      </c>
      <c r="DO129" s="56" t="n">
        <f aca="false">DO125+($E127+$E128)*DO14</f>
        <v>0</v>
      </c>
      <c r="DP129" s="56" t="n">
        <f aca="false">DP125+($E127+$E128)*DP14</f>
        <v>0</v>
      </c>
      <c r="DQ129" s="56" t="n">
        <f aca="false">DQ125+($E127+$E128)*DQ14</f>
        <v>0</v>
      </c>
      <c r="DR129" s="56" t="n">
        <f aca="false">DR125+($E127+$E128)*DR14</f>
        <v>0</v>
      </c>
      <c r="DS129" s="56" t="n">
        <f aca="false">DS125+($E127+$E128)*DS14</f>
        <v>0</v>
      </c>
      <c r="DT129" s="56" t="n">
        <f aca="false">DT125+($E127+$E128)*DT14</f>
        <v>0</v>
      </c>
      <c r="DU129" s="56" t="n">
        <f aca="false">DU125+($E127+$E128)*DU14</f>
        <v>0</v>
      </c>
      <c r="DV129" s="56" t="n">
        <f aca="false">DV125+($E127+$E128)*DV14</f>
        <v>0</v>
      </c>
      <c r="DW129" s="56" t="n">
        <f aca="false">DW125+($E127+$E128)*DW14</f>
        <v>0</v>
      </c>
      <c r="DX129" s="56" t="n">
        <f aca="false">DX125+($E127+$E128)*DX14</f>
        <v>0</v>
      </c>
      <c r="DY129" s="56" t="n">
        <f aca="false">DY125+($E127+$E128)*DY14</f>
        <v>0</v>
      </c>
      <c r="DZ129" s="56" t="n">
        <f aca="false">DZ125+($E127+$E128)*DZ14</f>
        <v>0</v>
      </c>
      <c r="EA129" s="56" t="n">
        <f aca="false">EA125+($E127+$E128)*EA14</f>
        <v>0</v>
      </c>
      <c r="EB129" s="56" t="n">
        <f aca="false">EB125+($E127+$E128)*EB14</f>
        <v>0</v>
      </c>
      <c r="EC129" s="56" t="n">
        <f aca="false">EC125+($E127+$E128)*EC14</f>
        <v>0</v>
      </c>
      <c r="ED129" s="56" t="n">
        <f aca="false">ED125+($E127+$E128)*ED14</f>
        <v>0</v>
      </c>
      <c r="EE129" s="56" t="n">
        <f aca="false">EE125+($E127+$E128)*EE14</f>
        <v>0</v>
      </c>
      <c r="EF129" s="56" t="n">
        <f aca="false">EF125+($E127+$E128)*EF14</f>
        <v>0</v>
      </c>
      <c r="EG129" s="56" t="n">
        <f aca="false">EG125+($E127+$E128)*EG14</f>
        <v>0</v>
      </c>
      <c r="EH129" s="56" t="n">
        <f aca="false">EH125+($E127+$E128)*EH14</f>
        <v>0</v>
      </c>
      <c r="EI129" s="56" t="n">
        <f aca="false">EI125+($E127+$E128)*EI14</f>
        <v>0</v>
      </c>
      <c r="EJ129" s="56" t="n">
        <f aca="false">EJ125+($E127+$E128)*EJ14</f>
        <v>0</v>
      </c>
      <c r="EK129" s="56" t="n">
        <f aca="false">EK125+($E127+$E128)*EK14</f>
        <v>0</v>
      </c>
      <c r="EL129" s="56" t="n">
        <f aca="false">EL125+($E127+$E128)*EL14</f>
        <v>0</v>
      </c>
      <c r="EM129" s="56" t="n">
        <f aca="false">EM125+($E127+$E128)*EM14</f>
        <v>0</v>
      </c>
      <c r="EN129" s="56" t="n">
        <f aca="false">EN125+($E127+$E128)*EN14</f>
        <v>0</v>
      </c>
      <c r="EO129" s="56" t="n">
        <f aca="false">EO125+($E127+$E128)*EO14</f>
        <v>0</v>
      </c>
    </row>
    <row r="130" customFormat="false" ht="15" hidden="false" customHeight="false" outlineLevel="0" collapsed="false">
      <c r="C130" s="25" t="s">
        <v>84</v>
      </c>
      <c r="D130" s="11" t="s">
        <v>27</v>
      </c>
      <c r="E130" s="33" t="n">
        <f aca="false">XIRR($J129:$EO129,$J$4:$EO$4)</f>
        <v>0.624343544593479</v>
      </c>
    </row>
    <row r="131" customFormat="false" ht="15" hidden="false" customHeight="false" outlineLevel="0" collapsed="false">
      <c r="C131" s="25" t="s">
        <v>85</v>
      </c>
      <c r="D131" s="11" t="s">
        <v>13</v>
      </c>
      <c r="E131" s="59" t="n">
        <f aca="false">($E127+$E128)/-$I125</f>
        <v>2.68350091902412</v>
      </c>
    </row>
    <row r="132" customFormat="false" ht="15" hidden="false" customHeight="false" outlineLevel="0" collapsed="false">
      <c r="C132" s="25" t="s">
        <v>86</v>
      </c>
      <c r="D132" s="11" t="s">
        <v>33</v>
      </c>
      <c r="E132" s="56" t="n">
        <f aca="false">XNPV(In_Discount_Rate,$J129:$EO129,$J$4:$EO$4)</f>
        <v>28473.3902277952</v>
      </c>
    </row>
    <row r="134" customFormat="false" ht="15" hidden="false" customHeight="false" outlineLevel="0" collapsed="false">
      <c r="A134" s="9" t="s">
        <v>13</v>
      </c>
      <c r="B134" s="9"/>
      <c r="C134" s="9" t="s">
        <v>461</v>
      </c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  <c r="CJ134" s="9"/>
      <c r="CK134" s="9"/>
      <c r="CL134" s="9"/>
      <c r="CM134" s="9"/>
      <c r="CN134" s="9"/>
      <c r="CO134" s="9"/>
      <c r="CP134" s="9"/>
      <c r="CQ134" s="9"/>
      <c r="CR134" s="9"/>
      <c r="CS134" s="9"/>
      <c r="CT134" s="9"/>
      <c r="CU134" s="9"/>
      <c r="CV134" s="9"/>
      <c r="CW134" s="9"/>
      <c r="CX134" s="9"/>
      <c r="CY134" s="9"/>
      <c r="CZ134" s="9"/>
      <c r="DA134" s="9"/>
      <c r="DB134" s="9"/>
      <c r="DC134" s="9"/>
      <c r="DD134" s="9"/>
      <c r="DE134" s="9"/>
      <c r="DF134" s="9"/>
      <c r="DG134" s="9"/>
      <c r="DH134" s="9"/>
      <c r="DI134" s="9"/>
      <c r="DJ134" s="9"/>
      <c r="DK134" s="9"/>
      <c r="DL134" s="9"/>
      <c r="DM134" s="9"/>
      <c r="DN134" s="9"/>
      <c r="DO134" s="9"/>
      <c r="DP134" s="9"/>
      <c r="DQ134" s="9"/>
      <c r="DR134" s="9"/>
      <c r="DS134" s="9"/>
      <c r="DT134" s="9"/>
      <c r="DU134" s="9"/>
      <c r="DV134" s="9"/>
      <c r="DW134" s="9"/>
      <c r="DX134" s="9"/>
      <c r="DY134" s="9"/>
      <c r="DZ134" s="9"/>
      <c r="EA134" s="9"/>
      <c r="EB134" s="9"/>
      <c r="EC134" s="9"/>
      <c r="ED134" s="9"/>
      <c r="EE134" s="9"/>
      <c r="EF134" s="9"/>
      <c r="EG134" s="9"/>
      <c r="EH134" s="9"/>
      <c r="EI134" s="9"/>
      <c r="EJ134" s="9"/>
      <c r="EK134" s="9"/>
      <c r="EL134" s="9"/>
      <c r="EM134" s="9"/>
      <c r="EN134" s="9"/>
      <c r="EO134" s="9"/>
    </row>
    <row r="135" customFormat="false" ht="15" hidden="false" customHeight="false" outlineLevel="0" collapsed="false">
      <c r="C135" s="0" t="s">
        <v>462</v>
      </c>
      <c r="D135" s="11" t="s">
        <v>33</v>
      </c>
      <c r="I135" s="47" t="n">
        <f aca="false">SUM(J135:EO135)</f>
        <v>174792.369458992</v>
      </c>
      <c r="J135" s="47" t="n">
        <f aca="false">J59+J66+J79+J58+J109</f>
        <v>-4662.80993807469</v>
      </c>
      <c r="K135" s="47" t="n">
        <f aca="false">K59+K66+K79+K58+K109</f>
        <v>-706.535577057768</v>
      </c>
      <c r="L135" s="47" t="n">
        <f aca="false">L59+L66+L79+L58+L109</f>
        <v>-104.360496659404</v>
      </c>
      <c r="M135" s="47" t="n">
        <f aca="false">M59+M66+M79+M58+M109</f>
        <v>-105.507315304013</v>
      </c>
      <c r="N135" s="47" t="n">
        <f aca="false">N59+N66+N79+N58+N109</f>
        <v>-105.507315304013</v>
      </c>
      <c r="O135" s="47" t="n">
        <f aca="false">O59+O66+O79+O58+O109</f>
        <v>-104.360496659404</v>
      </c>
      <c r="P135" s="47" t="n">
        <f aca="false">P59+P66+P79+P58+P109</f>
        <v>-104.360496659404</v>
      </c>
      <c r="Q135" s="47" t="n">
        <f aca="false">Q59+Q66+Q79+Q58+Q109</f>
        <v>-105.507315304013</v>
      </c>
      <c r="R135" s="47" t="n">
        <f aca="false">R59+R66+R79+R58+R109</f>
        <v>-8916.06358736149</v>
      </c>
      <c r="S135" s="47" t="n">
        <f aca="false">S59+S66+S79+S58+S109</f>
        <v>-16878.0757869733</v>
      </c>
      <c r="T135" s="47" t="n">
        <f aca="false">T59+T66+T79+T58+T109</f>
        <v>-8820.17766558042</v>
      </c>
      <c r="U135" s="47" t="n">
        <f aca="false">U59+U66+U79+U58+U109</f>
        <v>-8917.10269487251</v>
      </c>
      <c r="V135" s="47" t="n">
        <f aca="false">V59+V66+V79+V58+V109</f>
        <v>-8917.10269487251</v>
      </c>
      <c r="W135" s="47" t="n">
        <f aca="false">W59+W66+W79+W58+W109</f>
        <v>-8724.29456746106</v>
      </c>
      <c r="X135" s="47" t="n">
        <f aca="false">X59+X66+X79+X58+X109</f>
        <v>-8821.23117376619</v>
      </c>
      <c r="Y135" s="47" t="n">
        <f aca="false">Y59+Y66+Y79+Y58+Y109</f>
        <v>-11418.1677800713</v>
      </c>
      <c r="Z135" s="47" t="n">
        <f aca="false">Z59+Z66+Z79+Z58+Z109</f>
        <v>2199.97155376639</v>
      </c>
      <c r="AA135" s="47" t="n">
        <f aca="false">AA59+AA66+AA79+AA58+AA109</f>
        <v>2166.44626483507</v>
      </c>
      <c r="AB135" s="47" t="n">
        <f aca="false">AB59+AB66+AB79+AB58+AB109</f>
        <v>2189.78500596732</v>
      </c>
      <c r="AC135" s="47" t="n">
        <f aca="false">AC59+AC66+AC79+AC58+AC109</f>
        <v>2213.11136789303</v>
      </c>
      <c r="AD135" s="47" t="n">
        <f aca="false">AD59+AD66+AD79+AD58+AD109</f>
        <v>2205.11594942411</v>
      </c>
      <c r="AE135" s="47" t="n">
        <f aca="false">AE59+AE66+AE79+AE58+AE109</f>
        <v>2195.01847289786</v>
      </c>
      <c r="AF135" s="47" t="n">
        <f aca="false">AF59+AF66+AF79+AF58+AF109</f>
        <v>2194.67810133411</v>
      </c>
      <c r="AG135" s="47" t="n">
        <f aca="false">AG59+AG66+AG79+AG58+AG109</f>
        <v>2218.05442830006</v>
      </c>
      <c r="AH135" s="47" t="n">
        <f aca="false">AH59+AH66+AH79+AH58+AH109</f>
        <v>2209.99162990574</v>
      </c>
      <c r="AI135" s="47" t="n">
        <f aca="false">AI59+AI66+AI79+AI58+AI109</f>
        <v>2175.87689937385</v>
      </c>
      <c r="AJ135" s="47" t="n">
        <f aca="false">AJ59+AJ66+AJ79+AJ58+AJ109</f>
        <v>2230.9767227675</v>
      </c>
      <c r="AK135" s="47" t="n">
        <f aca="false">AK59+AK66+AK79+AK58+AK109</f>
        <v>2254.736645175</v>
      </c>
      <c r="AL135" s="47" t="n">
        <f aca="false">AL59+AL66+AL79+AL58+AL109</f>
        <v>2229.40687992886</v>
      </c>
      <c r="AM135" s="47" t="n">
        <f aca="false">AM59+AM66+AM79+AM58+AM109</f>
        <v>2194.38734619942</v>
      </c>
      <c r="AN135" s="47" t="n">
        <f aca="false">AN59+AN66+AN79+AN58+AN109</f>
        <v>2217.27168718874</v>
      </c>
      <c r="AO135" s="47" t="n">
        <f aca="false">AO59+AO66+AO79+AO58+AO109</f>
        <v>2240.13002791394</v>
      </c>
      <c r="AP135" s="47" t="n">
        <f aca="false">AP59+AP66+AP79+AP58+AP109</f>
        <v>2231.88952096333</v>
      </c>
      <c r="AQ135" s="47" t="n">
        <f aca="false">AQ59+AQ66+AQ79+AQ58+AQ109</f>
        <v>2196.5602497026</v>
      </c>
      <c r="AR135" s="47" t="n">
        <f aca="false">AR59+AR66+AR79+AR58+AR109</f>
        <v>2219.46278953207</v>
      </c>
      <c r="AS135" s="47" t="n">
        <f aca="false">AS59+AS66+AS79+AS58+AS109</f>
        <v>2242.33880467244</v>
      </c>
      <c r="AT135" s="47" t="n">
        <f aca="false">AT59+AT66+AT79+AT58+AT109</f>
        <v>2234.00962780953</v>
      </c>
      <c r="AU135" s="47" t="n">
        <f aca="false">AU59+AU66+AU79+AU58+AU109</f>
        <v>2222.11946901875</v>
      </c>
      <c r="AV135" s="47" t="n">
        <f aca="false">AV59+AV66+AV79+AV58+AV109</f>
        <v>2221.26584530698</v>
      </c>
      <c r="AW135" s="47" t="n">
        <f aca="false">AW59+AW66+AW79+AW58+AW109</f>
        <v>2244.15527130486</v>
      </c>
      <c r="AX135" s="47" t="n">
        <f aca="false">AX59+AX66+AX79+AX58+AX109</f>
        <v>2235.73521534831</v>
      </c>
      <c r="AY135" s="47" t="n">
        <f aca="false">AY59+AY66+AY79+AY58+AY109</f>
        <v>2199.77339431054</v>
      </c>
      <c r="AZ135" s="47" t="n">
        <f aca="false">AZ59+AZ66+AZ79+AZ58+AZ109</f>
        <v>2222.69983825145</v>
      </c>
      <c r="BA135" s="47" t="n">
        <f aca="false">BA59+BA66+BA79+BA58+BA109</f>
        <v>2245.59864589789</v>
      </c>
      <c r="BB135" s="47" t="n">
        <f aca="false">BB59+BB66+BB79+BB58+BB109</f>
        <v>2237.08582111377</v>
      </c>
      <c r="BC135" s="47" t="n">
        <f aca="false">BC59+BC66+BC79+BC58+BC109</f>
        <v>2200.80115375255</v>
      </c>
      <c r="BD135" s="47" t="n">
        <f aca="false">BD59+BD66+BD79+BD58+BD109</f>
        <v>2223.73317591665</v>
      </c>
      <c r="BE135" s="47" t="n">
        <f aca="false">BE59+BE66+BE79+BE58+BE109</f>
        <v>2246.63697510228</v>
      </c>
      <c r="BF135" s="47" t="n">
        <f aca="false">BF59+BF66+BF79+BF58+BF109</f>
        <v>2238.02921116083</v>
      </c>
      <c r="BG135" s="47" t="n">
        <f aca="false">BG59+BG66+BG79+BG58+BG109</f>
        <v>2201.41709158658</v>
      </c>
      <c r="BH135" s="47" t="n">
        <f aca="false">BH59+BH66+BH79+BH58+BH109</f>
        <v>2224.35015095692</v>
      </c>
      <c r="BI135" s="47" t="n">
        <f aca="false">BI59+BI66+BI79+BI58+BI109</f>
        <v>2247.25437801376</v>
      </c>
      <c r="BJ135" s="47" t="n">
        <f aca="false">BJ59+BJ66+BJ79+BJ58+BJ109</f>
        <v>2238.54941580744</v>
      </c>
      <c r="BK135" s="47" t="n">
        <f aca="false">BK59+BK66+BK79+BK58+BK109</f>
        <v>2225.56187056989</v>
      </c>
      <c r="BL135" s="47" t="n">
        <f aca="false">BL59+BL66+BL79+BL58+BL109</f>
        <v>2224.51711959357</v>
      </c>
      <c r="BM135" s="47" t="n">
        <f aca="false">BM59+BM66+BM79+BM58+BM109</f>
        <v>2247.41682639454</v>
      </c>
      <c r="BN135" s="47" t="n">
        <f aca="false">BN59+BN66+BN79+BN58+BN109</f>
        <v>2238.61210698111</v>
      </c>
      <c r="BO135" s="47" t="n">
        <f aca="false">BO59+BO66+BO79+BO58+BO109</f>
        <v>2201.33054175998</v>
      </c>
      <c r="BP135" s="47" t="n">
        <f aca="false">BP59+BP66+BP79+BP58+BP109</f>
        <v>2224.25111844468</v>
      </c>
      <c r="BQ135" s="47" t="n">
        <f aca="false">BQ59+BQ66+BQ79+BQ58+BQ109</f>
        <v>2247.141569476</v>
      </c>
      <c r="BR135" s="47" t="n">
        <f aca="false">BR59+BR66+BR79+BR58+BR109</f>
        <v>2238.23484056638</v>
      </c>
      <c r="BS135" s="47" t="n">
        <f aca="false">BS59+BS66+BS79+BS58+BS109</f>
        <v>2200.61121155592</v>
      </c>
      <c r="BT135" s="47" t="n">
        <f aca="false">BT59+BT66+BT79+BT58+BT109</f>
        <v>2223.5180921454</v>
      </c>
      <c r="BU135" s="47" t="n">
        <f aca="false">BU59+BU66+BU79+BU58+BU109</f>
        <v>2246.39416321366</v>
      </c>
      <c r="BV135" s="47" t="n">
        <f aca="false">BV59+BV66+BV79+BV58+BV109</f>
        <v>2237.38287324308</v>
      </c>
      <c r="BW135" s="47" t="n">
        <f aca="false">BW59+BW66+BW79+BW58+BW109</f>
        <v>2199.41203428686</v>
      </c>
      <c r="BX135" s="47" t="n">
        <f aca="false">BX59+BX66+BX79+BX58+BX109</f>
        <v>2222.2999210127</v>
      </c>
      <c r="BY135" s="47" t="n">
        <f aca="false">BY59+BY66+BY79+BY58+BY109</f>
        <v>2245.15628721272</v>
      </c>
      <c r="BZ135" s="47" t="n">
        <f aca="false">BZ59+BZ66+BZ79+BZ58+BZ109</f>
        <v>2236.03777802727</v>
      </c>
      <c r="CA135" s="47" t="n">
        <f aca="false">CA59+CA66+CA79+CA58+CA109</f>
        <v>2221.83259942293</v>
      </c>
      <c r="CB135" s="47" t="n">
        <f aca="false">CB59+CB66+CB79+CB58+CB109</f>
        <v>2220.56033780525</v>
      </c>
      <c r="CC135" s="47" t="n">
        <f aca="false">CC59+CC66+CC79+CC58+CC109</f>
        <v>2243.39126016481</v>
      </c>
      <c r="CD135" s="47" t="n">
        <f aca="false">CD59+CD66+CD79+CD58+CD109</f>
        <v>2234.16255372145</v>
      </c>
      <c r="CE135" s="47" t="n">
        <f aca="false">CE59+CE66+CE79+CE58+CE109</f>
        <v>2195.48104599111</v>
      </c>
      <c r="CF135" s="47" t="n">
        <f aca="false">CF59+CF66+CF79+CF58+CF109</f>
        <v>2218.31400302981</v>
      </c>
      <c r="CG135" s="47" t="n">
        <f aca="false">CG59+CG66+CG79+CG58+CG109</f>
        <v>2241.11392852659</v>
      </c>
      <c r="CH135" s="47" t="n">
        <f aca="false">CH59+CH66+CH79+CH58+CH109</f>
        <v>2231.772336607</v>
      </c>
      <c r="CI135" s="47" t="n">
        <f aca="false">CI59+CI66+CI79+CI58+CI109</f>
        <v>2192.72725594433</v>
      </c>
      <c r="CJ135" s="47" t="n">
        <f aca="false">CJ59+CJ66+CJ79+CJ58+CJ109</f>
        <v>2215.52404289543</v>
      </c>
      <c r="CK135" s="47" t="n">
        <f aca="false">CK59+CK66+CK79+CK58+CK109</f>
        <v>2238.28699798862</v>
      </c>
      <c r="CL135" s="47" t="n">
        <f aca="false">CL59+CL66+CL79+CL58+CL109</f>
        <v>2228.82951128661</v>
      </c>
      <c r="CM135" s="47" t="n">
        <f aca="false">CM59+CM66+CM79+CM58+CM109</f>
        <v>2189.41508099488</v>
      </c>
      <c r="CN135" s="47" t="n">
        <f aca="false">CN59+CN66+CN79+CN58+CN109</f>
        <v>2212.16952439918</v>
      </c>
      <c r="CO135" s="47" t="n">
        <f aca="false">CO59+CO66+CO79+CO58+CO109</f>
        <v>2234.88930309101</v>
      </c>
      <c r="CP135" s="47" t="n">
        <f aca="false">CP59+CP66+CP79+CP58+CP109</f>
        <v>2225.3127842527</v>
      </c>
      <c r="CQ135" s="47" t="n">
        <f aca="false">CQ59+CQ66+CQ79+CQ58+CQ109</f>
        <v>2209.75439943163</v>
      </c>
      <c r="CR135" s="47" t="n">
        <f aca="false">CR59+CR66+CR79+CR58+CR109</f>
        <v>2208.21117385002</v>
      </c>
      <c r="CS135" s="47" t="n">
        <f aca="false">CS59+CS66+CS79+CS58+CS109</f>
        <v>2230.88112209078</v>
      </c>
      <c r="CT135" s="47" t="n">
        <f aca="false">CT59+CT66+CT79+CT58+CT109</f>
        <v>2221.18209041389</v>
      </c>
      <c r="CU135" s="47" t="n">
        <f aca="false">CU59+CU66+CU79+CU58+CU109</f>
        <v>2182.62100274973</v>
      </c>
      <c r="CV135" s="47" t="n">
        <f aca="false">CV59+CV66+CV79+CV58+CV109</f>
        <v>2206.87234722473</v>
      </c>
      <c r="CW135" s="47" t="n">
        <f aca="false">CW59+CW66+CW79+CW58+CW109</f>
        <v>2231.12369169973</v>
      </c>
      <c r="CX135" s="47" t="n">
        <f aca="false">CX59+CX66+CX79+CX58+CX109</f>
        <v>2222.97352763624</v>
      </c>
      <c r="CY135" s="47" t="n">
        <f aca="false">CY59+CY66+CY79+CY58+CY109</f>
        <v>2184.10279833034</v>
      </c>
      <c r="CZ135" s="47" t="n">
        <f aca="false">CZ59+CZ66+CZ79+CZ58+CZ109</f>
        <v>2208.37060720067</v>
      </c>
      <c r="DA135" s="47" t="n">
        <f aca="false">DA59+DA66+DA79+DA58+DA109</f>
        <v>2232.63841607101</v>
      </c>
      <c r="DB135" s="47" t="n">
        <f aca="false">DB59+DB66+DB79+DB58+DB109</f>
        <v>2122.88750313241</v>
      </c>
      <c r="DC135" s="47" t="n">
        <f aca="false">DC59+DC66+DC79+DC58+DC109</f>
        <v>2085.91177487943</v>
      </c>
      <c r="DD135" s="47" t="n">
        <f aca="false">DD59+DD66+DD79+DD58+DD109</f>
        <v>2109.08857237809</v>
      </c>
      <c r="DE135" s="47" t="n">
        <f aca="false">DE59+DE66+DE79+DE58+DE109</f>
        <v>2132.26536987675</v>
      </c>
      <c r="DF135" s="47" t="n">
        <f aca="false">DF59+DF66+DF79+DF58+DF109</f>
        <v>2124.01795089271</v>
      </c>
      <c r="DG135" s="47" t="n">
        <f aca="false">DG59+DG66+DG79+DG58+DG109</f>
        <v>2109.91236154365</v>
      </c>
      <c r="DH135" s="47" t="n">
        <f aca="false">DH59+DH66+DH79+DH58+DH109</f>
        <v>2109.91236154365</v>
      </c>
      <c r="DI135" s="47" t="n">
        <f aca="false">DI59+DI66+DI79+DI58+DI109</f>
        <v>2133.09821167051</v>
      </c>
      <c r="DJ135" s="47" t="n">
        <f aca="false">DJ59+DJ66+DJ79+DJ58+DJ109</f>
        <v>2124.80202858923</v>
      </c>
      <c r="DK135" s="47" t="n">
        <f aca="false">DK59+DK66+DK79+DK58+DK109</f>
        <v>2087.19177731218</v>
      </c>
      <c r="DL135" s="47" t="n">
        <f aca="false">DL59+DL66+DL79+DL58+DL109</f>
        <v>2110.3827970601</v>
      </c>
      <c r="DM135" s="47" t="n">
        <f aca="false">DM59+DM66+DM79+DM58+DM109</f>
        <v>2133.57381680801</v>
      </c>
      <c r="DN135" s="47" t="n">
        <f aca="false">DN59+DN66+DN79+DN58+DN109</f>
        <v>2125.22878470017</v>
      </c>
      <c r="DO135" s="47" t="n">
        <f aca="false">DO59+DO66+DO79+DO58+DO109</f>
        <v>2087.29657604582</v>
      </c>
      <c r="DP135" s="47" t="n">
        <f aca="false">DP59+DP66+DP79+DP58+DP109</f>
        <v>2110.4887602241</v>
      </c>
      <c r="DQ135" s="47" t="n">
        <f aca="false">DQ59+DQ66+DQ79+DQ58+DQ109</f>
        <v>2133.68094440239</v>
      </c>
      <c r="DR135" s="47" t="n">
        <f aca="false">DR59+DR66+DR79+DR58+DR109</f>
        <v>2125.28698314533</v>
      </c>
      <c r="DS135" s="47" t="n">
        <f aca="false">DS59+DS66+DS79+DS58+DS109</f>
        <v>2087.02962566063</v>
      </c>
      <c r="DT135" s="47" t="n">
        <f aca="false">DT59+DT66+DT79+DT58+DT109</f>
        <v>2110.21884372353</v>
      </c>
      <c r="DU135" s="47" t="n">
        <f aca="false">DU59+DU66+DU79+DU58+DU109</f>
        <v>2133.40806178642</v>
      </c>
      <c r="DV135" s="47" t="n">
        <f aca="false">DV59+DV66+DV79+DV58+DV109</f>
        <v>2124.96509621661</v>
      </c>
      <c r="DW135" s="47" t="n">
        <f aca="false">DW59+DW66+DW79+DW58+DW109</f>
        <v>2109.56134446918</v>
      </c>
      <c r="DX135" s="47" t="n">
        <f aca="false">DX59+DX66+DX79+DX58+DX109</f>
        <v>2109.56134446918</v>
      </c>
      <c r="DY135" s="47" t="n">
        <f aca="false">DY59+DY66+DY79+DY58+DY109</f>
        <v>2132.74333726555</v>
      </c>
      <c r="DZ135" s="47" t="n">
        <f aca="false">DZ59+DZ66+DZ79+DZ58+DZ109</f>
        <v>2124.25129733469</v>
      </c>
      <c r="EA135" s="47" t="n">
        <f aca="false">EA59+EA66+EA79+EA58+EA109</f>
        <v>2085.33387980802</v>
      </c>
      <c r="EB135" s="47" t="n">
        <f aca="false">EB59+EB66+EB79+EB58+EB109</f>
        <v>2108.50425625033</v>
      </c>
      <c r="EC135" s="47" t="n">
        <f aca="false">EC59+EC66+EC79+EC58+EC109</f>
        <v>2131.67463269264</v>
      </c>
      <c r="ED135" s="47" t="n">
        <f aca="false">ED59+ED66+ED79+ED58+ED109</f>
        <v>2123.13345362752</v>
      </c>
      <c r="EE135" s="47" t="n">
        <f aca="false">EE59+EE66+EE79+EE58+EE109</f>
        <v>2083.88102855902</v>
      </c>
      <c r="EF135" s="47" t="n">
        <f aca="false">EF59+EF66+EF79+EF58+EF109</f>
        <v>2107.03526220968</v>
      </c>
      <c r="EG135" s="47" t="n">
        <f aca="false">EG59+EG66+EG79+EG58+EG109</f>
        <v>2130.18949586034</v>
      </c>
      <c r="EH135" s="47" t="n">
        <f aca="false">EH59+EH66+EH79+EH58+EH109</f>
        <v>2121.59911832654</v>
      </c>
      <c r="EI135" s="47" t="n">
        <f aca="false">EI59+EI66+EI79+EI58+EI109</f>
        <v>2082.00830156043</v>
      </c>
      <c r="EJ135" s="47" t="n">
        <f aca="false">EJ59+EJ66+EJ79+EJ58+EJ109</f>
        <v>2105.14172713332</v>
      </c>
      <c r="EK135" s="47" t="n">
        <f aca="false">EK59+EK66+EK79+EK58+EK109</f>
        <v>2128.27515270622</v>
      </c>
      <c r="EL135" s="47" t="n">
        <f aca="false">EL59+EL66+EL79+EL58+EL109</f>
        <v>2119.63552297573</v>
      </c>
      <c r="EM135" s="47" t="n">
        <f aca="false">EM59+EM66+EM79+EM58+EM109</f>
        <v>2102.81068955117</v>
      </c>
      <c r="EN135" s="47" t="n">
        <f aca="false">EN59+EN66+EN79+EN58+EN109</f>
        <v>2102.81068955117</v>
      </c>
      <c r="EO135" s="47" t="n">
        <f aca="false">EO59+EO66+EO79+EO58+EO109</f>
        <v>2125.91849932646</v>
      </c>
    </row>
    <row r="136" customFormat="false" ht="15" hidden="false" customHeight="false" outlineLevel="0" collapsed="false">
      <c r="C136" s="25" t="s">
        <v>91</v>
      </c>
      <c r="D136" s="11" t="s">
        <v>27</v>
      </c>
      <c r="E136" s="33" t="n">
        <f aca="false">XIRR($J135:$EO135,$J$4:$EO$4)</f>
        <v>0.087034916708748</v>
      </c>
    </row>
    <row r="137" customFormat="false" ht="15" hidden="false" customHeight="false" outlineLevel="0" collapsed="false">
      <c r="C137" s="25" t="s">
        <v>463</v>
      </c>
      <c r="D137" s="11" t="s">
        <v>33</v>
      </c>
      <c r="I137" s="56" t="n">
        <f aca="false">SUM(J137:EO137)</f>
        <v>134539.527402984</v>
      </c>
      <c r="J137" s="56" t="n">
        <f aca="false">J59+J66+J92+J96+J97+J79+J90+J98+J58+J109</f>
        <v>-4662.80993807469</v>
      </c>
      <c r="K137" s="56" t="n">
        <f aca="false">K59+K66+K92+K96+K97+K79+K90+K98+K58+K109</f>
        <v>-706.535577057768</v>
      </c>
      <c r="L137" s="56" t="n">
        <f aca="false">L59+L66+L92+L96+L97+L79+L90+L98+L58+L109</f>
        <v>-104.360496659404</v>
      </c>
      <c r="M137" s="56" t="n">
        <f aca="false">M59+M66+M92+M96+M97+M79+M90+M98+M58+M109</f>
        <v>-105.507315304013</v>
      </c>
      <c r="N137" s="56" t="n">
        <f aca="false">N59+N66+N92+N96+N97+N79+N90+N98+N58+N109</f>
        <v>-105.507315304013</v>
      </c>
      <c r="O137" s="56" t="n">
        <f aca="false">O59+O66+O92+O96+O97+O79+O90+O98+O58+O109</f>
        <v>-104.360496659404</v>
      </c>
      <c r="P137" s="56" t="n">
        <f aca="false">P59+P66+P92+P96+P97+P79+P90+P98+P58+P109</f>
        <v>-104.360496659404</v>
      </c>
      <c r="Q137" s="56" t="n">
        <f aca="false">Q59+Q66+Q92+Q96+Q97+Q79+Q90+Q98+Q58+Q109</f>
        <v>-105.507315304013</v>
      </c>
      <c r="R137" s="56" t="n">
        <f aca="false">R59+R66+R92+R96+R97+R79+R90+R98+R58+R109</f>
        <v>-3174.08808923102</v>
      </c>
      <c r="S137" s="56" t="n">
        <f aca="false">S59+S66+S92+S96+S97+S79+S90+S98+S58+S109</f>
        <v>-3562.95255606014</v>
      </c>
      <c r="T137" s="56" t="n">
        <f aca="false">T59+T66+T92+T96+T97+T79+T90+T98+T58+T109</f>
        <v>-1923.29083222332</v>
      </c>
      <c r="U137" s="56" t="n">
        <f aca="false">U59+U66+U92+U96+U97+U79+U90+U98+U58+U109</f>
        <v>-1928.55573265071</v>
      </c>
      <c r="V137" s="56" t="n">
        <f aca="false">V59+V66+V92+V96+V97+V79+V90+V98+V58+V109</f>
        <v>-1912.51117158484</v>
      </c>
      <c r="W137" s="56" t="n">
        <f aca="false">W59+W66+W92+W96+W97+W79+W90+W98+W58+W109</f>
        <v>-1856.28100668043</v>
      </c>
      <c r="X137" s="56" t="n">
        <f aca="false">X59+X66+X92+X96+X97+X79+X90+X98+X58+X109</f>
        <v>-1861.38119109401</v>
      </c>
      <c r="Y137" s="56" t="n">
        <f aca="false">Y59+Y66+Y92+Y96+Y97+Y79+Y90+Y98+Y58+Y109</f>
        <v>-3783.66175605975</v>
      </c>
      <c r="Z137" s="56" t="n">
        <f aca="false">Z59+Z66+Z92+Z96+Z97+Z79+Z90+Z98+Z58+Z109</f>
        <v>782.275563501354</v>
      </c>
      <c r="AA137" s="56" t="n">
        <f aca="false">AA59+AA66+AA92+AA96+AA97+AA79+AA90+AA98+AA58+AA109</f>
        <v>770.354493774167</v>
      </c>
      <c r="AB137" s="56" t="n">
        <f aca="false">AB59+AB66+AB92+AB96+AB97+AB79+AB90+AB98+AB58+AB109</f>
        <v>778.653386020933</v>
      </c>
      <c r="AC137" s="56" t="n">
        <f aca="false">AC59+AC66+AC92+AC96+AC97+AC79+AC90+AC98+AC58+AC109</f>
        <v>786.947876414977</v>
      </c>
      <c r="AD137" s="56" t="n">
        <f aca="false">AD59+AD66+AD92+AD96+AD97+AD79+AD90+AD98+AD58+AD109</f>
        <v>784.104830341278</v>
      </c>
      <c r="AE137" s="56" t="n">
        <f aca="false">AE59+AE66+AE92+AE96+AE97+AE79+AE90+AE98+AE58+AE109</f>
        <v>780.514325215894</v>
      </c>
      <c r="AF137" s="56" t="n">
        <f aca="false">AF59+AF66+AF92+AF96+AF97+AF79+AF90+AF98+AF58+AF109</f>
        <v>780.393294397857</v>
      </c>
      <c r="AG137" s="56" t="n">
        <f aca="false">AG59+AG66+AG92+AG96+AG97+AG79+AG90+AG98+AG58+AG109</f>
        <v>788.705551580726</v>
      </c>
      <c r="AH137" s="56" t="n">
        <f aca="false">AH59+AH66+AH92+AH96+AH97+AH79+AH90+AH98+AH58+AH109</f>
        <v>785.83854625673</v>
      </c>
      <c r="AI137" s="56" t="n">
        <f aca="false">AI59+AI66+AI92+AI96+AI97+AI79+AI90+AI98+AI58+AI109</f>
        <v>773.707880292063</v>
      </c>
      <c r="AJ137" s="56" t="n">
        <f aca="false">AJ59+AJ66+AJ92+AJ96+AJ97+AJ79+AJ90+AJ98+AJ58+AJ109</f>
        <v>793.300517897004</v>
      </c>
      <c r="AK137" s="56" t="n">
        <f aca="false">AK59+AK66+AK92+AK96+AK97+AK79+AK90+AK98+AK58+AK109</f>
        <v>801.749175634545</v>
      </c>
      <c r="AL137" s="56" t="n">
        <f aca="false">AL59+AL66+AL92+AL96+AL97+AL79+AL90+AL98+AL58+AL109</f>
        <v>792.742306274313</v>
      </c>
      <c r="AM137" s="56" t="n">
        <f aca="false">AM59+AM66+AM92+AM96+AM97+AM79+AM90+AM98+AM58+AM109</f>
        <v>780.289906408154</v>
      </c>
      <c r="AN137" s="56" t="n">
        <f aca="false">AN59+AN66+AN92+AN96+AN97+AN79+AN90+AN98+AN58+AN109</f>
        <v>788.427221053063</v>
      </c>
      <c r="AO137" s="56" t="n">
        <f aca="false">AO59+AO66+AO92+AO96+AO97+AO79+AO90+AO98+AO58+AO109</f>
        <v>796.555290409674</v>
      </c>
      <c r="AP137" s="56" t="n">
        <f aca="false">AP59+AP66+AP92+AP96+AP97+AP79+AP90+AP98+AP58+AP109</f>
        <v>793.625094695452</v>
      </c>
      <c r="AQ137" s="56" t="n">
        <f aca="false">AQ59+AQ66+AQ92+AQ96+AQ97+AQ79+AQ90+AQ98+AQ58+AQ109</f>
        <v>781.062556995275</v>
      </c>
      <c r="AR137" s="56" t="n">
        <f aca="false">AR59+AR66+AR92+AR96+AR97+AR79+AR90+AR98+AR58+AR109</f>
        <v>789.206342863826</v>
      </c>
      <c r="AS137" s="56" t="n">
        <f aca="false">AS59+AS66+AS92+AS96+AS97+AS79+AS90+AS98+AS58+AS109</f>
        <v>797.340696966737</v>
      </c>
      <c r="AT137" s="56" t="n">
        <f aca="false">AT59+AT66+AT92+AT96+AT97+AT79+AT90+AT98+AT58+AT109</f>
        <v>794.378971615007</v>
      </c>
      <c r="AU137" s="56" t="n">
        <f aca="false">AU59+AU66+AU92+AU96+AU97+AU79+AU90+AU98+AU58+AU109</f>
        <v>790.15101664341</v>
      </c>
      <c r="AV137" s="56" t="n">
        <f aca="false">AV59+AV66+AV92+AV96+AV97+AV79+AV90+AV98+AV58+AV109</f>
        <v>789.847481368625</v>
      </c>
      <c r="AW137" s="56" t="n">
        <f aca="false">AW59+AW66+AW92+AW96+AW97+AW79+AW90+AW98+AW58+AW109</f>
        <v>797.98660416324</v>
      </c>
      <c r="AX137" s="56" t="n">
        <f aca="false">AX59+AX66+AX92+AX96+AX97+AX79+AX90+AX98+AX58+AX109</f>
        <v>794.992563623577</v>
      </c>
      <c r="AY137" s="56" t="n">
        <f aca="false">AY59+AY66+AY92+AY96+AY97+AY79+AY90+AY98+AY58+AY109</f>
        <v>782.205101090868</v>
      </c>
      <c r="AZ137" s="56" t="n">
        <f aca="false">AZ59+AZ66+AZ92+AZ96+AZ97+AZ79+AZ90+AZ98+AZ58+AZ109</f>
        <v>790.357386888511</v>
      </c>
      <c r="BA137" s="56" t="n">
        <f aca="false">BA59+BA66+BA92+BA96+BA97+BA79+BA90+BA98+BA58+BA109</f>
        <v>798.499845650986</v>
      </c>
      <c r="BB137" s="56" t="n">
        <f aca="false">BB59+BB66+BB92+BB96+BB97+BB79+BB90+BB98+BB58+BB109</f>
        <v>795.472817963485</v>
      </c>
      <c r="BC137" s="56" t="n">
        <f aca="false">BC59+BC66+BC92+BC96+BC97+BC79+BC90+BC98+BC58+BC109</f>
        <v>782.570556314765</v>
      </c>
      <c r="BD137" s="56" t="n">
        <f aca="false">BD59+BD66+BD92+BD96+BD97+BD79+BD90+BD98+BD58+BD109</f>
        <v>790.724825641538</v>
      </c>
      <c r="BE137" s="56" t="n">
        <f aca="false">BE59+BE66+BE92+BE96+BE97+BE79+BE90+BE98+BE58+BE109</f>
        <v>798.869059317466</v>
      </c>
      <c r="BF137" s="56" t="n">
        <f aca="false">BF59+BF66+BF92+BF96+BF97+BF79+BF90+BF98+BF58+BF109</f>
        <v>795.808272746722</v>
      </c>
      <c r="BG137" s="56" t="n">
        <f aca="false">BG59+BG66+BG92+BG96+BG97+BG79+BG90+BG98+BG58+BG109</f>
        <v>782.789574199508</v>
      </c>
      <c r="BH137" s="56" t="n">
        <f aca="false">BH59+BH66+BH92+BH96+BH97+BH79+BH90+BH98+BH58+BH109</f>
        <v>790.94421234063</v>
      </c>
      <c r="BI137" s="56" t="n">
        <f aca="false">BI59+BI66+BI92+BI96+BI97+BI79+BI90+BI98+BI58+BI109</f>
        <v>799.088598160874</v>
      </c>
      <c r="BJ137" s="56" t="n">
        <f aca="false">BJ59+BJ66+BJ92+BJ96+BJ97+BJ79+BJ90+BJ98+BJ58+BJ109</f>
        <v>795.993249403492</v>
      </c>
      <c r="BK137" s="56" t="n">
        <f aca="false">BK59+BK66+BK92+BK96+BK97+BK79+BK90+BK98+BK58+BK109</f>
        <v>791.37508093134</v>
      </c>
      <c r="BL137" s="56" t="n">
        <f aca="false">BL59+BL66+BL92+BL96+BL97+BL79+BL90+BL98+BL58+BL109</f>
        <v>791.003583782953</v>
      </c>
      <c r="BM137" s="56" t="n">
        <f aca="false">BM59+BM66+BM92+BM96+BM97+BM79+BM90+BM98+BM58+BM109</f>
        <v>799.146362270716</v>
      </c>
      <c r="BN137" s="56" t="n">
        <f aca="false">BN59+BN66+BN92+BN96+BN97+BN79+BN90+BN98+BN58+BN109</f>
        <v>796.015541406755</v>
      </c>
      <c r="BO137" s="56" t="n">
        <f aca="false">BO59+BO66+BO92+BO96+BO97+BO79+BO90+BO98+BO58+BO109</f>
        <v>782.758798431287</v>
      </c>
      <c r="BP137" s="56" t="n">
        <f aca="false">BP59+BP66+BP92+BP96+BP97+BP79+BP90+BP98+BP58+BP109</f>
        <v>790.908997924118</v>
      </c>
      <c r="BQ137" s="56" t="n">
        <f aca="false">BQ59+BQ66+BQ92+BQ96+BQ97+BQ79+BQ90+BQ98+BQ58+BQ109</f>
        <v>799.048485204584</v>
      </c>
      <c r="BR137" s="56" t="n">
        <f aca="false">BR59+BR66+BR92+BR96+BR97+BR79+BR90+BR98+BR58+BR109</f>
        <v>795.881391355184</v>
      </c>
      <c r="BS137" s="56" t="n">
        <f aca="false">BS59+BS66+BS92+BS96+BS97+BS79+BS90+BS98+BS58+BS109</f>
        <v>782.503015832646</v>
      </c>
      <c r="BT137" s="56" t="n">
        <f aca="false">BT59+BT66+BT92+BT96+BT97+BT79+BT90+BT98+BT58+BT109</f>
        <v>790.648345207679</v>
      </c>
      <c r="BU137" s="56" t="n">
        <f aca="false">BU59+BU66+BU92+BU96+BU97+BU79+BU90+BU98+BU58+BU109</f>
        <v>798.782719197613</v>
      </c>
      <c r="BV137" s="56" t="n">
        <f aca="false">BV59+BV66+BV92+BV96+BV97+BV79+BV90+BV98+BV58+BV109</f>
        <v>795.578445066159</v>
      </c>
      <c r="BW137" s="56" t="n">
        <f aca="false">BW59+BW66+BW92+BW96+BW97+BW79+BW90+BW98+BW58+BW109</f>
        <v>782.076607103611</v>
      </c>
      <c r="BX137" s="56" t="n">
        <f aca="false">BX59+BX66+BX92+BX96+BX97+BX79+BX90+BX98+BX58+BX109</f>
        <v>790.215182557051</v>
      </c>
      <c r="BY137" s="56" t="n">
        <f aca="false">BY59+BY66+BY92+BY96+BY97+BY79+BY90+BY98+BY58+BY109</f>
        <v>798.342549803249</v>
      </c>
      <c r="BZ137" s="56" t="n">
        <f aca="false">BZ59+BZ66+BZ92+BZ96+BZ97+BZ79+BZ90+BZ98+BZ58+BZ109</f>
        <v>795.100150191674</v>
      </c>
      <c r="CA137" s="56" t="n">
        <f aca="false">CA59+CA66+CA92+CA96+CA97+CA79+CA90+CA98+CA58+CA109</f>
        <v>790.049010290167</v>
      </c>
      <c r="CB137" s="56" t="n">
        <f aca="false">CB59+CB66+CB92+CB96+CB97+CB79+CB90+CB98+CB58+CB109</f>
        <v>789.596613907018</v>
      </c>
      <c r="CC137" s="56" t="n">
        <f aca="false">CC59+CC66+CC92+CC96+CC97+CC79+CC90+CC98+CC58+CC109</f>
        <v>797.714933720492</v>
      </c>
      <c r="CD137" s="56" t="n">
        <f aca="false">CD59+CD66+CD92+CD96+CD97+CD79+CD90+CD98+CD58+CD109</f>
        <v>794.433349683161</v>
      </c>
      <c r="CE137" s="56" t="n">
        <f aca="false">CE59+CE66+CE92+CE96+CE97+CE79+CE90+CE98+CE58+CE109</f>
        <v>780.678808991449</v>
      </c>
      <c r="CF137" s="56" t="n">
        <f aca="false">CF59+CF66+CF92+CF96+CF97+CF79+CF90+CF98+CF58+CF109</f>
        <v>788.797852305089</v>
      </c>
      <c r="CG137" s="56" t="n">
        <f aca="false">CG59+CG66+CG92+CG96+CG97+CG79+CG90+CG98+CG58+CG109</f>
        <v>796.905150117739</v>
      </c>
      <c r="CH137" s="56" t="n">
        <f aca="false">CH59+CH66+CH92+CH96+CH97+CH79+CH90+CH98+CH58+CH109</f>
        <v>793.583425766157</v>
      </c>
      <c r="CI137" s="56" t="n">
        <f aca="false">CI59+CI66+CI92+CI96+CI97+CI79+CI90+CI98+CI58+CI109</f>
        <v>779.699604211696</v>
      </c>
      <c r="CJ137" s="56" t="n">
        <f aca="false">CJ59+CJ66+CJ92+CJ96+CJ97+CJ79+CJ90+CJ98+CJ58+CJ109</f>
        <v>787.805786006471</v>
      </c>
      <c r="CK137" s="56" t="n">
        <f aca="false">CK59+CK66+CK92+CK96+CK97+CK79+CK90+CK98+CK58+CK109</f>
        <v>795.899937720373</v>
      </c>
      <c r="CL137" s="56" t="n">
        <f aca="false">CL59+CL66+CL92+CL96+CL97+CL79+CL90+CL98+CL58+CL109</f>
        <v>792.537002992206</v>
      </c>
      <c r="CM137" s="56" t="n">
        <f aca="false">CM59+CM66+CM92+CM96+CM97+CM79+CM90+CM98+CM58+CM109</f>
        <v>778.521846471764</v>
      </c>
      <c r="CN137" s="56" t="n">
        <f aca="false">CN59+CN66+CN92+CN96+CN97+CN79+CN90+CN98+CN58+CN109</f>
        <v>786.612971561894</v>
      </c>
      <c r="CO137" s="56" t="n">
        <f aca="false">CO59+CO66+CO92+CO96+CO97+CO79+CO90+CO98+CO58+CO109</f>
        <v>794.691770421062</v>
      </c>
      <c r="CP137" s="56" t="n">
        <f aca="false">CP59+CP66+CP92+CP96+CP97+CP79+CP90+CP98+CP58+CP109</f>
        <v>791.286509722218</v>
      </c>
      <c r="CQ137" s="56" t="n">
        <f aca="false">CQ59+CQ66+CQ92+CQ96+CQ97+CQ79+CQ90+CQ98+CQ58+CQ109</f>
        <v>785.754190800991</v>
      </c>
      <c r="CR137" s="56" t="n">
        <f aca="false">CR59+CR66+CR92+CR96+CR97+CR79+CR90+CR98+CR58+CR109</f>
        <v>785.205443859523</v>
      </c>
      <c r="CS137" s="56" t="n">
        <f aca="false">CS59+CS66+CS92+CS96+CS97+CS79+CS90+CS98+CS58+CS109</f>
        <v>2210.96251405273</v>
      </c>
      <c r="CT137" s="56" t="n">
        <f aca="false">CT59+CT66+CT92+CT96+CT97+CT79+CT90+CT98+CT58+CT109</f>
        <v>2221.18209041389</v>
      </c>
      <c r="CU137" s="56" t="n">
        <f aca="false">CU59+CU66+CU92+CU96+CU97+CU79+CU90+CU98+CU58+CU109</f>
        <v>2182.62100274973</v>
      </c>
      <c r="CV137" s="56" t="n">
        <f aca="false">CV59+CV66+CV92+CV96+CV97+CV79+CV90+CV98+CV58+CV109</f>
        <v>2206.87234722473</v>
      </c>
      <c r="CW137" s="56" t="n">
        <f aca="false">CW59+CW66+CW92+CW96+CW97+CW79+CW90+CW98+CW58+CW109</f>
        <v>2231.12369169973</v>
      </c>
      <c r="CX137" s="56" t="n">
        <f aca="false">CX59+CX66+CX92+CX96+CX97+CX79+CX90+CX98+CX58+CX109</f>
        <v>2222.97352763624</v>
      </c>
      <c r="CY137" s="56" t="n">
        <f aca="false">CY59+CY66+CY92+CY96+CY97+CY79+CY90+CY98+CY58+CY109</f>
        <v>2184.10279833034</v>
      </c>
      <c r="CZ137" s="56" t="n">
        <f aca="false">CZ59+CZ66+CZ92+CZ96+CZ97+CZ79+CZ90+CZ98+CZ58+CZ109</f>
        <v>2208.37060720067</v>
      </c>
      <c r="DA137" s="56" t="n">
        <f aca="false">DA59+DA66+DA92+DA96+DA97+DA79+DA90+DA98+DA58+DA109</f>
        <v>2232.63841607101</v>
      </c>
      <c r="DB137" s="56" t="n">
        <f aca="false">DB59+DB66+DB92+DB96+DB97+DB79+DB90+DB98+DB58+DB109</f>
        <v>2122.88750313241</v>
      </c>
      <c r="DC137" s="56" t="n">
        <f aca="false">DC59+DC66+DC92+DC96+DC97+DC79+DC90+DC98+DC58+DC109</f>
        <v>2085.91177487943</v>
      </c>
      <c r="DD137" s="56" t="n">
        <f aca="false">DD59+DD66+DD92+DD96+DD97+DD79+DD90+DD98+DD58+DD109</f>
        <v>2109.08857237809</v>
      </c>
      <c r="DE137" s="56" t="n">
        <f aca="false">DE59+DE66+DE92+DE96+DE97+DE79+DE90+DE98+DE58+DE109</f>
        <v>2132.26536987675</v>
      </c>
      <c r="DF137" s="56" t="n">
        <f aca="false">DF59+DF66+DF92+DF96+DF97+DF79+DF90+DF98+DF58+DF109</f>
        <v>2124.01795089271</v>
      </c>
      <c r="DG137" s="56" t="n">
        <f aca="false">DG59+DG66+DG92+DG96+DG97+DG79+DG90+DG98+DG58+DG109</f>
        <v>2109.91236154365</v>
      </c>
      <c r="DH137" s="56" t="n">
        <f aca="false">DH59+DH66+DH92+DH96+DH97+DH79+DH90+DH98+DH58+DH109</f>
        <v>2109.91236154365</v>
      </c>
      <c r="DI137" s="56" t="n">
        <f aca="false">DI59+DI66+DI92+DI96+DI97+DI79+DI90+DI98+DI58+DI109</f>
        <v>2133.09821167051</v>
      </c>
      <c r="DJ137" s="56" t="n">
        <f aca="false">DJ59+DJ66+DJ92+DJ96+DJ97+DJ79+DJ90+DJ98+DJ58+DJ109</f>
        <v>2124.80202858923</v>
      </c>
      <c r="DK137" s="56" t="n">
        <f aca="false">DK59+DK66+DK92+DK96+DK97+DK79+DK90+DK98+DK58+DK109</f>
        <v>2087.19177731218</v>
      </c>
      <c r="DL137" s="56" t="n">
        <f aca="false">DL59+DL66+DL92+DL96+DL97+DL79+DL90+DL98+DL58+DL109</f>
        <v>2110.3827970601</v>
      </c>
      <c r="DM137" s="56" t="n">
        <f aca="false">DM59+DM66+DM92+DM96+DM97+DM79+DM90+DM98+DM58+DM109</f>
        <v>2133.57381680801</v>
      </c>
      <c r="DN137" s="56" t="n">
        <f aca="false">DN59+DN66+DN92+DN96+DN97+DN79+DN90+DN98+DN58+DN109</f>
        <v>2125.22878470017</v>
      </c>
      <c r="DO137" s="56" t="n">
        <f aca="false">DO59+DO66+DO92+DO96+DO97+DO79+DO90+DO98+DO58+DO109</f>
        <v>2087.29657604582</v>
      </c>
      <c r="DP137" s="56" t="n">
        <f aca="false">DP59+DP66+DP92+DP96+DP97+DP79+DP90+DP98+DP58+DP109</f>
        <v>2110.4887602241</v>
      </c>
      <c r="DQ137" s="56" t="n">
        <f aca="false">DQ59+DQ66+DQ92+DQ96+DQ97+DQ79+DQ90+DQ98+DQ58+DQ109</f>
        <v>2133.68094440239</v>
      </c>
      <c r="DR137" s="56" t="n">
        <f aca="false">DR59+DR66+DR92+DR96+DR97+DR79+DR90+DR98+DR58+DR109</f>
        <v>2125.28698314533</v>
      </c>
      <c r="DS137" s="56" t="n">
        <f aca="false">DS59+DS66+DS92+DS96+DS97+DS79+DS90+DS98+DS58+DS109</f>
        <v>2087.02962566063</v>
      </c>
      <c r="DT137" s="56" t="n">
        <f aca="false">DT59+DT66+DT92+DT96+DT97+DT79+DT90+DT98+DT58+DT109</f>
        <v>2110.21884372353</v>
      </c>
      <c r="DU137" s="56" t="n">
        <f aca="false">DU59+DU66+DU92+DU96+DU97+DU79+DU90+DU98+DU58+DU109</f>
        <v>2133.40806178642</v>
      </c>
      <c r="DV137" s="56" t="n">
        <f aca="false">DV59+DV66+DV92+DV96+DV97+DV79+DV90+DV98+DV58+DV109</f>
        <v>2124.96509621661</v>
      </c>
      <c r="DW137" s="56" t="n">
        <f aca="false">DW59+DW66+DW92+DW96+DW97+DW79+DW90+DW98+DW58+DW109</f>
        <v>2109.56134446918</v>
      </c>
      <c r="DX137" s="56" t="n">
        <f aca="false">DX59+DX66+DX92+DX96+DX97+DX79+DX90+DX98+DX58+DX109</f>
        <v>2109.56134446918</v>
      </c>
      <c r="DY137" s="56" t="n">
        <f aca="false">DY59+DY66+DY92+DY96+DY97+DY79+DY90+DY98+DY58+DY109</f>
        <v>2132.74333726555</v>
      </c>
      <c r="DZ137" s="56" t="n">
        <f aca="false">DZ59+DZ66+DZ92+DZ96+DZ97+DZ79+DZ90+DZ98+DZ58+DZ109</f>
        <v>2124.25129733469</v>
      </c>
      <c r="EA137" s="56" t="n">
        <f aca="false">EA59+EA66+EA92+EA96+EA97+EA79+EA90+EA98+EA58+EA109</f>
        <v>2085.33387980802</v>
      </c>
      <c r="EB137" s="56" t="n">
        <f aca="false">EB59+EB66+EB92+EB96+EB97+EB79+EB90+EB98+EB58+EB109</f>
        <v>2108.50425625033</v>
      </c>
      <c r="EC137" s="56" t="n">
        <f aca="false">EC59+EC66+EC92+EC96+EC97+EC79+EC90+EC98+EC58+EC109</f>
        <v>2131.67463269264</v>
      </c>
      <c r="ED137" s="56" t="n">
        <f aca="false">ED59+ED66+ED92+ED96+ED97+ED79+ED90+ED98+ED58+ED109</f>
        <v>2123.13345362752</v>
      </c>
      <c r="EE137" s="56" t="n">
        <f aca="false">EE59+EE66+EE92+EE96+EE97+EE79+EE90+EE98+EE58+EE109</f>
        <v>2083.88102855902</v>
      </c>
      <c r="EF137" s="56" t="n">
        <f aca="false">EF59+EF66+EF92+EF96+EF97+EF79+EF90+EF98+EF58+EF109</f>
        <v>2107.03526220968</v>
      </c>
      <c r="EG137" s="56" t="n">
        <f aca="false">EG59+EG66+EG92+EG96+EG97+EG79+EG90+EG98+EG58+EG109</f>
        <v>2130.18949586034</v>
      </c>
      <c r="EH137" s="56" t="n">
        <f aca="false">EH59+EH66+EH92+EH96+EH97+EH79+EH90+EH98+EH58+EH109</f>
        <v>2121.59911832654</v>
      </c>
      <c r="EI137" s="56" t="n">
        <f aca="false">EI59+EI66+EI92+EI96+EI97+EI79+EI90+EI98+EI58+EI109</f>
        <v>2082.00830156043</v>
      </c>
      <c r="EJ137" s="56" t="n">
        <f aca="false">EJ59+EJ66+EJ92+EJ96+EJ97+EJ79+EJ90+EJ98+EJ58+EJ109</f>
        <v>2105.14172713332</v>
      </c>
      <c r="EK137" s="56" t="n">
        <f aca="false">EK59+EK66+EK92+EK96+EK97+EK79+EK90+EK98+EK58+EK109</f>
        <v>2128.27515270622</v>
      </c>
      <c r="EL137" s="56" t="n">
        <f aca="false">EL59+EL66+EL92+EL96+EL97+EL79+EL90+EL98+EL58+EL109</f>
        <v>2119.63552297573</v>
      </c>
      <c r="EM137" s="56" t="n">
        <f aca="false">EM59+EM66+EM92+EM96+EM97+EM79+EM90+EM98+EM58+EM109</f>
        <v>2102.81068955117</v>
      </c>
      <c r="EN137" s="56" t="n">
        <f aca="false">EN59+EN66+EN92+EN96+EN97+EN79+EN90+EN98+EN58+EN109</f>
        <v>2102.81068955117</v>
      </c>
      <c r="EO137" s="56" t="n">
        <f aca="false">EO59+EO66+EO92+EO96+EO97+EO79+EO90+EO98+EO58+EO109</f>
        <v>2125.91849932646</v>
      </c>
    </row>
    <row r="138" customFormat="false" ht="15" hidden="false" customHeight="false" outlineLevel="0" collapsed="false">
      <c r="C138" s="25" t="s">
        <v>88</v>
      </c>
      <c r="D138" s="11" t="s">
        <v>27</v>
      </c>
      <c r="E138" s="33" t="n">
        <f aca="false">XIRR($J137:$EO137,$J$4:$EO$4)</f>
        <v>0.119964137616349</v>
      </c>
    </row>
    <row r="139" customFormat="false" ht="15" hidden="false" customHeight="false" outlineLevel="0" collapsed="false">
      <c r="C139" s="25" t="s">
        <v>89</v>
      </c>
      <c r="D139" s="11" t="s">
        <v>13</v>
      </c>
      <c r="E139" s="59" t="n">
        <f aca="false">SUMIF($J137:$EO137,"&gt;0")/-SUMIF($J137:$EO137,"&lt;0")</f>
        <v>6.17426460476343</v>
      </c>
    </row>
    <row r="140" customFormat="false" ht="15" hidden="false" customHeight="false" outlineLevel="0" collapsed="false">
      <c r="C140" s="25" t="s">
        <v>90</v>
      </c>
      <c r="D140" s="11" t="s">
        <v>33</v>
      </c>
      <c r="E140" s="56" t="n">
        <f aca="false">XNPV(In_Discount_Rate,$J137:$EO137,$J$4:$EO$4)</f>
        <v>13479.1979280703</v>
      </c>
    </row>
    <row r="142" customFormat="false" ht="15" hidden="false" customHeight="false" outlineLevel="0" collapsed="false">
      <c r="C142" s="41" t="s">
        <v>158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O142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1" customFormat="false" ht="15" hidden="false" customHeight="false" outlineLevel="0" collapsed="false">
      <c r="A1" s="46" t="n">
        <v>2</v>
      </c>
      <c r="C1" s="13" t="s">
        <v>363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Bana – Calculations – Chinese turbine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3" customFormat="false" ht="15" hidden="false" customHeight="false" outlineLevel="0" collapsed="false">
      <c r="C3" s="0" t="s">
        <v>364</v>
      </c>
      <c r="D3" s="11" t="s">
        <v>38</v>
      </c>
      <c r="J3" s="45" t="n">
        <f aca="false">I$4+1</f>
        <v>46296</v>
      </c>
      <c r="K3" s="45" t="n">
        <f aca="false">J$4+1</f>
        <v>46388</v>
      </c>
      <c r="L3" s="45" t="n">
        <f aca="false">K$4+1</f>
        <v>46478</v>
      </c>
      <c r="M3" s="45" t="n">
        <f aca="false">L$4+1</f>
        <v>46569</v>
      </c>
      <c r="N3" s="45" t="n">
        <f aca="false">M$4+1</f>
        <v>46661</v>
      </c>
      <c r="O3" s="45" t="n">
        <f aca="false">N$4+1</f>
        <v>46753</v>
      </c>
      <c r="P3" s="45" t="n">
        <f aca="false">O$4+1</f>
        <v>46844</v>
      </c>
      <c r="Q3" s="45" t="n">
        <f aca="false">P$4+1</f>
        <v>46935</v>
      </c>
      <c r="R3" s="45" t="n">
        <f aca="false">Q$4+1</f>
        <v>47027</v>
      </c>
      <c r="S3" s="45" t="n">
        <f aca="false">R$4+1</f>
        <v>47119</v>
      </c>
      <c r="T3" s="45" t="n">
        <f aca="false">S$4+1</f>
        <v>47209</v>
      </c>
      <c r="U3" s="45" t="n">
        <f aca="false">T$4+1</f>
        <v>47300</v>
      </c>
      <c r="V3" s="45" t="n">
        <f aca="false">U$4+1</f>
        <v>47392</v>
      </c>
      <c r="W3" s="45" t="n">
        <f aca="false">V$4+1</f>
        <v>47484</v>
      </c>
      <c r="X3" s="45" t="n">
        <f aca="false">W$4+1</f>
        <v>47574</v>
      </c>
      <c r="Y3" s="45" t="n">
        <f aca="false">X$4+1</f>
        <v>47665</v>
      </c>
      <c r="Z3" s="45" t="n">
        <f aca="false">Y$4+1</f>
        <v>47757</v>
      </c>
      <c r="AA3" s="45" t="n">
        <f aca="false">Z$4+1</f>
        <v>47849</v>
      </c>
      <c r="AB3" s="45" t="n">
        <f aca="false">AA$4+1</f>
        <v>47939</v>
      </c>
      <c r="AC3" s="45" t="n">
        <f aca="false">AB$4+1</f>
        <v>48030</v>
      </c>
      <c r="AD3" s="45" t="n">
        <f aca="false">AC$4+1</f>
        <v>48122</v>
      </c>
      <c r="AE3" s="45" t="n">
        <f aca="false">AD$4+1</f>
        <v>48214</v>
      </c>
      <c r="AF3" s="45" t="n">
        <f aca="false">AE$4+1</f>
        <v>48305</v>
      </c>
      <c r="AG3" s="45" t="n">
        <f aca="false">AF$4+1</f>
        <v>48396</v>
      </c>
      <c r="AH3" s="45" t="n">
        <f aca="false">AG$4+1</f>
        <v>48488</v>
      </c>
      <c r="AI3" s="45" t="n">
        <f aca="false">AH$4+1</f>
        <v>48580</v>
      </c>
      <c r="AJ3" s="45" t="n">
        <f aca="false">AI$4+1</f>
        <v>48670</v>
      </c>
      <c r="AK3" s="45" t="n">
        <f aca="false">AJ$4+1</f>
        <v>48761</v>
      </c>
      <c r="AL3" s="45" t="n">
        <f aca="false">AK$4+1</f>
        <v>48853</v>
      </c>
      <c r="AM3" s="45" t="n">
        <f aca="false">AL$4+1</f>
        <v>48945</v>
      </c>
      <c r="AN3" s="45" t="n">
        <f aca="false">AM$4+1</f>
        <v>49035</v>
      </c>
      <c r="AO3" s="45" t="n">
        <f aca="false">AN$4+1</f>
        <v>49126</v>
      </c>
      <c r="AP3" s="45" t="n">
        <f aca="false">AO$4+1</f>
        <v>49218</v>
      </c>
      <c r="AQ3" s="45" t="n">
        <f aca="false">AP$4+1</f>
        <v>49310</v>
      </c>
      <c r="AR3" s="45" t="n">
        <f aca="false">AQ$4+1</f>
        <v>49400</v>
      </c>
      <c r="AS3" s="45" t="n">
        <f aca="false">AR$4+1</f>
        <v>49491</v>
      </c>
      <c r="AT3" s="45" t="n">
        <f aca="false">AS$4+1</f>
        <v>49583</v>
      </c>
      <c r="AU3" s="45" t="n">
        <f aca="false">AT$4+1</f>
        <v>49675</v>
      </c>
      <c r="AV3" s="45" t="n">
        <f aca="false">AU$4+1</f>
        <v>49766</v>
      </c>
      <c r="AW3" s="45" t="n">
        <f aca="false">AV$4+1</f>
        <v>49857</v>
      </c>
      <c r="AX3" s="45" t="n">
        <f aca="false">AW$4+1</f>
        <v>49949</v>
      </c>
      <c r="AY3" s="45" t="n">
        <f aca="false">AX$4+1</f>
        <v>50041</v>
      </c>
      <c r="AZ3" s="45" t="n">
        <f aca="false">AY$4+1</f>
        <v>50131</v>
      </c>
      <c r="BA3" s="45" t="n">
        <f aca="false">AZ$4+1</f>
        <v>50222</v>
      </c>
      <c r="BB3" s="45" t="n">
        <f aca="false">BA$4+1</f>
        <v>50314</v>
      </c>
      <c r="BC3" s="45" t="n">
        <f aca="false">BB$4+1</f>
        <v>50406</v>
      </c>
      <c r="BD3" s="45" t="n">
        <f aca="false">BC$4+1</f>
        <v>50496</v>
      </c>
      <c r="BE3" s="45" t="n">
        <f aca="false">BD$4+1</f>
        <v>50587</v>
      </c>
      <c r="BF3" s="45" t="n">
        <f aca="false">BE$4+1</f>
        <v>50679</v>
      </c>
      <c r="BG3" s="45" t="n">
        <f aca="false">BF$4+1</f>
        <v>50771</v>
      </c>
      <c r="BH3" s="45" t="n">
        <f aca="false">BG$4+1</f>
        <v>50861</v>
      </c>
      <c r="BI3" s="45" t="n">
        <f aca="false">BH$4+1</f>
        <v>50952</v>
      </c>
      <c r="BJ3" s="45" t="n">
        <f aca="false">BI$4+1</f>
        <v>51044</v>
      </c>
      <c r="BK3" s="45" t="n">
        <f aca="false">BJ$4+1</f>
        <v>51136</v>
      </c>
      <c r="BL3" s="45" t="n">
        <f aca="false">BK$4+1</f>
        <v>51227</v>
      </c>
      <c r="BM3" s="45" t="n">
        <f aca="false">BL$4+1</f>
        <v>51318</v>
      </c>
      <c r="BN3" s="45" t="n">
        <f aca="false">BM$4+1</f>
        <v>51410</v>
      </c>
      <c r="BO3" s="45" t="n">
        <f aca="false">BN$4+1</f>
        <v>51502</v>
      </c>
      <c r="BP3" s="45" t="n">
        <f aca="false">BO$4+1</f>
        <v>51592</v>
      </c>
      <c r="BQ3" s="45" t="n">
        <f aca="false">BP$4+1</f>
        <v>51683</v>
      </c>
      <c r="BR3" s="45" t="n">
        <f aca="false">BQ$4+1</f>
        <v>51775</v>
      </c>
      <c r="BS3" s="45" t="n">
        <f aca="false">BR$4+1</f>
        <v>51867</v>
      </c>
      <c r="BT3" s="45" t="n">
        <f aca="false">BS$4+1</f>
        <v>51957</v>
      </c>
      <c r="BU3" s="45" t="n">
        <f aca="false">BT$4+1</f>
        <v>52048</v>
      </c>
      <c r="BV3" s="45" t="n">
        <f aca="false">BU$4+1</f>
        <v>52140</v>
      </c>
      <c r="BW3" s="45" t="n">
        <f aca="false">BV$4+1</f>
        <v>52232</v>
      </c>
      <c r="BX3" s="45" t="n">
        <f aca="false">BW$4+1</f>
        <v>52322</v>
      </c>
      <c r="BY3" s="45" t="n">
        <f aca="false">BX$4+1</f>
        <v>52413</v>
      </c>
      <c r="BZ3" s="45" t="n">
        <f aca="false">BY$4+1</f>
        <v>52505</v>
      </c>
      <c r="CA3" s="45" t="n">
        <f aca="false">BZ$4+1</f>
        <v>52597</v>
      </c>
      <c r="CB3" s="45" t="n">
        <f aca="false">CA$4+1</f>
        <v>52688</v>
      </c>
      <c r="CC3" s="45" t="n">
        <f aca="false">CB$4+1</f>
        <v>52779</v>
      </c>
      <c r="CD3" s="45" t="n">
        <f aca="false">CC$4+1</f>
        <v>52871</v>
      </c>
      <c r="CE3" s="45" t="n">
        <f aca="false">CD$4+1</f>
        <v>52963</v>
      </c>
      <c r="CF3" s="45" t="n">
        <f aca="false">CE$4+1</f>
        <v>53053</v>
      </c>
      <c r="CG3" s="45" t="n">
        <f aca="false">CF$4+1</f>
        <v>53144</v>
      </c>
      <c r="CH3" s="45" t="n">
        <f aca="false">CG$4+1</f>
        <v>53236</v>
      </c>
      <c r="CI3" s="45" t="n">
        <f aca="false">CH$4+1</f>
        <v>53328</v>
      </c>
      <c r="CJ3" s="45" t="n">
        <f aca="false">CI$4+1</f>
        <v>53418</v>
      </c>
      <c r="CK3" s="45" t="n">
        <f aca="false">CJ$4+1</f>
        <v>53509</v>
      </c>
      <c r="CL3" s="45" t="n">
        <f aca="false">CK$4+1</f>
        <v>53601</v>
      </c>
      <c r="CM3" s="45" t="n">
        <f aca="false">CL$4+1</f>
        <v>53693</v>
      </c>
      <c r="CN3" s="45" t="n">
        <f aca="false">CM$4+1</f>
        <v>53783</v>
      </c>
      <c r="CO3" s="45" t="n">
        <f aca="false">CN$4+1</f>
        <v>53874</v>
      </c>
      <c r="CP3" s="45" t="n">
        <f aca="false">CO$4+1</f>
        <v>53966</v>
      </c>
      <c r="CQ3" s="45" t="n">
        <f aca="false">CP$4+1</f>
        <v>54058</v>
      </c>
      <c r="CR3" s="45" t="n">
        <f aca="false">CQ$4+1</f>
        <v>54149</v>
      </c>
      <c r="CS3" s="45" t="n">
        <f aca="false">CR$4+1</f>
        <v>54240</v>
      </c>
      <c r="CT3" s="45" t="n">
        <f aca="false">CS$4+1</f>
        <v>54332</v>
      </c>
      <c r="CU3" s="45" t="n">
        <f aca="false">CT$4+1</f>
        <v>54424</v>
      </c>
      <c r="CV3" s="45" t="n">
        <f aca="false">CU$4+1</f>
        <v>54514</v>
      </c>
      <c r="CW3" s="45" t="n">
        <f aca="false">CV$4+1</f>
        <v>54605</v>
      </c>
      <c r="CX3" s="45" t="n">
        <f aca="false">CW$4+1</f>
        <v>54697</v>
      </c>
      <c r="CY3" s="45" t="n">
        <f aca="false">CX$4+1</f>
        <v>54789</v>
      </c>
      <c r="CZ3" s="45" t="n">
        <f aca="false">CY$4+1</f>
        <v>54879</v>
      </c>
      <c r="DA3" s="45" t="n">
        <f aca="false">CZ$4+1</f>
        <v>54970</v>
      </c>
      <c r="DB3" s="45" t="n">
        <f aca="false">DA$4+1</f>
        <v>55062</v>
      </c>
      <c r="DC3" s="45" t="n">
        <f aca="false">DB$4+1</f>
        <v>55154</v>
      </c>
      <c r="DD3" s="45" t="n">
        <f aca="false">DC$4+1</f>
        <v>55244</v>
      </c>
      <c r="DE3" s="45" t="n">
        <f aca="false">DD$4+1</f>
        <v>55335</v>
      </c>
      <c r="DF3" s="45" t="n">
        <f aca="false">DE$4+1</f>
        <v>55427</v>
      </c>
      <c r="DG3" s="45" t="n">
        <f aca="false">DF$4+1</f>
        <v>55519</v>
      </c>
      <c r="DH3" s="45" t="n">
        <f aca="false">DG$4+1</f>
        <v>55610</v>
      </c>
      <c r="DI3" s="45" t="n">
        <f aca="false">DH$4+1</f>
        <v>55701</v>
      </c>
      <c r="DJ3" s="45" t="n">
        <f aca="false">DI$4+1</f>
        <v>55793</v>
      </c>
      <c r="DK3" s="45" t="n">
        <f aca="false">DJ$4+1</f>
        <v>55885</v>
      </c>
      <c r="DL3" s="45" t="n">
        <f aca="false">DK$4+1</f>
        <v>55975</v>
      </c>
      <c r="DM3" s="45" t="n">
        <f aca="false">DL$4+1</f>
        <v>56066</v>
      </c>
      <c r="DN3" s="45" t="n">
        <f aca="false">DM$4+1</f>
        <v>56158</v>
      </c>
      <c r="DO3" s="45" t="n">
        <f aca="false">DN$4+1</f>
        <v>56250</v>
      </c>
      <c r="DP3" s="45" t="n">
        <f aca="false">DO$4+1</f>
        <v>56340</v>
      </c>
      <c r="DQ3" s="45" t="n">
        <f aca="false">DP$4+1</f>
        <v>56431</v>
      </c>
      <c r="DR3" s="45" t="n">
        <f aca="false">DQ$4+1</f>
        <v>56523</v>
      </c>
      <c r="DS3" s="45" t="n">
        <f aca="false">DR$4+1</f>
        <v>56615</v>
      </c>
      <c r="DT3" s="45" t="n">
        <f aca="false">DS$4+1</f>
        <v>56705</v>
      </c>
      <c r="DU3" s="45" t="n">
        <f aca="false">DT$4+1</f>
        <v>56796</v>
      </c>
      <c r="DV3" s="45" t="n">
        <f aca="false">DU$4+1</f>
        <v>56888</v>
      </c>
      <c r="DW3" s="45" t="n">
        <f aca="false">DV$4+1</f>
        <v>56980</v>
      </c>
      <c r="DX3" s="45" t="n">
        <f aca="false">DW$4+1</f>
        <v>57071</v>
      </c>
      <c r="DY3" s="45" t="n">
        <f aca="false">DX$4+1</f>
        <v>57162</v>
      </c>
      <c r="DZ3" s="45" t="n">
        <f aca="false">DY$4+1</f>
        <v>57254</v>
      </c>
      <c r="EA3" s="45" t="n">
        <f aca="false">DZ$4+1</f>
        <v>57346</v>
      </c>
      <c r="EB3" s="45" t="n">
        <f aca="false">EA$4+1</f>
        <v>57436</v>
      </c>
      <c r="EC3" s="45" t="n">
        <f aca="false">EB$4+1</f>
        <v>57527</v>
      </c>
      <c r="ED3" s="45" t="n">
        <f aca="false">EC$4+1</f>
        <v>57619</v>
      </c>
      <c r="EE3" s="45" t="n">
        <f aca="false">ED$4+1</f>
        <v>57711</v>
      </c>
      <c r="EF3" s="45" t="n">
        <f aca="false">EE$4+1</f>
        <v>57801</v>
      </c>
      <c r="EG3" s="45" t="n">
        <f aca="false">EF$4+1</f>
        <v>57892</v>
      </c>
      <c r="EH3" s="45" t="n">
        <f aca="false">EG$4+1</f>
        <v>57984</v>
      </c>
      <c r="EI3" s="45" t="n">
        <f aca="false">EH$4+1</f>
        <v>58076</v>
      </c>
      <c r="EJ3" s="45" t="n">
        <f aca="false">EI$4+1</f>
        <v>58166</v>
      </c>
      <c r="EK3" s="45" t="n">
        <f aca="false">EJ$4+1</f>
        <v>58257</v>
      </c>
      <c r="EL3" s="45" t="n">
        <f aca="false">EK$4+1</f>
        <v>58349</v>
      </c>
      <c r="EM3" s="45" t="n">
        <f aca="false">EL$4+1</f>
        <v>58441</v>
      </c>
      <c r="EN3" s="45" t="n">
        <f aca="false">EM$4+1</f>
        <v>58532</v>
      </c>
      <c r="EO3" s="45" t="n">
        <f aca="false">EN$4+1</f>
        <v>58623</v>
      </c>
    </row>
    <row r="4" customFormat="false" ht="15" hidden="false" customHeight="false" outlineLevel="0" collapsed="false">
      <c r="C4" s="0" t="s">
        <v>365</v>
      </c>
      <c r="D4" s="11" t="s">
        <v>38</v>
      </c>
      <c r="I4" s="45" t="n">
        <f aca="false">In_Model_Start-1</f>
        <v>46295</v>
      </c>
      <c r="J4" s="53" t="n">
        <f aca="false">EOMONTH(J$3,Months_Per_Period-1)</f>
        <v>46387</v>
      </c>
      <c r="K4" s="53" t="n">
        <f aca="false">EOMONTH(K$3,Months_Per_Period-1)</f>
        <v>46477</v>
      </c>
      <c r="L4" s="53" t="n">
        <f aca="false">EOMONTH(L$3,Months_Per_Period-1)</f>
        <v>46568</v>
      </c>
      <c r="M4" s="53" t="n">
        <f aca="false">EOMONTH(M$3,Months_Per_Period-1)</f>
        <v>46660</v>
      </c>
      <c r="N4" s="53" t="n">
        <f aca="false">EOMONTH(N$3,Months_Per_Period-1)</f>
        <v>46752</v>
      </c>
      <c r="O4" s="53" t="n">
        <f aca="false">EOMONTH(O$3,Months_Per_Period-1)</f>
        <v>46843</v>
      </c>
      <c r="P4" s="53" t="n">
        <f aca="false">EOMONTH(P$3,Months_Per_Period-1)</f>
        <v>46934</v>
      </c>
      <c r="Q4" s="53" t="n">
        <f aca="false">EOMONTH(Q$3,Months_Per_Period-1)</f>
        <v>47026</v>
      </c>
      <c r="R4" s="53" t="n">
        <f aca="false">EOMONTH(R$3,Months_Per_Period-1)</f>
        <v>47118</v>
      </c>
      <c r="S4" s="53" t="n">
        <f aca="false">EOMONTH(S$3,Months_Per_Period-1)</f>
        <v>47208</v>
      </c>
      <c r="T4" s="53" t="n">
        <f aca="false">EOMONTH(T$3,Months_Per_Period-1)</f>
        <v>47299</v>
      </c>
      <c r="U4" s="53" t="n">
        <f aca="false">EOMONTH(U$3,Months_Per_Period-1)</f>
        <v>47391</v>
      </c>
      <c r="V4" s="53" t="n">
        <f aca="false">EOMONTH(V$3,Months_Per_Period-1)</f>
        <v>47483</v>
      </c>
      <c r="W4" s="53" t="n">
        <f aca="false">EOMONTH(W$3,Months_Per_Period-1)</f>
        <v>47573</v>
      </c>
      <c r="X4" s="53" t="n">
        <f aca="false">EOMONTH(X$3,Months_Per_Period-1)</f>
        <v>47664</v>
      </c>
      <c r="Y4" s="53" t="n">
        <f aca="false">EOMONTH(Y$3,Months_Per_Period-1)</f>
        <v>47756</v>
      </c>
      <c r="Z4" s="53" t="n">
        <f aca="false">EOMONTH(Z$3,Months_Per_Period-1)</f>
        <v>47848</v>
      </c>
      <c r="AA4" s="53" t="n">
        <f aca="false">EOMONTH(AA$3,Months_Per_Period-1)</f>
        <v>47938</v>
      </c>
      <c r="AB4" s="53" t="n">
        <f aca="false">EOMONTH(AB$3,Months_Per_Period-1)</f>
        <v>48029</v>
      </c>
      <c r="AC4" s="53" t="n">
        <f aca="false">EOMONTH(AC$3,Months_Per_Period-1)</f>
        <v>48121</v>
      </c>
      <c r="AD4" s="53" t="n">
        <f aca="false">EOMONTH(AD$3,Months_Per_Period-1)</f>
        <v>48213</v>
      </c>
      <c r="AE4" s="53" t="n">
        <f aca="false">EOMONTH(AE$3,Months_Per_Period-1)</f>
        <v>48304</v>
      </c>
      <c r="AF4" s="53" t="n">
        <f aca="false">EOMONTH(AF$3,Months_Per_Period-1)</f>
        <v>48395</v>
      </c>
      <c r="AG4" s="53" t="n">
        <f aca="false">EOMONTH(AG$3,Months_Per_Period-1)</f>
        <v>48487</v>
      </c>
      <c r="AH4" s="53" t="n">
        <f aca="false">EOMONTH(AH$3,Months_Per_Period-1)</f>
        <v>48579</v>
      </c>
      <c r="AI4" s="53" t="n">
        <f aca="false">EOMONTH(AI$3,Months_Per_Period-1)</f>
        <v>48669</v>
      </c>
      <c r="AJ4" s="53" t="n">
        <f aca="false">EOMONTH(AJ$3,Months_Per_Period-1)</f>
        <v>48760</v>
      </c>
      <c r="AK4" s="53" t="n">
        <f aca="false">EOMONTH(AK$3,Months_Per_Period-1)</f>
        <v>48852</v>
      </c>
      <c r="AL4" s="53" t="n">
        <f aca="false">EOMONTH(AL$3,Months_Per_Period-1)</f>
        <v>48944</v>
      </c>
      <c r="AM4" s="53" t="n">
        <f aca="false">EOMONTH(AM$3,Months_Per_Period-1)</f>
        <v>49034</v>
      </c>
      <c r="AN4" s="53" t="n">
        <f aca="false">EOMONTH(AN$3,Months_Per_Period-1)</f>
        <v>49125</v>
      </c>
      <c r="AO4" s="53" t="n">
        <f aca="false">EOMONTH(AO$3,Months_Per_Period-1)</f>
        <v>49217</v>
      </c>
      <c r="AP4" s="53" t="n">
        <f aca="false">EOMONTH(AP$3,Months_Per_Period-1)</f>
        <v>49309</v>
      </c>
      <c r="AQ4" s="53" t="n">
        <f aca="false">EOMONTH(AQ$3,Months_Per_Period-1)</f>
        <v>49399</v>
      </c>
      <c r="AR4" s="53" t="n">
        <f aca="false">EOMONTH(AR$3,Months_Per_Period-1)</f>
        <v>49490</v>
      </c>
      <c r="AS4" s="53" t="n">
        <f aca="false">EOMONTH(AS$3,Months_Per_Period-1)</f>
        <v>49582</v>
      </c>
      <c r="AT4" s="53" t="n">
        <f aca="false">EOMONTH(AT$3,Months_Per_Period-1)</f>
        <v>49674</v>
      </c>
      <c r="AU4" s="53" t="n">
        <f aca="false">EOMONTH(AU$3,Months_Per_Period-1)</f>
        <v>49765</v>
      </c>
      <c r="AV4" s="53" t="n">
        <f aca="false">EOMONTH(AV$3,Months_Per_Period-1)</f>
        <v>49856</v>
      </c>
      <c r="AW4" s="53" t="n">
        <f aca="false">EOMONTH(AW$3,Months_Per_Period-1)</f>
        <v>49948</v>
      </c>
      <c r="AX4" s="53" t="n">
        <f aca="false">EOMONTH(AX$3,Months_Per_Period-1)</f>
        <v>50040</v>
      </c>
      <c r="AY4" s="53" t="n">
        <f aca="false">EOMONTH(AY$3,Months_Per_Period-1)</f>
        <v>50130</v>
      </c>
      <c r="AZ4" s="53" t="n">
        <f aca="false">EOMONTH(AZ$3,Months_Per_Period-1)</f>
        <v>50221</v>
      </c>
      <c r="BA4" s="53" t="n">
        <f aca="false">EOMONTH(BA$3,Months_Per_Period-1)</f>
        <v>50313</v>
      </c>
      <c r="BB4" s="53" t="n">
        <f aca="false">EOMONTH(BB$3,Months_Per_Period-1)</f>
        <v>50405</v>
      </c>
      <c r="BC4" s="53" t="n">
        <f aca="false">EOMONTH(BC$3,Months_Per_Period-1)</f>
        <v>50495</v>
      </c>
      <c r="BD4" s="53" t="n">
        <f aca="false">EOMONTH(BD$3,Months_Per_Period-1)</f>
        <v>50586</v>
      </c>
      <c r="BE4" s="53" t="n">
        <f aca="false">EOMONTH(BE$3,Months_Per_Period-1)</f>
        <v>50678</v>
      </c>
      <c r="BF4" s="53" t="n">
        <f aca="false">EOMONTH(BF$3,Months_Per_Period-1)</f>
        <v>50770</v>
      </c>
      <c r="BG4" s="53" t="n">
        <f aca="false">EOMONTH(BG$3,Months_Per_Period-1)</f>
        <v>50860</v>
      </c>
      <c r="BH4" s="53" t="n">
        <f aca="false">EOMONTH(BH$3,Months_Per_Period-1)</f>
        <v>50951</v>
      </c>
      <c r="BI4" s="53" t="n">
        <f aca="false">EOMONTH(BI$3,Months_Per_Period-1)</f>
        <v>51043</v>
      </c>
      <c r="BJ4" s="53" t="n">
        <f aca="false">EOMONTH(BJ$3,Months_Per_Period-1)</f>
        <v>51135</v>
      </c>
      <c r="BK4" s="53" t="n">
        <f aca="false">EOMONTH(BK$3,Months_Per_Period-1)</f>
        <v>51226</v>
      </c>
      <c r="BL4" s="53" t="n">
        <f aca="false">EOMONTH(BL$3,Months_Per_Period-1)</f>
        <v>51317</v>
      </c>
      <c r="BM4" s="53" t="n">
        <f aca="false">EOMONTH(BM$3,Months_Per_Period-1)</f>
        <v>51409</v>
      </c>
      <c r="BN4" s="53" t="n">
        <f aca="false">EOMONTH(BN$3,Months_Per_Period-1)</f>
        <v>51501</v>
      </c>
      <c r="BO4" s="53" t="n">
        <f aca="false">EOMONTH(BO$3,Months_Per_Period-1)</f>
        <v>51591</v>
      </c>
      <c r="BP4" s="53" t="n">
        <f aca="false">EOMONTH(BP$3,Months_Per_Period-1)</f>
        <v>51682</v>
      </c>
      <c r="BQ4" s="53" t="n">
        <f aca="false">EOMONTH(BQ$3,Months_Per_Period-1)</f>
        <v>51774</v>
      </c>
      <c r="BR4" s="53" t="n">
        <f aca="false">EOMONTH(BR$3,Months_Per_Period-1)</f>
        <v>51866</v>
      </c>
      <c r="BS4" s="53" t="n">
        <f aca="false">EOMONTH(BS$3,Months_Per_Period-1)</f>
        <v>51956</v>
      </c>
      <c r="BT4" s="53" t="n">
        <f aca="false">EOMONTH(BT$3,Months_Per_Period-1)</f>
        <v>52047</v>
      </c>
      <c r="BU4" s="53" t="n">
        <f aca="false">EOMONTH(BU$3,Months_Per_Period-1)</f>
        <v>52139</v>
      </c>
      <c r="BV4" s="53" t="n">
        <f aca="false">EOMONTH(BV$3,Months_Per_Period-1)</f>
        <v>52231</v>
      </c>
      <c r="BW4" s="53" t="n">
        <f aca="false">EOMONTH(BW$3,Months_Per_Period-1)</f>
        <v>52321</v>
      </c>
      <c r="BX4" s="53" t="n">
        <f aca="false">EOMONTH(BX$3,Months_Per_Period-1)</f>
        <v>52412</v>
      </c>
      <c r="BY4" s="53" t="n">
        <f aca="false">EOMONTH(BY$3,Months_Per_Period-1)</f>
        <v>52504</v>
      </c>
      <c r="BZ4" s="53" t="n">
        <f aca="false">EOMONTH(BZ$3,Months_Per_Period-1)</f>
        <v>52596</v>
      </c>
      <c r="CA4" s="53" t="n">
        <f aca="false">EOMONTH(CA$3,Months_Per_Period-1)</f>
        <v>52687</v>
      </c>
      <c r="CB4" s="53" t="n">
        <f aca="false">EOMONTH(CB$3,Months_Per_Period-1)</f>
        <v>52778</v>
      </c>
      <c r="CC4" s="53" t="n">
        <f aca="false">EOMONTH(CC$3,Months_Per_Period-1)</f>
        <v>52870</v>
      </c>
      <c r="CD4" s="53" t="n">
        <f aca="false">EOMONTH(CD$3,Months_Per_Period-1)</f>
        <v>52962</v>
      </c>
      <c r="CE4" s="53" t="n">
        <f aca="false">EOMONTH(CE$3,Months_Per_Period-1)</f>
        <v>53052</v>
      </c>
      <c r="CF4" s="53" t="n">
        <f aca="false">EOMONTH(CF$3,Months_Per_Period-1)</f>
        <v>53143</v>
      </c>
      <c r="CG4" s="53" t="n">
        <f aca="false">EOMONTH(CG$3,Months_Per_Period-1)</f>
        <v>53235</v>
      </c>
      <c r="CH4" s="53" t="n">
        <f aca="false">EOMONTH(CH$3,Months_Per_Period-1)</f>
        <v>53327</v>
      </c>
      <c r="CI4" s="53" t="n">
        <f aca="false">EOMONTH(CI$3,Months_Per_Period-1)</f>
        <v>53417</v>
      </c>
      <c r="CJ4" s="53" t="n">
        <f aca="false">EOMONTH(CJ$3,Months_Per_Period-1)</f>
        <v>53508</v>
      </c>
      <c r="CK4" s="53" t="n">
        <f aca="false">EOMONTH(CK$3,Months_Per_Period-1)</f>
        <v>53600</v>
      </c>
      <c r="CL4" s="53" t="n">
        <f aca="false">EOMONTH(CL$3,Months_Per_Period-1)</f>
        <v>53692</v>
      </c>
      <c r="CM4" s="53" t="n">
        <f aca="false">EOMONTH(CM$3,Months_Per_Period-1)</f>
        <v>53782</v>
      </c>
      <c r="CN4" s="53" t="n">
        <f aca="false">EOMONTH(CN$3,Months_Per_Period-1)</f>
        <v>53873</v>
      </c>
      <c r="CO4" s="53" t="n">
        <f aca="false">EOMONTH(CO$3,Months_Per_Period-1)</f>
        <v>53965</v>
      </c>
      <c r="CP4" s="53" t="n">
        <f aca="false">EOMONTH(CP$3,Months_Per_Period-1)</f>
        <v>54057</v>
      </c>
      <c r="CQ4" s="53" t="n">
        <f aca="false">EOMONTH(CQ$3,Months_Per_Period-1)</f>
        <v>54148</v>
      </c>
      <c r="CR4" s="53" t="n">
        <f aca="false">EOMONTH(CR$3,Months_Per_Period-1)</f>
        <v>54239</v>
      </c>
      <c r="CS4" s="53" t="n">
        <f aca="false">EOMONTH(CS$3,Months_Per_Period-1)</f>
        <v>54331</v>
      </c>
      <c r="CT4" s="53" t="n">
        <f aca="false">EOMONTH(CT$3,Months_Per_Period-1)</f>
        <v>54423</v>
      </c>
      <c r="CU4" s="53" t="n">
        <f aca="false">EOMONTH(CU$3,Months_Per_Period-1)</f>
        <v>54513</v>
      </c>
      <c r="CV4" s="53" t="n">
        <f aca="false">EOMONTH(CV$3,Months_Per_Period-1)</f>
        <v>54604</v>
      </c>
      <c r="CW4" s="53" t="n">
        <f aca="false">EOMONTH(CW$3,Months_Per_Period-1)</f>
        <v>54696</v>
      </c>
      <c r="CX4" s="53" t="n">
        <f aca="false">EOMONTH(CX$3,Months_Per_Period-1)</f>
        <v>54788</v>
      </c>
      <c r="CY4" s="53" t="n">
        <f aca="false">EOMONTH(CY$3,Months_Per_Period-1)</f>
        <v>54878</v>
      </c>
      <c r="CZ4" s="53" t="n">
        <f aca="false">EOMONTH(CZ$3,Months_Per_Period-1)</f>
        <v>54969</v>
      </c>
      <c r="DA4" s="53" t="n">
        <f aca="false">EOMONTH(DA$3,Months_Per_Period-1)</f>
        <v>55061</v>
      </c>
      <c r="DB4" s="53" t="n">
        <f aca="false">EOMONTH(DB$3,Months_Per_Period-1)</f>
        <v>55153</v>
      </c>
      <c r="DC4" s="53" t="n">
        <f aca="false">EOMONTH(DC$3,Months_Per_Period-1)</f>
        <v>55243</v>
      </c>
      <c r="DD4" s="53" t="n">
        <f aca="false">EOMONTH(DD$3,Months_Per_Period-1)</f>
        <v>55334</v>
      </c>
      <c r="DE4" s="53" t="n">
        <f aca="false">EOMONTH(DE$3,Months_Per_Period-1)</f>
        <v>55426</v>
      </c>
      <c r="DF4" s="53" t="n">
        <f aca="false">EOMONTH(DF$3,Months_Per_Period-1)</f>
        <v>55518</v>
      </c>
      <c r="DG4" s="53" t="n">
        <f aca="false">EOMONTH(DG$3,Months_Per_Period-1)</f>
        <v>55609</v>
      </c>
      <c r="DH4" s="53" t="n">
        <f aca="false">EOMONTH(DH$3,Months_Per_Period-1)</f>
        <v>55700</v>
      </c>
      <c r="DI4" s="53" t="n">
        <f aca="false">EOMONTH(DI$3,Months_Per_Period-1)</f>
        <v>55792</v>
      </c>
      <c r="DJ4" s="53" t="n">
        <f aca="false">EOMONTH(DJ$3,Months_Per_Period-1)</f>
        <v>55884</v>
      </c>
      <c r="DK4" s="53" t="n">
        <f aca="false">EOMONTH(DK$3,Months_Per_Period-1)</f>
        <v>55974</v>
      </c>
      <c r="DL4" s="53" t="n">
        <f aca="false">EOMONTH(DL$3,Months_Per_Period-1)</f>
        <v>56065</v>
      </c>
      <c r="DM4" s="53" t="n">
        <f aca="false">EOMONTH(DM$3,Months_Per_Period-1)</f>
        <v>56157</v>
      </c>
      <c r="DN4" s="53" t="n">
        <f aca="false">EOMONTH(DN$3,Months_Per_Period-1)</f>
        <v>56249</v>
      </c>
      <c r="DO4" s="53" t="n">
        <f aca="false">EOMONTH(DO$3,Months_Per_Period-1)</f>
        <v>56339</v>
      </c>
      <c r="DP4" s="53" t="n">
        <f aca="false">EOMONTH(DP$3,Months_Per_Period-1)</f>
        <v>56430</v>
      </c>
      <c r="DQ4" s="53" t="n">
        <f aca="false">EOMONTH(DQ$3,Months_Per_Period-1)</f>
        <v>56522</v>
      </c>
      <c r="DR4" s="53" t="n">
        <f aca="false">EOMONTH(DR$3,Months_Per_Period-1)</f>
        <v>56614</v>
      </c>
      <c r="DS4" s="53" t="n">
        <f aca="false">EOMONTH(DS$3,Months_Per_Period-1)</f>
        <v>56704</v>
      </c>
      <c r="DT4" s="53" t="n">
        <f aca="false">EOMONTH(DT$3,Months_Per_Period-1)</f>
        <v>56795</v>
      </c>
      <c r="DU4" s="53" t="n">
        <f aca="false">EOMONTH(DU$3,Months_Per_Period-1)</f>
        <v>56887</v>
      </c>
      <c r="DV4" s="53" t="n">
        <f aca="false">EOMONTH(DV$3,Months_Per_Period-1)</f>
        <v>56979</v>
      </c>
      <c r="DW4" s="53" t="n">
        <f aca="false">EOMONTH(DW$3,Months_Per_Period-1)</f>
        <v>57070</v>
      </c>
      <c r="DX4" s="53" t="n">
        <f aca="false">EOMONTH(DX$3,Months_Per_Period-1)</f>
        <v>57161</v>
      </c>
      <c r="DY4" s="53" t="n">
        <f aca="false">EOMONTH(DY$3,Months_Per_Period-1)</f>
        <v>57253</v>
      </c>
      <c r="DZ4" s="53" t="n">
        <f aca="false">EOMONTH(DZ$3,Months_Per_Period-1)</f>
        <v>57345</v>
      </c>
      <c r="EA4" s="53" t="n">
        <f aca="false">EOMONTH(EA$3,Months_Per_Period-1)</f>
        <v>57435</v>
      </c>
      <c r="EB4" s="53" t="n">
        <f aca="false">EOMONTH(EB$3,Months_Per_Period-1)</f>
        <v>57526</v>
      </c>
      <c r="EC4" s="53" t="n">
        <f aca="false">EOMONTH(EC$3,Months_Per_Period-1)</f>
        <v>57618</v>
      </c>
      <c r="ED4" s="53" t="n">
        <f aca="false">EOMONTH(ED$3,Months_Per_Period-1)</f>
        <v>57710</v>
      </c>
      <c r="EE4" s="53" t="n">
        <f aca="false">EOMONTH(EE$3,Months_Per_Period-1)</f>
        <v>57800</v>
      </c>
      <c r="EF4" s="53" t="n">
        <f aca="false">EOMONTH(EF$3,Months_Per_Period-1)</f>
        <v>57891</v>
      </c>
      <c r="EG4" s="53" t="n">
        <f aca="false">EOMONTH(EG$3,Months_Per_Period-1)</f>
        <v>57983</v>
      </c>
      <c r="EH4" s="53" t="n">
        <f aca="false">EOMONTH(EH$3,Months_Per_Period-1)</f>
        <v>58075</v>
      </c>
      <c r="EI4" s="53" t="n">
        <f aca="false">EOMONTH(EI$3,Months_Per_Period-1)</f>
        <v>58165</v>
      </c>
      <c r="EJ4" s="53" t="n">
        <f aca="false">EOMONTH(EJ$3,Months_Per_Period-1)</f>
        <v>58256</v>
      </c>
      <c r="EK4" s="53" t="n">
        <f aca="false">EOMONTH(EK$3,Months_Per_Period-1)</f>
        <v>58348</v>
      </c>
      <c r="EL4" s="53" t="n">
        <f aca="false">EOMONTH(EL$3,Months_Per_Period-1)</f>
        <v>58440</v>
      </c>
      <c r="EM4" s="53" t="n">
        <f aca="false">EOMONTH(EM$3,Months_Per_Period-1)</f>
        <v>58531</v>
      </c>
      <c r="EN4" s="53" t="n">
        <f aca="false">EOMONTH(EN$3,Months_Per_Period-1)</f>
        <v>58622</v>
      </c>
      <c r="EO4" s="53" t="n">
        <f aca="false">EOMONTH(EO$3,Months_Per_Period-1)</f>
        <v>58714</v>
      </c>
    </row>
    <row r="5" customFormat="false" ht="15" hidden="false" customHeight="false" outlineLevel="0" collapsed="false">
      <c r="C5" s="0" t="s">
        <v>366</v>
      </c>
      <c r="D5" s="11" t="s">
        <v>176</v>
      </c>
      <c r="J5" s="43" t="n">
        <f aca="false">J$4-J$3+1</f>
        <v>92</v>
      </c>
      <c r="K5" s="43" t="n">
        <f aca="false">K$4-K$3+1</f>
        <v>90</v>
      </c>
      <c r="L5" s="43" t="n">
        <f aca="false">L$4-L$3+1</f>
        <v>91</v>
      </c>
      <c r="M5" s="43" t="n">
        <f aca="false">M$4-M$3+1</f>
        <v>92</v>
      </c>
      <c r="N5" s="43" t="n">
        <f aca="false">N$4-N$3+1</f>
        <v>92</v>
      </c>
      <c r="O5" s="43" t="n">
        <f aca="false">O$4-O$3+1</f>
        <v>91</v>
      </c>
      <c r="P5" s="43" t="n">
        <f aca="false">P$4-P$3+1</f>
        <v>91</v>
      </c>
      <c r="Q5" s="43" t="n">
        <f aca="false">Q$4-Q$3+1</f>
        <v>92</v>
      </c>
      <c r="R5" s="43" t="n">
        <f aca="false">R$4-R$3+1</f>
        <v>92</v>
      </c>
      <c r="S5" s="43" t="n">
        <f aca="false">S$4-S$3+1</f>
        <v>90</v>
      </c>
      <c r="T5" s="43" t="n">
        <f aca="false">T$4-T$3+1</f>
        <v>91</v>
      </c>
      <c r="U5" s="43" t="n">
        <f aca="false">U$4-U$3+1</f>
        <v>92</v>
      </c>
      <c r="V5" s="43" t="n">
        <f aca="false">V$4-V$3+1</f>
        <v>92</v>
      </c>
      <c r="W5" s="43" t="n">
        <f aca="false">W$4-W$3+1</f>
        <v>90</v>
      </c>
      <c r="X5" s="43" t="n">
        <f aca="false">X$4-X$3+1</f>
        <v>91</v>
      </c>
      <c r="Y5" s="43" t="n">
        <f aca="false">Y$4-Y$3+1</f>
        <v>92</v>
      </c>
      <c r="Z5" s="43" t="n">
        <f aca="false">Z$4-Z$3+1</f>
        <v>92</v>
      </c>
      <c r="AA5" s="43" t="n">
        <f aca="false">AA$4-AA$3+1</f>
        <v>90</v>
      </c>
      <c r="AB5" s="43" t="n">
        <f aca="false">AB$4-AB$3+1</f>
        <v>91</v>
      </c>
      <c r="AC5" s="43" t="n">
        <f aca="false">AC$4-AC$3+1</f>
        <v>92</v>
      </c>
      <c r="AD5" s="43" t="n">
        <f aca="false">AD$4-AD$3+1</f>
        <v>92</v>
      </c>
      <c r="AE5" s="43" t="n">
        <f aca="false">AE$4-AE$3+1</f>
        <v>91</v>
      </c>
      <c r="AF5" s="43" t="n">
        <f aca="false">AF$4-AF$3+1</f>
        <v>91</v>
      </c>
      <c r="AG5" s="43" t="n">
        <f aca="false">AG$4-AG$3+1</f>
        <v>92</v>
      </c>
      <c r="AH5" s="43" t="n">
        <f aca="false">AH$4-AH$3+1</f>
        <v>92</v>
      </c>
      <c r="AI5" s="43" t="n">
        <f aca="false">AI$4-AI$3+1</f>
        <v>90</v>
      </c>
      <c r="AJ5" s="43" t="n">
        <f aca="false">AJ$4-AJ$3+1</f>
        <v>91</v>
      </c>
      <c r="AK5" s="43" t="n">
        <f aca="false">AK$4-AK$3+1</f>
        <v>92</v>
      </c>
      <c r="AL5" s="43" t="n">
        <f aca="false">AL$4-AL$3+1</f>
        <v>92</v>
      </c>
      <c r="AM5" s="43" t="n">
        <f aca="false">AM$4-AM$3+1</f>
        <v>90</v>
      </c>
      <c r="AN5" s="43" t="n">
        <f aca="false">AN$4-AN$3+1</f>
        <v>91</v>
      </c>
      <c r="AO5" s="43" t="n">
        <f aca="false">AO$4-AO$3+1</f>
        <v>92</v>
      </c>
      <c r="AP5" s="43" t="n">
        <f aca="false">AP$4-AP$3+1</f>
        <v>92</v>
      </c>
      <c r="AQ5" s="43" t="n">
        <f aca="false">AQ$4-AQ$3+1</f>
        <v>90</v>
      </c>
      <c r="AR5" s="43" t="n">
        <f aca="false">AR$4-AR$3+1</f>
        <v>91</v>
      </c>
      <c r="AS5" s="43" t="n">
        <f aca="false">AS$4-AS$3+1</f>
        <v>92</v>
      </c>
      <c r="AT5" s="43" t="n">
        <f aca="false">AT$4-AT$3+1</f>
        <v>92</v>
      </c>
      <c r="AU5" s="43" t="n">
        <f aca="false">AU$4-AU$3+1</f>
        <v>91</v>
      </c>
      <c r="AV5" s="43" t="n">
        <f aca="false">AV$4-AV$3+1</f>
        <v>91</v>
      </c>
      <c r="AW5" s="43" t="n">
        <f aca="false">AW$4-AW$3+1</f>
        <v>92</v>
      </c>
      <c r="AX5" s="43" t="n">
        <f aca="false">AX$4-AX$3+1</f>
        <v>92</v>
      </c>
      <c r="AY5" s="43" t="n">
        <f aca="false">AY$4-AY$3+1</f>
        <v>90</v>
      </c>
      <c r="AZ5" s="43" t="n">
        <f aca="false">AZ$4-AZ$3+1</f>
        <v>91</v>
      </c>
      <c r="BA5" s="43" t="n">
        <f aca="false">BA$4-BA$3+1</f>
        <v>92</v>
      </c>
      <c r="BB5" s="43" t="n">
        <f aca="false">BB$4-BB$3+1</f>
        <v>92</v>
      </c>
      <c r="BC5" s="43" t="n">
        <f aca="false">BC$4-BC$3+1</f>
        <v>90</v>
      </c>
      <c r="BD5" s="43" t="n">
        <f aca="false">BD$4-BD$3+1</f>
        <v>91</v>
      </c>
      <c r="BE5" s="43" t="n">
        <f aca="false">BE$4-BE$3+1</f>
        <v>92</v>
      </c>
      <c r="BF5" s="43" t="n">
        <f aca="false">BF$4-BF$3+1</f>
        <v>92</v>
      </c>
      <c r="BG5" s="43" t="n">
        <f aca="false">BG$4-BG$3+1</f>
        <v>90</v>
      </c>
      <c r="BH5" s="43" t="n">
        <f aca="false">BH$4-BH$3+1</f>
        <v>91</v>
      </c>
      <c r="BI5" s="43" t="n">
        <f aca="false">BI$4-BI$3+1</f>
        <v>92</v>
      </c>
      <c r="BJ5" s="43" t="n">
        <f aca="false">BJ$4-BJ$3+1</f>
        <v>92</v>
      </c>
      <c r="BK5" s="43" t="n">
        <f aca="false">BK$4-BK$3+1</f>
        <v>91</v>
      </c>
      <c r="BL5" s="43" t="n">
        <f aca="false">BL$4-BL$3+1</f>
        <v>91</v>
      </c>
      <c r="BM5" s="43" t="n">
        <f aca="false">BM$4-BM$3+1</f>
        <v>92</v>
      </c>
      <c r="BN5" s="43" t="n">
        <f aca="false">BN$4-BN$3+1</f>
        <v>92</v>
      </c>
      <c r="BO5" s="43" t="n">
        <f aca="false">BO$4-BO$3+1</f>
        <v>90</v>
      </c>
      <c r="BP5" s="43" t="n">
        <f aca="false">BP$4-BP$3+1</f>
        <v>91</v>
      </c>
      <c r="BQ5" s="43" t="n">
        <f aca="false">BQ$4-BQ$3+1</f>
        <v>92</v>
      </c>
      <c r="BR5" s="43" t="n">
        <f aca="false">BR$4-BR$3+1</f>
        <v>92</v>
      </c>
      <c r="BS5" s="43" t="n">
        <f aca="false">BS$4-BS$3+1</f>
        <v>90</v>
      </c>
      <c r="BT5" s="43" t="n">
        <f aca="false">BT$4-BT$3+1</f>
        <v>91</v>
      </c>
      <c r="BU5" s="43" t="n">
        <f aca="false">BU$4-BU$3+1</f>
        <v>92</v>
      </c>
      <c r="BV5" s="43" t="n">
        <f aca="false">BV$4-BV$3+1</f>
        <v>92</v>
      </c>
      <c r="BW5" s="43" t="n">
        <f aca="false">BW$4-BW$3+1</f>
        <v>90</v>
      </c>
      <c r="BX5" s="43" t="n">
        <f aca="false">BX$4-BX$3+1</f>
        <v>91</v>
      </c>
      <c r="BY5" s="43" t="n">
        <f aca="false">BY$4-BY$3+1</f>
        <v>92</v>
      </c>
      <c r="BZ5" s="43" t="n">
        <f aca="false">BZ$4-BZ$3+1</f>
        <v>92</v>
      </c>
      <c r="CA5" s="43" t="n">
        <f aca="false">CA$4-CA$3+1</f>
        <v>91</v>
      </c>
      <c r="CB5" s="43" t="n">
        <f aca="false">CB$4-CB$3+1</f>
        <v>91</v>
      </c>
      <c r="CC5" s="43" t="n">
        <f aca="false">CC$4-CC$3+1</f>
        <v>92</v>
      </c>
      <c r="CD5" s="43" t="n">
        <f aca="false">CD$4-CD$3+1</f>
        <v>92</v>
      </c>
      <c r="CE5" s="43" t="n">
        <f aca="false">CE$4-CE$3+1</f>
        <v>90</v>
      </c>
      <c r="CF5" s="43" t="n">
        <f aca="false">CF$4-CF$3+1</f>
        <v>91</v>
      </c>
      <c r="CG5" s="43" t="n">
        <f aca="false">CG$4-CG$3+1</f>
        <v>92</v>
      </c>
      <c r="CH5" s="43" t="n">
        <f aca="false">CH$4-CH$3+1</f>
        <v>92</v>
      </c>
      <c r="CI5" s="43" t="n">
        <f aca="false">CI$4-CI$3+1</f>
        <v>90</v>
      </c>
      <c r="CJ5" s="43" t="n">
        <f aca="false">CJ$4-CJ$3+1</f>
        <v>91</v>
      </c>
      <c r="CK5" s="43" t="n">
        <f aca="false">CK$4-CK$3+1</f>
        <v>92</v>
      </c>
      <c r="CL5" s="43" t="n">
        <f aca="false">CL$4-CL$3+1</f>
        <v>92</v>
      </c>
      <c r="CM5" s="43" t="n">
        <f aca="false">CM$4-CM$3+1</f>
        <v>90</v>
      </c>
      <c r="CN5" s="43" t="n">
        <f aca="false">CN$4-CN$3+1</f>
        <v>91</v>
      </c>
      <c r="CO5" s="43" t="n">
        <f aca="false">CO$4-CO$3+1</f>
        <v>92</v>
      </c>
      <c r="CP5" s="43" t="n">
        <f aca="false">CP$4-CP$3+1</f>
        <v>92</v>
      </c>
      <c r="CQ5" s="43" t="n">
        <f aca="false">CQ$4-CQ$3+1</f>
        <v>91</v>
      </c>
      <c r="CR5" s="43" t="n">
        <f aca="false">CR$4-CR$3+1</f>
        <v>91</v>
      </c>
      <c r="CS5" s="43" t="n">
        <f aca="false">CS$4-CS$3+1</f>
        <v>92</v>
      </c>
      <c r="CT5" s="43" t="n">
        <f aca="false">CT$4-CT$3+1</f>
        <v>92</v>
      </c>
      <c r="CU5" s="43" t="n">
        <f aca="false">CU$4-CU$3+1</f>
        <v>90</v>
      </c>
      <c r="CV5" s="43" t="n">
        <f aca="false">CV$4-CV$3+1</f>
        <v>91</v>
      </c>
      <c r="CW5" s="43" t="n">
        <f aca="false">CW$4-CW$3+1</f>
        <v>92</v>
      </c>
      <c r="CX5" s="43" t="n">
        <f aca="false">CX$4-CX$3+1</f>
        <v>92</v>
      </c>
      <c r="CY5" s="43" t="n">
        <f aca="false">CY$4-CY$3+1</f>
        <v>90</v>
      </c>
      <c r="CZ5" s="43" t="n">
        <f aca="false">CZ$4-CZ$3+1</f>
        <v>91</v>
      </c>
      <c r="DA5" s="43" t="n">
        <f aca="false">DA$4-DA$3+1</f>
        <v>92</v>
      </c>
      <c r="DB5" s="43" t="n">
        <f aca="false">DB$4-DB$3+1</f>
        <v>92</v>
      </c>
      <c r="DC5" s="43" t="n">
        <f aca="false">DC$4-DC$3+1</f>
        <v>90</v>
      </c>
      <c r="DD5" s="43" t="n">
        <f aca="false">DD$4-DD$3+1</f>
        <v>91</v>
      </c>
      <c r="DE5" s="43" t="n">
        <f aca="false">DE$4-DE$3+1</f>
        <v>92</v>
      </c>
      <c r="DF5" s="43" t="n">
        <f aca="false">DF$4-DF$3+1</f>
        <v>92</v>
      </c>
      <c r="DG5" s="43" t="n">
        <f aca="false">DG$4-DG$3+1</f>
        <v>91</v>
      </c>
      <c r="DH5" s="43" t="n">
        <f aca="false">DH$4-DH$3+1</f>
        <v>91</v>
      </c>
      <c r="DI5" s="43" t="n">
        <f aca="false">DI$4-DI$3+1</f>
        <v>92</v>
      </c>
      <c r="DJ5" s="43" t="n">
        <f aca="false">DJ$4-DJ$3+1</f>
        <v>92</v>
      </c>
      <c r="DK5" s="43" t="n">
        <f aca="false">DK$4-DK$3+1</f>
        <v>90</v>
      </c>
      <c r="DL5" s="43" t="n">
        <f aca="false">DL$4-DL$3+1</f>
        <v>91</v>
      </c>
      <c r="DM5" s="43" t="n">
        <f aca="false">DM$4-DM$3+1</f>
        <v>92</v>
      </c>
      <c r="DN5" s="43" t="n">
        <f aca="false">DN$4-DN$3+1</f>
        <v>92</v>
      </c>
      <c r="DO5" s="43" t="n">
        <f aca="false">DO$4-DO$3+1</f>
        <v>90</v>
      </c>
      <c r="DP5" s="43" t="n">
        <f aca="false">DP$4-DP$3+1</f>
        <v>91</v>
      </c>
      <c r="DQ5" s="43" t="n">
        <f aca="false">DQ$4-DQ$3+1</f>
        <v>92</v>
      </c>
      <c r="DR5" s="43" t="n">
        <f aca="false">DR$4-DR$3+1</f>
        <v>92</v>
      </c>
      <c r="DS5" s="43" t="n">
        <f aca="false">DS$4-DS$3+1</f>
        <v>90</v>
      </c>
      <c r="DT5" s="43" t="n">
        <f aca="false">DT$4-DT$3+1</f>
        <v>91</v>
      </c>
      <c r="DU5" s="43" t="n">
        <f aca="false">DU$4-DU$3+1</f>
        <v>92</v>
      </c>
      <c r="DV5" s="43" t="n">
        <f aca="false">DV$4-DV$3+1</f>
        <v>92</v>
      </c>
      <c r="DW5" s="43" t="n">
        <f aca="false">DW$4-DW$3+1</f>
        <v>91</v>
      </c>
      <c r="DX5" s="43" t="n">
        <f aca="false">DX$4-DX$3+1</f>
        <v>91</v>
      </c>
      <c r="DY5" s="43" t="n">
        <f aca="false">DY$4-DY$3+1</f>
        <v>92</v>
      </c>
      <c r="DZ5" s="43" t="n">
        <f aca="false">DZ$4-DZ$3+1</f>
        <v>92</v>
      </c>
      <c r="EA5" s="43" t="n">
        <f aca="false">EA$4-EA$3+1</f>
        <v>90</v>
      </c>
      <c r="EB5" s="43" t="n">
        <f aca="false">EB$4-EB$3+1</f>
        <v>91</v>
      </c>
      <c r="EC5" s="43" t="n">
        <f aca="false">EC$4-EC$3+1</f>
        <v>92</v>
      </c>
      <c r="ED5" s="43" t="n">
        <f aca="false">ED$4-ED$3+1</f>
        <v>92</v>
      </c>
      <c r="EE5" s="43" t="n">
        <f aca="false">EE$4-EE$3+1</f>
        <v>90</v>
      </c>
      <c r="EF5" s="43" t="n">
        <f aca="false">EF$4-EF$3+1</f>
        <v>91</v>
      </c>
      <c r="EG5" s="43" t="n">
        <f aca="false">EG$4-EG$3+1</f>
        <v>92</v>
      </c>
      <c r="EH5" s="43" t="n">
        <f aca="false">EH$4-EH$3+1</f>
        <v>92</v>
      </c>
      <c r="EI5" s="43" t="n">
        <f aca="false">EI$4-EI$3+1</f>
        <v>90</v>
      </c>
      <c r="EJ5" s="43" t="n">
        <f aca="false">EJ$4-EJ$3+1</f>
        <v>91</v>
      </c>
      <c r="EK5" s="43" t="n">
        <f aca="false">EK$4-EK$3+1</f>
        <v>92</v>
      </c>
      <c r="EL5" s="43" t="n">
        <f aca="false">EL$4-EL$3+1</f>
        <v>92</v>
      </c>
      <c r="EM5" s="43" t="n">
        <f aca="false">EM$4-EM$3+1</f>
        <v>91</v>
      </c>
      <c r="EN5" s="43" t="n">
        <f aca="false">EN$4-EN$3+1</f>
        <v>91</v>
      </c>
      <c r="EO5" s="43" t="n">
        <f aca="false">EO$4-EO$3+1</f>
        <v>92</v>
      </c>
    </row>
    <row r="6" customFormat="false" ht="15" hidden="false" customHeight="false" outlineLevel="0" collapsed="false">
      <c r="C6" s="0" t="s">
        <v>367</v>
      </c>
      <c r="D6" s="11" t="s">
        <v>368</v>
      </c>
      <c r="J6" s="54" t="n">
        <f aca="false">J$5/Days_In_Year</f>
        <v>0.252054794520548</v>
      </c>
      <c r="K6" s="54" t="n">
        <f aca="false">K$5/Days_In_Year</f>
        <v>0.246575342465753</v>
      </c>
      <c r="L6" s="54" t="n">
        <f aca="false">L$5/Days_In_Year</f>
        <v>0.249315068493151</v>
      </c>
      <c r="M6" s="54" t="n">
        <f aca="false">M$5/Days_In_Year</f>
        <v>0.252054794520548</v>
      </c>
      <c r="N6" s="54" t="n">
        <f aca="false">N$5/Days_In_Year</f>
        <v>0.252054794520548</v>
      </c>
      <c r="O6" s="54" t="n">
        <f aca="false">O$5/Days_In_Year</f>
        <v>0.249315068493151</v>
      </c>
      <c r="P6" s="54" t="n">
        <f aca="false">P$5/Days_In_Year</f>
        <v>0.249315068493151</v>
      </c>
      <c r="Q6" s="54" t="n">
        <f aca="false">Q$5/Days_In_Year</f>
        <v>0.252054794520548</v>
      </c>
      <c r="R6" s="54" t="n">
        <f aca="false">R$5/Days_In_Year</f>
        <v>0.252054794520548</v>
      </c>
      <c r="S6" s="54" t="n">
        <f aca="false">S$5/Days_In_Year</f>
        <v>0.246575342465753</v>
      </c>
      <c r="T6" s="54" t="n">
        <f aca="false">T$5/Days_In_Year</f>
        <v>0.249315068493151</v>
      </c>
      <c r="U6" s="54" t="n">
        <f aca="false">U$5/Days_In_Year</f>
        <v>0.252054794520548</v>
      </c>
      <c r="V6" s="54" t="n">
        <f aca="false">V$5/Days_In_Year</f>
        <v>0.252054794520548</v>
      </c>
      <c r="W6" s="54" t="n">
        <f aca="false">W$5/Days_In_Year</f>
        <v>0.246575342465753</v>
      </c>
      <c r="X6" s="54" t="n">
        <f aca="false">X$5/Days_In_Year</f>
        <v>0.249315068493151</v>
      </c>
      <c r="Y6" s="54" t="n">
        <f aca="false">Y$5/Days_In_Year</f>
        <v>0.252054794520548</v>
      </c>
      <c r="Z6" s="54" t="n">
        <f aca="false">Z$5/Days_In_Year</f>
        <v>0.252054794520548</v>
      </c>
      <c r="AA6" s="54" t="n">
        <f aca="false">AA$5/Days_In_Year</f>
        <v>0.246575342465753</v>
      </c>
      <c r="AB6" s="54" t="n">
        <f aca="false">AB$5/Days_In_Year</f>
        <v>0.249315068493151</v>
      </c>
      <c r="AC6" s="54" t="n">
        <f aca="false">AC$5/Days_In_Year</f>
        <v>0.252054794520548</v>
      </c>
      <c r="AD6" s="54" t="n">
        <f aca="false">AD$5/Days_In_Year</f>
        <v>0.252054794520548</v>
      </c>
      <c r="AE6" s="54" t="n">
        <f aca="false">AE$5/Days_In_Year</f>
        <v>0.249315068493151</v>
      </c>
      <c r="AF6" s="54" t="n">
        <f aca="false">AF$5/Days_In_Year</f>
        <v>0.249315068493151</v>
      </c>
      <c r="AG6" s="54" t="n">
        <f aca="false">AG$5/Days_In_Year</f>
        <v>0.252054794520548</v>
      </c>
      <c r="AH6" s="54" t="n">
        <f aca="false">AH$5/Days_In_Year</f>
        <v>0.252054794520548</v>
      </c>
      <c r="AI6" s="54" t="n">
        <f aca="false">AI$5/Days_In_Year</f>
        <v>0.246575342465753</v>
      </c>
      <c r="AJ6" s="54" t="n">
        <f aca="false">AJ$5/Days_In_Year</f>
        <v>0.249315068493151</v>
      </c>
      <c r="AK6" s="54" t="n">
        <f aca="false">AK$5/Days_In_Year</f>
        <v>0.252054794520548</v>
      </c>
      <c r="AL6" s="54" t="n">
        <f aca="false">AL$5/Days_In_Year</f>
        <v>0.252054794520548</v>
      </c>
      <c r="AM6" s="54" t="n">
        <f aca="false">AM$5/Days_In_Year</f>
        <v>0.246575342465753</v>
      </c>
      <c r="AN6" s="54" t="n">
        <f aca="false">AN$5/Days_In_Year</f>
        <v>0.249315068493151</v>
      </c>
      <c r="AO6" s="54" t="n">
        <f aca="false">AO$5/Days_In_Year</f>
        <v>0.252054794520548</v>
      </c>
      <c r="AP6" s="54" t="n">
        <f aca="false">AP$5/Days_In_Year</f>
        <v>0.252054794520548</v>
      </c>
      <c r="AQ6" s="54" t="n">
        <f aca="false">AQ$5/Days_In_Year</f>
        <v>0.246575342465753</v>
      </c>
      <c r="AR6" s="54" t="n">
        <f aca="false">AR$5/Days_In_Year</f>
        <v>0.249315068493151</v>
      </c>
      <c r="AS6" s="54" t="n">
        <f aca="false">AS$5/Days_In_Year</f>
        <v>0.252054794520548</v>
      </c>
      <c r="AT6" s="54" t="n">
        <f aca="false">AT$5/Days_In_Year</f>
        <v>0.252054794520548</v>
      </c>
      <c r="AU6" s="54" t="n">
        <f aca="false">AU$5/Days_In_Year</f>
        <v>0.249315068493151</v>
      </c>
      <c r="AV6" s="54" t="n">
        <f aca="false">AV$5/Days_In_Year</f>
        <v>0.249315068493151</v>
      </c>
      <c r="AW6" s="54" t="n">
        <f aca="false">AW$5/Days_In_Year</f>
        <v>0.252054794520548</v>
      </c>
      <c r="AX6" s="54" t="n">
        <f aca="false">AX$5/Days_In_Year</f>
        <v>0.252054794520548</v>
      </c>
      <c r="AY6" s="54" t="n">
        <f aca="false">AY$5/Days_In_Year</f>
        <v>0.246575342465753</v>
      </c>
      <c r="AZ6" s="54" t="n">
        <f aca="false">AZ$5/Days_In_Year</f>
        <v>0.249315068493151</v>
      </c>
      <c r="BA6" s="54" t="n">
        <f aca="false">BA$5/Days_In_Year</f>
        <v>0.252054794520548</v>
      </c>
      <c r="BB6" s="54" t="n">
        <f aca="false">BB$5/Days_In_Year</f>
        <v>0.252054794520548</v>
      </c>
      <c r="BC6" s="54" t="n">
        <f aca="false">BC$5/Days_In_Year</f>
        <v>0.246575342465753</v>
      </c>
      <c r="BD6" s="54" t="n">
        <f aca="false">BD$5/Days_In_Year</f>
        <v>0.249315068493151</v>
      </c>
      <c r="BE6" s="54" t="n">
        <f aca="false">BE$5/Days_In_Year</f>
        <v>0.252054794520548</v>
      </c>
      <c r="BF6" s="54" t="n">
        <f aca="false">BF$5/Days_In_Year</f>
        <v>0.252054794520548</v>
      </c>
      <c r="BG6" s="54" t="n">
        <f aca="false">BG$5/Days_In_Year</f>
        <v>0.246575342465753</v>
      </c>
      <c r="BH6" s="54" t="n">
        <f aca="false">BH$5/Days_In_Year</f>
        <v>0.249315068493151</v>
      </c>
      <c r="BI6" s="54" t="n">
        <f aca="false">BI$5/Days_In_Year</f>
        <v>0.252054794520548</v>
      </c>
      <c r="BJ6" s="54" t="n">
        <f aca="false">BJ$5/Days_In_Year</f>
        <v>0.252054794520548</v>
      </c>
      <c r="BK6" s="54" t="n">
        <f aca="false">BK$5/Days_In_Year</f>
        <v>0.249315068493151</v>
      </c>
      <c r="BL6" s="54" t="n">
        <f aca="false">BL$5/Days_In_Year</f>
        <v>0.249315068493151</v>
      </c>
      <c r="BM6" s="54" t="n">
        <f aca="false">BM$5/Days_In_Year</f>
        <v>0.252054794520548</v>
      </c>
      <c r="BN6" s="54" t="n">
        <f aca="false">BN$5/Days_In_Year</f>
        <v>0.252054794520548</v>
      </c>
      <c r="BO6" s="54" t="n">
        <f aca="false">BO$5/Days_In_Year</f>
        <v>0.246575342465753</v>
      </c>
      <c r="BP6" s="54" t="n">
        <f aca="false">BP$5/Days_In_Year</f>
        <v>0.249315068493151</v>
      </c>
      <c r="BQ6" s="54" t="n">
        <f aca="false">BQ$5/Days_In_Year</f>
        <v>0.252054794520548</v>
      </c>
      <c r="BR6" s="54" t="n">
        <f aca="false">BR$5/Days_In_Year</f>
        <v>0.252054794520548</v>
      </c>
      <c r="BS6" s="54" t="n">
        <f aca="false">BS$5/Days_In_Year</f>
        <v>0.246575342465753</v>
      </c>
      <c r="BT6" s="54" t="n">
        <f aca="false">BT$5/Days_In_Year</f>
        <v>0.249315068493151</v>
      </c>
      <c r="BU6" s="54" t="n">
        <f aca="false">BU$5/Days_In_Year</f>
        <v>0.252054794520548</v>
      </c>
      <c r="BV6" s="54" t="n">
        <f aca="false">BV$5/Days_In_Year</f>
        <v>0.252054794520548</v>
      </c>
      <c r="BW6" s="54" t="n">
        <f aca="false">BW$5/Days_In_Year</f>
        <v>0.246575342465753</v>
      </c>
      <c r="BX6" s="54" t="n">
        <f aca="false">BX$5/Days_In_Year</f>
        <v>0.249315068493151</v>
      </c>
      <c r="BY6" s="54" t="n">
        <f aca="false">BY$5/Days_In_Year</f>
        <v>0.252054794520548</v>
      </c>
      <c r="BZ6" s="54" t="n">
        <f aca="false">BZ$5/Days_In_Year</f>
        <v>0.252054794520548</v>
      </c>
      <c r="CA6" s="54" t="n">
        <f aca="false">CA$5/Days_In_Year</f>
        <v>0.249315068493151</v>
      </c>
      <c r="CB6" s="54" t="n">
        <f aca="false">CB$5/Days_In_Year</f>
        <v>0.249315068493151</v>
      </c>
      <c r="CC6" s="54" t="n">
        <f aca="false">CC$5/Days_In_Year</f>
        <v>0.252054794520548</v>
      </c>
      <c r="CD6" s="54" t="n">
        <f aca="false">CD$5/Days_In_Year</f>
        <v>0.252054794520548</v>
      </c>
      <c r="CE6" s="54" t="n">
        <f aca="false">CE$5/Days_In_Year</f>
        <v>0.246575342465753</v>
      </c>
      <c r="CF6" s="54" t="n">
        <f aca="false">CF$5/Days_In_Year</f>
        <v>0.249315068493151</v>
      </c>
      <c r="CG6" s="54" t="n">
        <f aca="false">CG$5/Days_In_Year</f>
        <v>0.252054794520548</v>
      </c>
      <c r="CH6" s="54" t="n">
        <f aca="false">CH$5/Days_In_Year</f>
        <v>0.252054794520548</v>
      </c>
      <c r="CI6" s="54" t="n">
        <f aca="false">CI$5/Days_In_Year</f>
        <v>0.246575342465753</v>
      </c>
      <c r="CJ6" s="54" t="n">
        <f aca="false">CJ$5/Days_In_Year</f>
        <v>0.249315068493151</v>
      </c>
      <c r="CK6" s="54" t="n">
        <f aca="false">CK$5/Days_In_Year</f>
        <v>0.252054794520548</v>
      </c>
      <c r="CL6" s="54" t="n">
        <f aca="false">CL$5/Days_In_Year</f>
        <v>0.252054794520548</v>
      </c>
      <c r="CM6" s="54" t="n">
        <f aca="false">CM$5/Days_In_Year</f>
        <v>0.246575342465753</v>
      </c>
      <c r="CN6" s="54" t="n">
        <f aca="false">CN$5/Days_In_Year</f>
        <v>0.249315068493151</v>
      </c>
      <c r="CO6" s="54" t="n">
        <f aca="false">CO$5/Days_In_Year</f>
        <v>0.252054794520548</v>
      </c>
      <c r="CP6" s="54" t="n">
        <f aca="false">CP$5/Days_In_Year</f>
        <v>0.252054794520548</v>
      </c>
      <c r="CQ6" s="54" t="n">
        <f aca="false">CQ$5/Days_In_Year</f>
        <v>0.249315068493151</v>
      </c>
      <c r="CR6" s="54" t="n">
        <f aca="false">CR$5/Days_In_Year</f>
        <v>0.249315068493151</v>
      </c>
      <c r="CS6" s="54" t="n">
        <f aca="false">CS$5/Days_In_Year</f>
        <v>0.252054794520548</v>
      </c>
      <c r="CT6" s="54" t="n">
        <f aca="false">CT$5/Days_In_Year</f>
        <v>0.252054794520548</v>
      </c>
      <c r="CU6" s="54" t="n">
        <f aca="false">CU$5/Days_In_Year</f>
        <v>0.246575342465753</v>
      </c>
      <c r="CV6" s="54" t="n">
        <f aca="false">CV$5/Days_In_Year</f>
        <v>0.249315068493151</v>
      </c>
      <c r="CW6" s="54" t="n">
        <f aca="false">CW$5/Days_In_Year</f>
        <v>0.252054794520548</v>
      </c>
      <c r="CX6" s="54" t="n">
        <f aca="false">CX$5/Days_In_Year</f>
        <v>0.252054794520548</v>
      </c>
      <c r="CY6" s="54" t="n">
        <f aca="false">CY$5/Days_In_Year</f>
        <v>0.246575342465753</v>
      </c>
      <c r="CZ6" s="54" t="n">
        <f aca="false">CZ$5/Days_In_Year</f>
        <v>0.249315068493151</v>
      </c>
      <c r="DA6" s="54" t="n">
        <f aca="false">DA$5/Days_In_Year</f>
        <v>0.252054794520548</v>
      </c>
      <c r="DB6" s="54" t="n">
        <f aca="false">DB$5/Days_In_Year</f>
        <v>0.252054794520548</v>
      </c>
      <c r="DC6" s="54" t="n">
        <f aca="false">DC$5/Days_In_Year</f>
        <v>0.246575342465753</v>
      </c>
      <c r="DD6" s="54" t="n">
        <f aca="false">DD$5/Days_In_Year</f>
        <v>0.249315068493151</v>
      </c>
      <c r="DE6" s="54" t="n">
        <f aca="false">DE$5/Days_In_Year</f>
        <v>0.252054794520548</v>
      </c>
      <c r="DF6" s="54" t="n">
        <f aca="false">DF$5/Days_In_Year</f>
        <v>0.252054794520548</v>
      </c>
      <c r="DG6" s="54" t="n">
        <f aca="false">DG$5/Days_In_Year</f>
        <v>0.249315068493151</v>
      </c>
      <c r="DH6" s="54" t="n">
        <f aca="false">DH$5/Days_In_Year</f>
        <v>0.249315068493151</v>
      </c>
      <c r="DI6" s="54" t="n">
        <f aca="false">DI$5/Days_In_Year</f>
        <v>0.252054794520548</v>
      </c>
      <c r="DJ6" s="54" t="n">
        <f aca="false">DJ$5/Days_In_Year</f>
        <v>0.252054794520548</v>
      </c>
      <c r="DK6" s="54" t="n">
        <f aca="false">DK$5/Days_In_Year</f>
        <v>0.246575342465753</v>
      </c>
      <c r="DL6" s="54" t="n">
        <f aca="false">DL$5/Days_In_Year</f>
        <v>0.249315068493151</v>
      </c>
      <c r="DM6" s="54" t="n">
        <f aca="false">DM$5/Days_In_Year</f>
        <v>0.252054794520548</v>
      </c>
      <c r="DN6" s="54" t="n">
        <f aca="false">DN$5/Days_In_Year</f>
        <v>0.252054794520548</v>
      </c>
      <c r="DO6" s="54" t="n">
        <f aca="false">DO$5/Days_In_Year</f>
        <v>0.246575342465753</v>
      </c>
      <c r="DP6" s="54" t="n">
        <f aca="false">DP$5/Days_In_Year</f>
        <v>0.249315068493151</v>
      </c>
      <c r="DQ6" s="54" t="n">
        <f aca="false">DQ$5/Days_In_Year</f>
        <v>0.252054794520548</v>
      </c>
      <c r="DR6" s="54" t="n">
        <f aca="false">DR$5/Days_In_Year</f>
        <v>0.252054794520548</v>
      </c>
      <c r="DS6" s="54" t="n">
        <f aca="false">DS$5/Days_In_Year</f>
        <v>0.246575342465753</v>
      </c>
      <c r="DT6" s="54" t="n">
        <f aca="false">DT$5/Days_In_Year</f>
        <v>0.249315068493151</v>
      </c>
      <c r="DU6" s="54" t="n">
        <f aca="false">DU$5/Days_In_Year</f>
        <v>0.252054794520548</v>
      </c>
      <c r="DV6" s="54" t="n">
        <f aca="false">DV$5/Days_In_Year</f>
        <v>0.252054794520548</v>
      </c>
      <c r="DW6" s="54" t="n">
        <f aca="false">DW$5/Days_In_Year</f>
        <v>0.249315068493151</v>
      </c>
      <c r="DX6" s="54" t="n">
        <f aca="false">DX$5/Days_In_Year</f>
        <v>0.249315068493151</v>
      </c>
      <c r="DY6" s="54" t="n">
        <f aca="false">DY$5/Days_In_Year</f>
        <v>0.252054794520548</v>
      </c>
      <c r="DZ6" s="54" t="n">
        <f aca="false">DZ$5/Days_In_Year</f>
        <v>0.252054794520548</v>
      </c>
      <c r="EA6" s="54" t="n">
        <f aca="false">EA$5/Days_In_Year</f>
        <v>0.246575342465753</v>
      </c>
      <c r="EB6" s="54" t="n">
        <f aca="false">EB$5/Days_In_Year</f>
        <v>0.249315068493151</v>
      </c>
      <c r="EC6" s="54" t="n">
        <f aca="false">EC$5/Days_In_Year</f>
        <v>0.252054794520548</v>
      </c>
      <c r="ED6" s="54" t="n">
        <f aca="false">ED$5/Days_In_Year</f>
        <v>0.252054794520548</v>
      </c>
      <c r="EE6" s="54" t="n">
        <f aca="false">EE$5/Days_In_Year</f>
        <v>0.246575342465753</v>
      </c>
      <c r="EF6" s="54" t="n">
        <f aca="false">EF$5/Days_In_Year</f>
        <v>0.249315068493151</v>
      </c>
      <c r="EG6" s="54" t="n">
        <f aca="false">EG$5/Days_In_Year</f>
        <v>0.252054794520548</v>
      </c>
      <c r="EH6" s="54" t="n">
        <f aca="false">EH$5/Days_In_Year</f>
        <v>0.252054794520548</v>
      </c>
      <c r="EI6" s="54" t="n">
        <f aca="false">EI$5/Days_In_Year</f>
        <v>0.246575342465753</v>
      </c>
      <c r="EJ6" s="54" t="n">
        <f aca="false">EJ$5/Days_In_Year</f>
        <v>0.249315068493151</v>
      </c>
      <c r="EK6" s="54" t="n">
        <f aca="false">EK$5/Days_In_Year</f>
        <v>0.252054794520548</v>
      </c>
      <c r="EL6" s="54" t="n">
        <f aca="false">EL$5/Days_In_Year</f>
        <v>0.252054794520548</v>
      </c>
      <c r="EM6" s="54" t="n">
        <f aca="false">EM$5/Days_In_Year</f>
        <v>0.249315068493151</v>
      </c>
      <c r="EN6" s="54" t="n">
        <f aca="false">EN$5/Days_In_Year</f>
        <v>0.249315068493151</v>
      </c>
      <c r="EO6" s="54" t="n">
        <f aca="false">EO$5/Days_In_Year</f>
        <v>0.252054794520548</v>
      </c>
    </row>
    <row r="7" customFormat="false" ht="15" hidden="false" customHeight="false" outlineLevel="0" collapsed="false">
      <c r="C7" s="0" t="s">
        <v>369</v>
      </c>
      <c r="D7" s="11" t="s">
        <v>370</v>
      </c>
      <c r="J7" s="43" t="n">
        <f aca="false">YEAR(J$4)</f>
        <v>2026</v>
      </c>
      <c r="K7" s="43" t="n">
        <f aca="false">YEAR(K$4)</f>
        <v>2027</v>
      </c>
      <c r="L7" s="43" t="n">
        <f aca="false">YEAR(L$4)</f>
        <v>2027</v>
      </c>
      <c r="M7" s="43" t="n">
        <f aca="false">YEAR(M$4)</f>
        <v>2027</v>
      </c>
      <c r="N7" s="43" t="n">
        <f aca="false">YEAR(N$4)</f>
        <v>2027</v>
      </c>
      <c r="O7" s="43" t="n">
        <f aca="false">YEAR(O$4)</f>
        <v>2028</v>
      </c>
      <c r="P7" s="43" t="n">
        <f aca="false">YEAR(P$4)</f>
        <v>2028</v>
      </c>
      <c r="Q7" s="43" t="n">
        <f aca="false">YEAR(Q$4)</f>
        <v>2028</v>
      </c>
      <c r="R7" s="43" t="n">
        <f aca="false">YEAR(R$4)</f>
        <v>2028</v>
      </c>
      <c r="S7" s="43" t="n">
        <f aca="false">YEAR(S$4)</f>
        <v>2029</v>
      </c>
      <c r="T7" s="43" t="n">
        <f aca="false">YEAR(T$4)</f>
        <v>2029</v>
      </c>
      <c r="U7" s="43" t="n">
        <f aca="false">YEAR(U$4)</f>
        <v>2029</v>
      </c>
      <c r="V7" s="43" t="n">
        <f aca="false">YEAR(V$4)</f>
        <v>2029</v>
      </c>
      <c r="W7" s="43" t="n">
        <f aca="false">YEAR(W$4)</f>
        <v>2030</v>
      </c>
      <c r="X7" s="43" t="n">
        <f aca="false">YEAR(X$4)</f>
        <v>2030</v>
      </c>
      <c r="Y7" s="43" t="n">
        <f aca="false">YEAR(Y$4)</f>
        <v>2030</v>
      </c>
      <c r="Z7" s="43" t="n">
        <f aca="false">YEAR(Z$4)</f>
        <v>2030</v>
      </c>
      <c r="AA7" s="43" t="n">
        <f aca="false">YEAR(AA$4)</f>
        <v>2031</v>
      </c>
      <c r="AB7" s="43" t="n">
        <f aca="false">YEAR(AB$4)</f>
        <v>2031</v>
      </c>
      <c r="AC7" s="43" t="n">
        <f aca="false">YEAR(AC$4)</f>
        <v>2031</v>
      </c>
      <c r="AD7" s="43" t="n">
        <f aca="false">YEAR(AD$4)</f>
        <v>2031</v>
      </c>
      <c r="AE7" s="43" t="n">
        <f aca="false">YEAR(AE$4)</f>
        <v>2032</v>
      </c>
      <c r="AF7" s="43" t="n">
        <f aca="false">YEAR(AF$4)</f>
        <v>2032</v>
      </c>
      <c r="AG7" s="43" t="n">
        <f aca="false">YEAR(AG$4)</f>
        <v>2032</v>
      </c>
      <c r="AH7" s="43" t="n">
        <f aca="false">YEAR(AH$4)</f>
        <v>2032</v>
      </c>
      <c r="AI7" s="43" t="n">
        <f aca="false">YEAR(AI$4)</f>
        <v>2033</v>
      </c>
      <c r="AJ7" s="43" t="n">
        <f aca="false">YEAR(AJ$4)</f>
        <v>2033</v>
      </c>
      <c r="AK7" s="43" t="n">
        <f aca="false">YEAR(AK$4)</f>
        <v>2033</v>
      </c>
      <c r="AL7" s="43" t="n">
        <f aca="false">YEAR(AL$4)</f>
        <v>2033</v>
      </c>
      <c r="AM7" s="43" t="n">
        <f aca="false">YEAR(AM$4)</f>
        <v>2034</v>
      </c>
      <c r="AN7" s="43" t="n">
        <f aca="false">YEAR(AN$4)</f>
        <v>2034</v>
      </c>
      <c r="AO7" s="43" t="n">
        <f aca="false">YEAR(AO$4)</f>
        <v>2034</v>
      </c>
      <c r="AP7" s="43" t="n">
        <f aca="false">YEAR(AP$4)</f>
        <v>2034</v>
      </c>
      <c r="AQ7" s="43" t="n">
        <f aca="false">YEAR(AQ$4)</f>
        <v>2035</v>
      </c>
      <c r="AR7" s="43" t="n">
        <f aca="false">YEAR(AR$4)</f>
        <v>2035</v>
      </c>
      <c r="AS7" s="43" t="n">
        <f aca="false">YEAR(AS$4)</f>
        <v>2035</v>
      </c>
      <c r="AT7" s="43" t="n">
        <f aca="false">YEAR(AT$4)</f>
        <v>2035</v>
      </c>
      <c r="AU7" s="43" t="n">
        <f aca="false">YEAR(AU$4)</f>
        <v>2036</v>
      </c>
      <c r="AV7" s="43" t="n">
        <f aca="false">YEAR(AV$4)</f>
        <v>2036</v>
      </c>
      <c r="AW7" s="43" t="n">
        <f aca="false">YEAR(AW$4)</f>
        <v>2036</v>
      </c>
      <c r="AX7" s="43" t="n">
        <f aca="false">YEAR(AX$4)</f>
        <v>2036</v>
      </c>
      <c r="AY7" s="43" t="n">
        <f aca="false">YEAR(AY$4)</f>
        <v>2037</v>
      </c>
      <c r="AZ7" s="43" t="n">
        <f aca="false">YEAR(AZ$4)</f>
        <v>2037</v>
      </c>
      <c r="BA7" s="43" t="n">
        <f aca="false">YEAR(BA$4)</f>
        <v>2037</v>
      </c>
      <c r="BB7" s="43" t="n">
        <f aca="false">YEAR(BB$4)</f>
        <v>2037</v>
      </c>
      <c r="BC7" s="43" t="n">
        <f aca="false">YEAR(BC$4)</f>
        <v>2038</v>
      </c>
      <c r="BD7" s="43" t="n">
        <f aca="false">YEAR(BD$4)</f>
        <v>2038</v>
      </c>
      <c r="BE7" s="43" t="n">
        <f aca="false">YEAR(BE$4)</f>
        <v>2038</v>
      </c>
      <c r="BF7" s="43" t="n">
        <f aca="false">YEAR(BF$4)</f>
        <v>2038</v>
      </c>
      <c r="BG7" s="43" t="n">
        <f aca="false">YEAR(BG$4)</f>
        <v>2039</v>
      </c>
      <c r="BH7" s="43" t="n">
        <f aca="false">YEAR(BH$4)</f>
        <v>2039</v>
      </c>
      <c r="BI7" s="43" t="n">
        <f aca="false">YEAR(BI$4)</f>
        <v>2039</v>
      </c>
      <c r="BJ7" s="43" t="n">
        <f aca="false">YEAR(BJ$4)</f>
        <v>2039</v>
      </c>
      <c r="BK7" s="43" t="n">
        <f aca="false">YEAR(BK$4)</f>
        <v>2040</v>
      </c>
      <c r="BL7" s="43" t="n">
        <f aca="false">YEAR(BL$4)</f>
        <v>2040</v>
      </c>
      <c r="BM7" s="43" t="n">
        <f aca="false">YEAR(BM$4)</f>
        <v>2040</v>
      </c>
      <c r="BN7" s="43" t="n">
        <f aca="false">YEAR(BN$4)</f>
        <v>2040</v>
      </c>
      <c r="BO7" s="43" t="n">
        <f aca="false">YEAR(BO$4)</f>
        <v>2041</v>
      </c>
      <c r="BP7" s="43" t="n">
        <f aca="false">YEAR(BP$4)</f>
        <v>2041</v>
      </c>
      <c r="BQ7" s="43" t="n">
        <f aca="false">YEAR(BQ$4)</f>
        <v>2041</v>
      </c>
      <c r="BR7" s="43" t="n">
        <f aca="false">YEAR(BR$4)</f>
        <v>2041</v>
      </c>
      <c r="BS7" s="43" t="n">
        <f aca="false">YEAR(BS$4)</f>
        <v>2042</v>
      </c>
      <c r="BT7" s="43" t="n">
        <f aca="false">YEAR(BT$4)</f>
        <v>2042</v>
      </c>
      <c r="BU7" s="43" t="n">
        <f aca="false">YEAR(BU$4)</f>
        <v>2042</v>
      </c>
      <c r="BV7" s="43" t="n">
        <f aca="false">YEAR(BV$4)</f>
        <v>2042</v>
      </c>
      <c r="BW7" s="43" t="n">
        <f aca="false">YEAR(BW$4)</f>
        <v>2043</v>
      </c>
      <c r="BX7" s="43" t="n">
        <f aca="false">YEAR(BX$4)</f>
        <v>2043</v>
      </c>
      <c r="BY7" s="43" t="n">
        <f aca="false">YEAR(BY$4)</f>
        <v>2043</v>
      </c>
      <c r="BZ7" s="43" t="n">
        <f aca="false">YEAR(BZ$4)</f>
        <v>2043</v>
      </c>
      <c r="CA7" s="43" t="n">
        <f aca="false">YEAR(CA$4)</f>
        <v>2044</v>
      </c>
      <c r="CB7" s="43" t="n">
        <f aca="false">YEAR(CB$4)</f>
        <v>2044</v>
      </c>
      <c r="CC7" s="43" t="n">
        <f aca="false">YEAR(CC$4)</f>
        <v>2044</v>
      </c>
      <c r="CD7" s="43" t="n">
        <f aca="false">YEAR(CD$4)</f>
        <v>2044</v>
      </c>
      <c r="CE7" s="43" t="n">
        <f aca="false">YEAR(CE$4)</f>
        <v>2045</v>
      </c>
      <c r="CF7" s="43" t="n">
        <f aca="false">YEAR(CF$4)</f>
        <v>2045</v>
      </c>
      <c r="CG7" s="43" t="n">
        <f aca="false">YEAR(CG$4)</f>
        <v>2045</v>
      </c>
      <c r="CH7" s="43" t="n">
        <f aca="false">YEAR(CH$4)</f>
        <v>2045</v>
      </c>
      <c r="CI7" s="43" t="n">
        <f aca="false">YEAR(CI$4)</f>
        <v>2046</v>
      </c>
      <c r="CJ7" s="43" t="n">
        <f aca="false">YEAR(CJ$4)</f>
        <v>2046</v>
      </c>
      <c r="CK7" s="43" t="n">
        <f aca="false">YEAR(CK$4)</f>
        <v>2046</v>
      </c>
      <c r="CL7" s="43" t="n">
        <f aca="false">YEAR(CL$4)</f>
        <v>2046</v>
      </c>
      <c r="CM7" s="43" t="n">
        <f aca="false">YEAR(CM$4)</f>
        <v>2047</v>
      </c>
      <c r="CN7" s="43" t="n">
        <f aca="false">YEAR(CN$4)</f>
        <v>2047</v>
      </c>
      <c r="CO7" s="43" t="n">
        <f aca="false">YEAR(CO$4)</f>
        <v>2047</v>
      </c>
      <c r="CP7" s="43" t="n">
        <f aca="false">YEAR(CP$4)</f>
        <v>2047</v>
      </c>
      <c r="CQ7" s="43" t="n">
        <f aca="false">YEAR(CQ$4)</f>
        <v>2048</v>
      </c>
      <c r="CR7" s="43" t="n">
        <f aca="false">YEAR(CR$4)</f>
        <v>2048</v>
      </c>
      <c r="CS7" s="43" t="n">
        <f aca="false">YEAR(CS$4)</f>
        <v>2048</v>
      </c>
      <c r="CT7" s="43" t="n">
        <f aca="false">YEAR(CT$4)</f>
        <v>2048</v>
      </c>
      <c r="CU7" s="43" t="n">
        <f aca="false">YEAR(CU$4)</f>
        <v>2049</v>
      </c>
      <c r="CV7" s="43" t="n">
        <f aca="false">YEAR(CV$4)</f>
        <v>2049</v>
      </c>
      <c r="CW7" s="43" t="n">
        <f aca="false">YEAR(CW$4)</f>
        <v>2049</v>
      </c>
      <c r="CX7" s="43" t="n">
        <f aca="false">YEAR(CX$4)</f>
        <v>2049</v>
      </c>
      <c r="CY7" s="43" t="n">
        <f aca="false">YEAR(CY$4)</f>
        <v>2050</v>
      </c>
      <c r="CZ7" s="43" t="n">
        <f aca="false">YEAR(CZ$4)</f>
        <v>2050</v>
      </c>
      <c r="DA7" s="43" t="n">
        <f aca="false">YEAR(DA$4)</f>
        <v>2050</v>
      </c>
      <c r="DB7" s="43" t="n">
        <f aca="false">YEAR(DB$4)</f>
        <v>2050</v>
      </c>
      <c r="DC7" s="43" t="n">
        <f aca="false">YEAR(DC$4)</f>
        <v>2051</v>
      </c>
      <c r="DD7" s="43" t="n">
        <f aca="false">YEAR(DD$4)</f>
        <v>2051</v>
      </c>
      <c r="DE7" s="43" t="n">
        <f aca="false">YEAR(DE$4)</f>
        <v>2051</v>
      </c>
      <c r="DF7" s="43" t="n">
        <f aca="false">YEAR(DF$4)</f>
        <v>2051</v>
      </c>
      <c r="DG7" s="43" t="n">
        <f aca="false">YEAR(DG$4)</f>
        <v>2052</v>
      </c>
      <c r="DH7" s="43" t="n">
        <f aca="false">YEAR(DH$4)</f>
        <v>2052</v>
      </c>
      <c r="DI7" s="43" t="n">
        <f aca="false">YEAR(DI$4)</f>
        <v>2052</v>
      </c>
      <c r="DJ7" s="43" t="n">
        <f aca="false">YEAR(DJ$4)</f>
        <v>2052</v>
      </c>
      <c r="DK7" s="43" t="n">
        <f aca="false">YEAR(DK$4)</f>
        <v>2053</v>
      </c>
      <c r="DL7" s="43" t="n">
        <f aca="false">YEAR(DL$4)</f>
        <v>2053</v>
      </c>
      <c r="DM7" s="43" t="n">
        <f aca="false">YEAR(DM$4)</f>
        <v>2053</v>
      </c>
      <c r="DN7" s="43" t="n">
        <f aca="false">YEAR(DN$4)</f>
        <v>2053</v>
      </c>
      <c r="DO7" s="43" t="n">
        <f aca="false">YEAR(DO$4)</f>
        <v>2054</v>
      </c>
      <c r="DP7" s="43" t="n">
        <f aca="false">YEAR(DP$4)</f>
        <v>2054</v>
      </c>
      <c r="DQ7" s="43" t="n">
        <f aca="false">YEAR(DQ$4)</f>
        <v>2054</v>
      </c>
      <c r="DR7" s="43" t="n">
        <f aca="false">YEAR(DR$4)</f>
        <v>2054</v>
      </c>
      <c r="DS7" s="43" t="n">
        <f aca="false">YEAR(DS$4)</f>
        <v>2055</v>
      </c>
      <c r="DT7" s="43" t="n">
        <f aca="false">YEAR(DT$4)</f>
        <v>2055</v>
      </c>
      <c r="DU7" s="43" t="n">
        <f aca="false">YEAR(DU$4)</f>
        <v>2055</v>
      </c>
      <c r="DV7" s="43" t="n">
        <f aca="false">YEAR(DV$4)</f>
        <v>2055</v>
      </c>
      <c r="DW7" s="43" t="n">
        <f aca="false">YEAR(DW$4)</f>
        <v>2056</v>
      </c>
      <c r="DX7" s="43" t="n">
        <f aca="false">YEAR(DX$4)</f>
        <v>2056</v>
      </c>
      <c r="DY7" s="43" t="n">
        <f aca="false">YEAR(DY$4)</f>
        <v>2056</v>
      </c>
      <c r="DZ7" s="43" t="n">
        <f aca="false">YEAR(DZ$4)</f>
        <v>2056</v>
      </c>
      <c r="EA7" s="43" t="n">
        <f aca="false">YEAR(EA$4)</f>
        <v>2057</v>
      </c>
      <c r="EB7" s="43" t="n">
        <f aca="false">YEAR(EB$4)</f>
        <v>2057</v>
      </c>
      <c r="EC7" s="43" t="n">
        <f aca="false">YEAR(EC$4)</f>
        <v>2057</v>
      </c>
      <c r="ED7" s="43" t="n">
        <f aca="false">YEAR(ED$4)</f>
        <v>2057</v>
      </c>
      <c r="EE7" s="43" t="n">
        <f aca="false">YEAR(EE$4)</f>
        <v>2058</v>
      </c>
      <c r="EF7" s="43" t="n">
        <f aca="false">YEAR(EF$4)</f>
        <v>2058</v>
      </c>
      <c r="EG7" s="43" t="n">
        <f aca="false">YEAR(EG$4)</f>
        <v>2058</v>
      </c>
      <c r="EH7" s="43" t="n">
        <f aca="false">YEAR(EH$4)</f>
        <v>2058</v>
      </c>
      <c r="EI7" s="43" t="n">
        <f aca="false">YEAR(EI$4)</f>
        <v>2059</v>
      </c>
      <c r="EJ7" s="43" t="n">
        <f aca="false">YEAR(EJ$4)</f>
        <v>2059</v>
      </c>
      <c r="EK7" s="43" t="n">
        <f aca="false">YEAR(EK$4)</f>
        <v>2059</v>
      </c>
      <c r="EL7" s="43" t="n">
        <f aca="false">YEAR(EL$4)</f>
        <v>2059</v>
      </c>
      <c r="EM7" s="43" t="n">
        <f aca="false">YEAR(EM$4)</f>
        <v>2060</v>
      </c>
      <c r="EN7" s="43" t="n">
        <f aca="false">YEAR(EN$4)</f>
        <v>2060</v>
      </c>
      <c r="EO7" s="43" t="n">
        <f aca="false">YEAR(EO$4)</f>
        <v>2060</v>
      </c>
    </row>
    <row r="8" customFormat="false" ht="15" hidden="false" customHeight="false" outlineLevel="0" collapsed="false">
      <c r="C8" s="0" t="s">
        <v>371</v>
      </c>
      <c r="D8" s="11" t="s">
        <v>140</v>
      </c>
      <c r="J8" s="43" t="n">
        <f aca="false">I$8+1</f>
        <v>1</v>
      </c>
      <c r="K8" s="43" t="n">
        <f aca="false">J$8+1</f>
        <v>2</v>
      </c>
      <c r="L8" s="43" t="n">
        <f aca="false">K$8+1</f>
        <v>3</v>
      </c>
      <c r="M8" s="43" t="n">
        <f aca="false">L$8+1</f>
        <v>4</v>
      </c>
      <c r="N8" s="43" t="n">
        <f aca="false">M$8+1</f>
        <v>5</v>
      </c>
      <c r="O8" s="43" t="n">
        <f aca="false">N$8+1</f>
        <v>6</v>
      </c>
      <c r="P8" s="43" t="n">
        <f aca="false">O$8+1</f>
        <v>7</v>
      </c>
      <c r="Q8" s="43" t="n">
        <f aca="false">P$8+1</f>
        <v>8</v>
      </c>
      <c r="R8" s="43" t="n">
        <f aca="false">Q$8+1</f>
        <v>9</v>
      </c>
      <c r="S8" s="43" t="n">
        <f aca="false">R$8+1</f>
        <v>10</v>
      </c>
      <c r="T8" s="43" t="n">
        <f aca="false">S$8+1</f>
        <v>11</v>
      </c>
      <c r="U8" s="43" t="n">
        <f aca="false">T$8+1</f>
        <v>12</v>
      </c>
      <c r="V8" s="43" t="n">
        <f aca="false">U$8+1</f>
        <v>13</v>
      </c>
      <c r="W8" s="43" t="n">
        <f aca="false">V$8+1</f>
        <v>14</v>
      </c>
      <c r="X8" s="43" t="n">
        <f aca="false">W$8+1</f>
        <v>15</v>
      </c>
      <c r="Y8" s="43" t="n">
        <f aca="false">X$8+1</f>
        <v>16</v>
      </c>
      <c r="Z8" s="43" t="n">
        <f aca="false">Y$8+1</f>
        <v>17</v>
      </c>
      <c r="AA8" s="43" t="n">
        <f aca="false">Z$8+1</f>
        <v>18</v>
      </c>
      <c r="AB8" s="43" t="n">
        <f aca="false">AA$8+1</f>
        <v>19</v>
      </c>
      <c r="AC8" s="43" t="n">
        <f aca="false">AB$8+1</f>
        <v>20</v>
      </c>
      <c r="AD8" s="43" t="n">
        <f aca="false">AC$8+1</f>
        <v>21</v>
      </c>
      <c r="AE8" s="43" t="n">
        <f aca="false">AD$8+1</f>
        <v>22</v>
      </c>
      <c r="AF8" s="43" t="n">
        <f aca="false">AE$8+1</f>
        <v>23</v>
      </c>
      <c r="AG8" s="43" t="n">
        <f aca="false">AF$8+1</f>
        <v>24</v>
      </c>
      <c r="AH8" s="43" t="n">
        <f aca="false">AG$8+1</f>
        <v>25</v>
      </c>
      <c r="AI8" s="43" t="n">
        <f aca="false">AH$8+1</f>
        <v>26</v>
      </c>
      <c r="AJ8" s="43" t="n">
        <f aca="false">AI$8+1</f>
        <v>27</v>
      </c>
      <c r="AK8" s="43" t="n">
        <f aca="false">AJ$8+1</f>
        <v>28</v>
      </c>
      <c r="AL8" s="43" t="n">
        <f aca="false">AK$8+1</f>
        <v>29</v>
      </c>
      <c r="AM8" s="43" t="n">
        <f aca="false">AL$8+1</f>
        <v>30</v>
      </c>
      <c r="AN8" s="43" t="n">
        <f aca="false">AM$8+1</f>
        <v>31</v>
      </c>
      <c r="AO8" s="43" t="n">
        <f aca="false">AN$8+1</f>
        <v>32</v>
      </c>
      <c r="AP8" s="43" t="n">
        <f aca="false">AO$8+1</f>
        <v>33</v>
      </c>
      <c r="AQ8" s="43" t="n">
        <f aca="false">AP$8+1</f>
        <v>34</v>
      </c>
      <c r="AR8" s="43" t="n">
        <f aca="false">AQ$8+1</f>
        <v>35</v>
      </c>
      <c r="AS8" s="43" t="n">
        <f aca="false">AR$8+1</f>
        <v>36</v>
      </c>
      <c r="AT8" s="43" t="n">
        <f aca="false">AS$8+1</f>
        <v>37</v>
      </c>
      <c r="AU8" s="43" t="n">
        <f aca="false">AT$8+1</f>
        <v>38</v>
      </c>
      <c r="AV8" s="43" t="n">
        <f aca="false">AU$8+1</f>
        <v>39</v>
      </c>
      <c r="AW8" s="43" t="n">
        <f aca="false">AV$8+1</f>
        <v>40</v>
      </c>
      <c r="AX8" s="43" t="n">
        <f aca="false">AW$8+1</f>
        <v>41</v>
      </c>
      <c r="AY8" s="43" t="n">
        <f aca="false">AX$8+1</f>
        <v>42</v>
      </c>
      <c r="AZ8" s="43" t="n">
        <f aca="false">AY$8+1</f>
        <v>43</v>
      </c>
      <c r="BA8" s="43" t="n">
        <f aca="false">AZ$8+1</f>
        <v>44</v>
      </c>
      <c r="BB8" s="43" t="n">
        <f aca="false">BA$8+1</f>
        <v>45</v>
      </c>
      <c r="BC8" s="43" t="n">
        <f aca="false">BB$8+1</f>
        <v>46</v>
      </c>
      <c r="BD8" s="43" t="n">
        <f aca="false">BC$8+1</f>
        <v>47</v>
      </c>
      <c r="BE8" s="43" t="n">
        <f aca="false">BD$8+1</f>
        <v>48</v>
      </c>
      <c r="BF8" s="43" t="n">
        <f aca="false">BE$8+1</f>
        <v>49</v>
      </c>
      <c r="BG8" s="43" t="n">
        <f aca="false">BF$8+1</f>
        <v>50</v>
      </c>
      <c r="BH8" s="43" t="n">
        <f aca="false">BG$8+1</f>
        <v>51</v>
      </c>
      <c r="BI8" s="43" t="n">
        <f aca="false">BH$8+1</f>
        <v>52</v>
      </c>
      <c r="BJ8" s="43" t="n">
        <f aca="false">BI$8+1</f>
        <v>53</v>
      </c>
      <c r="BK8" s="43" t="n">
        <f aca="false">BJ$8+1</f>
        <v>54</v>
      </c>
      <c r="BL8" s="43" t="n">
        <f aca="false">BK$8+1</f>
        <v>55</v>
      </c>
      <c r="BM8" s="43" t="n">
        <f aca="false">BL$8+1</f>
        <v>56</v>
      </c>
      <c r="BN8" s="43" t="n">
        <f aca="false">BM$8+1</f>
        <v>57</v>
      </c>
      <c r="BO8" s="43" t="n">
        <f aca="false">BN$8+1</f>
        <v>58</v>
      </c>
      <c r="BP8" s="43" t="n">
        <f aca="false">BO$8+1</f>
        <v>59</v>
      </c>
      <c r="BQ8" s="43" t="n">
        <f aca="false">BP$8+1</f>
        <v>60</v>
      </c>
      <c r="BR8" s="43" t="n">
        <f aca="false">BQ$8+1</f>
        <v>61</v>
      </c>
      <c r="BS8" s="43" t="n">
        <f aca="false">BR$8+1</f>
        <v>62</v>
      </c>
      <c r="BT8" s="43" t="n">
        <f aca="false">BS$8+1</f>
        <v>63</v>
      </c>
      <c r="BU8" s="43" t="n">
        <f aca="false">BT$8+1</f>
        <v>64</v>
      </c>
      <c r="BV8" s="43" t="n">
        <f aca="false">BU$8+1</f>
        <v>65</v>
      </c>
      <c r="BW8" s="43" t="n">
        <f aca="false">BV$8+1</f>
        <v>66</v>
      </c>
      <c r="BX8" s="43" t="n">
        <f aca="false">BW$8+1</f>
        <v>67</v>
      </c>
      <c r="BY8" s="43" t="n">
        <f aca="false">BX$8+1</f>
        <v>68</v>
      </c>
      <c r="BZ8" s="43" t="n">
        <f aca="false">BY$8+1</f>
        <v>69</v>
      </c>
      <c r="CA8" s="43" t="n">
        <f aca="false">BZ$8+1</f>
        <v>70</v>
      </c>
      <c r="CB8" s="43" t="n">
        <f aca="false">CA$8+1</f>
        <v>71</v>
      </c>
      <c r="CC8" s="43" t="n">
        <f aca="false">CB$8+1</f>
        <v>72</v>
      </c>
      <c r="CD8" s="43" t="n">
        <f aca="false">CC$8+1</f>
        <v>73</v>
      </c>
      <c r="CE8" s="43" t="n">
        <f aca="false">CD$8+1</f>
        <v>74</v>
      </c>
      <c r="CF8" s="43" t="n">
        <f aca="false">CE$8+1</f>
        <v>75</v>
      </c>
      <c r="CG8" s="43" t="n">
        <f aca="false">CF$8+1</f>
        <v>76</v>
      </c>
      <c r="CH8" s="43" t="n">
        <f aca="false">CG$8+1</f>
        <v>77</v>
      </c>
      <c r="CI8" s="43" t="n">
        <f aca="false">CH$8+1</f>
        <v>78</v>
      </c>
      <c r="CJ8" s="43" t="n">
        <f aca="false">CI$8+1</f>
        <v>79</v>
      </c>
      <c r="CK8" s="43" t="n">
        <f aca="false">CJ$8+1</f>
        <v>80</v>
      </c>
      <c r="CL8" s="43" t="n">
        <f aca="false">CK$8+1</f>
        <v>81</v>
      </c>
      <c r="CM8" s="43" t="n">
        <f aca="false">CL$8+1</f>
        <v>82</v>
      </c>
      <c r="CN8" s="43" t="n">
        <f aca="false">CM$8+1</f>
        <v>83</v>
      </c>
      <c r="CO8" s="43" t="n">
        <f aca="false">CN$8+1</f>
        <v>84</v>
      </c>
      <c r="CP8" s="43" t="n">
        <f aca="false">CO$8+1</f>
        <v>85</v>
      </c>
      <c r="CQ8" s="43" t="n">
        <f aca="false">CP$8+1</f>
        <v>86</v>
      </c>
      <c r="CR8" s="43" t="n">
        <f aca="false">CQ$8+1</f>
        <v>87</v>
      </c>
      <c r="CS8" s="43" t="n">
        <f aca="false">CR$8+1</f>
        <v>88</v>
      </c>
      <c r="CT8" s="43" t="n">
        <f aca="false">CS$8+1</f>
        <v>89</v>
      </c>
      <c r="CU8" s="43" t="n">
        <f aca="false">CT$8+1</f>
        <v>90</v>
      </c>
      <c r="CV8" s="43" t="n">
        <f aca="false">CU$8+1</f>
        <v>91</v>
      </c>
      <c r="CW8" s="43" t="n">
        <f aca="false">CV$8+1</f>
        <v>92</v>
      </c>
      <c r="CX8" s="43" t="n">
        <f aca="false">CW$8+1</f>
        <v>93</v>
      </c>
      <c r="CY8" s="43" t="n">
        <f aca="false">CX$8+1</f>
        <v>94</v>
      </c>
      <c r="CZ8" s="43" t="n">
        <f aca="false">CY$8+1</f>
        <v>95</v>
      </c>
      <c r="DA8" s="43" t="n">
        <f aca="false">CZ$8+1</f>
        <v>96</v>
      </c>
      <c r="DB8" s="43" t="n">
        <f aca="false">DA$8+1</f>
        <v>97</v>
      </c>
      <c r="DC8" s="43" t="n">
        <f aca="false">DB$8+1</f>
        <v>98</v>
      </c>
      <c r="DD8" s="43" t="n">
        <f aca="false">DC$8+1</f>
        <v>99</v>
      </c>
      <c r="DE8" s="43" t="n">
        <f aca="false">DD$8+1</f>
        <v>100</v>
      </c>
      <c r="DF8" s="43" t="n">
        <f aca="false">DE$8+1</f>
        <v>101</v>
      </c>
      <c r="DG8" s="43" t="n">
        <f aca="false">DF$8+1</f>
        <v>102</v>
      </c>
      <c r="DH8" s="43" t="n">
        <f aca="false">DG$8+1</f>
        <v>103</v>
      </c>
      <c r="DI8" s="43" t="n">
        <f aca="false">DH$8+1</f>
        <v>104</v>
      </c>
      <c r="DJ8" s="43" t="n">
        <f aca="false">DI$8+1</f>
        <v>105</v>
      </c>
      <c r="DK8" s="43" t="n">
        <f aca="false">DJ$8+1</f>
        <v>106</v>
      </c>
      <c r="DL8" s="43" t="n">
        <f aca="false">DK$8+1</f>
        <v>107</v>
      </c>
      <c r="DM8" s="43" t="n">
        <f aca="false">DL$8+1</f>
        <v>108</v>
      </c>
      <c r="DN8" s="43" t="n">
        <f aca="false">DM$8+1</f>
        <v>109</v>
      </c>
      <c r="DO8" s="43" t="n">
        <f aca="false">DN$8+1</f>
        <v>110</v>
      </c>
      <c r="DP8" s="43" t="n">
        <f aca="false">DO$8+1</f>
        <v>111</v>
      </c>
      <c r="DQ8" s="43" t="n">
        <f aca="false">DP$8+1</f>
        <v>112</v>
      </c>
      <c r="DR8" s="43" t="n">
        <f aca="false">DQ$8+1</f>
        <v>113</v>
      </c>
      <c r="DS8" s="43" t="n">
        <f aca="false">DR$8+1</f>
        <v>114</v>
      </c>
      <c r="DT8" s="43" t="n">
        <f aca="false">DS$8+1</f>
        <v>115</v>
      </c>
      <c r="DU8" s="43" t="n">
        <f aca="false">DT$8+1</f>
        <v>116</v>
      </c>
      <c r="DV8" s="43" t="n">
        <f aca="false">DU$8+1</f>
        <v>117</v>
      </c>
      <c r="DW8" s="43" t="n">
        <f aca="false">DV$8+1</f>
        <v>118</v>
      </c>
      <c r="DX8" s="43" t="n">
        <f aca="false">DW$8+1</f>
        <v>119</v>
      </c>
      <c r="DY8" s="43" t="n">
        <f aca="false">DX$8+1</f>
        <v>120</v>
      </c>
      <c r="DZ8" s="43" t="n">
        <f aca="false">DY$8+1</f>
        <v>121</v>
      </c>
      <c r="EA8" s="43" t="n">
        <f aca="false">DZ$8+1</f>
        <v>122</v>
      </c>
      <c r="EB8" s="43" t="n">
        <f aca="false">EA$8+1</f>
        <v>123</v>
      </c>
      <c r="EC8" s="43" t="n">
        <f aca="false">EB$8+1</f>
        <v>124</v>
      </c>
      <c r="ED8" s="43" t="n">
        <f aca="false">EC$8+1</f>
        <v>125</v>
      </c>
      <c r="EE8" s="43" t="n">
        <f aca="false">ED$8+1</f>
        <v>126</v>
      </c>
      <c r="EF8" s="43" t="n">
        <f aca="false">EE$8+1</f>
        <v>127</v>
      </c>
      <c r="EG8" s="43" t="n">
        <f aca="false">EF$8+1</f>
        <v>128</v>
      </c>
      <c r="EH8" s="43" t="n">
        <f aca="false">EG$8+1</f>
        <v>129</v>
      </c>
      <c r="EI8" s="43" t="n">
        <f aca="false">EH$8+1</f>
        <v>130</v>
      </c>
      <c r="EJ8" s="43" t="n">
        <f aca="false">EI$8+1</f>
        <v>131</v>
      </c>
      <c r="EK8" s="43" t="n">
        <f aca="false">EJ$8+1</f>
        <v>132</v>
      </c>
      <c r="EL8" s="43" t="n">
        <f aca="false">EK$8+1</f>
        <v>133</v>
      </c>
      <c r="EM8" s="43" t="n">
        <f aca="false">EL$8+1</f>
        <v>134</v>
      </c>
      <c r="EN8" s="43" t="n">
        <f aca="false">EM$8+1</f>
        <v>135</v>
      </c>
      <c r="EO8" s="43" t="n">
        <f aca="false">EN$8+1</f>
        <v>136</v>
      </c>
    </row>
    <row r="11" customFormat="false" ht="15" hidden="false" customHeight="false" outlineLevel="0" collapsed="false">
      <c r="A11" s="9" t="s">
        <v>13</v>
      </c>
      <c r="B11" s="9"/>
      <c r="C11" s="9" t="s">
        <v>372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373</v>
      </c>
      <c r="D12" s="11" t="s">
        <v>368</v>
      </c>
      <c r="E12" s="45" t="n">
        <f aca="false">In_NTP+1</f>
        <v>47027</v>
      </c>
      <c r="F12" s="20" t="n">
        <f aca="false">In_COD</f>
        <v>47756</v>
      </c>
      <c r="I12" s="54" t="n">
        <f aca="false">SUM(J12:EO12)</f>
        <v>1</v>
      </c>
      <c r="J12" s="54" t="n">
        <f aca="false">MAX(0,MIN($F12,J$4)-MAX($E12,J$3)+1)/($F12-$E12+1)</f>
        <v>0</v>
      </c>
      <c r="K12" s="54" t="n">
        <f aca="false">MAX(0,MIN($F12,K$4)-MAX($E12,K$3)+1)/($F12-$E12+1)</f>
        <v>0</v>
      </c>
      <c r="L12" s="54" t="n">
        <f aca="false">MAX(0,MIN($F12,L$4)-MAX($E12,L$3)+1)/($F12-$E12+1)</f>
        <v>0</v>
      </c>
      <c r="M12" s="54" t="n">
        <f aca="false">MAX(0,MIN($F12,M$4)-MAX($E12,M$3)+1)/($F12-$E12+1)</f>
        <v>0</v>
      </c>
      <c r="N12" s="54" t="n">
        <f aca="false">MAX(0,MIN($F12,N$4)-MAX($E12,N$3)+1)/($F12-$E12+1)</f>
        <v>0</v>
      </c>
      <c r="O12" s="54" t="n">
        <f aca="false">MAX(0,MIN($F12,O$4)-MAX($E12,O$3)+1)/($F12-$E12+1)</f>
        <v>0</v>
      </c>
      <c r="P12" s="54" t="n">
        <f aca="false">MAX(0,MIN($F12,P$4)-MAX($E12,P$3)+1)/($F12-$E12+1)</f>
        <v>0</v>
      </c>
      <c r="Q12" s="54" t="n">
        <f aca="false">MAX(0,MIN($F12,Q$4)-MAX($E12,Q$3)+1)/($F12-$E12+1)</f>
        <v>0</v>
      </c>
      <c r="R12" s="54" t="n">
        <f aca="false">MAX(0,MIN($F12,R$4)-MAX($E12,R$3)+1)/($F12-$E12+1)</f>
        <v>0.126027397260274</v>
      </c>
      <c r="S12" s="54" t="n">
        <f aca="false">MAX(0,MIN($F12,S$4)-MAX($E12,S$3)+1)/($F12-$E12+1)</f>
        <v>0.123287671232877</v>
      </c>
      <c r="T12" s="54" t="n">
        <f aca="false">MAX(0,MIN($F12,T$4)-MAX($E12,T$3)+1)/($F12-$E12+1)</f>
        <v>0.124657534246575</v>
      </c>
      <c r="U12" s="54" t="n">
        <f aca="false">MAX(0,MIN($F12,U$4)-MAX($E12,U$3)+1)/($F12-$E12+1)</f>
        <v>0.126027397260274</v>
      </c>
      <c r="V12" s="54" t="n">
        <f aca="false">MAX(0,MIN($F12,V$4)-MAX($E12,V$3)+1)/($F12-$E12+1)</f>
        <v>0.126027397260274</v>
      </c>
      <c r="W12" s="54" t="n">
        <f aca="false">MAX(0,MIN($F12,W$4)-MAX($E12,W$3)+1)/($F12-$E12+1)</f>
        <v>0.123287671232877</v>
      </c>
      <c r="X12" s="54" t="n">
        <f aca="false">MAX(0,MIN($F12,X$4)-MAX($E12,X$3)+1)/($F12-$E12+1)</f>
        <v>0.124657534246575</v>
      </c>
      <c r="Y12" s="54" t="n">
        <f aca="false">MAX(0,MIN($F12,Y$4)-MAX($E12,Y$3)+1)/($F12-$E12+1)</f>
        <v>0.126027397260274</v>
      </c>
      <c r="Z12" s="54" t="n">
        <f aca="false">MAX(0,MIN($F12,Z$4)-MAX($E12,Z$3)+1)/($F12-$E12+1)</f>
        <v>0</v>
      </c>
      <c r="AA12" s="54" t="n">
        <f aca="false">MAX(0,MIN($F12,AA$4)-MAX($E12,AA$3)+1)/($F12-$E12+1)</f>
        <v>0</v>
      </c>
      <c r="AB12" s="54" t="n">
        <f aca="false">MAX(0,MIN($F12,AB$4)-MAX($E12,AB$3)+1)/($F12-$E12+1)</f>
        <v>0</v>
      </c>
      <c r="AC12" s="54" t="n">
        <f aca="false">MAX(0,MIN($F12,AC$4)-MAX($E12,AC$3)+1)/($F12-$E12+1)</f>
        <v>0</v>
      </c>
      <c r="AD12" s="54" t="n">
        <f aca="false">MAX(0,MIN($F12,AD$4)-MAX($E12,AD$3)+1)/($F12-$E12+1)</f>
        <v>0</v>
      </c>
      <c r="AE12" s="54" t="n">
        <f aca="false">MAX(0,MIN($F12,AE$4)-MAX($E12,AE$3)+1)/($F12-$E12+1)</f>
        <v>0</v>
      </c>
      <c r="AF12" s="54" t="n">
        <f aca="false">MAX(0,MIN($F12,AF$4)-MAX($E12,AF$3)+1)/($F12-$E12+1)</f>
        <v>0</v>
      </c>
      <c r="AG12" s="54" t="n">
        <f aca="false">MAX(0,MIN($F12,AG$4)-MAX($E12,AG$3)+1)/($F12-$E12+1)</f>
        <v>0</v>
      </c>
      <c r="AH12" s="54" t="n">
        <f aca="false">MAX(0,MIN($F12,AH$4)-MAX($E12,AH$3)+1)/($F12-$E12+1)</f>
        <v>0</v>
      </c>
      <c r="AI12" s="54" t="n">
        <f aca="false">MAX(0,MIN($F12,AI$4)-MAX($E12,AI$3)+1)/($F12-$E12+1)</f>
        <v>0</v>
      </c>
      <c r="AJ12" s="54" t="n">
        <f aca="false">MAX(0,MIN($F12,AJ$4)-MAX($E12,AJ$3)+1)/($F12-$E12+1)</f>
        <v>0</v>
      </c>
      <c r="AK12" s="54" t="n">
        <f aca="false">MAX(0,MIN($F12,AK$4)-MAX($E12,AK$3)+1)/($F12-$E12+1)</f>
        <v>0</v>
      </c>
      <c r="AL12" s="54" t="n">
        <f aca="false">MAX(0,MIN($F12,AL$4)-MAX($E12,AL$3)+1)/($F12-$E12+1)</f>
        <v>0</v>
      </c>
      <c r="AM12" s="54" t="n">
        <f aca="false">MAX(0,MIN($F12,AM$4)-MAX($E12,AM$3)+1)/($F12-$E12+1)</f>
        <v>0</v>
      </c>
      <c r="AN12" s="54" t="n">
        <f aca="false">MAX(0,MIN($F12,AN$4)-MAX($E12,AN$3)+1)/($F12-$E12+1)</f>
        <v>0</v>
      </c>
      <c r="AO12" s="54" t="n">
        <f aca="false">MAX(0,MIN($F12,AO$4)-MAX($E12,AO$3)+1)/($F12-$E12+1)</f>
        <v>0</v>
      </c>
      <c r="AP12" s="54" t="n">
        <f aca="false">MAX(0,MIN($F12,AP$4)-MAX($E12,AP$3)+1)/($F12-$E12+1)</f>
        <v>0</v>
      </c>
      <c r="AQ12" s="54" t="n">
        <f aca="false">MAX(0,MIN($F12,AQ$4)-MAX($E12,AQ$3)+1)/($F12-$E12+1)</f>
        <v>0</v>
      </c>
      <c r="AR12" s="54" t="n">
        <f aca="false">MAX(0,MIN($F12,AR$4)-MAX($E12,AR$3)+1)/($F12-$E12+1)</f>
        <v>0</v>
      </c>
      <c r="AS12" s="54" t="n">
        <f aca="false">MAX(0,MIN($F12,AS$4)-MAX($E12,AS$3)+1)/($F12-$E12+1)</f>
        <v>0</v>
      </c>
      <c r="AT12" s="54" t="n">
        <f aca="false">MAX(0,MIN($F12,AT$4)-MAX($E12,AT$3)+1)/($F12-$E12+1)</f>
        <v>0</v>
      </c>
      <c r="AU12" s="54" t="n">
        <f aca="false">MAX(0,MIN($F12,AU$4)-MAX($E12,AU$3)+1)/($F12-$E12+1)</f>
        <v>0</v>
      </c>
      <c r="AV12" s="54" t="n">
        <f aca="false">MAX(0,MIN($F12,AV$4)-MAX($E12,AV$3)+1)/($F12-$E12+1)</f>
        <v>0</v>
      </c>
      <c r="AW12" s="54" t="n">
        <f aca="false">MAX(0,MIN($F12,AW$4)-MAX($E12,AW$3)+1)/($F12-$E12+1)</f>
        <v>0</v>
      </c>
      <c r="AX12" s="54" t="n">
        <f aca="false">MAX(0,MIN($F12,AX$4)-MAX($E12,AX$3)+1)/($F12-$E12+1)</f>
        <v>0</v>
      </c>
      <c r="AY12" s="54" t="n">
        <f aca="false">MAX(0,MIN($F12,AY$4)-MAX($E12,AY$3)+1)/($F12-$E12+1)</f>
        <v>0</v>
      </c>
      <c r="AZ12" s="54" t="n">
        <f aca="false">MAX(0,MIN($F12,AZ$4)-MAX($E12,AZ$3)+1)/($F12-$E12+1)</f>
        <v>0</v>
      </c>
      <c r="BA12" s="54" t="n">
        <f aca="false">MAX(0,MIN($F12,BA$4)-MAX($E12,BA$3)+1)/($F12-$E12+1)</f>
        <v>0</v>
      </c>
      <c r="BB12" s="54" t="n">
        <f aca="false">MAX(0,MIN($F12,BB$4)-MAX($E12,BB$3)+1)/($F12-$E12+1)</f>
        <v>0</v>
      </c>
      <c r="BC12" s="54" t="n">
        <f aca="false">MAX(0,MIN($F12,BC$4)-MAX($E12,BC$3)+1)/($F12-$E12+1)</f>
        <v>0</v>
      </c>
      <c r="BD12" s="54" t="n">
        <f aca="false">MAX(0,MIN($F12,BD$4)-MAX($E12,BD$3)+1)/($F12-$E12+1)</f>
        <v>0</v>
      </c>
      <c r="BE12" s="54" t="n">
        <f aca="false">MAX(0,MIN($F12,BE$4)-MAX($E12,BE$3)+1)/($F12-$E12+1)</f>
        <v>0</v>
      </c>
      <c r="BF12" s="54" t="n">
        <f aca="false">MAX(0,MIN($F12,BF$4)-MAX($E12,BF$3)+1)/($F12-$E12+1)</f>
        <v>0</v>
      </c>
      <c r="BG12" s="54" t="n">
        <f aca="false">MAX(0,MIN($F12,BG$4)-MAX($E12,BG$3)+1)/($F12-$E12+1)</f>
        <v>0</v>
      </c>
      <c r="BH12" s="54" t="n">
        <f aca="false">MAX(0,MIN($F12,BH$4)-MAX($E12,BH$3)+1)/($F12-$E12+1)</f>
        <v>0</v>
      </c>
      <c r="BI12" s="54" t="n">
        <f aca="false">MAX(0,MIN($F12,BI$4)-MAX($E12,BI$3)+1)/($F12-$E12+1)</f>
        <v>0</v>
      </c>
      <c r="BJ12" s="54" t="n">
        <f aca="false">MAX(0,MIN($F12,BJ$4)-MAX($E12,BJ$3)+1)/($F12-$E12+1)</f>
        <v>0</v>
      </c>
      <c r="BK12" s="54" t="n">
        <f aca="false">MAX(0,MIN($F12,BK$4)-MAX($E12,BK$3)+1)/($F12-$E12+1)</f>
        <v>0</v>
      </c>
      <c r="BL12" s="54" t="n">
        <f aca="false">MAX(0,MIN($F12,BL$4)-MAX($E12,BL$3)+1)/($F12-$E12+1)</f>
        <v>0</v>
      </c>
      <c r="BM12" s="54" t="n">
        <f aca="false">MAX(0,MIN($F12,BM$4)-MAX($E12,BM$3)+1)/($F12-$E12+1)</f>
        <v>0</v>
      </c>
      <c r="BN12" s="54" t="n">
        <f aca="false">MAX(0,MIN($F12,BN$4)-MAX($E12,BN$3)+1)/($F12-$E12+1)</f>
        <v>0</v>
      </c>
      <c r="BO12" s="54" t="n">
        <f aca="false">MAX(0,MIN($F12,BO$4)-MAX($E12,BO$3)+1)/($F12-$E12+1)</f>
        <v>0</v>
      </c>
      <c r="BP12" s="54" t="n">
        <f aca="false">MAX(0,MIN($F12,BP$4)-MAX($E12,BP$3)+1)/($F12-$E12+1)</f>
        <v>0</v>
      </c>
      <c r="BQ12" s="54" t="n">
        <f aca="false">MAX(0,MIN($F12,BQ$4)-MAX($E12,BQ$3)+1)/($F12-$E12+1)</f>
        <v>0</v>
      </c>
      <c r="BR12" s="54" t="n">
        <f aca="false">MAX(0,MIN($F12,BR$4)-MAX($E12,BR$3)+1)/($F12-$E12+1)</f>
        <v>0</v>
      </c>
      <c r="BS12" s="54" t="n">
        <f aca="false">MAX(0,MIN($F12,BS$4)-MAX($E12,BS$3)+1)/($F12-$E12+1)</f>
        <v>0</v>
      </c>
      <c r="BT12" s="54" t="n">
        <f aca="false">MAX(0,MIN($F12,BT$4)-MAX($E12,BT$3)+1)/($F12-$E12+1)</f>
        <v>0</v>
      </c>
      <c r="BU12" s="54" t="n">
        <f aca="false">MAX(0,MIN($F12,BU$4)-MAX($E12,BU$3)+1)/($F12-$E12+1)</f>
        <v>0</v>
      </c>
      <c r="BV12" s="54" t="n">
        <f aca="false">MAX(0,MIN($F12,BV$4)-MAX($E12,BV$3)+1)/($F12-$E12+1)</f>
        <v>0</v>
      </c>
      <c r="BW12" s="54" t="n">
        <f aca="false">MAX(0,MIN($F12,BW$4)-MAX($E12,BW$3)+1)/($F12-$E12+1)</f>
        <v>0</v>
      </c>
      <c r="BX12" s="54" t="n">
        <f aca="false">MAX(0,MIN($F12,BX$4)-MAX($E12,BX$3)+1)/($F12-$E12+1)</f>
        <v>0</v>
      </c>
      <c r="BY12" s="54" t="n">
        <f aca="false">MAX(0,MIN($F12,BY$4)-MAX($E12,BY$3)+1)/($F12-$E12+1)</f>
        <v>0</v>
      </c>
      <c r="BZ12" s="54" t="n">
        <f aca="false">MAX(0,MIN($F12,BZ$4)-MAX($E12,BZ$3)+1)/($F12-$E12+1)</f>
        <v>0</v>
      </c>
      <c r="CA12" s="54" t="n">
        <f aca="false">MAX(0,MIN($F12,CA$4)-MAX($E12,CA$3)+1)/($F12-$E12+1)</f>
        <v>0</v>
      </c>
      <c r="CB12" s="54" t="n">
        <f aca="false">MAX(0,MIN($F12,CB$4)-MAX($E12,CB$3)+1)/($F12-$E12+1)</f>
        <v>0</v>
      </c>
      <c r="CC12" s="54" t="n">
        <f aca="false">MAX(0,MIN($F12,CC$4)-MAX($E12,CC$3)+1)/($F12-$E12+1)</f>
        <v>0</v>
      </c>
      <c r="CD12" s="54" t="n">
        <f aca="false">MAX(0,MIN($F12,CD$4)-MAX($E12,CD$3)+1)/($F12-$E12+1)</f>
        <v>0</v>
      </c>
      <c r="CE12" s="54" t="n">
        <f aca="false">MAX(0,MIN($F12,CE$4)-MAX($E12,CE$3)+1)/($F12-$E12+1)</f>
        <v>0</v>
      </c>
      <c r="CF12" s="54" t="n">
        <f aca="false">MAX(0,MIN($F12,CF$4)-MAX($E12,CF$3)+1)/($F12-$E12+1)</f>
        <v>0</v>
      </c>
      <c r="CG12" s="54" t="n">
        <f aca="false">MAX(0,MIN($F12,CG$4)-MAX($E12,CG$3)+1)/($F12-$E12+1)</f>
        <v>0</v>
      </c>
      <c r="CH12" s="54" t="n">
        <f aca="false">MAX(0,MIN($F12,CH$4)-MAX($E12,CH$3)+1)/($F12-$E12+1)</f>
        <v>0</v>
      </c>
      <c r="CI12" s="54" t="n">
        <f aca="false">MAX(0,MIN($F12,CI$4)-MAX($E12,CI$3)+1)/($F12-$E12+1)</f>
        <v>0</v>
      </c>
      <c r="CJ12" s="54" t="n">
        <f aca="false">MAX(0,MIN($F12,CJ$4)-MAX($E12,CJ$3)+1)/($F12-$E12+1)</f>
        <v>0</v>
      </c>
      <c r="CK12" s="54" t="n">
        <f aca="false">MAX(0,MIN($F12,CK$4)-MAX($E12,CK$3)+1)/($F12-$E12+1)</f>
        <v>0</v>
      </c>
      <c r="CL12" s="54" t="n">
        <f aca="false">MAX(0,MIN($F12,CL$4)-MAX($E12,CL$3)+1)/($F12-$E12+1)</f>
        <v>0</v>
      </c>
      <c r="CM12" s="54" t="n">
        <f aca="false">MAX(0,MIN($F12,CM$4)-MAX($E12,CM$3)+1)/($F12-$E12+1)</f>
        <v>0</v>
      </c>
      <c r="CN12" s="54" t="n">
        <f aca="false">MAX(0,MIN($F12,CN$4)-MAX($E12,CN$3)+1)/($F12-$E12+1)</f>
        <v>0</v>
      </c>
      <c r="CO12" s="54" t="n">
        <f aca="false">MAX(0,MIN($F12,CO$4)-MAX($E12,CO$3)+1)/($F12-$E12+1)</f>
        <v>0</v>
      </c>
      <c r="CP12" s="54" t="n">
        <f aca="false">MAX(0,MIN($F12,CP$4)-MAX($E12,CP$3)+1)/($F12-$E12+1)</f>
        <v>0</v>
      </c>
      <c r="CQ12" s="54" t="n">
        <f aca="false">MAX(0,MIN($F12,CQ$4)-MAX($E12,CQ$3)+1)/($F12-$E12+1)</f>
        <v>0</v>
      </c>
      <c r="CR12" s="54" t="n">
        <f aca="false">MAX(0,MIN($F12,CR$4)-MAX($E12,CR$3)+1)/($F12-$E12+1)</f>
        <v>0</v>
      </c>
      <c r="CS12" s="54" t="n">
        <f aca="false">MAX(0,MIN($F12,CS$4)-MAX($E12,CS$3)+1)/($F12-$E12+1)</f>
        <v>0</v>
      </c>
      <c r="CT12" s="54" t="n">
        <f aca="false">MAX(0,MIN($F12,CT$4)-MAX($E12,CT$3)+1)/($F12-$E12+1)</f>
        <v>0</v>
      </c>
      <c r="CU12" s="54" t="n">
        <f aca="false">MAX(0,MIN($F12,CU$4)-MAX($E12,CU$3)+1)/($F12-$E12+1)</f>
        <v>0</v>
      </c>
      <c r="CV12" s="54" t="n">
        <f aca="false">MAX(0,MIN($F12,CV$4)-MAX($E12,CV$3)+1)/($F12-$E12+1)</f>
        <v>0</v>
      </c>
      <c r="CW12" s="54" t="n">
        <f aca="false">MAX(0,MIN($F12,CW$4)-MAX($E12,CW$3)+1)/($F12-$E12+1)</f>
        <v>0</v>
      </c>
      <c r="CX12" s="54" t="n">
        <f aca="false">MAX(0,MIN($F12,CX$4)-MAX($E12,CX$3)+1)/($F12-$E12+1)</f>
        <v>0</v>
      </c>
      <c r="CY12" s="54" t="n">
        <f aca="false">MAX(0,MIN($F12,CY$4)-MAX($E12,CY$3)+1)/($F12-$E12+1)</f>
        <v>0</v>
      </c>
      <c r="CZ12" s="54" t="n">
        <f aca="false">MAX(0,MIN($F12,CZ$4)-MAX($E12,CZ$3)+1)/($F12-$E12+1)</f>
        <v>0</v>
      </c>
      <c r="DA12" s="54" t="n">
        <f aca="false">MAX(0,MIN($F12,DA$4)-MAX($E12,DA$3)+1)/($F12-$E12+1)</f>
        <v>0</v>
      </c>
      <c r="DB12" s="54" t="n">
        <f aca="false">MAX(0,MIN($F12,DB$4)-MAX($E12,DB$3)+1)/($F12-$E12+1)</f>
        <v>0</v>
      </c>
      <c r="DC12" s="54" t="n">
        <f aca="false">MAX(0,MIN($F12,DC$4)-MAX($E12,DC$3)+1)/($F12-$E12+1)</f>
        <v>0</v>
      </c>
      <c r="DD12" s="54" t="n">
        <f aca="false">MAX(0,MIN($F12,DD$4)-MAX($E12,DD$3)+1)/($F12-$E12+1)</f>
        <v>0</v>
      </c>
      <c r="DE12" s="54" t="n">
        <f aca="false">MAX(0,MIN($F12,DE$4)-MAX($E12,DE$3)+1)/($F12-$E12+1)</f>
        <v>0</v>
      </c>
      <c r="DF12" s="54" t="n">
        <f aca="false">MAX(0,MIN($F12,DF$4)-MAX($E12,DF$3)+1)/($F12-$E12+1)</f>
        <v>0</v>
      </c>
      <c r="DG12" s="54" t="n">
        <f aca="false">MAX(0,MIN($F12,DG$4)-MAX($E12,DG$3)+1)/($F12-$E12+1)</f>
        <v>0</v>
      </c>
      <c r="DH12" s="54" t="n">
        <f aca="false">MAX(0,MIN($F12,DH$4)-MAX($E12,DH$3)+1)/($F12-$E12+1)</f>
        <v>0</v>
      </c>
      <c r="DI12" s="54" t="n">
        <f aca="false">MAX(0,MIN($F12,DI$4)-MAX($E12,DI$3)+1)/($F12-$E12+1)</f>
        <v>0</v>
      </c>
      <c r="DJ12" s="54" t="n">
        <f aca="false">MAX(0,MIN($F12,DJ$4)-MAX($E12,DJ$3)+1)/($F12-$E12+1)</f>
        <v>0</v>
      </c>
      <c r="DK12" s="54" t="n">
        <f aca="false">MAX(0,MIN($F12,DK$4)-MAX($E12,DK$3)+1)/($F12-$E12+1)</f>
        <v>0</v>
      </c>
      <c r="DL12" s="54" t="n">
        <f aca="false">MAX(0,MIN($F12,DL$4)-MAX($E12,DL$3)+1)/($F12-$E12+1)</f>
        <v>0</v>
      </c>
      <c r="DM12" s="54" t="n">
        <f aca="false">MAX(0,MIN($F12,DM$4)-MAX($E12,DM$3)+1)/($F12-$E12+1)</f>
        <v>0</v>
      </c>
      <c r="DN12" s="54" t="n">
        <f aca="false">MAX(0,MIN($F12,DN$4)-MAX($E12,DN$3)+1)/($F12-$E12+1)</f>
        <v>0</v>
      </c>
      <c r="DO12" s="54" t="n">
        <f aca="false">MAX(0,MIN($F12,DO$4)-MAX($E12,DO$3)+1)/($F12-$E12+1)</f>
        <v>0</v>
      </c>
      <c r="DP12" s="54" t="n">
        <f aca="false">MAX(0,MIN($F12,DP$4)-MAX($E12,DP$3)+1)/($F12-$E12+1)</f>
        <v>0</v>
      </c>
      <c r="DQ12" s="54" t="n">
        <f aca="false">MAX(0,MIN($F12,DQ$4)-MAX($E12,DQ$3)+1)/($F12-$E12+1)</f>
        <v>0</v>
      </c>
      <c r="DR12" s="54" t="n">
        <f aca="false">MAX(0,MIN($F12,DR$4)-MAX($E12,DR$3)+1)/($F12-$E12+1)</f>
        <v>0</v>
      </c>
      <c r="DS12" s="54" t="n">
        <f aca="false">MAX(0,MIN($F12,DS$4)-MAX($E12,DS$3)+1)/($F12-$E12+1)</f>
        <v>0</v>
      </c>
      <c r="DT12" s="54" t="n">
        <f aca="false">MAX(0,MIN($F12,DT$4)-MAX($E12,DT$3)+1)/($F12-$E12+1)</f>
        <v>0</v>
      </c>
      <c r="DU12" s="54" t="n">
        <f aca="false">MAX(0,MIN($F12,DU$4)-MAX($E12,DU$3)+1)/($F12-$E12+1)</f>
        <v>0</v>
      </c>
      <c r="DV12" s="54" t="n">
        <f aca="false">MAX(0,MIN($F12,DV$4)-MAX($E12,DV$3)+1)/($F12-$E12+1)</f>
        <v>0</v>
      </c>
      <c r="DW12" s="54" t="n">
        <f aca="false">MAX(0,MIN($F12,DW$4)-MAX($E12,DW$3)+1)/($F12-$E12+1)</f>
        <v>0</v>
      </c>
      <c r="DX12" s="54" t="n">
        <f aca="false">MAX(0,MIN($F12,DX$4)-MAX($E12,DX$3)+1)/($F12-$E12+1)</f>
        <v>0</v>
      </c>
      <c r="DY12" s="54" t="n">
        <f aca="false">MAX(0,MIN($F12,DY$4)-MAX($E12,DY$3)+1)/($F12-$E12+1)</f>
        <v>0</v>
      </c>
      <c r="DZ12" s="54" t="n">
        <f aca="false">MAX(0,MIN($F12,DZ$4)-MAX($E12,DZ$3)+1)/($F12-$E12+1)</f>
        <v>0</v>
      </c>
      <c r="EA12" s="54" t="n">
        <f aca="false">MAX(0,MIN($F12,EA$4)-MAX($E12,EA$3)+1)/($F12-$E12+1)</f>
        <v>0</v>
      </c>
      <c r="EB12" s="54" t="n">
        <f aca="false">MAX(0,MIN($F12,EB$4)-MAX($E12,EB$3)+1)/($F12-$E12+1)</f>
        <v>0</v>
      </c>
      <c r="EC12" s="54" t="n">
        <f aca="false">MAX(0,MIN($F12,EC$4)-MAX($E12,EC$3)+1)/($F12-$E12+1)</f>
        <v>0</v>
      </c>
      <c r="ED12" s="54" t="n">
        <f aca="false">MAX(0,MIN($F12,ED$4)-MAX($E12,ED$3)+1)/($F12-$E12+1)</f>
        <v>0</v>
      </c>
      <c r="EE12" s="54" t="n">
        <f aca="false">MAX(0,MIN($F12,EE$4)-MAX($E12,EE$3)+1)/($F12-$E12+1)</f>
        <v>0</v>
      </c>
      <c r="EF12" s="54" t="n">
        <f aca="false">MAX(0,MIN($F12,EF$4)-MAX($E12,EF$3)+1)/($F12-$E12+1)</f>
        <v>0</v>
      </c>
      <c r="EG12" s="54" t="n">
        <f aca="false">MAX(0,MIN($F12,EG$4)-MAX($E12,EG$3)+1)/($F12-$E12+1)</f>
        <v>0</v>
      </c>
      <c r="EH12" s="54" t="n">
        <f aca="false">MAX(0,MIN($F12,EH$4)-MAX($E12,EH$3)+1)/($F12-$E12+1)</f>
        <v>0</v>
      </c>
      <c r="EI12" s="54" t="n">
        <f aca="false">MAX(0,MIN($F12,EI$4)-MAX($E12,EI$3)+1)/($F12-$E12+1)</f>
        <v>0</v>
      </c>
      <c r="EJ12" s="54" t="n">
        <f aca="false">MAX(0,MIN($F12,EJ$4)-MAX($E12,EJ$3)+1)/($F12-$E12+1)</f>
        <v>0</v>
      </c>
      <c r="EK12" s="54" t="n">
        <f aca="false">MAX(0,MIN($F12,EK$4)-MAX($E12,EK$3)+1)/($F12-$E12+1)</f>
        <v>0</v>
      </c>
      <c r="EL12" s="54" t="n">
        <f aca="false">MAX(0,MIN($F12,EL$4)-MAX($E12,EL$3)+1)/($F12-$E12+1)</f>
        <v>0</v>
      </c>
      <c r="EM12" s="54" t="n">
        <f aca="false">MAX(0,MIN($F12,EM$4)-MAX($E12,EM$3)+1)/($F12-$E12+1)</f>
        <v>0</v>
      </c>
      <c r="EN12" s="54" t="n">
        <f aca="false">MAX(0,MIN($F12,EN$4)-MAX($E12,EN$3)+1)/($F12-$E12+1)</f>
        <v>0</v>
      </c>
      <c r="EO12" s="54" t="n">
        <f aca="false">MAX(0,MIN($F12,EO$4)-MAX($E12,EO$3)+1)/($F12-$E12+1)</f>
        <v>0</v>
      </c>
    </row>
    <row r="13" customFormat="false" ht="15" hidden="false" customHeight="false" outlineLevel="0" collapsed="false">
      <c r="C13" s="0" t="s">
        <v>374</v>
      </c>
      <c r="D13" s="11" t="s">
        <v>368</v>
      </c>
      <c r="E13" s="45" t="n">
        <f aca="false">In_Closing+1</f>
        <v>46388</v>
      </c>
      <c r="F13" s="20" t="n">
        <f aca="false">In_NTP</f>
        <v>47026</v>
      </c>
      <c r="I13" s="54" t="n">
        <f aca="false">SUM(J13:EO13)</f>
        <v>1</v>
      </c>
      <c r="J13" s="54" t="n">
        <f aca="false">MAX(0,MIN($F13,J$4)-MAX($E13,J$3)+1)/($F13-$E13+1)</f>
        <v>0</v>
      </c>
      <c r="K13" s="54" t="n">
        <f aca="false">MAX(0,MIN($F13,K$4)-MAX($E13,K$3)+1)/($F13-$E13+1)</f>
        <v>0.140845070422535</v>
      </c>
      <c r="L13" s="54" t="n">
        <f aca="false">MAX(0,MIN($F13,L$4)-MAX($E13,L$3)+1)/($F13-$E13+1)</f>
        <v>0.142410015649452</v>
      </c>
      <c r="M13" s="54" t="n">
        <f aca="false">MAX(0,MIN($F13,M$4)-MAX($E13,M$3)+1)/($F13-$E13+1)</f>
        <v>0.143974960876369</v>
      </c>
      <c r="N13" s="54" t="n">
        <f aca="false">MAX(0,MIN($F13,N$4)-MAX($E13,N$3)+1)/($F13-$E13+1)</f>
        <v>0.143974960876369</v>
      </c>
      <c r="O13" s="54" t="n">
        <f aca="false">MAX(0,MIN($F13,O$4)-MAX($E13,O$3)+1)/($F13-$E13+1)</f>
        <v>0.142410015649452</v>
      </c>
      <c r="P13" s="54" t="n">
        <f aca="false">MAX(0,MIN($F13,P$4)-MAX($E13,P$3)+1)/($F13-$E13+1)</f>
        <v>0.142410015649452</v>
      </c>
      <c r="Q13" s="54" t="n">
        <f aca="false">MAX(0,MIN($F13,Q$4)-MAX($E13,Q$3)+1)/($F13-$E13+1)</f>
        <v>0.143974960876369</v>
      </c>
      <c r="R13" s="54" t="n">
        <f aca="false">MAX(0,MIN($F13,R$4)-MAX($E13,R$3)+1)/($F13-$E13+1)</f>
        <v>0</v>
      </c>
      <c r="S13" s="54" t="n">
        <f aca="false">MAX(0,MIN($F13,S$4)-MAX($E13,S$3)+1)/($F13-$E13+1)</f>
        <v>0</v>
      </c>
      <c r="T13" s="54" t="n">
        <f aca="false">MAX(0,MIN($F13,T$4)-MAX($E13,T$3)+1)/($F13-$E13+1)</f>
        <v>0</v>
      </c>
      <c r="U13" s="54" t="n">
        <f aca="false">MAX(0,MIN($F13,U$4)-MAX($E13,U$3)+1)/($F13-$E13+1)</f>
        <v>0</v>
      </c>
      <c r="V13" s="54" t="n">
        <f aca="false">MAX(0,MIN($F13,V$4)-MAX($E13,V$3)+1)/($F13-$E13+1)</f>
        <v>0</v>
      </c>
      <c r="W13" s="54" t="n">
        <f aca="false">MAX(0,MIN($F13,W$4)-MAX($E13,W$3)+1)/($F13-$E13+1)</f>
        <v>0</v>
      </c>
      <c r="X13" s="54" t="n">
        <f aca="false">MAX(0,MIN($F13,X$4)-MAX($E13,X$3)+1)/($F13-$E13+1)</f>
        <v>0</v>
      </c>
      <c r="Y13" s="54" t="n">
        <f aca="false">MAX(0,MIN($F13,Y$4)-MAX($E13,Y$3)+1)/($F13-$E13+1)</f>
        <v>0</v>
      </c>
      <c r="Z13" s="54" t="n">
        <f aca="false">MAX(0,MIN($F13,Z$4)-MAX($E13,Z$3)+1)/($F13-$E13+1)</f>
        <v>0</v>
      </c>
      <c r="AA13" s="54" t="n">
        <f aca="false">MAX(0,MIN($F13,AA$4)-MAX($E13,AA$3)+1)/($F13-$E13+1)</f>
        <v>0</v>
      </c>
      <c r="AB13" s="54" t="n">
        <f aca="false">MAX(0,MIN($F13,AB$4)-MAX($E13,AB$3)+1)/($F13-$E13+1)</f>
        <v>0</v>
      </c>
      <c r="AC13" s="54" t="n">
        <f aca="false">MAX(0,MIN($F13,AC$4)-MAX($E13,AC$3)+1)/($F13-$E13+1)</f>
        <v>0</v>
      </c>
      <c r="AD13" s="54" t="n">
        <f aca="false">MAX(0,MIN($F13,AD$4)-MAX($E13,AD$3)+1)/($F13-$E13+1)</f>
        <v>0</v>
      </c>
      <c r="AE13" s="54" t="n">
        <f aca="false">MAX(0,MIN($F13,AE$4)-MAX($E13,AE$3)+1)/($F13-$E13+1)</f>
        <v>0</v>
      </c>
      <c r="AF13" s="54" t="n">
        <f aca="false">MAX(0,MIN($F13,AF$4)-MAX($E13,AF$3)+1)/($F13-$E13+1)</f>
        <v>0</v>
      </c>
      <c r="AG13" s="54" t="n">
        <f aca="false">MAX(0,MIN($F13,AG$4)-MAX($E13,AG$3)+1)/($F13-$E13+1)</f>
        <v>0</v>
      </c>
      <c r="AH13" s="54" t="n">
        <f aca="false">MAX(0,MIN($F13,AH$4)-MAX($E13,AH$3)+1)/($F13-$E13+1)</f>
        <v>0</v>
      </c>
      <c r="AI13" s="54" t="n">
        <f aca="false">MAX(0,MIN($F13,AI$4)-MAX($E13,AI$3)+1)/($F13-$E13+1)</f>
        <v>0</v>
      </c>
      <c r="AJ13" s="54" t="n">
        <f aca="false">MAX(0,MIN($F13,AJ$4)-MAX($E13,AJ$3)+1)/($F13-$E13+1)</f>
        <v>0</v>
      </c>
      <c r="AK13" s="54" t="n">
        <f aca="false">MAX(0,MIN($F13,AK$4)-MAX($E13,AK$3)+1)/($F13-$E13+1)</f>
        <v>0</v>
      </c>
      <c r="AL13" s="54" t="n">
        <f aca="false">MAX(0,MIN($F13,AL$4)-MAX($E13,AL$3)+1)/($F13-$E13+1)</f>
        <v>0</v>
      </c>
      <c r="AM13" s="54" t="n">
        <f aca="false">MAX(0,MIN($F13,AM$4)-MAX($E13,AM$3)+1)/($F13-$E13+1)</f>
        <v>0</v>
      </c>
      <c r="AN13" s="54" t="n">
        <f aca="false">MAX(0,MIN($F13,AN$4)-MAX($E13,AN$3)+1)/($F13-$E13+1)</f>
        <v>0</v>
      </c>
      <c r="AO13" s="54" t="n">
        <f aca="false">MAX(0,MIN($F13,AO$4)-MAX($E13,AO$3)+1)/($F13-$E13+1)</f>
        <v>0</v>
      </c>
      <c r="AP13" s="54" t="n">
        <f aca="false">MAX(0,MIN($F13,AP$4)-MAX($E13,AP$3)+1)/($F13-$E13+1)</f>
        <v>0</v>
      </c>
      <c r="AQ13" s="54" t="n">
        <f aca="false">MAX(0,MIN($F13,AQ$4)-MAX($E13,AQ$3)+1)/($F13-$E13+1)</f>
        <v>0</v>
      </c>
      <c r="AR13" s="54" t="n">
        <f aca="false">MAX(0,MIN($F13,AR$4)-MAX($E13,AR$3)+1)/($F13-$E13+1)</f>
        <v>0</v>
      </c>
      <c r="AS13" s="54" t="n">
        <f aca="false">MAX(0,MIN($F13,AS$4)-MAX($E13,AS$3)+1)/($F13-$E13+1)</f>
        <v>0</v>
      </c>
      <c r="AT13" s="54" t="n">
        <f aca="false">MAX(0,MIN($F13,AT$4)-MAX($E13,AT$3)+1)/($F13-$E13+1)</f>
        <v>0</v>
      </c>
      <c r="AU13" s="54" t="n">
        <f aca="false">MAX(0,MIN($F13,AU$4)-MAX($E13,AU$3)+1)/($F13-$E13+1)</f>
        <v>0</v>
      </c>
      <c r="AV13" s="54" t="n">
        <f aca="false">MAX(0,MIN($F13,AV$4)-MAX($E13,AV$3)+1)/($F13-$E13+1)</f>
        <v>0</v>
      </c>
      <c r="AW13" s="54" t="n">
        <f aca="false">MAX(0,MIN($F13,AW$4)-MAX($E13,AW$3)+1)/($F13-$E13+1)</f>
        <v>0</v>
      </c>
      <c r="AX13" s="54" t="n">
        <f aca="false">MAX(0,MIN($F13,AX$4)-MAX($E13,AX$3)+1)/($F13-$E13+1)</f>
        <v>0</v>
      </c>
      <c r="AY13" s="54" t="n">
        <f aca="false">MAX(0,MIN($F13,AY$4)-MAX($E13,AY$3)+1)/($F13-$E13+1)</f>
        <v>0</v>
      </c>
      <c r="AZ13" s="54" t="n">
        <f aca="false">MAX(0,MIN($F13,AZ$4)-MAX($E13,AZ$3)+1)/($F13-$E13+1)</f>
        <v>0</v>
      </c>
      <c r="BA13" s="54" t="n">
        <f aca="false">MAX(0,MIN($F13,BA$4)-MAX($E13,BA$3)+1)/($F13-$E13+1)</f>
        <v>0</v>
      </c>
      <c r="BB13" s="54" t="n">
        <f aca="false">MAX(0,MIN($F13,BB$4)-MAX($E13,BB$3)+1)/($F13-$E13+1)</f>
        <v>0</v>
      </c>
      <c r="BC13" s="54" t="n">
        <f aca="false">MAX(0,MIN($F13,BC$4)-MAX($E13,BC$3)+1)/($F13-$E13+1)</f>
        <v>0</v>
      </c>
      <c r="BD13" s="54" t="n">
        <f aca="false">MAX(0,MIN($F13,BD$4)-MAX($E13,BD$3)+1)/($F13-$E13+1)</f>
        <v>0</v>
      </c>
      <c r="BE13" s="54" t="n">
        <f aca="false">MAX(0,MIN($F13,BE$4)-MAX($E13,BE$3)+1)/($F13-$E13+1)</f>
        <v>0</v>
      </c>
      <c r="BF13" s="54" t="n">
        <f aca="false">MAX(0,MIN($F13,BF$4)-MAX($E13,BF$3)+1)/($F13-$E13+1)</f>
        <v>0</v>
      </c>
      <c r="BG13" s="54" t="n">
        <f aca="false">MAX(0,MIN($F13,BG$4)-MAX($E13,BG$3)+1)/($F13-$E13+1)</f>
        <v>0</v>
      </c>
      <c r="BH13" s="54" t="n">
        <f aca="false">MAX(0,MIN($F13,BH$4)-MAX($E13,BH$3)+1)/($F13-$E13+1)</f>
        <v>0</v>
      </c>
      <c r="BI13" s="54" t="n">
        <f aca="false">MAX(0,MIN($F13,BI$4)-MAX($E13,BI$3)+1)/($F13-$E13+1)</f>
        <v>0</v>
      </c>
      <c r="BJ13" s="54" t="n">
        <f aca="false">MAX(0,MIN($F13,BJ$4)-MAX($E13,BJ$3)+1)/($F13-$E13+1)</f>
        <v>0</v>
      </c>
      <c r="BK13" s="54" t="n">
        <f aca="false">MAX(0,MIN($F13,BK$4)-MAX($E13,BK$3)+1)/($F13-$E13+1)</f>
        <v>0</v>
      </c>
      <c r="BL13" s="54" t="n">
        <f aca="false">MAX(0,MIN($F13,BL$4)-MAX($E13,BL$3)+1)/($F13-$E13+1)</f>
        <v>0</v>
      </c>
      <c r="BM13" s="54" t="n">
        <f aca="false">MAX(0,MIN($F13,BM$4)-MAX($E13,BM$3)+1)/($F13-$E13+1)</f>
        <v>0</v>
      </c>
      <c r="BN13" s="54" t="n">
        <f aca="false">MAX(0,MIN($F13,BN$4)-MAX($E13,BN$3)+1)/($F13-$E13+1)</f>
        <v>0</v>
      </c>
      <c r="BO13" s="54" t="n">
        <f aca="false">MAX(0,MIN($F13,BO$4)-MAX($E13,BO$3)+1)/($F13-$E13+1)</f>
        <v>0</v>
      </c>
      <c r="BP13" s="54" t="n">
        <f aca="false">MAX(0,MIN($F13,BP$4)-MAX($E13,BP$3)+1)/($F13-$E13+1)</f>
        <v>0</v>
      </c>
      <c r="BQ13" s="54" t="n">
        <f aca="false">MAX(0,MIN($F13,BQ$4)-MAX($E13,BQ$3)+1)/($F13-$E13+1)</f>
        <v>0</v>
      </c>
      <c r="BR13" s="54" t="n">
        <f aca="false">MAX(0,MIN($F13,BR$4)-MAX($E13,BR$3)+1)/($F13-$E13+1)</f>
        <v>0</v>
      </c>
      <c r="BS13" s="54" t="n">
        <f aca="false">MAX(0,MIN($F13,BS$4)-MAX($E13,BS$3)+1)/($F13-$E13+1)</f>
        <v>0</v>
      </c>
      <c r="BT13" s="54" t="n">
        <f aca="false">MAX(0,MIN($F13,BT$4)-MAX($E13,BT$3)+1)/($F13-$E13+1)</f>
        <v>0</v>
      </c>
      <c r="BU13" s="54" t="n">
        <f aca="false">MAX(0,MIN($F13,BU$4)-MAX($E13,BU$3)+1)/($F13-$E13+1)</f>
        <v>0</v>
      </c>
      <c r="BV13" s="54" t="n">
        <f aca="false">MAX(0,MIN($F13,BV$4)-MAX($E13,BV$3)+1)/($F13-$E13+1)</f>
        <v>0</v>
      </c>
      <c r="BW13" s="54" t="n">
        <f aca="false">MAX(0,MIN($F13,BW$4)-MAX($E13,BW$3)+1)/($F13-$E13+1)</f>
        <v>0</v>
      </c>
      <c r="BX13" s="54" t="n">
        <f aca="false">MAX(0,MIN($F13,BX$4)-MAX($E13,BX$3)+1)/($F13-$E13+1)</f>
        <v>0</v>
      </c>
      <c r="BY13" s="54" t="n">
        <f aca="false">MAX(0,MIN($F13,BY$4)-MAX($E13,BY$3)+1)/($F13-$E13+1)</f>
        <v>0</v>
      </c>
      <c r="BZ13" s="54" t="n">
        <f aca="false">MAX(0,MIN($F13,BZ$4)-MAX($E13,BZ$3)+1)/($F13-$E13+1)</f>
        <v>0</v>
      </c>
      <c r="CA13" s="54" t="n">
        <f aca="false">MAX(0,MIN($F13,CA$4)-MAX($E13,CA$3)+1)/($F13-$E13+1)</f>
        <v>0</v>
      </c>
      <c r="CB13" s="54" t="n">
        <f aca="false">MAX(0,MIN($F13,CB$4)-MAX($E13,CB$3)+1)/($F13-$E13+1)</f>
        <v>0</v>
      </c>
      <c r="CC13" s="54" t="n">
        <f aca="false">MAX(0,MIN($F13,CC$4)-MAX($E13,CC$3)+1)/($F13-$E13+1)</f>
        <v>0</v>
      </c>
      <c r="CD13" s="54" t="n">
        <f aca="false">MAX(0,MIN($F13,CD$4)-MAX($E13,CD$3)+1)/($F13-$E13+1)</f>
        <v>0</v>
      </c>
      <c r="CE13" s="54" t="n">
        <f aca="false">MAX(0,MIN($F13,CE$4)-MAX($E13,CE$3)+1)/($F13-$E13+1)</f>
        <v>0</v>
      </c>
      <c r="CF13" s="54" t="n">
        <f aca="false">MAX(0,MIN($F13,CF$4)-MAX($E13,CF$3)+1)/($F13-$E13+1)</f>
        <v>0</v>
      </c>
      <c r="CG13" s="54" t="n">
        <f aca="false">MAX(0,MIN($F13,CG$4)-MAX($E13,CG$3)+1)/($F13-$E13+1)</f>
        <v>0</v>
      </c>
      <c r="CH13" s="54" t="n">
        <f aca="false">MAX(0,MIN($F13,CH$4)-MAX($E13,CH$3)+1)/($F13-$E13+1)</f>
        <v>0</v>
      </c>
      <c r="CI13" s="54" t="n">
        <f aca="false">MAX(0,MIN($F13,CI$4)-MAX($E13,CI$3)+1)/($F13-$E13+1)</f>
        <v>0</v>
      </c>
      <c r="CJ13" s="54" t="n">
        <f aca="false">MAX(0,MIN($F13,CJ$4)-MAX($E13,CJ$3)+1)/($F13-$E13+1)</f>
        <v>0</v>
      </c>
      <c r="CK13" s="54" t="n">
        <f aca="false">MAX(0,MIN($F13,CK$4)-MAX($E13,CK$3)+1)/($F13-$E13+1)</f>
        <v>0</v>
      </c>
      <c r="CL13" s="54" t="n">
        <f aca="false">MAX(0,MIN($F13,CL$4)-MAX($E13,CL$3)+1)/($F13-$E13+1)</f>
        <v>0</v>
      </c>
      <c r="CM13" s="54" t="n">
        <f aca="false">MAX(0,MIN($F13,CM$4)-MAX($E13,CM$3)+1)/($F13-$E13+1)</f>
        <v>0</v>
      </c>
      <c r="CN13" s="54" t="n">
        <f aca="false">MAX(0,MIN($F13,CN$4)-MAX($E13,CN$3)+1)/($F13-$E13+1)</f>
        <v>0</v>
      </c>
      <c r="CO13" s="54" t="n">
        <f aca="false">MAX(0,MIN($F13,CO$4)-MAX($E13,CO$3)+1)/($F13-$E13+1)</f>
        <v>0</v>
      </c>
      <c r="CP13" s="54" t="n">
        <f aca="false">MAX(0,MIN($F13,CP$4)-MAX($E13,CP$3)+1)/($F13-$E13+1)</f>
        <v>0</v>
      </c>
      <c r="CQ13" s="54" t="n">
        <f aca="false">MAX(0,MIN($F13,CQ$4)-MAX($E13,CQ$3)+1)/($F13-$E13+1)</f>
        <v>0</v>
      </c>
      <c r="CR13" s="54" t="n">
        <f aca="false">MAX(0,MIN($F13,CR$4)-MAX($E13,CR$3)+1)/($F13-$E13+1)</f>
        <v>0</v>
      </c>
      <c r="CS13" s="54" t="n">
        <f aca="false">MAX(0,MIN($F13,CS$4)-MAX($E13,CS$3)+1)/($F13-$E13+1)</f>
        <v>0</v>
      </c>
      <c r="CT13" s="54" t="n">
        <f aca="false">MAX(0,MIN($F13,CT$4)-MAX($E13,CT$3)+1)/($F13-$E13+1)</f>
        <v>0</v>
      </c>
      <c r="CU13" s="54" t="n">
        <f aca="false">MAX(0,MIN($F13,CU$4)-MAX($E13,CU$3)+1)/($F13-$E13+1)</f>
        <v>0</v>
      </c>
      <c r="CV13" s="54" t="n">
        <f aca="false">MAX(0,MIN($F13,CV$4)-MAX($E13,CV$3)+1)/($F13-$E13+1)</f>
        <v>0</v>
      </c>
      <c r="CW13" s="54" t="n">
        <f aca="false">MAX(0,MIN($F13,CW$4)-MAX($E13,CW$3)+1)/($F13-$E13+1)</f>
        <v>0</v>
      </c>
      <c r="CX13" s="54" t="n">
        <f aca="false">MAX(0,MIN($F13,CX$4)-MAX($E13,CX$3)+1)/($F13-$E13+1)</f>
        <v>0</v>
      </c>
      <c r="CY13" s="54" t="n">
        <f aca="false">MAX(0,MIN($F13,CY$4)-MAX($E13,CY$3)+1)/($F13-$E13+1)</f>
        <v>0</v>
      </c>
      <c r="CZ13" s="54" t="n">
        <f aca="false">MAX(0,MIN($F13,CZ$4)-MAX($E13,CZ$3)+1)/($F13-$E13+1)</f>
        <v>0</v>
      </c>
      <c r="DA13" s="54" t="n">
        <f aca="false">MAX(0,MIN($F13,DA$4)-MAX($E13,DA$3)+1)/($F13-$E13+1)</f>
        <v>0</v>
      </c>
      <c r="DB13" s="54" t="n">
        <f aca="false">MAX(0,MIN($F13,DB$4)-MAX($E13,DB$3)+1)/($F13-$E13+1)</f>
        <v>0</v>
      </c>
      <c r="DC13" s="54" t="n">
        <f aca="false">MAX(0,MIN($F13,DC$4)-MAX($E13,DC$3)+1)/($F13-$E13+1)</f>
        <v>0</v>
      </c>
      <c r="DD13" s="54" t="n">
        <f aca="false">MAX(0,MIN($F13,DD$4)-MAX($E13,DD$3)+1)/($F13-$E13+1)</f>
        <v>0</v>
      </c>
      <c r="DE13" s="54" t="n">
        <f aca="false">MAX(0,MIN($F13,DE$4)-MAX($E13,DE$3)+1)/($F13-$E13+1)</f>
        <v>0</v>
      </c>
      <c r="DF13" s="54" t="n">
        <f aca="false">MAX(0,MIN($F13,DF$4)-MAX($E13,DF$3)+1)/($F13-$E13+1)</f>
        <v>0</v>
      </c>
      <c r="DG13" s="54" t="n">
        <f aca="false">MAX(0,MIN($F13,DG$4)-MAX($E13,DG$3)+1)/($F13-$E13+1)</f>
        <v>0</v>
      </c>
      <c r="DH13" s="54" t="n">
        <f aca="false">MAX(0,MIN($F13,DH$4)-MAX($E13,DH$3)+1)/($F13-$E13+1)</f>
        <v>0</v>
      </c>
      <c r="DI13" s="54" t="n">
        <f aca="false">MAX(0,MIN($F13,DI$4)-MAX($E13,DI$3)+1)/($F13-$E13+1)</f>
        <v>0</v>
      </c>
      <c r="DJ13" s="54" t="n">
        <f aca="false">MAX(0,MIN($F13,DJ$4)-MAX($E13,DJ$3)+1)/($F13-$E13+1)</f>
        <v>0</v>
      </c>
      <c r="DK13" s="54" t="n">
        <f aca="false">MAX(0,MIN($F13,DK$4)-MAX($E13,DK$3)+1)/($F13-$E13+1)</f>
        <v>0</v>
      </c>
      <c r="DL13" s="54" t="n">
        <f aca="false">MAX(0,MIN($F13,DL$4)-MAX($E13,DL$3)+1)/($F13-$E13+1)</f>
        <v>0</v>
      </c>
      <c r="DM13" s="54" t="n">
        <f aca="false">MAX(0,MIN($F13,DM$4)-MAX($E13,DM$3)+1)/($F13-$E13+1)</f>
        <v>0</v>
      </c>
      <c r="DN13" s="54" t="n">
        <f aca="false">MAX(0,MIN($F13,DN$4)-MAX($E13,DN$3)+1)/($F13-$E13+1)</f>
        <v>0</v>
      </c>
      <c r="DO13" s="54" t="n">
        <f aca="false">MAX(0,MIN($F13,DO$4)-MAX($E13,DO$3)+1)/($F13-$E13+1)</f>
        <v>0</v>
      </c>
      <c r="DP13" s="54" t="n">
        <f aca="false">MAX(0,MIN($F13,DP$4)-MAX($E13,DP$3)+1)/($F13-$E13+1)</f>
        <v>0</v>
      </c>
      <c r="DQ13" s="54" t="n">
        <f aca="false">MAX(0,MIN($F13,DQ$4)-MAX($E13,DQ$3)+1)/($F13-$E13+1)</f>
        <v>0</v>
      </c>
      <c r="DR13" s="54" t="n">
        <f aca="false">MAX(0,MIN($F13,DR$4)-MAX($E13,DR$3)+1)/($F13-$E13+1)</f>
        <v>0</v>
      </c>
      <c r="DS13" s="54" t="n">
        <f aca="false">MAX(0,MIN($F13,DS$4)-MAX($E13,DS$3)+1)/($F13-$E13+1)</f>
        <v>0</v>
      </c>
      <c r="DT13" s="54" t="n">
        <f aca="false">MAX(0,MIN($F13,DT$4)-MAX($E13,DT$3)+1)/($F13-$E13+1)</f>
        <v>0</v>
      </c>
      <c r="DU13" s="54" t="n">
        <f aca="false">MAX(0,MIN($F13,DU$4)-MAX($E13,DU$3)+1)/($F13-$E13+1)</f>
        <v>0</v>
      </c>
      <c r="DV13" s="54" t="n">
        <f aca="false">MAX(0,MIN($F13,DV$4)-MAX($E13,DV$3)+1)/($F13-$E13+1)</f>
        <v>0</v>
      </c>
      <c r="DW13" s="54" t="n">
        <f aca="false">MAX(0,MIN($F13,DW$4)-MAX($E13,DW$3)+1)/($F13-$E13+1)</f>
        <v>0</v>
      </c>
      <c r="DX13" s="54" t="n">
        <f aca="false">MAX(0,MIN($F13,DX$4)-MAX($E13,DX$3)+1)/($F13-$E13+1)</f>
        <v>0</v>
      </c>
      <c r="DY13" s="54" t="n">
        <f aca="false">MAX(0,MIN($F13,DY$4)-MAX($E13,DY$3)+1)/($F13-$E13+1)</f>
        <v>0</v>
      </c>
      <c r="DZ13" s="54" t="n">
        <f aca="false">MAX(0,MIN($F13,DZ$4)-MAX($E13,DZ$3)+1)/($F13-$E13+1)</f>
        <v>0</v>
      </c>
      <c r="EA13" s="54" t="n">
        <f aca="false">MAX(0,MIN($F13,EA$4)-MAX($E13,EA$3)+1)/($F13-$E13+1)</f>
        <v>0</v>
      </c>
      <c r="EB13" s="54" t="n">
        <f aca="false">MAX(0,MIN($F13,EB$4)-MAX($E13,EB$3)+1)/($F13-$E13+1)</f>
        <v>0</v>
      </c>
      <c r="EC13" s="54" t="n">
        <f aca="false">MAX(0,MIN($F13,EC$4)-MAX($E13,EC$3)+1)/($F13-$E13+1)</f>
        <v>0</v>
      </c>
      <c r="ED13" s="54" t="n">
        <f aca="false">MAX(0,MIN($F13,ED$4)-MAX($E13,ED$3)+1)/($F13-$E13+1)</f>
        <v>0</v>
      </c>
      <c r="EE13" s="54" t="n">
        <f aca="false">MAX(0,MIN($F13,EE$4)-MAX($E13,EE$3)+1)/($F13-$E13+1)</f>
        <v>0</v>
      </c>
      <c r="EF13" s="54" t="n">
        <f aca="false">MAX(0,MIN($F13,EF$4)-MAX($E13,EF$3)+1)/($F13-$E13+1)</f>
        <v>0</v>
      </c>
      <c r="EG13" s="54" t="n">
        <f aca="false">MAX(0,MIN($F13,EG$4)-MAX($E13,EG$3)+1)/($F13-$E13+1)</f>
        <v>0</v>
      </c>
      <c r="EH13" s="54" t="n">
        <f aca="false">MAX(0,MIN($F13,EH$4)-MAX($E13,EH$3)+1)/($F13-$E13+1)</f>
        <v>0</v>
      </c>
      <c r="EI13" s="54" t="n">
        <f aca="false">MAX(0,MIN($F13,EI$4)-MAX($E13,EI$3)+1)/($F13-$E13+1)</f>
        <v>0</v>
      </c>
      <c r="EJ13" s="54" t="n">
        <f aca="false">MAX(0,MIN($F13,EJ$4)-MAX($E13,EJ$3)+1)/($F13-$E13+1)</f>
        <v>0</v>
      </c>
      <c r="EK13" s="54" t="n">
        <f aca="false">MAX(0,MIN($F13,EK$4)-MAX($E13,EK$3)+1)/($F13-$E13+1)</f>
        <v>0</v>
      </c>
      <c r="EL13" s="54" t="n">
        <f aca="false">MAX(0,MIN($F13,EL$4)-MAX($E13,EL$3)+1)/($F13-$E13+1)</f>
        <v>0</v>
      </c>
      <c r="EM13" s="54" t="n">
        <f aca="false">MAX(0,MIN($F13,EM$4)-MAX($E13,EM$3)+1)/($F13-$E13+1)</f>
        <v>0</v>
      </c>
      <c r="EN13" s="54" t="n">
        <f aca="false">MAX(0,MIN($F13,EN$4)-MAX($E13,EN$3)+1)/($F13-$E13+1)</f>
        <v>0</v>
      </c>
      <c r="EO13" s="54" t="n">
        <f aca="false">MAX(0,MIN($F13,EO$4)-MAX($E13,EO$3)+1)/($F13-$E13+1)</f>
        <v>0</v>
      </c>
    </row>
    <row r="14" customFormat="false" ht="15" hidden="false" customHeight="false" outlineLevel="0" collapsed="false">
      <c r="C14" s="0" t="s">
        <v>37</v>
      </c>
      <c r="D14" s="11" t="s">
        <v>43</v>
      </c>
      <c r="E14" s="20" t="n">
        <f aca="false">In_COD</f>
        <v>47756</v>
      </c>
      <c r="I14" s="49" t="n">
        <f aca="false">SUM(J14:EO14)</f>
        <v>1</v>
      </c>
      <c r="J14" s="49" t="n">
        <f aca="false">N(AND(J$3&lt;=$E14,J$4&gt;=$E14))</f>
        <v>0</v>
      </c>
      <c r="K14" s="49" t="n">
        <f aca="false">N(AND(K$3&lt;=$E14,K$4&gt;=$E14))</f>
        <v>0</v>
      </c>
      <c r="L14" s="49" t="n">
        <f aca="false">N(AND(L$3&lt;=$E14,L$4&gt;=$E14))</f>
        <v>0</v>
      </c>
      <c r="M14" s="49" t="n">
        <f aca="false">N(AND(M$3&lt;=$E14,M$4&gt;=$E14))</f>
        <v>0</v>
      </c>
      <c r="N14" s="49" t="n">
        <f aca="false">N(AND(N$3&lt;=$E14,N$4&gt;=$E14))</f>
        <v>0</v>
      </c>
      <c r="O14" s="49" t="n">
        <f aca="false">N(AND(O$3&lt;=$E14,O$4&gt;=$E14))</f>
        <v>0</v>
      </c>
      <c r="P14" s="49" t="n">
        <f aca="false">N(AND(P$3&lt;=$E14,P$4&gt;=$E14))</f>
        <v>0</v>
      </c>
      <c r="Q14" s="49" t="n">
        <f aca="false">N(AND(Q$3&lt;=$E14,Q$4&gt;=$E14))</f>
        <v>0</v>
      </c>
      <c r="R14" s="49" t="n">
        <f aca="false">N(AND(R$3&lt;=$E14,R$4&gt;=$E14))</f>
        <v>0</v>
      </c>
      <c r="S14" s="49" t="n">
        <f aca="false">N(AND(S$3&lt;=$E14,S$4&gt;=$E14))</f>
        <v>0</v>
      </c>
      <c r="T14" s="49" t="n">
        <f aca="false">N(AND(T$3&lt;=$E14,T$4&gt;=$E14))</f>
        <v>0</v>
      </c>
      <c r="U14" s="49" t="n">
        <f aca="false">N(AND(U$3&lt;=$E14,U$4&gt;=$E14))</f>
        <v>0</v>
      </c>
      <c r="V14" s="49" t="n">
        <f aca="false">N(AND(V$3&lt;=$E14,V$4&gt;=$E14))</f>
        <v>0</v>
      </c>
      <c r="W14" s="49" t="n">
        <f aca="false">N(AND(W$3&lt;=$E14,W$4&gt;=$E14))</f>
        <v>0</v>
      </c>
      <c r="X14" s="49" t="n">
        <f aca="false">N(AND(X$3&lt;=$E14,X$4&gt;=$E14))</f>
        <v>0</v>
      </c>
      <c r="Y14" s="49" t="n">
        <f aca="false">N(AND(Y$3&lt;=$E14,Y$4&gt;=$E14))</f>
        <v>1</v>
      </c>
      <c r="Z14" s="49" t="n">
        <f aca="false">N(AND(Z$3&lt;=$E14,Z$4&gt;=$E14))</f>
        <v>0</v>
      </c>
      <c r="AA14" s="49" t="n">
        <f aca="false">N(AND(AA$3&lt;=$E14,AA$4&gt;=$E14))</f>
        <v>0</v>
      </c>
      <c r="AB14" s="49" t="n">
        <f aca="false">N(AND(AB$3&lt;=$E14,AB$4&gt;=$E14))</f>
        <v>0</v>
      </c>
      <c r="AC14" s="49" t="n">
        <f aca="false">N(AND(AC$3&lt;=$E14,AC$4&gt;=$E14))</f>
        <v>0</v>
      </c>
      <c r="AD14" s="49" t="n">
        <f aca="false">N(AND(AD$3&lt;=$E14,AD$4&gt;=$E14))</f>
        <v>0</v>
      </c>
      <c r="AE14" s="49" t="n">
        <f aca="false">N(AND(AE$3&lt;=$E14,AE$4&gt;=$E14))</f>
        <v>0</v>
      </c>
      <c r="AF14" s="49" t="n">
        <f aca="false">N(AND(AF$3&lt;=$E14,AF$4&gt;=$E14))</f>
        <v>0</v>
      </c>
      <c r="AG14" s="49" t="n">
        <f aca="false">N(AND(AG$3&lt;=$E14,AG$4&gt;=$E14))</f>
        <v>0</v>
      </c>
      <c r="AH14" s="49" t="n">
        <f aca="false">N(AND(AH$3&lt;=$E14,AH$4&gt;=$E14))</f>
        <v>0</v>
      </c>
      <c r="AI14" s="49" t="n">
        <f aca="false">N(AND(AI$3&lt;=$E14,AI$4&gt;=$E14))</f>
        <v>0</v>
      </c>
      <c r="AJ14" s="49" t="n">
        <f aca="false">N(AND(AJ$3&lt;=$E14,AJ$4&gt;=$E14))</f>
        <v>0</v>
      </c>
      <c r="AK14" s="49" t="n">
        <f aca="false">N(AND(AK$3&lt;=$E14,AK$4&gt;=$E14))</f>
        <v>0</v>
      </c>
      <c r="AL14" s="49" t="n">
        <f aca="false">N(AND(AL$3&lt;=$E14,AL$4&gt;=$E14))</f>
        <v>0</v>
      </c>
      <c r="AM14" s="49" t="n">
        <f aca="false">N(AND(AM$3&lt;=$E14,AM$4&gt;=$E14))</f>
        <v>0</v>
      </c>
      <c r="AN14" s="49" t="n">
        <f aca="false">N(AND(AN$3&lt;=$E14,AN$4&gt;=$E14))</f>
        <v>0</v>
      </c>
      <c r="AO14" s="49" t="n">
        <f aca="false">N(AND(AO$3&lt;=$E14,AO$4&gt;=$E14))</f>
        <v>0</v>
      </c>
      <c r="AP14" s="49" t="n">
        <f aca="false">N(AND(AP$3&lt;=$E14,AP$4&gt;=$E14))</f>
        <v>0</v>
      </c>
      <c r="AQ14" s="49" t="n">
        <f aca="false">N(AND(AQ$3&lt;=$E14,AQ$4&gt;=$E14))</f>
        <v>0</v>
      </c>
      <c r="AR14" s="49" t="n">
        <f aca="false">N(AND(AR$3&lt;=$E14,AR$4&gt;=$E14))</f>
        <v>0</v>
      </c>
      <c r="AS14" s="49" t="n">
        <f aca="false">N(AND(AS$3&lt;=$E14,AS$4&gt;=$E14))</f>
        <v>0</v>
      </c>
      <c r="AT14" s="49" t="n">
        <f aca="false">N(AND(AT$3&lt;=$E14,AT$4&gt;=$E14))</f>
        <v>0</v>
      </c>
      <c r="AU14" s="49" t="n">
        <f aca="false">N(AND(AU$3&lt;=$E14,AU$4&gt;=$E14))</f>
        <v>0</v>
      </c>
      <c r="AV14" s="49" t="n">
        <f aca="false">N(AND(AV$3&lt;=$E14,AV$4&gt;=$E14))</f>
        <v>0</v>
      </c>
      <c r="AW14" s="49" t="n">
        <f aca="false">N(AND(AW$3&lt;=$E14,AW$4&gt;=$E14))</f>
        <v>0</v>
      </c>
      <c r="AX14" s="49" t="n">
        <f aca="false">N(AND(AX$3&lt;=$E14,AX$4&gt;=$E14))</f>
        <v>0</v>
      </c>
      <c r="AY14" s="49" t="n">
        <f aca="false">N(AND(AY$3&lt;=$E14,AY$4&gt;=$E14))</f>
        <v>0</v>
      </c>
      <c r="AZ14" s="49" t="n">
        <f aca="false">N(AND(AZ$3&lt;=$E14,AZ$4&gt;=$E14))</f>
        <v>0</v>
      </c>
      <c r="BA14" s="49" t="n">
        <f aca="false">N(AND(BA$3&lt;=$E14,BA$4&gt;=$E14))</f>
        <v>0</v>
      </c>
      <c r="BB14" s="49" t="n">
        <f aca="false">N(AND(BB$3&lt;=$E14,BB$4&gt;=$E14))</f>
        <v>0</v>
      </c>
      <c r="BC14" s="49" t="n">
        <f aca="false">N(AND(BC$3&lt;=$E14,BC$4&gt;=$E14))</f>
        <v>0</v>
      </c>
      <c r="BD14" s="49" t="n">
        <f aca="false">N(AND(BD$3&lt;=$E14,BD$4&gt;=$E14))</f>
        <v>0</v>
      </c>
      <c r="BE14" s="49" t="n">
        <f aca="false">N(AND(BE$3&lt;=$E14,BE$4&gt;=$E14))</f>
        <v>0</v>
      </c>
      <c r="BF14" s="49" t="n">
        <f aca="false">N(AND(BF$3&lt;=$E14,BF$4&gt;=$E14))</f>
        <v>0</v>
      </c>
      <c r="BG14" s="49" t="n">
        <f aca="false">N(AND(BG$3&lt;=$E14,BG$4&gt;=$E14))</f>
        <v>0</v>
      </c>
      <c r="BH14" s="49" t="n">
        <f aca="false">N(AND(BH$3&lt;=$E14,BH$4&gt;=$E14))</f>
        <v>0</v>
      </c>
      <c r="BI14" s="49" t="n">
        <f aca="false">N(AND(BI$3&lt;=$E14,BI$4&gt;=$E14))</f>
        <v>0</v>
      </c>
      <c r="BJ14" s="49" t="n">
        <f aca="false">N(AND(BJ$3&lt;=$E14,BJ$4&gt;=$E14))</f>
        <v>0</v>
      </c>
      <c r="BK14" s="49" t="n">
        <f aca="false">N(AND(BK$3&lt;=$E14,BK$4&gt;=$E14))</f>
        <v>0</v>
      </c>
      <c r="BL14" s="49" t="n">
        <f aca="false">N(AND(BL$3&lt;=$E14,BL$4&gt;=$E14))</f>
        <v>0</v>
      </c>
      <c r="BM14" s="49" t="n">
        <f aca="false">N(AND(BM$3&lt;=$E14,BM$4&gt;=$E14))</f>
        <v>0</v>
      </c>
      <c r="BN14" s="49" t="n">
        <f aca="false">N(AND(BN$3&lt;=$E14,BN$4&gt;=$E14))</f>
        <v>0</v>
      </c>
      <c r="BO14" s="49" t="n">
        <f aca="false">N(AND(BO$3&lt;=$E14,BO$4&gt;=$E14))</f>
        <v>0</v>
      </c>
      <c r="BP14" s="49" t="n">
        <f aca="false">N(AND(BP$3&lt;=$E14,BP$4&gt;=$E14))</f>
        <v>0</v>
      </c>
      <c r="BQ14" s="49" t="n">
        <f aca="false">N(AND(BQ$3&lt;=$E14,BQ$4&gt;=$E14))</f>
        <v>0</v>
      </c>
      <c r="BR14" s="49" t="n">
        <f aca="false">N(AND(BR$3&lt;=$E14,BR$4&gt;=$E14))</f>
        <v>0</v>
      </c>
      <c r="BS14" s="49" t="n">
        <f aca="false">N(AND(BS$3&lt;=$E14,BS$4&gt;=$E14))</f>
        <v>0</v>
      </c>
      <c r="BT14" s="49" t="n">
        <f aca="false">N(AND(BT$3&lt;=$E14,BT$4&gt;=$E14))</f>
        <v>0</v>
      </c>
      <c r="BU14" s="49" t="n">
        <f aca="false">N(AND(BU$3&lt;=$E14,BU$4&gt;=$E14))</f>
        <v>0</v>
      </c>
      <c r="BV14" s="49" t="n">
        <f aca="false">N(AND(BV$3&lt;=$E14,BV$4&gt;=$E14))</f>
        <v>0</v>
      </c>
      <c r="BW14" s="49" t="n">
        <f aca="false">N(AND(BW$3&lt;=$E14,BW$4&gt;=$E14))</f>
        <v>0</v>
      </c>
      <c r="BX14" s="49" t="n">
        <f aca="false">N(AND(BX$3&lt;=$E14,BX$4&gt;=$E14))</f>
        <v>0</v>
      </c>
      <c r="BY14" s="49" t="n">
        <f aca="false">N(AND(BY$3&lt;=$E14,BY$4&gt;=$E14))</f>
        <v>0</v>
      </c>
      <c r="BZ14" s="49" t="n">
        <f aca="false">N(AND(BZ$3&lt;=$E14,BZ$4&gt;=$E14))</f>
        <v>0</v>
      </c>
      <c r="CA14" s="49" t="n">
        <f aca="false">N(AND(CA$3&lt;=$E14,CA$4&gt;=$E14))</f>
        <v>0</v>
      </c>
      <c r="CB14" s="49" t="n">
        <f aca="false">N(AND(CB$3&lt;=$E14,CB$4&gt;=$E14))</f>
        <v>0</v>
      </c>
      <c r="CC14" s="49" t="n">
        <f aca="false">N(AND(CC$3&lt;=$E14,CC$4&gt;=$E14))</f>
        <v>0</v>
      </c>
      <c r="CD14" s="49" t="n">
        <f aca="false">N(AND(CD$3&lt;=$E14,CD$4&gt;=$E14))</f>
        <v>0</v>
      </c>
      <c r="CE14" s="49" t="n">
        <f aca="false">N(AND(CE$3&lt;=$E14,CE$4&gt;=$E14))</f>
        <v>0</v>
      </c>
      <c r="CF14" s="49" t="n">
        <f aca="false">N(AND(CF$3&lt;=$E14,CF$4&gt;=$E14))</f>
        <v>0</v>
      </c>
      <c r="CG14" s="49" t="n">
        <f aca="false">N(AND(CG$3&lt;=$E14,CG$4&gt;=$E14))</f>
        <v>0</v>
      </c>
      <c r="CH14" s="49" t="n">
        <f aca="false">N(AND(CH$3&lt;=$E14,CH$4&gt;=$E14))</f>
        <v>0</v>
      </c>
      <c r="CI14" s="49" t="n">
        <f aca="false">N(AND(CI$3&lt;=$E14,CI$4&gt;=$E14))</f>
        <v>0</v>
      </c>
      <c r="CJ14" s="49" t="n">
        <f aca="false">N(AND(CJ$3&lt;=$E14,CJ$4&gt;=$E14))</f>
        <v>0</v>
      </c>
      <c r="CK14" s="49" t="n">
        <f aca="false">N(AND(CK$3&lt;=$E14,CK$4&gt;=$E14))</f>
        <v>0</v>
      </c>
      <c r="CL14" s="49" t="n">
        <f aca="false">N(AND(CL$3&lt;=$E14,CL$4&gt;=$E14))</f>
        <v>0</v>
      </c>
      <c r="CM14" s="49" t="n">
        <f aca="false">N(AND(CM$3&lt;=$E14,CM$4&gt;=$E14))</f>
        <v>0</v>
      </c>
      <c r="CN14" s="49" t="n">
        <f aca="false">N(AND(CN$3&lt;=$E14,CN$4&gt;=$E14))</f>
        <v>0</v>
      </c>
      <c r="CO14" s="49" t="n">
        <f aca="false">N(AND(CO$3&lt;=$E14,CO$4&gt;=$E14))</f>
        <v>0</v>
      </c>
      <c r="CP14" s="49" t="n">
        <f aca="false">N(AND(CP$3&lt;=$E14,CP$4&gt;=$E14))</f>
        <v>0</v>
      </c>
      <c r="CQ14" s="49" t="n">
        <f aca="false">N(AND(CQ$3&lt;=$E14,CQ$4&gt;=$E14))</f>
        <v>0</v>
      </c>
      <c r="CR14" s="49" t="n">
        <f aca="false">N(AND(CR$3&lt;=$E14,CR$4&gt;=$E14))</f>
        <v>0</v>
      </c>
      <c r="CS14" s="49" t="n">
        <f aca="false">N(AND(CS$3&lt;=$E14,CS$4&gt;=$E14))</f>
        <v>0</v>
      </c>
      <c r="CT14" s="49" t="n">
        <f aca="false">N(AND(CT$3&lt;=$E14,CT$4&gt;=$E14))</f>
        <v>0</v>
      </c>
      <c r="CU14" s="49" t="n">
        <f aca="false">N(AND(CU$3&lt;=$E14,CU$4&gt;=$E14))</f>
        <v>0</v>
      </c>
      <c r="CV14" s="49" t="n">
        <f aca="false">N(AND(CV$3&lt;=$E14,CV$4&gt;=$E14))</f>
        <v>0</v>
      </c>
      <c r="CW14" s="49" t="n">
        <f aca="false">N(AND(CW$3&lt;=$E14,CW$4&gt;=$E14))</f>
        <v>0</v>
      </c>
      <c r="CX14" s="49" t="n">
        <f aca="false">N(AND(CX$3&lt;=$E14,CX$4&gt;=$E14))</f>
        <v>0</v>
      </c>
      <c r="CY14" s="49" t="n">
        <f aca="false">N(AND(CY$3&lt;=$E14,CY$4&gt;=$E14))</f>
        <v>0</v>
      </c>
      <c r="CZ14" s="49" t="n">
        <f aca="false">N(AND(CZ$3&lt;=$E14,CZ$4&gt;=$E14))</f>
        <v>0</v>
      </c>
      <c r="DA14" s="49" t="n">
        <f aca="false">N(AND(DA$3&lt;=$E14,DA$4&gt;=$E14))</f>
        <v>0</v>
      </c>
      <c r="DB14" s="49" t="n">
        <f aca="false">N(AND(DB$3&lt;=$E14,DB$4&gt;=$E14))</f>
        <v>0</v>
      </c>
      <c r="DC14" s="49" t="n">
        <f aca="false">N(AND(DC$3&lt;=$E14,DC$4&gt;=$E14))</f>
        <v>0</v>
      </c>
      <c r="DD14" s="49" t="n">
        <f aca="false">N(AND(DD$3&lt;=$E14,DD$4&gt;=$E14))</f>
        <v>0</v>
      </c>
      <c r="DE14" s="49" t="n">
        <f aca="false">N(AND(DE$3&lt;=$E14,DE$4&gt;=$E14))</f>
        <v>0</v>
      </c>
      <c r="DF14" s="49" t="n">
        <f aca="false">N(AND(DF$3&lt;=$E14,DF$4&gt;=$E14))</f>
        <v>0</v>
      </c>
      <c r="DG14" s="49" t="n">
        <f aca="false">N(AND(DG$3&lt;=$E14,DG$4&gt;=$E14))</f>
        <v>0</v>
      </c>
      <c r="DH14" s="49" t="n">
        <f aca="false">N(AND(DH$3&lt;=$E14,DH$4&gt;=$E14))</f>
        <v>0</v>
      </c>
      <c r="DI14" s="49" t="n">
        <f aca="false">N(AND(DI$3&lt;=$E14,DI$4&gt;=$E14))</f>
        <v>0</v>
      </c>
      <c r="DJ14" s="49" t="n">
        <f aca="false">N(AND(DJ$3&lt;=$E14,DJ$4&gt;=$E14))</f>
        <v>0</v>
      </c>
      <c r="DK14" s="49" t="n">
        <f aca="false">N(AND(DK$3&lt;=$E14,DK$4&gt;=$E14))</f>
        <v>0</v>
      </c>
      <c r="DL14" s="49" t="n">
        <f aca="false">N(AND(DL$3&lt;=$E14,DL$4&gt;=$E14))</f>
        <v>0</v>
      </c>
      <c r="DM14" s="49" t="n">
        <f aca="false">N(AND(DM$3&lt;=$E14,DM$4&gt;=$E14))</f>
        <v>0</v>
      </c>
      <c r="DN14" s="49" t="n">
        <f aca="false">N(AND(DN$3&lt;=$E14,DN$4&gt;=$E14))</f>
        <v>0</v>
      </c>
      <c r="DO14" s="49" t="n">
        <f aca="false">N(AND(DO$3&lt;=$E14,DO$4&gt;=$E14))</f>
        <v>0</v>
      </c>
      <c r="DP14" s="49" t="n">
        <f aca="false">N(AND(DP$3&lt;=$E14,DP$4&gt;=$E14))</f>
        <v>0</v>
      </c>
      <c r="DQ14" s="49" t="n">
        <f aca="false">N(AND(DQ$3&lt;=$E14,DQ$4&gt;=$E14))</f>
        <v>0</v>
      </c>
      <c r="DR14" s="49" t="n">
        <f aca="false">N(AND(DR$3&lt;=$E14,DR$4&gt;=$E14))</f>
        <v>0</v>
      </c>
      <c r="DS14" s="49" t="n">
        <f aca="false">N(AND(DS$3&lt;=$E14,DS$4&gt;=$E14))</f>
        <v>0</v>
      </c>
      <c r="DT14" s="49" t="n">
        <f aca="false">N(AND(DT$3&lt;=$E14,DT$4&gt;=$E14))</f>
        <v>0</v>
      </c>
      <c r="DU14" s="49" t="n">
        <f aca="false">N(AND(DU$3&lt;=$E14,DU$4&gt;=$E14))</f>
        <v>0</v>
      </c>
      <c r="DV14" s="49" t="n">
        <f aca="false">N(AND(DV$3&lt;=$E14,DV$4&gt;=$E14))</f>
        <v>0</v>
      </c>
      <c r="DW14" s="49" t="n">
        <f aca="false">N(AND(DW$3&lt;=$E14,DW$4&gt;=$E14))</f>
        <v>0</v>
      </c>
      <c r="DX14" s="49" t="n">
        <f aca="false">N(AND(DX$3&lt;=$E14,DX$4&gt;=$E14))</f>
        <v>0</v>
      </c>
      <c r="DY14" s="49" t="n">
        <f aca="false">N(AND(DY$3&lt;=$E14,DY$4&gt;=$E14))</f>
        <v>0</v>
      </c>
      <c r="DZ14" s="49" t="n">
        <f aca="false">N(AND(DZ$3&lt;=$E14,DZ$4&gt;=$E14))</f>
        <v>0</v>
      </c>
      <c r="EA14" s="49" t="n">
        <f aca="false">N(AND(EA$3&lt;=$E14,EA$4&gt;=$E14))</f>
        <v>0</v>
      </c>
      <c r="EB14" s="49" t="n">
        <f aca="false">N(AND(EB$3&lt;=$E14,EB$4&gt;=$E14))</f>
        <v>0</v>
      </c>
      <c r="EC14" s="49" t="n">
        <f aca="false">N(AND(EC$3&lt;=$E14,EC$4&gt;=$E14))</f>
        <v>0</v>
      </c>
      <c r="ED14" s="49" t="n">
        <f aca="false">N(AND(ED$3&lt;=$E14,ED$4&gt;=$E14))</f>
        <v>0</v>
      </c>
      <c r="EE14" s="49" t="n">
        <f aca="false">N(AND(EE$3&lt;=$E14,EE$4&gt;=$E14))</f>
        <v>0</v>
      </c>
      <c r="EF14" s="49" t="n">
        <f aca="false">N(AND(EF$3&lt;=$E14,EF$4&gt;=$E14))</f>
        <v>0</v>
      </c>
      <c r="EG14" s="49" t="n">
        <f aca="false">N(AND(EG$3&lt;=$E14,EG$4&gt;=$E14))</f>
        <v>0</v>
      </c>
      <c r="EH14" s="49" t="n">
        <f aca="false">N(AND(EH$3&lt;=$E14,EH$4&gt;=$E14))</f>
        <v>0</v>
      </c>
      <c r="EI14" s="49" t="n">
        <f aca="false">N(AND(EI$3&lt;=$E14,EI$4&gt;=$E14))</f>
        <v>0</v>
      </c>
      <c r="EJ14" s="49" t="n">
        <f aca="false">N(AND(EJ$3&lt;=$E14,EJ$4&gt;=$E14))</f>
        <v>0</v>
      </c>
      <c r="EK14" s="49" t="n">
        <f aca="false">N(AND(EK$3&lt;=$E14,EK$4&gt;=$E14))</f>
        <v>0</v>
      </c>
      <c r="EL14" s="49" t="n">
        <f aca="false">N(AND(EL$3&lt;=$E14,EL$4&gt;=$E14))</f>
        <v>0</v>
      </c>
      <c r="EM14" s="49" t="n">
        <f aca="false">N(AND(EM$3&lt;=$E14,EM$4&gt;=$E14))</f>
        <v>0</v>
      </c>
      <c r="EN14" s="49" t="n">
        <f aca="false">N(AND(EN$3&lt;=$E14,EN$4&gt;=$E14))</f>
        <v>0</v>
      </c>
      <c r="EO14" s="49" t="n">
        <f aca="false">N(AND(EO$3&lt;=$E14,EO$4&gt;=$E14))</f>
        <v>0</v>
      </c>
    </row>
    <row r="15" customFormat="false" ht="15" hidden="false" customHeight="false" outlineLevel="0" collapsed="false">
      <c r="C15" s="0" t="s">
        <v>290</v>
      </c>
      <c r="D15" s="11" t="s">
        <v>43</v>
      </c>
      <c r="E15" s="45" t="n">
        <f aca="false">In_COD+1</f>
        <v>47757</v>
      </c>
      <c r="F15" s="45" t="n">
        <f aca="false">EDATE(In_COD,In_Life*Months_In_Year)</f>
        <v>58714</v>
      </c>
      <c r="J15" s="54" t="n">
        <f aca="false">MAX(0,(MIN($F15,J$4)-MAX($E15,J$3)+1)/J$5)</f>
        <v>0</v>
      </c>
      <c r="K15" s="54" t="n">
        <f aca="false">MAX(0,(MIN($F15,K$4)-MAX($E15,K$3)+1)/K$5)</f>
        <v>0</v>
      </c>
      <c r="L15" s="54" t="n">
        <f aca="false">MAX(0,(MIN($F15,L$4)-MAX($E15,L$3)+1)/L$5)</f>
        <v>0</v>
      </c>
      <c r="M15" s="54" t="n">
        <f aca="false">MAX(0,(MIN($F15,M$4)-MAX($E15,M$3)+1)/M$5)</f>
        <v>0</v>
      </c>
      <c r="N15" s="54" t="n">
        <f aca="false">MAX(0,(MIN($F15,N$4)-MAX($E15,N$3)+1)/N$5)</f>
        <v>0</v>
      </c>
      <c r="O15" s="54" t="n">
        <f aca="false">MAX(0,(MIN($F15,O$4)-MAX($E15,O$3)+1)/O$5)</f>
        <v>0</v>
      </c>
      <c r="P15" s="54" t="n">
        <f aca="false">MAX(0,(MIN($F15,P$4)-MAX($E15,P$3)+1)/P$5)</f>
        <v>0</v>
      </c>
      <c r="Q15" s="54" t="n">
        <f aca="false">MAX(0,(MIN($F15,Q$4)-MAX($E15,Q$3)+1)/Q$5)</f>
        <v>0</v>
      </c>
      <c r="R15" s="54" t="n">
        <f aca="false">MAX(0,(MIN($F15,R$4)-MAX($E15,R$3)+1)/R$5)</f>
        <v>0</v>
      </c>
      <c r="S15" s="54" t="n">
        <f aca="false">MAX(0,(MIN($F15,S$4)-MAX($E15,S$3)+1)/S$5)</f>
        <v>0</v>
      </c>
      <c r="T15" s="54" t="n">
        <f aca="false">MAX(0,(MIN($F15,T$4)-MAX($E15,T$3)+1)/T$5)</f>
        <v>0</v>
      </c>
      <c r="U15" s="54" t="n">
        <f aca="false">MAX(0,(MIN($F15,U$4)-MAX($E15,U$3)+1)/U$5)</f>
        <v>0</v>
      </c>
      <c r="V15" s="54" t="n">
        <f aca="false">MAX(0,(MIN($F15,V$4)-MAX($E15,V$3)+1)/V$5)</f>
        <v>0</v>
      </c>
      <c r="W15" s="54" t="n">
        <f aca="false">MAX(0,(MIN($F15,W$4)-MAX($E15,W$3)+1)/W$5)</f>
        <v>0</v>
      </c>
      <c r="X15" s="54" t="n">
        <f aca="false">MAX(0,(MIN($F15,X$4)-MAX($E15,X$3)+1)/X$5)</f>
        <v>0</v>
      </c>
      <c r="Y15" s="54" t="n">
        <f aca="false">MAX(0,(MIN($F15,Y$4)-MAX($E15,Y$3)+1)/Y$5)</f>
        <v>0</v>
      </c>
      <c r="Z15" s="54" t="n">
        <f aca="false">MAX(0,(MIN($F15,Z$4)-MAX($E15,Z$3)+1)/Z$5)</f>
        <v>1</v>
      </c>
      <c r="AA15" s="54" t="n">
        <f aca="false">MAX(0,(MIN($F15,AA$4)-MAX($E15,AA$3)+1)/AA$5)</f>
        <v>1</v>
      </c>
      <c r="AB15" s="54" t="n">
        <f aca="false">MAX(0,(MIN($F15,AB$4)-MAX($E15,AB$3)+1)/AB$5)</f>
        <v>1</v>
      </c>
      <c r="AC15" s="54" t="n">
        <f aca="false">MAX(0,(MIN($F15,AC$4)-MAX($E15,AC$3)+1)/AC$5)</f>
        <v>1</v>
      </c>
      <c r="AD15" s="54" t="n">
        <f aca="false">MAX(0,(MIN($F15,AD$4)-MAX($E15,AD$3)+1)/AD$5)</f>
        <v>1</v>
      </c>
      <c r="AE15" s="54" t="n">
        <f aca="false">MAX(0,(MIN($F15,AE$4)-MAX($E15,AE$3)+1)/AE$5)</f>
        <v>1</v>
      </c>
      <c r="AF15" s="54" t="n">
        <f aca="false">MAX(0,(MIN($F15,AF$4)-MAX($E15,AF$3)+1)/AF$5)</f>
        <v>1</v>
      </c>
      <c r="AG15" s="54" t="n">
        <f aca="false">MAX(0,(MIN($F15,AG$4)-MAX($E15,AG$3)+1)/AG$5)</f>
        <v>1</v>
      </c>
      <c r="AH15" s="54" t="n">
        <f aca="false">MAX(0,(MIN($F15,AH$4)-MAX($E15,AH$3)+1)/AH$5)</f>
        <v>1</v>
      </c>
      <c r="AI15" s="54" t="n">
        <f aca="false">MAX(0,(MIN($F15,AI$4)-MAX($E15,AI$3)+1)/AI$5)</f>
        <v>1</v>
      </c>
      <c r="AJ15" s="54" t="n">
        <f aca="false">MAX(0,(MIN($F15,AJ$4)-MAX($E15,AJ$3)+1)/AJ$5)</f>
        <v>1</v>
      </c>
      <c r="AK15" s="54" t="n">
        <f aca="false">MAX(0,(MIN($F15,AK$4)-MAX($E15,AK$3)+1)/AK$5)</f>
        <v>1</v>
      </c>
      <c r="AL15" s="54" t="n">
        <f aca="false">MAX(0,(MIN($F15,AL$4)-MAX($E15,AL$3)+1)/AL$5)</f>
        <v>1</v>
      </c>
      <c r="AM15" s="54" t="n">
        <f aca="false">MAX(0,(MIN($F15,AM$4)-MAX($E15,AM$3)+1)/AM$5)</f>
        <v>1</v>
      </c>
      <c r="AN15" s="54" t="n">
        <f aca="false">MAX(0,(MIN($F15,AN$4)-MAX($E15,AN$3)+1)/AN$5)</f>
        <v>1</v>
      </c>
      <c r="AO15" s="54" t="n">
        <f aca="false">MAX(0,(MIN($F15,AO$4)-MAX($E15,AO$3)+1)/AO$5)</f>
        <v>1</v>
      </c>
      <c r="AP15" s="54" t="n">
        <f aca="false">MAX(0,(MIN($F15,AP$4)-MAX($E15,AP$3)+1)/AP$5)</f>
        <v>1</v>
      </c>
      <c r="AQ15" s="54" t="n">
        <f aca="false">MAX(0,(MIN($F15,AQ$4)-MAX($E15,AQ$3)+1)/AQ$5)</f>
        <v>1</v>
      </c>
      <c r="AR15" s="54" t="n">
        <f aca="false">MAX(0,(MIN($F15,AR$4)-MAX($E15,AR$3)+1)/AR$5)</f>
        <v>1</v>
      </c>
      <c r="AS15" s="54" t="n">
        <f aca="false">MAX(0,(MIN($F15,AS$4)-MAX($E15,AS$3)+1)/AS$5)</f>
        <v>1</v>
      </c>
      <c r="AT15" s="54" t="n">
        <f aca="false">MAX(0,(MIN($F15,AT$4)-MAX($E15,AT$3)+1)/AT$5)</f>
        <v>1</v>
      </c>
      <c r="AU15" s="54" t="n">
        <f aca="false">MAX(0,(MIN($F15,AU$4)-MAX($E15,AU$3)+1)/AU$5)</f>
        <v>1</v>
      </c>
      <c r="AV15" s="54" t="n">
        <f aca="false">MAX(0,(MIN($F15,AV$4)-MAX($E15,AV$3)+1)/AV$5)</f>
        <v>1</v>
      </c>
      <c r="AW15" s="54" t="n">
        <f aca="false">MAX(0,(MIN($F15,AW$4)-MAX($E15,AW$3)+1)/AW$5)</f>
        <v>1</v>
      </c>
      <c r="AX15" s="54" t="n">
        <f aca="false">MAX(0,(MIN($F15,AX$4)-MAX($E15,AX$3)+1)/AX$5)</f>
        <v>1</v>
      </c>
      <c r="AY15" s="54" t="n">
        <f aca="false">MAX(0,(MIN($F15,AY$4)-MAX($E15,AY$3)+1)/AY$5)</f>
        <v>1</v>
      </c>
      <c r="AZ15" s="54" t="n">
        <f aca="false">MAX(0,(MIN($F15,AZ$4)-MAX($E15,AZ$3)+1)/AZ$5)</f>
        <v>1</v>
      </c>
      <c r="BA15" s="54" t="n">
        <f aca="false">MAX(0,(MIN($F15,BA$4)-MAX($E15,BA$3)+1)/BA$5)</f>
        <v>1</v>
      </c>
      <c r="BB15" s="54" t="n">
        <f aca="false">MAX(0,(MIN($F15,BB$4)-MAX($E15,BB$3)+1)/BB$5)</f>
        <v>1</v>
      </c>
      <c r="BC15" s="54" t="n">
        <f aca="false">MAX(0,(MIN($F15,BC$4)-MAX($E15,BC$3)+1)/BC$5)</f>
        <v>1</v>
      </c>
      <c r="BD15" s="54" t="n">
        <f aca="false">MAX(0,(MIN($F15,BD$4)-MAX($E15,BD$3)+1)/BD$5)</f>
        <v>1</v>
      </c>
      <c r="BE15" s="54" t="n">
        <f aca="false">MAX(0,(MIN($F15,BE$4)-MAX($E15,BE$3)+1)/BE$5)</f>
        <v>1</v>
      </c>
      <c r="BF15" s="54" t="n">
        <f aca="false">MAX(0,(MIN($F15,BF$4)-MAX($E15,BF$3)+1)/BF$5)</f>
        <v>1</v>
      </c>
      <c r="BG15" s="54" t="n">
        <f aca="false">MAX(0,(MIN($F15,BG$4)-MAX($E15,BG$3)+1)/BG$5)</f>
        <v>1</v>
      </c>
      <c r="BH15" s="54" t="n">
        <f aca="false">MAX(0,(MIN($F15,BH$4)-MAX($E15,BH$3)+1)/BH$5)</f>
        <v>1</v>
      </c>
      <c r="BI15" s="54" t="n">
        <f aca="false">MAX(0,(MIN($F15,BI$4)-MAX($E15,BI$3)+1)/BI$5)</f>
        <v>1</v>
      </c>
      <c r="BJ15" s="54" t="n">
        <f aca="false">MAX(0,(MIN($F15,BJ$4)-MAX($E15,BJ$3)+1)/BJ$5)</f>
        <v>1</v>
      </c>
      <c r="BK15" s="54" t="n">
        <f aca="false">MAX(0,(MIN($F15,BK$4)-MAX($E15,BK$3)+1)/BK$5)</f>
        <v>1</v>
      </c>
      <c r="BL15" s="54" t="n">
        <f aca="false">MAX(0,(MIN($F15,BL$4)-MAX($E15,BL$3)+1)/BL$5)</f>
        <v>1</v>
      </c>
      <c r="BM15" s="54" t="n">
        <f aca="false">MAX(0,(MIN($F15,BM$4)-MAX($E15,BM$3)+1)/BM$5)</f>
        <v>1</v>
      </c>
      <c r="BN15" s="54" t="n">
        <f aca="false">MAX(0,(MIN($F15,BN$4)-MAX($E15,BN$3)+1)/BN$5)</f>
        <v>1</v>
      </c>
      <c r="BO15" s="54" t="n">
        <f aca="false">MAX(0,(MIN($F15,BO$4)-MAX($E15,BO$3)+1)/BO$5)</f>
        <v>1</v>
      </c>
      <c r="BP15" s="54" t="n">
        <f aca="false">MAX(0,(MIN($F15,BP$4)-MAX($E15,BP$3)+1)/BP$5)</f>
        <v>1</v>
      </c>
      <c r="BQ15" s="54" t="n">
        <f aca="false">MAX(0,(MIN($F15,BQ$4)-MAX($E15,BQ$3)+1)/BQ$5)</f>
        <v>1</v>
      </c>
      <c r="BR15" s="54" t="n">
        <f aca="false">MAX(0,(MIN($F15,BR$4)-MAX($E15,BR$3)+1)/BR$5)</f>
        <v>1</v>
      </c>
      <c r="BS15" s="54" t="n">
        <f aca="false">MAX(0,(MIN($F15,BS$4)-MAX($E15,BS$3)+1)/BS$5)</f>
        <v>1</v>
      </c>
      <c r="BT15" s="54" t="n">
        <f aca="false">MAX(0,(MIN($F15,BT$4)-MAX($E15,BT$3)+1)/BT$5)</f>
        <v>1</v>
      </c>
      <c r="BU15" s="54" t="n">
        <f aca="false">MAX(0,(MIN($F15,BU$4)-MAX($E15,BU$3)+1)/BU$5)</f>
        <v>1</v>
      </c>
      <c r="BV15" s="54" t="n">
        <f aca="false">MAX(0,(MIN($F15,BV$4)-MAX($E15,BV$3)+1)/BV$5)</f>
        <v>1</v>
      </c>
      <c r="BW15" s="54" t="n">
        <f aca="false">MAX(0,(MIN($F15,BW$4)-MAX($E15,BW$3)+1)/BW$5)</f>
        <v>1</v>
      </c>
      <c r="BX15" s="54" t="n">
        <f aca="false">MAX(0,(MIN($F15,BX$4)-MAX($E15,BX$3)+1)/BX$5)</f>
        <v>1</v>
      </c>
      <c r="BY15" s="54" t="n">
        <f aca="false">MAX(0,(MIN($F15,BY$4)-MAX($E15,BY$3)+1)/BY$5)</f>
        <v>1</v>
      </c>
      <c r="BZ15" s="54" t="n">
        <f aca="false">MAX(0,(MIN($F15,BZ$4)-MAX($E15,BZ$3)+1)/BZ$5)</f>
        <v>1</v>
      </c>
      <c r="CA15" s="54" t="n">
        <f aca="false">MAX(0,(MIN($F15,CA$4)-MAX($E15,CA$3)+1)/CA$5)</f>
        <v>1</v>
      </c>
      <c r="CB15" s="54" t="n">
        <f aca="false">MAX(0,(MIN($F15,CB$4)-MAX($E15,CB$3)+1)/CB$5)</f>
        <v>1</v>
      </c>
      <c r="CC15" s="54" t="n">
        <f aca="false">MAX(0,(MIN($F15,CC$4)-MAX($E15,CC$3)+1)/CC$5)</f>
        <v>1</v>
      </c>
      <c r="CD15" s="54" t="n">
        <f aca="false">MAX(0,(MIN($F15,CD$4)-MAX($E15,CD$3)+1)/CD$5)</f>
        <v>1</v>
      </c>
      <c r="CE15" s="54" t="n">
        <f aca="false">MAX(0,(MIN($F15,CE$4)-MAX($E15,CE$3)+1)/CE$5)</f>
        <v>1</v>
      </c>
      <c r="CF15" s="54" t="n">
        <f aca="false">MAX(0,(MIN($F15,CF$4)-MAX($E15,CF$3)+1)/CF$5)</f>
        <v>1</v>
      </c>
      <c r="CG15" s="54" t="n">
        <f aca="false">MAX(0,(MIN($F15,CG$4)-MAX($E15,CG$3)+1)/CG$5)</f>
        <v>1</v>
      </c>
      <c r="CH15" s="54" t="n">
        <f aca="false">MAX(0,(MIN($F15,CH$4)-MAX($E15,CH$3)+1)/CH$5)</f>
        <v>1</v>
      </c>
      <c r="CI15" s="54" t="n">
        <f aca="false">MAX(0,(MIN($F15,CI$4)-MAX($E15,CI$3)+1)/CI$5)</f>
        <v>1</v>
      </c>
      <c r="CJ15" s="54" t="n">
        <f aca="false">MAX(0,(MIN($F15,CJ$4)-MAX($E15,CJ$3)+1)/CJ$5)</f>
        <v>1</v>
      </c>
      <c r="CK15" s="54" t="n">
        <f aca="false">MAX(0,(MIN($F15,CK$4)-MAX($E15,CK$3)+1)/CK$5)</f>
        <v>1</v>
      </c>
      <c r="CL15" s="54" t="n">
        <f aca="false">MAX(0,(MIN($F15,CL$4)-MAX($E15,CL$3)+1)/CL$5)</f>
        <v>1</v>
      </c>
      <c r="CM15" s="54" t="n">
        <f aca="false">MAX(0,(MIN($F15,CM$4)-MAX($E15,CM$3)+1)/CM$5)</f>
        <v>1</v>
      </c>
      <c r="CN15" s="54" t="n">
        <f aca="false">MAX(0,(MIN($F15,CN$4)-MAX($E15,CN$3)+1)/CN$5)</f>
        <v>1</v>
      </c>
      <c r="CO15" s="54" t="n">
        <f aca="false">MAX(0,(MIN($F15,CO$4)-MAX($E15,CO$3)+1)/CO$5)</f>
        <v>1</v>
      </c>
      <c r="CP15" s="54" t="n">
        <f aca="false">MAX(0,(MIN($F15,CP$4)-MAX($E15,CP$3)+1)/CP$5)</f>
        <v>1</v>
      </c>
      <c r="CQ15" s="54" t="n">
        <f aca="false">MAX(0,(MIN($F15,CQ$4)-MAX($E15,CQ$3)+1)/CQ$5)</f>
        <v>1</v>
      </c>
      <c r="CR15" s="54" t="n">
        <f aca="false">MAX(0,(MIN($F15,CR$4)-MAX($E15,CR$3)+1)/CR$5)</f>
        <v>1</v>
      </c>
      <c r="CS15" s="54" t="n">
        <f aca="false">MAX(0,(MIN($F15,CS$4)-MAX($E15,CS$3)+1)/CS$5)</f>
        <v>1</v>
      </c>
      <c r="CT15" s="54" t="n">
        <f aca="false">MAX(0,(MIN($F15,CT$4)-MAX($E15,CT$3)+1)/CT$5)</f>
        <v>1</v>
      </c>
      <c r="CU15" s="54" t="n">
        <f aca="false">MAX(0,(MIN($F15,CU$4)-MAX($E15,CU$3)+1)/CU$5)</f>
        <v>1</v>
      </c>
      <c r="CV15" s="54" t="n">
        <f aca="false">MAX(0,(MIN($F15,CV$4)-MAX($E15,CV$3)+1)/CV$5)</f>
        <v>1</v>
      </c>
      <c r="CW15" s="54" t="n">
        <f aca="false">MAX(0,(MIN($F15,CW$4)-MAX($E15,CW$3)+1)/CW$5)</f>
        <v>1</v>
      </c>
      <c r="CX15" s="54" t="n">
        <f aca="false">MAX(0,(MIN($F15,CX$4)-MAX($E15,CX$3)+1)/CX$5)</f>
        <v>1</v>
      </c>
      <c r="CY15" s="54" t="n">
        <f aca="false">MAX(0,(MIN($F15,CY$4)-MAX($E15,CY$3)+1)/CY$5)</f>
        <v>1</v>
      </c>
      <c r="CZ15" s="54" t="n">
        <f aca="false">MAX(0,(MIN($F15,CZ$4)-MAX($E15,CZ$3)+1)/CZ$5)</f>
        <v>1</v>
      </c>
      <c r="DA15" s="54" t="n">
        <f aca="false">MAX(0,(MIN($F15,DA$4)-MAX($E15,DA$3)+1)/DA$5)</f>
        <v>1</v>
      </c>
      <c r="DB15" s="54" t="n">
        <f aca="false">MAX(0,(MIN($F15,DB$4)-MAX($E15,DB$3)+1)/DB$5)</f>
        <v>1</v>
      </c>
      <c r="DC15" s="54" t="n">
        <f aca="false">MAX(0,(MIN($F15,DC$4)-MAX($E15,DC$3)+1)/DC$5)</f>
        <v>1</v>
      </c>
      <c r="DD15" s="54" t="n">
        <f aca="false">MAX(0,(MIN($F15,DD$4)-MAX($E15,DD$3)+1)/DD$5)</f>
        <v>1</v>
      </c>
      <c r="DE15" s="54" t="n">
        <f aca="false">MAX(0,(MIN($F15,DE$4)-MAX($E15,DE$3)+1)/DE$5)</f>
        <v>1</v>
      </c>
      <c r="DF15" s="54" t="n">
        <f aca="false">MAX(0,(MIN($F15,DF$4)-MAX($E15,DF$3)+1)/DF$5)</f>
        <v>1</v>
      </c>
      <c r="DG15" s="54" t="n">
        <f aca="false">MAX(0,(MIN($F15,DG$4)-MAX($E15,DG$3)+1)/DG$5)</f>
        <v>1</v>
      </c>
      <c r="DH15" s="54" t="n">
        <f aca="false">MAX(0,(MIN($F15,DH$4)-MAX($E15,DH$3)+1)/DH$5)</f>
        <v>1</v>
      </c>
      <c r="DI15" s="54" t="n">
        <f aca="false">MAX(0,(MIN($F15,DI$4)-MAX($E15,DI$3)+1)/DI$5)</f>
        <v>1</v>
      </c>
      <c r="DJ15" s="54" t="n">
        <f aca="false">MAX(0,(MIN($F15,DJ$4)-MAX($E15,DJ$3)+1)/DJ$5)</f>
        <v>1</v>
      </c>
      <c r="DK15" s="54" t="n">
        <f aca="false">MAX(0,(MIN($F15,DK$4)-MAX($E15,DK$3)+1)/DK$5)</f>
        <v>1</v>
      </c>
      <c r="DL15" s="54" t="n">
        <f aca="false">MAX(0,(MIN($F15,DL$4)-MAX($E15,DL$3)+1)/DL$5)</f>
        <v>1</v>
      </c>
      <c r="DM15" s="54" t="n">
        <f aca="false">MAX(0,(MIN($F15,DM$4)-MAX($E15,DM$3)+1)/DM$5)</f>
        <v>1</v>
      </c>
      <c r="DN15" s="54" t="n">
        <f aca="false">MAX(0,(MIN($F15,DN$4)-MAX($E15,DN$3)+1)/DN$5)</f>
        <v>1</v>
      </c>
      <c r="DO15" s="54" t="n">
        <f aca="false">MAX(0,(MIN($F15,DO$4)-MAX($E15,DO$3)+1)/DO$5)</f>
        <v>1</v>
      </c>
      <c r="DP15" s="54" t="n">
        <f aca="false">MAX(0,(MIN($F15,DP$4)-MAX($E15,DP$3)+1)/DP$5)</f>
        <v>1</v>
      </c>
      <c r="DQ15" s="54" t="n">
        <f aca="false">MAX(0,(MIN($F15,DQ$4)-MAX($E15,DQ$3)+1)/DQ$5)</f>
        <v>1</v>
      </c>
      <c r="DR15" s="54" t="n">
        <f aca="false">MAX(0,(MIN($F15,DR$4)-MAX($E15,DR$3)+1)/DR$5)</f>
        <v>1</v>
      </c>
      <c r="DS15" s="54" t="n">
        <f aca="false">MAX(0,(MIN($F15,DS$4)-MAX($E15,DS$3)+1)/DS$5)</f>
        <v>1</v>
      </c>
      <c r="DT15" s="54" t="n">
        <f aca="false">MAX(0,(MIN($F15,DT$4)-MAX($E15,DT$3)+1)/DT$5)</f>
        <v>1</v>
      </c>
      <c r="DU15" s="54" t="n">
        <f aca="false">MAX(0,(MIN($F15,DU$4)-MAX($E15,DU$3)+1)/DU$5)</f>
        <v>1</v>
      </c>
      <c r="DV15" s="54" t="n">
        <f aca="false">MAX(0,(MIN($F15,DV$4)-MAX($E15,DV$3)+1)/DV$5)</f>
        <v>1</v>
      </c>
      <c r="DW15" s="54" t="n">
        <f aca="false">MAX(0,(MIN($F15,DW$4)-MAX($E15,DW$3)+1)/DW$5)</f>
        <v>1</v>
      </c>
      <c r="DX15" s="54" t="n">
        <f aca="false">MAX(0,(MIN($F15,DX$4)-MAX($E15,DX$3)+1)/DX$5)</f>
        <v>1</v>
      </c>
      <c r="DY15" s="54" t="n">
        <f aca="false">MAX(0,(MIN($F15,DY$4)-MAX($E15,DY$3)+1)/DY$5)</f>
        <v>1</v>
      </c>
      <c r="DZ15" s="54" t="n">
        <f aca="false">MAX(0,(MIN($F15,DZ$4)-MAX($E15,DZ$3)+1)/DZ$5)</f>
        <v>1</v>
      </c>
      <c r="EA15" s="54" t="n">
        <f aca="false">MAX(0,(MIN($F15,EA$4)-MAX($E15,EA$3)+1)/EA$5)</f>
        <v>1</v>
      </c>
      <c r="EB15" s="54" t="n">
        <f aca="false">MAX(0,(MIN($F15,EB$4)-MAX($E15,EB$3)+1)/EB$5)</f>
        <v>1</v>
      </c>
      <c r="EC15" s="54" t="n">
        <f aca="false">MAX(0,(MIN($F15,EC$4)-MAX($E15,EC$3)+1)/EC$5)</f>
        <v>1</v>
      </c>
      <c r="ED15" s="54" t="n">
        <f aca="false">MAX(0,(MIN($F15,ED$4)-MAX($E15,ED$3)+1)/ED$5)</f>
        <v>1</v>
      </c>
      <c r="EE15" s="54" t="n">
        <f aca="false">MAX(0,(MIN($F15,EE$4)-MAX($E15,EE$3)+1)/EE$5)</f>
        <v>1</v>
      </c>
      <c r="EF15" s="54" t="n">
        <f aca="false">MAX(0,(MIN($F15,EF$4)-MAX($E15,EF$3)+1)/EF$5)</f>
        <v>1</v>
      </c>
      <c r="EG15" s="54" t="n">
        <f aca="false">MAX(0,(MIN($F15,EG$4)-MAX($E15,EG$3)+1)/EG$5)</f>
        <v>1</v>
      </c>
      <c r="EH15" s="54" t="n">
        <f aca="false">MAX(0,(MIN($F15,EH$4)-MAX($E15,EH$3)+1)/EH$5)</f>
        <v>1</v>
      </c>
      <c r="EI15" s="54" t="n">
        <f aca="false">MAX(0,(MIN($F15,EI$4)-MAX($E15,EI$3)+1)/EI$5)</f>
        <v>1</v>
      </c>
      <c r="EJ15" s="54" t="n">
        <f aca="false">MAX(0,(MIN($F15,EJ$4)-MAX($E15,EJ$3)+1)/EJ$5)</f>
        <v>1</v>
      </c>
      <c r="EK15" s="54" t="n">
        <f aca="false">MAX(0,(MIN($F15,EK$4)-MAX($E15,EK$3)+1)/EK$5)</f>
        <v>1</v>
      </c>
      <c r="EL15" s="54" t="n">
        <f aca="false">MAX(0,(MIN($F15,EL$4)-MAX($E15,EL$3)+1)/EL$5)</f>
        <v>1</v>
      </c>
      <c r="EM15" s="54" t="n">
        <f aca="false">MAX(0,(MIN($F15,EM$4)-MAX($E15,EM$3)+1)/EM$5)</f>
        <v>1</v>
      </c>
      <c r="EN15" s="54" t="n">
        <f aca="false">MAX(0,(MIN($F15,EN$4)-MAX($E15,EN$3)+1)/EN$5)</f>
        <v>1</v>
      </c>
      <c r="EO15" s="54" t="n">
        <f aca="false">MAX(0,(MIN($F15,EO$4)-MAX($E15,EO$3)+1)/EO$5)</f>
        <v>1</v>
      </c>
    </row>
    <row r="16" customFormat="false" ht="15" hidden="false" customHeight="false" outlineLevel="0" collapsed="false">
      <c r="C16" s="0" t="s">
        <v>375</v>
      </c>
      <c r="D16" s="11" t="s">
        <v>43</v>
      </c>
      <c r="E16" s="45" t="n">
        <f aca="false">In_NTP+1</f>
        <v>47027</v>
      </c>
      <c r="F16" s="45" t="n">
        <f aca="false">EDATE(In_COD,In_Life*Months_In_Year)</f>
        <v>58714</v>
      </c>
      <c r="J16" s="54" t="n">
        <f aca="false">MAX(0,(MIN($F16,J$4)-MAX($E16,J$3)+1)/J$5)</f>
        <v>0</v>
      </c>
      <c r="K16" s="54" t="n">
        <f aca="false">MAX(0,(MIN($F16,K$4)-MAX($E16,K$3)+1)/K$5)</f>
        <v>0</v>
      </c>
      <c r="L16" s="54" t="n">
        <f aca="false">MAX(0,(MIN($F16,L$4)-MAX($E16,L$3)+1)/L$5)</f>
        <v>0</v>
      </c>
      <c r="M16" s="54" t="n">
        <f aca="false">MAX(0,(MIN($F16,M$4)-MAX($E16,M$3)+1)/M$5)</f>
        <v>0</v>
      </c>
      <c r="N16" s="54" t="n">
        <f aca="false">MAX(0,(MIN($F16,N$4)-MAX($E16,N$3)+1)/N$5)</f>
        <v>0</v>
      </c>
      <c r="O16" s="54" t="n">
        <f aca="false">MAX(0,(MIN($F16,O$4)-MAX($E16,O$3)+1)/O$5)</f>
        <v>0</v>
      </c>
      <c r="P16" s="54" t="n">
        <f aca="false">MAX(0,(MIN($F16,P$4)-MAX($E16,P$3)+1)/P$5)</f>
        <v>0</v>
      </c>
      <c r="Q16" s="54" t="n">
        <f aca="false">MAX(0,(MIN($F16,Q$4)-MAX($E16,Q$3)+1)/Q$5)</f>
        <v>0</v>
      </c>
      <c r="R16" s="54" t="n">
        <f aca="false">MAX(0,(MIN($F16,R$4)-MAX($E16,R$3)+1)/R$5)</f>
        <v>1</v>
      </c>
      <c r="S16" s="54" t="n">
        <f aca="false">MAX(0,(MIN($F16,S$4)-MAX($E16,S$3)+1)/S$5)</f>
        <v>1</v>
      </c>
      <c r="T16" s="54" t="n">
        <f aca="false">MAX(0,(MIN($F16,T$4)-MAX($E16,T$3)+1)/T$5)</f>
        <v>1</v>
      </c>
      <c r="U16" s="54" t="n">
        <f aca="false">MAX(0,(MIN($F16,U$4)-MAX($E16,U$3)+1)/U$5)</f>
        <v>1</v>
      </c>
      <c r="V16" s="54" t="n">
        <f aca="false">MAX(0,(MIN($F16,V$4)-MAX($E16,V$3)+1)/V$5)</f>
        <v>1</v>
      </c>
      <c r="W16" s="54" t="n">
        <f aca="false">MAX(0,(MIN($F16,W$4)-MAX($E16,W$3)+1)/W$5)</f>
        <v>1</v>
      </c>
      <c r="X16" s="54" t="n">
        <f aca="false">MAX(0,(MIN($F16,X$4)-MAX($E16,X$3)+1)/X$5)</f>
        <v>1</v>
      </c>
      <c r="Y16" s="54" t="n">
        <f aca="false">MAX(0,(MIN($F16,Y$4)-MAX($E16,Y$3)+1)/Y$5)</f>
        <v>1</v>
      </c>
      <c r="Z16" s="54" t="n">
        <f aca="false">MAX(0,(MIN($F16,Z$4)-MAX($E16,Z$3)+1)/Z$5)</f>
        <v>1</v>
      </c>
      <c r="AA16" s="54" t="n">
        <f aca="false">MAX(0,(MIN($F16,AA$4)-MAX($E16,AA$3)+1)/AA$5)</f>
        <v>1</v>
      </c>
      <c r="AB16" s="54" t="n">
        <f aca="false">MAX(0,(MIN($F16,AB$4)-MAX($E16,AB$3)+1)/AB$5)</f>
        <v>1</v>
      </c>
      <c r="AC16" s="54" t="n">
        <f aca="false">MAX(0,(MIN($F16,AC$4)-MAX($E16,AC$3)+1)/AC$5)</f>
        <v>1</v>
      </c>
      <c r="AD16" s="54" t="n">
        <f aca="false">MAX(0,(MIN($F16,AD$4)-MAX($E16,AD$3)+1)/AD$5)</f>
        <v>1</v>
      </c>
      <c r="AE16" s="54" t="n">
        <f aca="false">MAX(0,(MIN($F16,AE$4)-MAX($E16,AE$3)+1)/AE$5)</f>
        <v>1</v>
      </c>
      <c r="AF16" s="54" t="n">
        <f aca="false">MAX(0,(MIN($F16,AF$4)-MAX($E16,AF$3)+1)/AF$5)</f>
        <v>1</v>
      </c>
      <c r="AG16" s="54" t="n">
        <f aca="false">MAX(0,(MIN($F16,AG$4)-MAX($E16,AG$3)+1)/AG$5)</f>
        <v>1</v>
      </c>
      <c r="AH16" s="54" t="n">
        <f aca="false">MAX(0,(MIN($F16,AH$4)-MAX($E16,AH$3)+1)/AH$5)</f>
        <v>1</v>
      </c>
      <c r="AI16" s="54" t="n">
        <f aca="false">MAX(0,(MIN($F16,AI$4)-MAX($E16,AI$3)+1)/AI$5)</f>
        <v>1</v>
      </c>
      <c r="AJ16" s="54" t="n">
        <f aca="false">MAX(0,(MIN($F16,AJ$4)-MAX($E16,AJ$3)+1)/AJ$5)</f>
        <v>1</v>
      </c>
      <c r="AK16" s="54" t="n">
        <f aca="false">MAX(0,(MIN($F16,AK$4)-MAX($E16,AK$3)+1)/AK$5)</f>
        <v>1</v>
      </c>
      <c r="AL16" s="54" t="n">
        <f aca="false">MAX(0,(MIN($F16,AL$4)-MAX($E16,AL$3)+1)/AL$5)</f>
        <v>1</v>
      </c>
      <c r="AM16" s="54" t="n">
        <f aca="false">MAX(0,(MIN($F16,AM$4)-MAX($E16,AM$3)+1)/AM$5)</f>
        <v>1</v>
      </c>
      <c r="AN16" s="54" t="n">
        <f aca="false">MAX(0,(MIN($F16,AN$4)-MAX($E16,AN$3)+1)/AN$5)</f>
        <v>1</v>
      </c>
      <c r="AO16" s="54" t="n">
        <f aca="false">MAX(0,(MIN($F16,AO$4)-MAX($E16,AO$3)+1)/AO$5)</f>
        <v>1</v>
      </c>
      <c r="AP16" s="54" t="n">
        <f aca="false">MAX(0,(MIN($F16,AP$4)-MAX($E16,AP$3)+1)/AP$5)</f>
        <v>1</v>
      </c>
      <c r="AQ16" s="54" t="n">
        <f aca="false">MAX(0,(MIN($F16,AQ$4)-MAX($E16,AQ$3)+1)/AQ$5)</f>
        <v>1</v>
      </c>
      <c r="AR16" s="54" t="n">
        <f aca="false">MAX(0,(MIN($F16,AR$4)-MAX($E16,AR$3)+1)/AR$5)</f>
        <v>1</v>
      </c>
      <c r="AS16" s="54" t="n">
        <f aca="false">MAX(0,(MIN($F16,AS$4)-MAX($E16,AS$3)+1)/AS$5)</f>
        <v>1</v>
      </c>
      <c r="AT16" s="54" t="n">
        <f aca="false">MAX(0,(MIN($F16,AT$4)-MAX($E16,AT$3)+1)/AT$5)</f>
        <v>1</v>
      </c>
      <c r="AU16" s="54" t="n">
        <f aca="false">MAX(0,(MIN($F16,AU$4)-MAX($E16,AU$3)+1)/AU$5)</f>
        <v>1</v>
      </c>
      <c r="AV16" s="54" t="n">
        <f aca="false">MAX(0,(MIN($F16,AV$4)-MAX($E16,AV$3)+1)/AV$5)</f>
        <v>1</v>
      </c>
      <c r="AW16" s="54" t="n">
        <f aca="false">MAX(0,(MIN($F16,AW$4)-MAX($E16,AW$3)+1)/AW$5)</f>
        <v>1</v>
      </c>
      <c r="AX16" s="54" t="n">
        <f aca="false">MAX(0,(MIN($F16,AX$4)-MAX($E16,AX$3)+1)/AX$5)</f>
        <v>1</v>
      </c>
      <c r="AY16" s="54" t="n">
        <f aca="false">MAX(0,(MIN($F16,AY$4)-MAX($E16,AY$3)+1)/AY$5)</f>
        <v>1</v>
      </c>
      <c r="AZ16" s="54" t="n">
        <f aca="false">MAX(0,(MIN($F16,AZ$4)-MAX($E16,AZ$3)+1)/AZ$5)</f>
        <v>1</v>
      </c>
      <c r="BA16" s="54" t="n">
        <f aca="false">MAX(0,(MIN($F16,BA$4)-MAX($E16,BA$3)+1)/BA$5)</f>
        <v>1</v>
      </c>
      <c r="BB16" s="54" t="n">
        <f aca="false">MAX(0,(MIN($F16,BB$4)-MAX($E16,BB$3)+1)/BB$5)</f>
        <v>1</v>
      </c>
      <c r="BC16" s="54" t="n">
        <f aca="false">MAX(0,(MIN($F16,BC$4)-MAX($E16,BC$3)+1)/BC$5)</f>
        <v>1</v>
      </c>
      <c r="BD16" s="54" t="n">
        <f aca="false">MAX(0,(MIN($F16,BD$4)-MAX($E16,BD$3)+1)/BD$5)</f>
        <v>1</v>
      </c>
      <c r="BE16" s="54" t="n">
        <f aca="false">MAX(0,(MIN($F16,BE$4)-MAX($E16,BE$3)+1)/BE$5)</f>
        <v>1</v>
      </c>
      <c r="BF16" s="54" t="n">
        <f aca="false">MAX(0,(MIN($F16,BF$4)-MAX($E16,BF$3)+1)/BF$5)</f>
        <v>1</v>
      </c>
      <c r="BG16" s="54" t="n">
        <f aca="false">MAX(0,(MIN($F16,BG$4)-MAX($E16,BG$3)+1)/BG$5)</f>
        <v>1</v>
      </c>
      <c r="BH16" s="54" t="n">
        <f aca="false">MAX(0,(MIN($F16,BH$4)-MAX($E16,BH$3)+1)/BH$5)</f>
        <v>1</v>
      </c>
      <c r="BI16" s="54" t="n">
        <f aca="false">MAX(0,(MIN($F16,BI$4)-MAX($E16,BI$3)+1)/BI$5)</f>
        <v>1</v>
      </c>
      <c r="BJ16" s="54" t="n">
        <f aca="false">MAX(0,(MIN($F16,BJ$4)-MAX($E16,BJ$3)+1)/BJ$5)</f>
        <v>1</v>
      </c>
      <c r="BK16" s="54" t="n">
        <f aca="false">MAX(0,(MIN($F16,BK$4)-MAX($E16,BK$3)+1)/BK$5)</f>
        <v>1</v>
      </c>
      <c r="BL16" s="54" t="n">
        <f aca="false">MAX(0,(MIN($F16,BL$4)-MAX($E16,BL$3)+1)/BL$5)</f>
        <v>1</v>
      </c>
      <c r="BM16" s="54" t="n">
        <f aca="false">MAX(0,(MIN($F16,BM$4)-MAX($E16,BM$3)+1)/BM$5)</f>
        <v>1</v>
      </c>
      <c r="BN16" s="54" t="n">
        <f aca="false">MAX(0,(MIN($F16,BN$4)-MAX($E16,BN$3)+1)/BN$5)</f>
        <v>1</v>
      </c>
      <c r="BO16" s="54" t="n">
        <f aca="false">MAX(0,(MIN($F16,BO$4)-MAX($E16,BO$3)+1)/BO$5)</f>
        <v>1</v>
      </c>
      <c r="BP16" s="54" t="n">
        <f aca="false">MAX(0,(MIN($F16,BP$4)-MAX($E16,BP$3)+1)/BP$5)</f>
        <v>1</v>
      </c>
      <c r="BQ16" s="54" t="n">
        <f aca="false">MAX(0,(MIN($F16,BQ$4)-MAX($E16,BQ$3)+1)/BQ$5)</f>
        <v>1</v>
      </c>
      <c r="BR16" s="54" t="n">
        <f aca="false">MAX(0,(MIN($F16,BR$4)-MAX($E16,BR$3)+1)/BR$5)</f>
        <v>1</v>
      </c>
      <c r="BS16" s="54" t="n">
        <f aca="false">MAX(0,(MIN($F16,BS$4)-MAX($E16,BS$3)+1)/BS$5)</f>
        <v>1</v>
      </c>
      <c r="BT16" s="54" t="n">
        <f aca="false">MAX(0,(MIN($F16,BT$4)-MAX($E16,BT$3)+1)/BT$5)</f>
        <v>1</v>
      </c>
      <c r="BU16" s="54" t="n">
        <f aca="false">MAX(0,(MIN($F16,BU$4)-MAX($E16,BU$3)+1)/BU$5)</f>
        <v>1</v>
      </c>
      <c r="BV16" s="54" t="n">
        <f aca="false">MAX(0,(MIN($F16,BV$4)-MAX($E16,BV$3)+1)/BV$5)</f>
        <v>1</v>
      </c>
      <c r="BW16" s="54" t="n">
        <f aca="false">MAX(0,(MIN($F16,BW$4)-MAX($E16,BW$3)+1)/BW$5)</f>
        <v>1</v>
      </c>
      <c r="BX16" s="54" t="n">
        <f aca="false">MAX(0,(MIN($F16,BX$4)-MAX($E16,BX$3)+1)/BX$5)</f>
        <v>1</v>
      </c>
      <c r="BY16" s="54" t="n">
        <f aca="false">MAX(0,(MIN($F16,BY$4)-MAX($E16,BY$3)+1)/BY$5)</f>
        <v>1</v>
      </c>
      <c r="BZ16" s="54" t="n">
        <f aca="false">MAX(0,(MIN($F16,BZ$4)-MAX($E16,BZ$3)+1)/BZ$5)</f>
        <v>1</v>
      </c>
      <c r="CA16" s="54" t="n">
        <f aca="false">MAX(0,(MIN($F16,CA$4)-MAX($E16,CA$3)+1)/CA$5)</f>
        <v>1</v>
      </c>
      <c r="CB16" s="54" t="n">
        <f aca="false">MAX(0,(MIN($F16,CB$4)-MAX($E16,CB$3)+1)/CB$5)</f>
        <v>1</v>
      </c>
      <c r="CC16" s="54" t="n">
        <f aca="false">MAX(0,(MIN($F16,CC$4)-MAX($E16,CC$3)+1)/CC$5)</f>
        <v>1</v>
      </c>
      <c r="CD16" s="54" t="n">
        <f aca="false">MAX(0,(MIN($F16,CD$4)-MAX($E16,CD$3)+1)/CD$5)</f>
        <v>1</v>
      </c>
      <c r="CE16" s="54" t="n">
        <f aca="false">MAX(0,(MIN($F16,CE$4)-MAX($E16,CE$3)+1)/CE$5)</f>
        <v>1</v>
      </c>
      <c r="CF16" s="54" t="n">
        <f aca="false">MAX(0,(MIN($F16,CF$4)-MAX($E16,CF$3)+1)/CF$5)</f>
        <v>1</v>
      </c>
      <c r="CG16" s="54" t="n">
        <f aca="false">MAX(0,(MIN($F16,CG$4)-MAX($E16,CG$3)+1)/CG$5)</f>
        <v>1</v>
      </c>
      <c r="CH16" s="54" t="n">
        <f aca="false">MAX(0,(MIN($F16,CH$4)-MAX($E16,CH$3)+1)/CH$5)</f>
        <v>1</v>
      </c>
      <c r="CI16" s="54" t="n">
        <f aca="false">MAX(0,(MIN($F16,CI$4)-MAX($E16,CI$3)+1)/CI$5)</f>
        <v>1</v>
      </c>
      <c r="CJ16" s="54" t="n">
        <f aca="false">MAX(0,(MIN($F16,CJ$4)-MAX($E16,CJ$3)+1)/CJ$5)</f>
        <v>1</v>
      </c>
      <c r="CK16" s="54" t="n">
        <f aca="false">MAX(0,(MIN($F16,CK$4)-MAX($E16,CK$3)+1)/CK$5)</f>
        <v>1</v>
      </c>
      <c r="CL16" s="54" t="n">
        <f aca="false">MAX(0,(MIN($F16,CL$4)-MAX($E16,CL$3)+1)/CL$5)</f>
        <v>1</v>
      </c>
      <c r="CM16" s="54" t="n">
        <f aca="false">MAX(0,(MIN($F16,CM$4)-MAX($E16,CM$3)+1)/CM$5)</f>
        <v>1</v>
      </c>
      <c r="CN16" s="54" t="n">
        <f aca="false">MAX(0,(MIN($F16,CN$4)-MAX($E16,CN$3)+1)/CN$5)</f>
        <v>1</v>
      </c>
      <c r="CO16" s="54" t="n">
        <f aca="false">MAX(0,(MIN($F16,CO$4)-MAX($E16,CO$3)+1)/CO$5)</f>
        <v>1</v>
      </c>
      <c r="CP16" s="54" t="n">
        <f aca="false">MAX(0,(MIN($F16,CP$4)-MAX($E16,CP$3)+1)/CP$5)</f>
        <v>1</v>
      </c>
      <c r="CQ16" s="54" t="n">
        <f aca="false">MAX(0,(MIN($F16,CQ$4)-MAX($E16,CQ$3)+1)/CQ$5)</f>
        <v>1</v>
      </c>
      <c r="CR16" s="54" t="n">
        <f aca="false">MAX(0,(MIN($F16,CR$4)-MAX($E16,CR$3)+1)/CR$5)</f>
        <v>1</v>
      </c>
      <c r="CS16" s="54" t="n">
        <f aca="false">MAX(0,(MIN($F16,CS$4)-MAX($E16,CS$3)+1)/CS$5)</f>
        <v>1</v>
      </c>
      <c r="CT16" s="54" t="n">
        <f aca="false">MAX(0,(MIN($F16,CT$4)-MAX($E16,CT$3)+1)/CT$5)</f>
        <v>1</v>
      </c>
      <c r="CU16" s="54" t="n">
        <f aca="false">MAX(0,(MIN($F16,CU$4)-MAX($E16,CU$3)+1)/CU$5)</f>
        <v>1</v>
      </c>
      <c r="CV16" s="54" t="n">
        <f aca="false">MAX(0,(MIN($F16,CV$4)-MAX($E16,CV$3)+1)/CV$5)</f>
        <v>1</v>
      </c>
      <c r="CW16" s="54" t="n">
        <f aca="false">MAX(0,(MIN($F16,CW$4)-MAX($E16,CW$3)+1)/CW$5)</f>
        <v>1</v>
      </c>
      <c r="CX16" s="54" t="n">
        <f aca="false">MAX(0,(MIN($F16,CX$4)-MAX($E16,CX$3)+1)/CX$5)</f>
        <v>1</v>
      </c>
      <c r="CY16" s="54" t="n">
        <f aca="false">MAX(0,(MIN($F16,CY$4)-MAX($E16,CY$3)+1)/CY$5)</f>
        <v>1</v>
      </c>
      <c r="CZ16" s="54" t="n">
        <f aca="false">MAX(0,(MIN($F16,CZ$4)-MAX($E16,CZ$3)+1)/CZ$5)</f>
        <v>1</v>
      </c>
      <c r="DA16" s="54" t="n">
        <f aca="false">MAX(0,(MIN($F16,DA$4)-MAX($E16,DA$3)+1)/DA$5)</f>
        <v>1</v>
      </c>
      <c r="DB16" s="54" t="n">
        <f aca="false">MAX(0,(MIN($F16,DB$4)-MAX($E16,DB$3)+1)/DB$5)</f>
        <v>1</v>
      </c>
      <c r="DC16" s="54" t="n">
        <f aca="false">MAX(0,(MIN($F16,DC$4)-MAX($E16,DC$3)+1)/DC$5)</f>
        <v>1</v>
      </c>
      <c r="DD16" s="54" t="n">
        <f aca="false">MAX(0,(MIN($F16,DD$4)-MAX($E16,DD$3)+1)/DD$5)</f>
        <v>1</v>
      </c>
      <c r="DE16" s="54" t="n">
        <f aca="false">MAX(0,(MIN($F16,DE$4)-MAX($E16,DE$3)+1)/DE$5)</f>
        <v>1</v>
      </c>
      <c r="DF16" s="54" t="n">
        <f aca="false">MAX(0,(MIN($F16,DF$4)-MAX($E16,DF$3)+1)/DF$5)</f>
        <v>1</v>
      </c>
      <c r="DG16" s="54" t="n">
        <f aca="false">MAX(0,(MIN($F16,DG$4)-MAX($E16,DG$3)+1)/DG$5)</f>
        <v>1</v>
      </c>
      <c r="DH16" s="54" t="n">
        <f aca="false">MAX(0,(MIN($F16,DH$4)-MAX($E16,DH$3)+1)/DH$5)</f>
        <v>1</v>
      </c>
      <c r="DI16" s="54" t="n">
        <f aca="false">MAX(0,(MIN($F16,DI$4)-MAX($E16,DI$3)+1)/DI$5)</f>
        <v>1</v>
      </c>
      <c r="DJ16" s="54" t="n">
        <f aca="false">MAX(0,(MIN($F16,DJ$4)-MAX($E16,DJ$3)+1)/DJ$5)</f>
        <v>1</v>
      </c>
      <c r="DK16" s="54" t="n">
        <f aca="false">MAX(0,(MIN($F16,DK$4)-MAX($E16,DK$3)+1)/DK$5)</f>
        <v>1</v>
      </c>
      <c r="DL16" s="54" t="n">
        <f aca="false">MAX(0,(MIN($F16,DL$4)-MAX($E16,DL$3)+1)/DL$5)</f>
        <v>1</v>
      </c>
      <c r="DM16" s="54" t="n">
        <f aca="false">MAX(0,(MIN($F16,DM$4)-MAX($E16,DM$3)+1)/DM$5)</f>
        <v>1</v>
      </c>
      <c r="DN16" s="54" t="n">
        <f aca="false">MAX(0,(MIN($F16,DN$4)-MAX($E16,DN$3)+1)/DN$5)</f>
        <v>1</v>
      </c>
      <c r="DO16" s="54" t="n">
        <f aca="false">MAX(0,(MIN($F16,DO$4)-MAX($E16,DO$3)+1)/DO$5)</f>
        <v>1</v>
      </c>
      <c r="DP16" s="54" t="n">
        <f aca="false">MAX(0,(MIN($F16,DP$4)-MAX($E16,DP$3)+1)/DP$5)</f>
        <v>1</v>
      </c>
      <c r="DQ16" s="54" t="n">
        <f aca="false">MAX(0,(MIN($F16,DQ$4)-MAX($E16,DQ$3)+1)/DQ$5)</f>
        <v>1</v>
      </c>
      <c r="DR16" s="54" t="n">
        <f aca="false">MAX(0,(MIN($F16,DR$4)-MAX($E16,DR$3)+1)/DR$5)</f>
        <v>1</v>
      </c>
      <c r="DS16" s="54" t="n">
        <f aca="false">MAX(0,(MIN($F16,DS$4)-MAX($E16,DS$3)+1)/DS$5)</f>
        <v>1</v>
      </c>
      <c r="DT16" s="54" t="n">
        <f aca="false">MAX(0,(MIN($F16,DT$4)-MAX($E16,DT$3)+1)/DT$5)</f>
        <v>1</v>
      </c>
      <c r="DU16" s="54" t="n">
        <f aca="false">MAX(0,(MIN($F16,DU$4)-MAX($E16,DU$3)+1)/DU$5)</f>
        <v>1</v>
      </c>
      <c r="DV16" s="54" t="n">
        <f aca="false">MAX(0,(MIN($F16,DV$4)-MAX($E16,DV$3)+1)/DV$5)</f>
        <v>1</v>
      </c>
      <c r="DW16" s="54" t="n">
        <f aca="false">MAX(0,(MIN($F16,DW$4)-MAX($E16,DW$3)+1)/DW$5)</f>
        <v>1</v>
      </c>
      <c r="DX16" s="54" t="n">
        <f aca="false">MAX(0,(MIN($F16,DX$4)-MAX($E16,DX$3)+1)/DX$5)</f>
        <v>1</v>
      </c>
      <c r="DY16" s="54" t="n">
        <f aca="false">MAX(0,(MIN($F16,DY$4)-MAX($E16,DY$3)+1)/DY$5)</f>
        <v>1</v>
      </c>
      <c r="DZ16" s="54" t="n">
        <f aca="false">MAX(0,(MIN($F16,DZ$4)-MAX($E16,DZ$3)+1)/DZ$5)</f>
        <v>1</v>
      </c>
      <c r="EA16" s="54" t="n">
        <f aca="false">MAX(0,(MIN($F16,EA$4)-MAX($E16,EA$3)+1)/EA$5)</f>
        <v>1</v>
      </c>
      <c r="EB16" s="54" t="n">
        <f aca="false">MAX(0,(MIN($F16,EB$4)-MAX($E16,EB$3)+1)/EB$5)</f>
        <v>1</v>
      </c>
      <c r="EC16" s="54" t="n">
        <f aca="false">MAX(0,(MIN($F16,EC$4)-MAX($E16,EC$3)+1)/EC$5)</f>
        <v>1</v>
      </c>
      <c r="ED16" s="54" t="n">
        <f aca="false">MAX(0,(MIN($F16,ED$4)-MAX($E16,ED$3)+1)/ED$5)</f>
        <v>1</v>
      </c>
      <c r="EE16" s="54" t="n">
        <f aca="false">MAX(0,(MIN($F16,EE$4)-MAX($E16,EE$3)+1)/EE$5)</f>
        <v>1</v>
      </c>
      <c r="EF16" s="54" t="n">
        <f aca="false">MAX(0,(MIN($F16,EF$4)-MAX($E16,EF$3)+1)/EF$5)</f>
        <v>1</v>
      </c>
      <c r="EG16" s="54" t="n">
        <f aca="false">MAX(0,(MIN($F16,EG$4)-MAX($E16,EG$3)+1)/EG$5)</f>
        <v>1</v>
      </c>
      <c r="EH16" s="54" t="n">
        <f aca="false">MAX(0,(MIN($F16,EH$4)-MAX($E16,EH$3)+1)/EH$5)</f>
        <v>1</v>
      </c>
      <c r="EI16" s="54" t="n">
        <f aca="false">MAX(0,(MIN($F16,EI$4)-MAX($E16,EI$3)+1)/EI$5)</f>
        <v>1</v>
      </c>
      <c r="EJ16" s="54" t="n">
        <f aca="false">MAX(0,(MIN($F16,EJ$4)-MAX($E16,EJ$3)+1)/EJ$5)</f>
        <v>1</v>
      </c>
      <c r="EK16" s="54" t="n">
        <f aca="false">MAX(0,(MIN($F16,EK$4)-MAX($E16,EK$3)+1)/EK$5)</f>
        <v>1</v>
      </c>
      <c r="EL16" s="54" t="n">
        <f aca="false">MAX(0,(MIN($F16,EL$4)-MAX($E16,EL$3)+1)/EL$5)</f>
        <v>1</v>
      </c>
      <c r="EM16" s="54" t="n">
        <f aca="false">MAX(0,(MIN($F16,EM$4)-MAX($E16,EM$3)+1)/EM$5)</f>
        <v>1</v>
      </c>
      <c r="EN16" s="54" t="n">
        <f aca="false">MAX(0,(MIN($F16,EN$4)-MAX($E16,EN$3)+1)/EN$5)</f>
        <v>1</v>
      </c>
      <c r="EO16" s="54" t="n">
        <f aca="false">MAX(0,(MIN($F16,EO$4)-MAX($E16,EO$3)+1)/EO$5)</f>
        <v>1</v>
      </c>
    </row>
    <row r="17" customFormat="false" ht="15" hidden="false" customHeight="false" outlineLevel="0" collapsed="false">
      <c r="C17" s="0" t="s">
        <v>376</v>
      </c>
      <c r="D17" s="11" t="s">
        <v>43</v>
      </c>
      <c r="E17" s="45" t="n">
        <f aca="false">In_COD+1</f>
        <v>47757</v>
      </c>
      <c r="F17" s="45" t="n">
        <f aca="false">EDATE(In_COD,In_Debt_Tenor*Months_In_Year)</f>
        <v>54331</v>
      </c>
      <c r="J17" s="54" t="n">
        <f aca="false">MAX(0,(MIN($F17,J$4)-MAX($E17,J$3)+1)/J$5)</f>
        <v>0</v>
      </c>
      <c r="K17" s="54" t="n">
        <f aca="false">MAX(0,(MIN($F17,K$4)-MAX($E17,K$3)+1)/K$5)</f>
        <v>0</v>
      </c>
      <c r="L17" s="54" t="n">
        <f aca="false">MAX(0,(MIN($F17,L$4)-MAX($E17,L$3)+1)/L$5)</f>
        <v>0</v>
      </c>
      <c r="M17" s="54" t="n">
        <f aca="false">MAX(0,(MIN($F17,M$4)-MAX($E17,M$3)+1)/M$5)</f>
        <v>0</v>
      </c>
      <c r="N17" s="54" t="n">
        <f aca="false">MAX(0,(MIN($F17,N$4)-MAX($E17,N$3)+1)/N$5)</f>
        <v>0</v>
      </c>
      <c r="O17" s="54" t="n">
        <f aca="false">MAX(0,(MIN($F17,O$4)-MAX($E17,O$3)+1)/O$5)</f>
        <v>0</v>
      </c>
      <c r="P17" s="54" t="n">
        <f aca="false">MAX(0,(MIN($F17,P$4)-MAX($E17,P$3)+1)/P$5)</f>
        <v>0</v>
      </c>
      <c r="Q17" s="54" t="n">
        <f aca="false">MAX(0,(MIN($F17,Q$4)-MAX($E17,Q$3)+1)/Q$5)</f>
        <v>0</v>
      </c>
      <c r="R17" s="54" t="n">
        <f aca="false">MAX(0,(MIN($F17,R$4)-MAX($E17,R$3)+1)/R$5)</f>
        <v>0</v>
      </c>
      <c r="S17" s="54" t="n">
        <f aca="false">MAX(0,(MIN($F17,S$4)-MAX($E17,S$3)+1)/S$5)</f>
        <v>0</v>
      </c>
      <c r="T17" s="54" t="n">
        <f aca="false">MAX(0,(MIN($F17,T$4)-MAX($E17,T$3)+1)/T$5)</f>
        <v>0</v>
      </c>
      <c r="U17" s="54" t="n">
        <f aca="false">MAX(0,(MIN($F17,U$4)-MAX($E17,U$3)+1)/U$5)</f>
        <v>0</v>
      </c>
      <c r="V17" s="54" t="n">
        <f aca="false">MAX(0,(MIN($F17,V$4)-MAX($E17,V$3)+1)/V$5)</f>
        <v>0</v>
      </c>
      <c r="W17" s="54" t="n">
        <f aca="false">MAX(0,(MIN($F17,W$4)-MAX($E17,W$3)+1)/W$5)</f>
        <v>0</v>
      </c>
      <c r="X17" s="54" t="n">
        <f aca="false">MAX(0,(MIN($F17,X$4)-MAX($E17,X$3)+1)/X$5)</f>
        <v>0</v>
      </c>
      <c r="Y17" s="54" t="n">
        <f aca="false">MAX(0,(MIN($F17,Y$4)-MAX($E17,Y$3)+1)/Y$5)</f>
        <v>0</v>
      </c>
      <c r="Z17" s="54" t="n">
        <f aca="false">MAX(0,(MIN($F17,Z$4)-MAX($E17,Z$3)+1)/Z$5)</f>
        <v>1</v>
      </c>
      <c r="AA17" s="54" t="n">
        <f aca="false">MAX(0,(MIN($F17,AA$4)-MAX($E17,AA$3)+1)/AA$5)</f>
        <v>1</v>
      </c>
      <c r="AB17" s="54" t="n">
        <f aca="false">MAX(0,(MIN($F17,AB$4)-MAX($E17,AB$3)+1)/AB$5)</f>
        <v>1</v>
      </c>
      <c r="AC17" s="54" t="n">
        <f aca="false">MAX(0,(MIN($F17,AC$4)-MAX($E17,AC$3)+1)/AC$5)</f>
        <v>1</v>
      </c>
      <c r="AD17" s="54" t="n">
        <f aca="false">MAX(0,(MIN($F17,AD$4)-MAX($E17,AD$3)+1)/AD$5)</f>
        <v>1</v>
      </c>
      <c r="AE17" s="54" t="n">
        <f aca="false">MAX(0,(MIN($F17,AE$4)-MAX($E17,AE$3)+1)/AE$5)</f>
        <v>1</v>
      </c>
      <c r="AF17" s="54" t="n">
        <f aca="false">MAX(0,(MIN($F17,AF$4)-MAX($E17,AF$3)+1)/AF$5)</f>
        <v>1</v>
      </c>
      <c r="AG17" s="54" t="n">
        <f aca="false">MAX(0,(MIN($F17,AG$4)-MAX($E17,AG$3)+1)/AG$5)</f>
        <v>1</v>
      </c>
      <c r="AH17" s="54" t="n">
        <f aca="false">MAX(0,(MIN($F17,AH$4)-MAX($E17,AH$3)+1)/AH$5)</f>
        <v>1</v>
      </c>
      <c r="AI17" s="54" t="n">
        <f aca="false">MAX(0,(MIN($F17,AI$4)-MAX($E17,AI$3)+1)/AI$5)</f>
        <v>1</v>
      </c>
      <c r="AJ17" s="54" t="n">
        <f aca="false">MAX(0,(MIN($F17,AJ$4)-MAX($E17,AJ$3)+1)/AJ$5)</f>
        <v>1</v>
      </c>
      <c r="AK17" s="54" t="n">
        <f aca="false">MAX(0,(MIN($F17,AK$4)-MAX($E17,AK$3)+1)/AK$5)</f>
        <v>1</v>
      </c>
      <c r="AL17" s="54" t="n">
        <f aca="false">MAX(0,(MIN($F17,AL$4)-MAX($E17,AL$3)+1)/AL$5)</f>
        <v>1</v>
      </c>
      <c r="AM17" s="54" t="n">
        <f aca="false">MAX(0,(MIN($F17,AM$4)-MAX($E17,AM$3)+1)/AM$5)</f>
        <v>1</v>
      </c>
      <c r="AN17" s="54" t="n">
        <f aca="false">MAX(0,(MIN($F17,AN$4)-MAX($E17,AN$3)+1)/AN$5)</f>
        <v>1</v>
      </c>
      <c r="AO17" s="54" t="n">
        <f aca="false">MAX(0,(MIN($F17,AO$4)-MAX($E17,AO$3)+1)/AO$5)</f>
        <v>1</v>
      </c>
      <c r="AP17" s="54" t="n">
        <f aca="false">MAX(0,(MIN($F17,AP$4)-MAX($E17,AP$3)+1)/AP$5)</f>
        <v>1</v>
      </c>
      <c r="AQ17" s="54" t="n">
        <f aca="false">MAX(0,(MIN($F17,AQ$4)-MAX($E17,AQ$3)+1)/AQ$5)</f>
        <v>1</v>
      </c>
      <c r="AR17" s="54" t="n">
        <f aca="false">MAX(0,(MIN($F17,AR$4)-MAX($E17,AR$3)+1)/AR$5)</f>
        <v>1</v>
      </c>
      <c r="AS17" s="54" t="n">
        <f aca="false">MAX(0,(MIN($F17,AS$4)-MAX($E17,AS$3)+1)/AS$5)</f>
        <v>1</v>
      </c>
      <c r="AT17" s="54" t="n">
        <f aca="false">MAX(0,(MIN($F17,AT$4)-MAX($E17,AT$3)+1)/AT$5)</f>
        <v>1</v>
      </c>
      <c r="AU17" s="54" t="n">
        <f aca="false">MAX(0,(MIN($F17,AU$4)-MAX($E17,AU$3)+1)/AU$5)</f>
        <v>1</v>
      </c>
      <c r="AV17" s="54" t="n">
        <f aca="false">MAX(0,(MIN($F17,AV$4)-MAX($E17,AV$3)+1)/AV$5)</f>
        <v>1</v>
      </c>
      <c r="AW17" s="54" t="n">
        <f aca="false">MAX(0,(MIN($F17,AW$4)-MAX($E17,AW$3)+1)/AW$5)</f>
        <v>1</v>
      </c>
      <c r="AX17" s="54" t="n">
        <f aca="false">MAX(0,(MIN($F17,AX$4)-MAX($E17,AX$3)+1)/AX$5)</f>
        <v>1</v>
      </c>
      <c r="AY17" s="54" t="n">
        <f aca="false">MAX(0,(MIN($F17,AY$4)-MAX($E17,AY$3)+1)/AY$5)</f>
        <v>1</v>
      </c>
      <c r="AZ17" s="54" t="n">
        <f aca="false">MAX(0,(MIN($F17,AZ$4)-MAX($E17,AZ$3)+1)/AZ$5)</f>
        <v>1</v>
      </c>
      <c r="BA17" s="54" t="n">
        <f aca="false">MAX(0,(MIN($F17,BA$4)-MAX($E17,BA$3)+1)/BA$5)</f>
        <v>1</v>
      </c>
      <c r="BB17" s="54" t="n">
        <f aca="false">MAX(0,(MIN($F17,BB$4)-MAX($E17,BB$3)+1)/BB$5)</f>
        <v>1</v>
      </c>
      <c r="BC17" s="54" t="n">
        <f aca="false">MAX(0,(MIN($F17,BC$4)-MAX($E17,BC$3)+1)/BC$5)</f>
        <v>1</v>
      </c>
      <c r="BD17" s="54" t="n">
        <f aca="false">MAX(0,(MIN($F17,BD$4)-MAX($E17,BD$3)+1)/BD$5)</f>
        <v>1</v>
      </c>
      <c r="BE17" s="54" t="n">
        <f aca="false">MAX(0,(MIN($F17,BE$4)-MAX($E17,BE$3)+1)/BE$5)</f>
        <v>1</v>
      </c>
      <c r="BF17" s="54" t="n">
        <f aca="false">MAX(0,(MIN($F17,BF$4)-MAX($E17,BF$3)+1)/BF$5)</f>
        <v>1</v>
      </c>
      <c r="BG17" s="54" t="n">
        <f aca="false">MAX(0,(MIN($F17,BG$4)-MAX($E17,BG$3)+1)/BG$5)</f>
        <v>1</v>
      </c>
      <c r="BH17" s="54" t="n">
        <f aca="false">MAX(0,(MIN($F17,BH$4)-MAX($E17,BH$3)+1)/BH$5)</f>
        <v>1</v>
      </c>
      <c r="BI17" s="54" t="n">
        <f aca="false">MAX(0,(MIN($F17,BI$4)-MAX($E17,BI$3)+1)/BI$5)</f>
        <v>1</v>
      </c>
      <c r="BJ17" s="54" t="n">
        <f aca="false">MAX(0,(MIN($F17,BJ$4)-MAX($E17,BJ$3)+1)/BJ$5)</f>
        <v>1</v>
      </c>
      <c r="BK17" s="54" t="n">
        <f aca="false">MAX(0,(MIN($F17,BK$4)-MAX($E17,BK$3)+1)/BK$5)</f>
        <v>1</v>
      </c>
      <c r="BL17" s="54" t="n">
        <f aca="false">MAX(0,(MIN($F17,BL$4)-MAX($E17,BL$3)+1)/BL$5)</f>
        <v>1</v>
      </c>
      <c r="BM17" s="54" t="n">
        <f aca="false">MAX(0,(MIN($F17,BM$4)-MAX($E17,BM$3)+1)/BM$5)</f>
        <v>1</v>
      </c>
      <c r="BN17" s="54" t="n">
        <f aca="false">MAX(0,(MIN($F17,BN$4)-MAX($E17,BN$3)+1)/BN$5)</f>
        <v>1</v>
      </c>
      <c r="BO17" s="54" t="n">
        <f aca="false">MAX(0,(MIN($F17,BO$4)-MAX($E17,BO$3)+1)/BO$5)</f>
        <v>1</v>
      </c>
      <c r="BP17" s="54" t="n">
        <f aca="false">MAX(0,(MIN($F17,BP$4)-MAX($E17,BP$3)+1)/BP$5)</f>
        <v>1</v>
      </c>
      <c r="BQ17" s="54" t="n">
        <f aca="false">MAX(0,(MIN($F17,BQ$4)-MAX($E17,BQ$3)+1)/BQ$5)</f>
        <v>1</v>
      </c>
      <c r="BR17" s="54" t="n">
        <f aca="false">MAX(0,(MIN($F17,BR$4)-MAX($E17,BR$3)+1)/BR$5)</f>
        <v>1</v>
      </c>
      <c r="BS17" s="54" t="n">
        <f aca="false">MAX(0,(MIN($F17,BS$4)-MAX($E17,BS$3)+1)/BS$5)</f>
        <v>1</v>
      </c>
      <c r="BT17" s="54" t="n">
        <f aca="false">MAX(0,(MIN($F17,BT$4)-MAX($E17,BT$3)+1)/BT$5)</f>
        <v>1</v>
      </c>
      <c r="BU17" s="54" t="n">
        <f aca="false">MAX(0,(MIN($F17,BU$4)-MAX($E17,BU$3)+1)/BU$5)</f>
        <v>1</v>
      </c>
      <c r="BV17" s="54" t="n">
        <f aca="false">MAX(0,(MIN($F17,BV$4)-MAX($E17,BV$3)+1)/BV$5)</f>
        <v>1</v>
      </c>
      <c r="BW17" s="54" t="n">
        <f aca="false">MAX(0,(MIN($F17,BW$4)-MAX($E17,BW$3)+1)/BW$5)</f>
        <v>1</v>
      </c>
      <c r="BX17" s="54" t="n">
        <f aca="false">MAX(0,(MIN($F17,BX$4)-MAX($E17,BX$3)+1)/BX$5)</f>
        <v>1</v>
      </c>
      <c r="BY17" s="54" t="n">
        <f aca="false">MAX(0,(MIN($F17,BY$4)-MAX($E17,BY$3)+1)/BY$5)</f>
        <v>1</v>
      </c>
      <c r="BZ17" s="54" t="n">
        <f aca="false">MAX(0,(MIN($F17,BZ$4)-MAX($E17,BZ$3)+1)/BZ$5)</f>
        <v>1</v>
      </c>
      <c r="CA17" s="54" t="n">
        <f aca="false">MAX(0,(MIN($F17,CA$4)-MAX($E17,CA$3)+1)/CA$5)</f>
        <v>1</v>
      </c>
      <c r="CB17" s="54" t="n">
        <f aca="false">MAX(0,(MIN($F17,CB$4)-MAX($E17,CB$3)+1)/CB$5)</f>
        <v>1</v>
      </c>
      <c r="CC17" s="54" t="n">
        <f aca="false">MAX(0,(MIN($F17,CC$4)-MAX($E17,CC$3)+1)/CC$5)</f>
        <v>1</v>
      </c>
      <c r="CD17" s="54" t="n">
        <f aca="false">MAX(0,(MIN($F17,CD$4)-MAX($E17,CD$3)+1)/CD$5)</f>
        <v>1</v>
      </c>
      <c r="CE17" s="54" t="n">
        <f aca="false">MAX(0,(MIN($F17,CE$4)-MAX($E17,CE$3)+1)/CE$5)</f>
        <v>1</v>
      </c>
      <c r="CF17" s="54" t="n">
        <f aca="false">MAX(0,(MIN($F17,CF$4)-MAX($E17,CF$3)+1)/CF$5)</f>
        <v>1</v>
      </c>
      <c r="CG17" s="54" t="n">
        <f aca="false">MAX(0,(MIN($F17,CG$4)-MAX($E17,CG$3)+1)/CG$5)</f>
        <v>1</v>
      </c>
      <c r="CH17" s="54" t="n">
        <f aca="false">MAX(0,(MIN($F17,CH$4)-MAX($E17,CH$3)+1)/CH$5)</f>
        <v>1</v>
      </c>
      <c r="CI17" s="54" t="n">
        <f aca="false">MAX(0,(MIN($F17,CI$4)-MAX($E17,CI$3)+1)/CI$5)</f>
        <v>1</v>
      </c>
      <c r="CJ17" s="54" t="n">
        <f aca="false">MAX(0,(MIN($F17,CJ$4)-MAX($E17,CJ$3)+1)/CJ$5)</f>
        <v>1</v>
      </c>
      <c r="CK17" s="54" t="n">
        <f aca="false">MAX(0,(MIN($F17,CK$4)-MAX($E17,CK$3)+1)/CK$5)</f>
        <v>1</v>
      </c>
      <c r="CL17" s="54" t="n">
        <f aca="false">MAX(0,(MIN($F17,CL$4)-MAX($E17,CL$3)+1)/CL$5)</f>
        <v>1</v>
      </c>
      <c r="CM17" s="54" t="n">
        <f aca="false">MAX(0,(MIN($F17,CM$4)-MAX($E17,CM$3)+1)/CM$5)</f>
        <v>1</v>
      </c>
      <c r="CN17" s="54" t="n">
        <f aca="false">MAX(0,(MIN($F17,CN$4)-MAX($E17,CN$3)+1)/CN$5)</f>
        <v>1</v>
      </c>
      <c r="CO17" s="54" t="n">
        <f aca="false">MAX(0,(MIN($F17,CO$4)-MAX($E17,CO$3)+1)/CO$5)</f>
        <v>1</v>
      </c>
      <c r="CP17" s="54" t="n">
        <f aca="false">MAX(0,(MIN($F17,CP$4)-MAX($E17,CP$3)+1)/CP$5)</f>
        <v>1</v>
      </c>
      <c r="CQ17" s="54" t="n">
        <f aca="false">MAX(0,(MIN($F17,CQ$4)-MAX($E17,CQ$3)+1)/CQ$5)</f>
        <v>1</v>
      </c>
      <c r="CR17" s="54" t="n">
        <f aca="false">MAX(0,(MIN($F17,CR$4)-MAX($E17,CR$3)+1)/CR$5)</f>
        <v>1</v>
      </c>
      <c r="CS17" s="54" t="n">
        <f aca="false">MAX(0,(MIN($F17,CS$4)-MAX($E17,CS$3)+1)/CS$5)</f>
        <v>1</v>
      </c>
      <c r="CT17" s="54" t="n">
        <f aca="false">MAX(0,(MIN($F17,CT$4)-MAX($E17,CT$3)+1)/CT$5)</f>
        <v>0</v>
      </c>
      <c r="CU17" s="54" t="n">
        <f aca="false">MAX(0,(MIN($F17,CU$4)-MAX($E17,CU$3)+1)/CU$5)</f>
        <v>0</v>
      </c>
      <c r="CV17" s="54" t="n">
        <f aca="false">MAX(0,(MIN($F17,CV$4)-MAX($E17,CV$3)+1)/CV$5)</f>
        <v>0</v>
      </c>
      <c r="CW17" s="54" t="n">
        <f aca="false">MAX(0,(MIN($F17,CW$4)-MAX($E17,CW$3)+1)/CW$5)</f>
        <v>0</v>
      </c>
      <c r="CX17" s="54" t="n">
        <f aca="false">MAX(0,(MIN($F17,CX$4)-MAX($E17,CX$3)+1)/CX$5)</f>
        <v>0</v>
      </c>
      <c r="CY17" s="54" t="n">
        <f aca="false">MAX(0,(MIN($F17,CY$4)-MAX($E17,CY$3)+1)/CY$5)</f>
        <v>0</v>
      </c>
      <c r="CZ17" s="54" t="n">
        <f aca="false">MAX(0,(MIN($F17,CZ$4)-MAX($E17,CZ$3)+1)/CZ$5)</f>
        <v>0</v>
      </c>
      <c r="DA17" s="54" t="n">
        <f aca="false">MAX(0,(MIN($F17,DA$4)-MAX($E17,DA$3)+1)/DA$5)</f>
        <v>0</v>
      </c>
      <c r="DB17" s="54" t="n">
        <f aca="false">MAX(0,(MIN($F17,DB$4)-MAX($E17,DB$3)+1)/DB$5)</f>
        <v>0</v>
      </c>
      <c r="DC17" s="54" t="n">
        <f aca="false">MAX(0,(MIN($F17,DC$4)-MAX($E17,DC$3)+1)/DC$5)</f>
        <v>0</v>
      </c>
      <c r="DD17" s="54" t="n">
        <f aca="false">MAX(0,(MIN($F17,DD$4)-MAX($E17,DD$3)+1)/DD$5)</f>
        <v>0</v>
      </c>
      <c r="DE17" s="54" t="n">
        <f aca="false">MAX(0,(MIN($F17,DE$4)-MAX($E17,DE$3)+1)/DE$5)</f>
        <v>0</v>
      </c>
      <c r="DF17" s="54" t="n">
        <f aca="false">MAX(0,(MIN($F17,DF$4)-MAX($E17,DF$3)+1)/DF$5)</f>
        <v>0</v>
      </c>
      <c r="DG17" s="54" t="n">
        <f aca="false">MAX(0,(MIN($F17,DG$4)-MAX($E17,DG$3)+1)/DG$5)</f>
        <v>0</v>
      </c>
      <c r="DH17" s="54" t="n">
        <f aca="false">MAX(0,(MIN($F17,DH$4)-MAX($E17,DH$3)+1)/DH$5)</f>
        <v>0</v>
      </c>
      <c r="DI17" s="54" t="n">
        <f aca="false">MAX(0,(MIN($F17,DI$4)-MAX($E17,DI$3)+1)/DI$5)</f>
        <v>0</v>
      </c>
      <c r="DJ17" s="54" t="n">
        <f aca="false">MAX(0,(MIN($F17,DJ$4)-MAX($E17,DJ$3)+1)/DJ$5)</f>
        <v>0</v>
      </c>
      <c r="DK17" s="54" t="n">
        <f aca="false">MAX(0,(MIN($F17,DK$4)-MAX($E17,DK$3)+1)/DK$5)</f>
        <v>0</v>
      </c>
      <c r="DL17" s="54" t="n">
        <f aca="false">MAX(0,(MIN($F17,DL$4)-MAX($E17,DL$3)+1)/DL$5)</f>
        <v>0</v>
      </c>
      <c r="DM17" s="54" t="n">
        <f aca="false">MAX(0,(MIN($F17,DM$4)-MAX($E17,DM$3)+1)/DM$5)</f>
        <v>0</v>
      </c>
      <c r="DN17" s="54" t="n">
        <f aca="false">MAX(0,(MIN($F17,DN$4)-MAX($E17,DN$3)+1)/DN$5)</f>
        <v>0</v>
      </c>
      <c r="DO17" s="54" t="n">
        <f aca="false">MAX(0,(MIN($F17,DO$4)-MAX($E17,DO$3)+1)/DO$5)</f>
        <v>0</v>
      </c>
      <c r="DP17" s="54" t="n">
        <f aca="false">MAX(0,(MIN($F17,DP$4)-MAX($E17,DP$3)+1)/DP$5)</f>
        <v>0</v>
      </c>
      <c r="DQ17" s="54" t="n">
        <f aca="false">MAX(0,(MIN($F17,DQ$4)-MAX($E17,DQ$3)+1)/DQ$5)</f>
        <v>0</v>
      </c>
      <c r="DR17" s="54" t="n">
        <f aca="false">MAX(0,(MIN($F17,DR$4)-MAX($E17,DR$3)+1)/DR$5)</f>
        <v>0</v>
      </c>
      <c r="DS17" s="54" t="n">
        <f aca="false">MAX(0,(MIN($F17,DS$4)-MAX($E17,DS$3)+1)/DS$5)</f>
        <v>0</v>
      </c>
      <c r="DT17" s="54" t="n">
        <f aca="false">MAX(0,(MIN($F17,DT$4)-MAX($E17,DT$3)+1)/DT$5)</f>
        <v>0</v>
      </c>
      <c r="DU17" s="54" t="n">
        <f aca="false">MAX(0,(MIN($F17,DU$4)-MAX($E17,DU$3)+1)/DU$5)</f>
        <v>0</v>
      </c>
      <c r="DV17" s="54" t="n">
        <f aca="false">MAX(0,(MIN($F17,DV$4)-MAX($E17,DV$3)+1)/DV$5)</f>
        <v>0</v>
      </c>
      <c r="DW17" s="54" t="n">
        <f aca="false">MAX(0,(MIN($F17,DW$4)-MAX($E17,DW$3)+1)/DW$5)</f>
        <v>0</v>
      </c>
      <c r="DX17" s="54" t="n">
        <f aca="false">MAX(0,(MIN($F17,DX$4)-MAX($E17,DX$3)+1)/DX$5)</f>
        <v>0</v>
      </c>
      <c r="DY17" s="54" t="n">
        <f aca="false">MAX(0,(MIN($F17,DY$4)-MAX($E17,DY$3)+1)/DY$5)</f>
        <v>0</v>
      </c>
      <c r="DZ17" s="54" t="n">
        <f aca="false">MAX(0,(MIN($F17,DZ$4)-MAX($E17,DZ$3)+1)/DZ$5)</f>
        <v>0</v>
      </c>
      <c r="EA17" s="54" t="n">
        <f aca="false">MAX(0,(MIN($F17,EA$4)-MAX($E17,EA$3)+1)/EA$5)</f>
        <v>0</v>
      </c>
      <c r="EB17" s="54" t="n">
        <f aca="false">MAX(0,(MIN($F17,EB$4)-MAX($E17,EB$3)+1)/EB$5)</f>
        <v>0</v>
      </c>
      <c r="EC17" s="54" t="n">
        <f aca="false">MAX(0,(MIN($F17,EC$4)-MAX($E17,EC$3)+1)/EC$5)</f>
        <v>0</v>
      </c>
      <c r="ED17" s="54" t="n">
        <f aca="false">MAX(0,(MIN($F17,ED$4)-MAX($E17,ED$3)+1)/ED$5)</f>
        <v>0</v>
      </c>
      <c r="EE17" s="54" t="n">
        <f aca="false">MAX(0,(MIN($F17,EE$4)-MAX($E17,EE$3)+1)/EE$5)</f>
        <v>0</v>
      </c>
      <c r="EF17" s="54" t="n">
        <f aca="false">MAX(0,(MIN($F17,EF$4)-MAX($E17,EF$3)+1)/EF$5)</f>
        <v>0</v>
      </c>
      <c r="EG17" s="54" t="n">
        <f aca="false">MAX(0,(MIN($F17,EG$4)-MAX($E17,EG$3)+1)/EG$5)</f>
        <v>0</v>
      </c>
      <c r="EH17" s="54" t="n">
        <f aca="false">MAX(0,(MIN($F17,EH$4)-MAX($E17,EH$3)+1)/EH$5)</f>
        <v>0</v>
      </c>
      <c r="EI17" s="54" t="n">
        <f aca="false">MAX(0,(MIN($F17,EI$4)-MAX($E17,EI$3)+1)/EI$5)</f>
        <v>0</v>
      </c>
      <c r="EJ17" s="54" t="n">
        <f aca="false">MAX(0,(MIN($F17,EJ$4)-MAX($E17,EJ$3)+1)/EJ$5)</f>
        <v>0</v>
      </c>
      <c r="EK17" s="54" t="n">
        <f aca="false">MAX(0,(MIN($F17,EK$4)-MAX($E17,EK$3)+1)/EK$5)</f>
        <v>0</v>
      </c>
      <c r="EL17" s="54" t="n">
        <f aca="false">MAX(0,(MIN($F17,EL$4)-MAX($E17,EL$3)+1)/EL$5)</f>
        <v>0</v>
      </c>
      <c r="EM17" s="54" t="n">
        <f aca="false">MAX(0,(MIN($F17,EM$4)-MAX($E17,EM$3)+1)/EM$5)</f>
        <v>0</v>
      </c>
      <c r="EN17" s="54" t="n">
        <f aca="false">MAX(0,(MIN($F17,EN$4)-MAX($E17,EN$3)+1)/EN$5)</f>
        <v>0</v>
      </c>
      <c r="EO17" s="54" t="n">
        <f aca="false">MAX(0,(MIN($F17,EO$4)-MAX($E17,EO$3)+1)/EO$5)</f>
        <v>0</v>
      </c>
    </row>
    <row r="18" customFormat="false" ht="15" hidden="false" customHeight="false" outlineLevel="0" collapsed="false">
      <c r="C18" s="0" t="s">
        <v>377</v>
      </c>
      <c r="D18" s="11" t="s">
        <v>43</v>
      </c>
      <c r="E18" s="45" t="n">
        <f aca="false">EDATE(In_COD,In_Debt_Tenor*Months_In_Year)</f>
        <v>54331</v>
      </c>
      <c r="I18" s="49" t="n">
        <f aca="false">SUM(J18:EO18)</f>
        <v>1</v>
      </c>
      <c r="J18" s="49" t="n">
        <f aca="false">N(AND(J$3&lt;=$E18,J$4&gt;=$E18))</f>
        <v>0</v>
      </c>
      <c r="K18" s="49" t="n">
        <f aca="false">N(AND(K$3&lt;=$E18,K$4&gt;=$E18))</f>
        <v>0</v>
      </c>
      <c r="L18" s="49" t="n">
        <f aca="false">N(AND(L$3&lt;=$E18,L$4&gt;=$E18))</f>
        <v>0</v>
      </c>
      <c r="M18" s="49" t="n">
        <f aca="false">N(AND(M$3&lt;=$E18,M$4&gt;=$E18))</f>
        <v>0</v>
      </c>
      <c r="N18" s="49" t="n">
        <f aca="false">N(AND(N$3&lt;=$E18,N$4&gt;=$E18))</f>
        <v>0</v>
      </c>
      <c r="O18" s="49" t="n">
        <f aca="false">N(AND(O$3&lt;=$E18,O$4&gt;=$E18))</f>
        <v>0</v>
      </c>
      <c r="P18" s="49" t="n">
        <f aca="false">N(AND(P$3&lt;=$E18,P$4&gt;=$E18))</f>
        <v>0</v>
      </c>
      <c r="Q18" s="49" t="n">
        <f aca="false">N(AND(Q$3&lt;=$E18,Q$4&gt;=$E18))</f>
        <v>0</v>
      </c>
      <c r="R18" s="49" t="n">
        <f aca="false">N(AND(R$3&lt;=$E18,R$4&gt;=$E18))</f>
        <v>0</v>
      </c>
      <c r="S18" s="49" t="n">
        <f aca="false">N(AND(S$3&lt;=$E18,S$4&gt;=$E18))</f>
        <v>0</v>
      </c>
      <c r="T18" s="49" t="n">
        <f aca="false">N(AND(T$3&lt;=$E18,T$4&gt;=$E18))</f>
        <v>0</v>
      </c>
      <c r="U18" s="49" t="n">
        <f aca="false">N(AND(U$3&lt;=$E18,U$4&gt;=$E18))</f>
        <v>0</v>
      </c>
      <c r="V18" s="49" t="n">
        <f aca="false">N(AND(V$3&lt;=$E18,V$4&gt;=$E18))</f>
        <v>0</v>
      </c>
      <c r="W18" s="49" t="n">
        <f aca="false">N(AND(W$3&lt;=$E18,W$4&gt;=$E18))</f>
        <v>0</v>
      </c>
      <c r="X18" s="49" t="n">
        <f aca="false">N(AND(X$3&lt;=$E18,X$4&gt;=$E18))</f>
        <v>0</v>
      </c>
      <c r="Y18" s="49" t="n">
        <f aca="false">N(AND(Y$3&lt;=$E18,Y$4&gt;=$E18))</f>
        <v>0</v>
      </c>
      <c r="Z18" s="49" t="n">
        <f aca="false">N(AND(Z$3&lt;=$E18,Z$4&gt;=$E18))</f>
        <v>0</v>
      </c>
      <c r="AA18" s="49" t="n">
        <f aca="false">N(AND(AA$3&lt;=$E18,AA$4&gt;=$E18))</f>
        <v>0</v>
      </c>
      <c r="AB18" s="49" t="n">
        <f aca="false">N(AND(AB$3&lt;=$E18,AB$4&gt;=$E18))</f>
        <v>0</v>
      </c>
      <c r="AC18" s="49" t="n">
        <f aca="false">N(AND(AC$3&lt;=$E18,AC$4&gt;=$E18))</f>
        <v>0</v>
      </c>
      <c r="AD18" s="49" t="n">
        <f aca="false">N(AND(AD$3&lt;=$E18,AD$4&gt;=$E18))</f>
        <v>0</v>
      </c>
      <c r="AE18" s="49" t="n">
        <f aca="false">N(AND(AE$3&lt;=$E18,AE$4&gt;=$E18))</f>
        <v>0</v>
      </c>
      <c r="AF18" s="49" t="n">
        <f aca="false">N(AND(AF$3&lt;=$E18,AF$4&gt;=$E18))</f>
        <v>0</v>
      </c>
      <c r="AG18" s="49" t="n">
        <f aca="false">N(AND(AG$3&lt;=$E18,AG$4&gt;=$E18))</f>
        <v>0</v>
      </c>
      <c r="AH18" s="49" t="n">
        <f aca="false">N(AND(AH$3&lt;=$E18,AH$4&gt;=$E18))</f>
        <v>0</v>
      </c>
      <c r="AI18" s="49" t="n">
        <f aca="false">N(AND(AI$3&lt;=$E18,AI$4&gt;=$E18))</f>
        <v>0</v>
      </c>
      <c r="AJ18" s="49" t="n">
        <f aca="false">N(AND(AJ$3&lt;=$E18,AJ$4&gt;=$E18))</f>
        <v>0</v>
      </c>
      <c r="AK18" s="49" t="n">
        <f aca="false">N(AND(AK$3&lt;=$E18,AK$4&gt;=$E18))</f>
        <v>0</v>
      </c>
      <c r="AL18" s="49" t="n">
        <f aca="false">N(AND(AL$3&lt;=$E18,AL$4&gt;=$E18))</f>
        <v>0</v>
      </c>
      <c r="AM18" s="49" t="n">
        <f aca="false">N(AND(AM$3&lt;=$E18,AM$4&gt;=$E18))</f>
        <v>0</v>
      </c>
      <c r="AN18" s="49" t="n">
        <f aca="false">N(AND(AN$3&lt;=$E18,AN$4&gt;=$E18))</f>
        <v>0</v>
      </c>
      <c r="AO18" s="49" t="n">
        <f aca="false">N(AND(AO$3&lt;=$E18,AO$4&gt;=$E18))</f>
        <v>0</v>
      </c>
      <c r="AP18" s="49" t="n">
        <f aca="false">N(AND(AP$3&lt;=$E18,AP$4&gt;=$E18))</f>
        <v>0</v>
      </c>
      <c r="AQ18" s="49" t="n">
        <f aca="false">N(AND(AQ$3&lt;=$E18,AQ$4&gt;=$E18))</f>
        <v>0</v>
      </c>
      <c r="AR18" s="49" t="n">
        <f aca="false">N(AND(AR$3&lt;=$E18,AR$4&gt;=$E18))</f>
        <v>0</v>
      </c>
      <c r="AS18" s="49" t="n">
        <f aca="false">N(AND(AS$3&lt;=$E18,AS$4&gt;=$E18))</f>
        <v>0</v>
      </c>
      <c r="AT18" s="49" t="n">
        <f aca="false">N(AND(AT$3&lt;=$E18,AT$4&gt;=$E18))</f>
        <v>0</v>
      </c>
      <c r="AU18" s="49" t="n">
        <f aca="false">N(AND(AU$3&lt;=$E18,AU$4&gt;=$E18))</f>
        <v>0</v>
      </c>
      <c r="AV18" s="49" t="n">
        <f aca="false">N(AND(AV$3&lt;=$E18,AV$4&gt;=$E18))</f>
        <v>0</v>
      </c>
      <c r="AW18" s="49" t="n">
        <f aca="false">N(AND(AW$3&lt;=$E18,AW$4&gt;=$E18))</f>
        <v>0</v>
      </c>
      <c r="AX18" s="49" t="n">
        <f aca="false">N(AND(AX$3&lt;=$E18,AX$4&gt;=$E18))</f>
        <v>0</v>
      </c>
      <c r="AY18" s="49" t="n">
        <f aca="false">N(AND(AY$3&lt;=$E18,AY$4&gt;=$E18))</f>
        <v>0</v>
      </c>
      <c r="AZ18" s="49" t="n">
        <f aca="false">N(AND(AZ$3&lt;=$E18,AZ$4&gt;=$E18))</f>
        <v>0</v>
      </c>
      <c r="BA18" s="49" t="n">
        <f aca="false">N(AND(BA$3&lt;=$E18,BA$4&gt;=$E18))</f>
        <v>0</v>
      </c>
      <c r="BB18" s="49" t="n">
        <f aca="false">N(AND(BB$3&lt;=$E18,BB$4&gt;=$E18))</f>
        <v>0</v>
      </c>
      <c r="BC18" s="49" t="n">
        <f aca="false">N(AND(BC$3&lt;=$E18,BC$4&gt;=$E18))</f>
        <v>0</v>
      </c>
      <c r="BD18" s="49" t="n">
        <f aca="false">N(AND(BD$3&lt;=$E18,BD$4&gt;=$E18))</f>
        <v>0</v>
      </c>
      <c r="BE18" s="49" t="n">
        <f aca="false">N(AND(BE$3&lt;=$E18,BE$4&gt;=$E18))</f>
        <v>0</v>
      </c>
      <c r="BF18" s="49" t="n">
        <f aca="false">N(AND(BF$3&lt;=$E18,BF$4&gt;=$E18))</f>
        <v>0</v>
      </c>
      <c r="BG18" s="49" t="n">
        <f aca="false">N(AND(BG$3&lt;=$E18,BG$4&gt;=$E18))</f>
        <v>0</v>
      </c>
      <c r="BH18" s="49" t="n">
        <f aca="false">N(AND(BH$3&lt;=$E18,BH$4&gt;=$E18))</f>
        <v>0</v>
      </c>
      <c r="BI18" s="49" t="n">
        <f aca="false">N(AND(BI$3&lt;=$E18,BI$4&gt;=$E18))</f>
        <v>0</v>
      </c>
      <c r="BJ18" s="49" t="n">
        <f aca="false">N(AND(BJ$3&lt;=$E18,BJ$4&gt;=$E18))</f>
        <v>0</v>
      </c>
      <c r="BK18" s="49" t="n">
        <f aca="false">N(AND(BK$3&lt;=$E18,BK$4&gt;=$E18))</f>
        <v>0</v>
      </c>
      <c r="BL18" s="49" t="n">
        <f aca="false">N(AND(BL$3&lt;=$E18,BL$4&gt;=$E18))</f>
        <v>0</v>
      </c>
      <c r="BM18" s="49" t="n">
        <f aca="false">N(AND(BM$3&lt;=$E18,BM$4&gt;=$E18))</f>
        <v>0</v>
      </c>
      <c r="BN18" s="49" t="n">
        <f aca="false">N(AND(BN$3&lt;=$E18,BN$4&gt;=$E18))</f>
        <v>0</v>
      </c>
      <c r="BO18" s="49" t="n">
        <f aca="false">N(AND(BO$3&lt;=$E18,BO$4&gt;=$E18))</f>
        <v>0</v>
      </c>
      <c r="BP18" s="49" t="n">
        <f aca="false">N(AND(BP$3&lt;=$E18,BP$4&gt;=$E18))</f>
        <v>0</v>
      </c>
      <c r="BQ18" s="49" t="n">
        <f aca="false">N(AND(BQ$3&lt;=$E18,BQ$4&gt;=$E18))</f>
        <v>0</v>
      </c>
      <c r="BR18" s="49" t="n">
        <f aca="false">N(AND(BR$3&lt;=$E18,BR$4&gt;=$E18))</f>
        <v>0</v>
      </c>
      <c r="BS18" s="49" t="n">
        <f aca="false">N(AND(BS$3&lt;=$E18,BS$4&gt;=$E18))</f>
        <v>0</v>
      </c>
      <c r="BT18" s="49" t="n">
        <f aca="false">N(AND(BT$3&lt;=$E18,BT$4&gt;=$E18))</f>
        <v>0</v>
      </c>
      <c r="BU18" s="49" t="n">
        <f aca="false">N(AND(BU$3&lt;=$E18,BU$4&gt;=$E18))</f>
        <v>0</v>
      </c>
      <c r="BV18" s="49" t="n">
        <f aca="false">N(AND(BV$3&lt;=$E18,BV$4&gt;=$E18))</f>
        <v>0</v>
      </c>
      <c r="BW18" s="49" t="n">
        <f aca="false">N(AND(BW$3&lt;=$E18,BW$4&gt;=$E18))</f>
        <v>0</v>
      </c>
      <c r="BX18" s="49" t="n">
        <f aca="false">N(AND(BX$3&lt;=$E18,BX$4&gt;=$E18))</f>
        <v>0</v>
      </c>
      <c r="BY18" s="49" t="n">
        <f aca="false">N(AND(BY$3&lt;=$E18,BY$4&gt;=$E18))</f>
        <v>0</v>
      </c>
      <c r="BZ18" s="49" t="n">
        <f aca="false">N(AND(BZ$3&lt;=$E18,BZ$4&gt;=$E18))</f>
        <v>0</v>
      </c>
      <c r="CA18" s="49" t="n">
        <f aca="false">N(AND(CA$3&lt;=$E18,CA$4&gt;=$E18))</f>
        <v>0</v>
      </c>
      <c r="CB18" s="49" t="n">
        <f aca="false">N(AND(CB$3&lt;=$E18,CB$4&gt;=$E18))</f>
        <v>0</v>
      </c>
      <c r="CC18" s="49" t="n">
        <f aca="false">N(AND(CC$3&lt;=$E18,CC$4&gt;=$E18))</f>
        <v>0</v>
      </c>
      <c r="CD18" s="49" t="n">
        <f aca="false">N(AND(CD$3&lt;=$E18,CD$4&gt;=$E18))</f>
        <v>0</v>
      </c>
      <c r="CE18" s="49" t="n">
        <f aca="false">N(AND(CE$3&lt;=$E18,CE$4&gt;=$E18))</f>
        <v>0</v>
      </c>
      <c r="CF18" s="49" t="n">
        <f aca="false">N(AND(CF$3&lt;=$E18,CF$4&gt;=$E18))</f>
        <v>0</v>
      </c>
      <c r="CG18" s="49" t="n">
        <f aca="false">N(AND(CG$3&lt;=$E18,CG$4&gt;=$E18))</f>
        <v>0</v>
      </c>
      <c r="CH18" s="49" t="n">
        <f aca="false">N(AND(CH$3&lt;=$E18,CH$4&gt;=$E18))</f>
        <v>0</v>
      </c>
      <c r="CI18" s="49" t="n">
        <f aca="false">N(AND(CI$3&lt;=$E18,CI$4&gt;=$E18))</f>
        <v>0</v>
      </c>
      <c r="CJ18" s="49" t="n">
        <f aca="false">N(AND(CJ$3&lt;=$E18,CJ$4&gt;=$E18))</f>
        <v>0</v>
      </c>
      <c r="CK18" s="49" t="n">
        <f aca="false">N(AND(CK$3&lt;=$E18,CK$4&gt;=$E18))</f>
        <v>0</v>
      </c>
      <c r="CL18" s="49" t="n">
        <f aca="false">N(AND(CL$3&lt;=$E18,CL$4&gt;=$E18))</f>
        <v>0</v>
      </c>
      <c r="CM18" s="49" t="n">
        <f aca="false">N(AND(CM$3&lt;=$E18,CM$4&gt;=$E18))</f>
        <v>0</v>
      </c>
      <c r="CN18" s="49" t="n">
        <f aca="false">N(AND(CN$3&lt;=$E18,CN$4&gt;=$E18))</f>
        <v>0</v>
      </c>
      <c r="CO18" s="49" t="n">
        <f aca="false">N(AND(CO$3&lt;=$E18,CO$4&gt;=$E18))</f>
        <v>0</v>
      </c>
      <c r="CP18" s="49" t="n">
        <f aca="false">N(AND(CP$3&lt;=$E18,CP$4&gt;=$E18))</f>
        <v>0</v>
      </c>
      <c r="CQ18" s="49" t="n">
        <f aca="false">N(AND(CQ$3&lt;=$E18,CQ$4&gt;=$E18))</f>
        <v>0</v>
      </c>
      <c r="CR18" s="49" t="n">
        <f aca="false">N(AND(CR$3&lt;=$E18,CR$4&gt;=$E18))</f>
        <v>0</v>
      </c>
      <c r="CS18" s="49" t="n">
        <f aca="false">N(AND(CS$3&lt;=$E18,CS$4&gt;=$E18))</f>
        <v>1</v>
      </c>
      <c r="CT18" s="49" t="n">
        <f aca="false">N(AND(CT$3&lt;=$E18,CT$4&gt;=$E18))</f>
        <v>0</v>
      </c>
      <c r="CU18" s="49" t="n">
        <f aca="false">N(AND(CU$3&lt;=$E18,CU$4&gt;=$E18))</f>
        <v>0</v>
      </c>
      <c r="CV18" s="49" t="n">
        <f aca="false">N(AND(CV$3&lt;=$E18,CV$4&gt;=$E18))</f>
        <v>0</v>
      </c>
      <c r="CW18" s="49" t="n">
        <f aca="false">N(AND(CW$3&lt;=$E18,CW$4&gt;=$E18))</f>
        <v>0</v>
      </c>
      <c r="CX18" s="49" t="n">
        <f aca="false">N(AND(CX$3&lt;=$E18,CX$4&gt;=$E18))</f>
        <v>0</v>
      </c>
      <c r="CY18" s="49" t="n">
        <f aca="false">N(AND(CY$3&lt;=$E18,CY$4&gt;=$E18))</f>
        <v>0</v>
      </c>
      <c r="CZ18" s="49" t="n">
        <f aca="false">N(AND(CZ$3&lt;=$E18,CZ$4&gt;=$E18))</f>
        <v>0</v>
      </c>
      <c r="DA18" s="49" t="n">
        <f aca="false">N(AND(DA$3&lt;=$E18,DA$4&gt;=$E18))</f>
        <v>0</v>
      </c>
      <c r="DB18" s="49" t="n">
        <f aca="false">N(AND(DB$3&lt;=$E18,DB$4&gt;=$E18))</f>
        <v>0</v>
      </c>
      <c r="DC18" s="49" t="n">
        <f aca="false">N(AND(DC$3&lt;=$E18,DC$4&gt;=$E18))</f>
        <v>0</v>
      </c>
      <c r="DD18" s="49" t="n">
        <f aca="false">N(AND(DD$3&lt;=$E18,DD$4&gt;=$E18))</f>
        <v>0</v>
      </c>
      <c r="DE18" s="49" t="n">
        <f aca="false">N(AND(DE$3&lt;=$E18,DE$4&gt;=$E18))</f>
        <v>0</v>
      </c>
      <c r="DF18" s="49" t="n">
        <f aca="false">N(AND(DF$3&lt;=$E18,DF$4&gt;=$E18))</f>
        <v>0</v>
      </c>
      <c r="DG18" s="49" t="n">
        <f aca="false">N(AND(DG$3&lt;=$E18,DG$4&gt;=$E18))</f>
        <v>0</v>
      </c>
      <c r="DH18" s="49" t="n">
        <f aca="false">N(AND(DH$3&lt;=$E18,DH$4&gt;=$E18))</f>
        <v>0</v>
      </c>
      <c r="DI18" s="49" t="n">
        <f aca="false">N(AND(DI$3&lt;=$E18,DI$4&gt;=$E18))</f>
        <v>0</v>
      </c>
      <c r="DJ18" s="49" t="n">
        <f aca="false">N(AND(DJ$3&lt;=$E18,DJ$4&gt;=$E18))</f>
        <v>0</v>
      </c>
      <c r="DK18" s="49" t="n">
        <f aca="false">N(AND(DK$3&lt;=$E18,DK$4&gt;=$E18))</f>
        <v>0</v>
      </c>
      <c r="DL18" s="49" t="n">
        <f aca="false">N(AND(DL$3&lt;=$E18,DL$4&gt;=$E18))</f>
        <v>0</v>
      </c>
      <c r="DM18" s="49" t="n">
        <f aca="false">N(AND(DM$3&lt;=$E18,DM$4&gt;=$E18))</f>
        <v>0</v>
      </c>
      <c r="DN18" s="49" t="n">
        <f aca="false">N(AND(DN$3&lt;=$E18,DN$4&gt;=$E18))</f>
        <v>0</v>
      </c>
      <c r="DO18" s="49" t="n">
        <f aca="false">N(AND(DO$3&lt;=$E18,DO$4&gt;=$E18))</f>
        <v>0</v>
      </c>
      <c r="DP18" s="49" t="n">
        <f aca="false">N(AND(DP$3&lt;=$E18,DP$4&gt;=$E18))</f>
        <v>0</v>
      </c>
      <c r="DQ18" s="49" t="n">
        <f aca="false">N(AND(DQ$3&lt;=$E18,DQ$4&gt;=$E18))</f>
        <v>0</v>
      </c>
      <c r="DR18" s="49" t="n">
        <f aca="false">N(AND(DR$3&lt;=$E18,DR$4&gt;=$E18))</f>
        <v>0</v>
      </c>
      <c r="DS18" s="49" t="n">
        <f aca="false">N(AND(DS$3&lt;=$E18,DS$4&gt;=$E18))</f>
        <v>0</v>
      </c>
      <c r="DT18" s="49" t="n">
        <f aca="false">N(AND(DT$3&lt;=$E18,DT$4&gt;=$E18))</f>
        <v>0</v>
      </c>
      <c r="DU18" s="49" t="n">
        <f aca="false">N(AND(DU$3&lt;=$E18,DU$4&gt;=$E18))</f>
        <v>0</v>
      </c>
      <c r="DV18" s="49" t="n">
        <f aca="false">N(AND(DV$3&lt;=$E18,DV$4&gt;=$E18))</f>
        <v>0</v>
      </c>
      <c r="DW18" s="49" t="n">
        <f aca="false">N(AND(DW$3&lt;=$E18,DW$4&gt;=$E18))</f>
        <v>0</v>
      </c>
      <c r="DX18" s="49" t="n">
        <f aca="false">N(AND(DX$3&lt;=$E18,DX$4&gt;=$E18))</f>
        <v>0</v>
      </c>
      <c r="DY18" s="49" t="n">
        <f aca="false">N(AND(DY$3&lt;=$E18,DY$4&gt;=$E18))</f>
        <v>0</v>
      </c>
      <c r="DZ18" s="49" t="n">
        <f aca="false">N(AND(DZ$3&lt;=$E18,DZ$4&gt;=$E18))</f>
        <v>0</v>
      </c>
      <c r="EA18" s="49" t="n">
        <f aca="false">N(AND(EA$3&lt;=$E18,EA$4&gt;=$E18))</f>
        <v>0</v>
      </c>
      <c r="EB18" s="49" t="n">
        <f aca="false">N(AND(EB$3&lt;=$E18,EB$4&gt;=$E18))</f>
        <v>0</v>
      </c>
      <c r="EC18" s="49" t="n">
        <f aca="false">N(AND(EC$3&lt;=$E18,EC$4&gt;=$E18))</f>
        <v>0</v>
      </c>
      <c r="ED18" s="49" t="n">
        <f aca="false">N(AND(ED$3&lt;=$E18,ED$4&gt;=$E18))</f>
        <v>0</v>
      </c>
      <c r="EE18" s="49" t="n">
        <f aca="false">N(AND(EE$3&lt;=$E18,EE$4&gt;=$E18))</f>
        <v>0</v>
      </c>
      <c r="EF18" s="49" t="n">
        <f aca="false">N(AND(EF$3&lt;=$E18,EF$4&gt;=$E18))</f>
        <v>0</v>
      </c>
      <c r="EG18" s="49" t="n">
        <f aca="false">N(AND(EG$3&lt;=$E18,EG$4&gt;=$E18))</f>
        <v>0</v>
      </c>
      <c r="EH18" s="49" t="n">
        <f aca="false">N(AND(EH$3&lt;=$E18,EH$4&gt;=$E18))</f>
        <v>0</v>
      </c>
      <c r="EI18" s="49" t="n">
        <f aca="false">N(AND(EI$3&lt;=$E18,EI$4&gt;=$E18))</f>
        <v>0</v>
      </c>
      <c r="EJ18" s="49" t="n">
        <f aca="false">N(AND(EJ$3&lt;=$E18,EJ$4&gt;=$E18))</f>
        <v>0</v>
      </c>
      <c r="EK18" s="49" t="n">
        <f aca="false">N(AND(EK$3&lt;=$E18,EK$4&gt;=$E18))</f>
        <v>0</v>
      </c>
      <c r="EL18" s="49" t="n">
        <f aca="false">N(AND(EL$3&lt;=$E18,EL$4&gt;=$E18))</f>
        <v>0</v>
      </c>
      <c r="EM18" s="49" t="n">
        <f aca="false">N(AND(EM$3&lt;=$E18,EM$4&gt;=$E18))</f>
        <v>0</v>
      </c>
      <c r="EN18" s="49" t="n">
        <f aca="false">N(AND(EN$3&lt;=$E18,EN$4&gt;=$E18))</f>
        <v>0</v>
      </c>
      <c r="EO18" s="49" t="n">
        <f aca="false">N(AND(EO$3&lt;=$E18,EO$4&gt;=$E18))</f>
        <v>0</v>
      </c>
    </row>
    <row r="19" customFormat="false" ht="15" hidden="false" customHeight="false" outlineLevel="0" collapsed="false">
      <c r="C19" s="0" t="s">
        <v>378</v>
      </c>
      <c r="D19" s="11" t="s">
        <v>368</v>
      </c>
      <c r="E19" s="45" t="n">
        <f aca="false">In_COD+1</f>
        <v>47757</v>
      </c>
      <c r="F19" s="45" t="n">
        <f aca="false">EDATE(In_COD,In_Dep_Years*Months_In_Year)</f>
        <v>55061</v>
      </c>
      <c r="I19" s="54" t="n">
        <f aca="false">SUM(J19:EO19)</f>
        <v>1</v>
      </c>
      <c r="J19" s="54" t="n">
        <f aca="false">MAX(0,MIN($F19,J$4)-MAX($E19,J$3)+1)/($F19-$E19+1)</f>
        <v>0</v>
      </c>
      <c r="K19" s="54" t="n">
        <f aca="false">MAX(0,MIN($F19,K$4)-MAX($E19,K$3)+1)/($F19-$E19+1)</f>
        <v>0</v>
      </c>
      <c r="L19" s="54" t="n">
        <f aca="false">MAX(0,MIN($F19,L$4)-MAX($E19,L$3)+1)/($F19-$E19+1)</f>
        <v>0</v>
      </c>
      <c r="M19" s="54" t="n">
        <f aca="false">MAX(0,MIN($F19,M$4)-MAX($E19,M$3)+1)/($F19-$E19+1)</f>
        <v>0</v>
      </c>
      <c r="N19" s="54" t="n">
        <f aca="false">MAX(0,MIN($F19,N$4)-MAX($E19,N$3)+1)/($F19-$E19+1)</f>
        <v>0</v>
      </c>
      <c r="O19" s="54" t="n">
        <f aca="false">MAX(0,MIN($F19,O$4)-MAX($E19,O$3)+1)/($F19-$E19+1)</f>
        <v>0</v>
      </c>
      <c r="P19" s="54" t="n">
        <f aca="false">MAX(0,MIN($F19,P$4)-MAX($E19,P$3)+1)/($F19-$E19+1)</f>
        <v>0</v>
      </c>
      <c r="Q19" s="54" t="n">
        <f aca="false">MAX(0,MIN($F19,Q$4)-MAX($E19,Q$3)+1)/($F19-$E19+1)</f>
        <v>0</v>
      </c>
      <c r="R19" s="54" t="n">
        <f aca="false">MAX(0,MIN($F19,R$4)-MAX($E19,R$3)+1)/($F19-$E19+1)</f>
        <v>0</v>
      </c>
      <c r="S19" s="54" t="n">
        <f aca="false">MAX(0,MIN($F19,S$4)-MAX($E19,S$3)+1)/($F19-$E19+1)</f>
        <v>0</v>
      </c>
      <c r="T19" s="54" t="n">
        <f aca="false">MAX(0,MIN($F19,T$4)-MAX($E19,T$3)+1)/($F19-$E19+1)</f>
        <v>0</v>
      </c>
      <c r="U19" s="54" t="n">
        <f aca="false">MAX(0,MIN($F19,U$4)-MAX($E19,U$3)+1)/($F19-$E19+1)</f>
        <v>0</v>
      </c>
      <c r="V19" s="54" t="n">
        <f aca="false">MAX(0,MIN($F19,V$4)-MAX($E19,V$3)+1)/($F19-$E19+1)</f>
        <v>0</v>
      </c>
      <c r="W19" s="54" t="n">
        <f aca="false">MAX(0,MIN($F19,W$4)-MAX($E19,W$3)+1)/($F19-$E19+1)</f>
        <v>0</v>
      </c>
      <c r="X19" s="54" t="n">
        <f aca="false">MAX(0,MIN($F19,X$4)-MAX($E19,X$3)+1)/($F19-$E19+1)</f>
        <v>0</v>
      </c>
      <c r="Y19" s="54" t="n">
        <f aca="false">MAX(0,MIN($F19,Y$4)-MAX($E19,Y$3)+1)/($F19-$E19+1)</f>
        <v>0</v>
      </c>
      <c r="Z19" s="54" t="n">
        <f aca="false">MAX(0,MIN($F19,Z$4)-MAX($E19,Z$3)+1)/($F19-$E19+1)</f>
        <v>0.0125941136208077</v>
      </c>
      <c r="AA19" s="54" t="n">
        <f aca="false">MAX(0,MIN($F19,AA$4)-MAX($E19,AA$3)+1)/($F19-$E19+1)</f>
        <v>0.0123203285420945</v>
      </c>
      <c r="AB19" s="54" t="n">
        <f aca="false">MAX(0,MIN($F19,AB$4)-MAX($E19,AB$3)+1)/($F19-$E19+1)</f>
        <v>0.0124572210814511</v>
      </c>
      <c r="AC19" s="54" t="n">
        <f aca="false">MAX(0,MIN($F19,AC$4)-MAX($E19,AC$3)+1)/($F19-$E19+1)</f>
        <v>0.0125941136208077</v>
      </c>
      <c r="AD19" s="54" t="n">
        <f aca="false">MAX(0,MIN($F19,AD$4)-MAX($E19,AD$3)+1)/($F19-$E19+1)</f>
        <v>0.0125941136208077</v>
      </c>
      <c r="AE19" s="54" t="n">
        <f aca="false">MAX(0,MIN($F19,AE$4)-MAX($E19,AE$3)+1)/($F19-$E19+1)</f>
        <v>0.0124572210814511</v>
      </c>
      <c r="AF19" s="54" t="n">
        <f aca="false">MAX(0,MIN($F19,AF$4)-MAX($E19,AF$3)+1)/($F19-$E19+1)</f>
        <v>0.0124572210814511</v>
      </c>
      <c r="AG19" s="54" t="n">
        <f aca="false">MAX(0,MIN($F19,AG$4)-MAX($E19,AG$3)+1)/($F19-$E19+1)</f>
        <v>0.0125941136208077</v>
      </c>
      <c r="AH19" s="54" t="n">
        <f aca="false">MAX(0,MIN($F19,AH$4)-MAX($E19,AH$3)+1)/($F19-$E19+1)</f>
        <v>0.0125941136208077</v>
      </c>
      <c r="AI19" s="54" t="n">
        <f aca="false">MAX(0,MIN($F19,AI$4)-MAX($E19,AI$3)+1)/($F19-$E19+1)</f>
        <v>0.0123203285420945</v>
      </c>
      <c r="AJ19" s="54" t="n">
        <f aca="false">MAX(0,MIN($F19,AJ$4)-MAX($E19,AJ$3)+1)/($F19-$E19+1)</f>
        <v>0.0124572210814511</v>
      </c>
      <c r="AK19" s="54" t="n">
        <f aca="false">MAX(0,MIN($F19,AK$4)-MAX($E19,AK$3)+1)/($F19-$E19+1)</f>
        <v>0.0125941136208077</v>
      </c>
      <c r="AL19" s="54" t="n">
        <f aca="false">MAX(0,MIN($F19,AL$4)-MAX($E19,AL$3)+1)/($F19-$E19+1)</f>
        <v>0.0125941136208077</v>
      </c>
      <c r="AM19" s="54" t="n">
        <f aca="false">MAX(0,MIN($F19,AM$4)-MAX($E19,AM$3)+1)/($F19-$E19+1)</f>
        <v>0.0123203285420945</v>
      </c>
      <c r="AN19" s="54" t="n">
        <f aca="false">MAX(0,MIN($F19,AN$4)-MAX($E19,AN$3)+1)/($F19-$E19+1)</f>
        <v>0.0124572210814511</v>
      </c>
      <c r="AO19" s="54" t="n">
        <f aca="false">MAX(0,MIN($F19,AO$4)-MAX($E19,AO$3)+1)/($F19-$E19+1)</f>
        <v>0.0125941136208077</v>
      </c>
      <c r="AP19" s="54" t="n">
        <f aca="false">MAX(0,MIN($F19,AP$4)-MAX($E19,AP$3)+1)/($F19-$E19+1)</f>
        <v>0.0125941136208077</v>
      </c>
      <c r="AQ19" s="54" t="n">
        <f aca="false">MAX(0,MIN($F19,AQ$4)-MAX($E19,AQ$3)+1)/($F19-$E19+1)</f>
        <v>0.0123203285420945</v>
      </c>
      <c r="AR19" s="54" t="n">
        <f aca="false">MAX(0,MIN($F19,AR$4)-MAX($E19,AR$3)+1)/($F19-$E19+1)</f>
        <v>0.0124572210814511</v>
      </c>
      <c r="AS19" s="54" t="n">
        <f aca="false">MAX(0,MIN($F19,AS$4)-MAX($E19,AS$3)+1)/($F19-$E19+1)</f>
        <v>0.0125941136208077</v>
      </c>
      <c r="AT19" s="54" t="n">
        <f aca="false">MAX(0,MIN($F19,AT$4)-MAX($E19,AT$3)+1)/($F19-$E19+1)</f>
        <v>0.0125941136208077</v>
      </c>
      <c r="AU19" s="54" t="n">
        <f aca="false">MAX(0,MIN($F19,AU$4)-MAX($E19,AU$3)+1)/($F19-$E19+1)</f>
        <v>0.0124572210814511</v>
      </c>
      <c r="AV19" s="54" t="n">
        <f aca="false">MAX(0,MIN($F19,AV$4)-MAX($E19,AV$3)+1)/($F19-$E19+1)</f>
        <v>0.0124572210814511</v>
      </c>
      <c r="AW19" s="54" t="n">
        <f aca="false">MAX(0,MIN($F19,AW$4)-MAX($E19,AW$3)+1)/($F19-$E19+1)</f>
        <v>0.0125941136208077</v>
      </c>
      <c r="AX19" s="54" t="n">
        <f aca="false">MAX(0,MIN($F19,AX$4)-MAX($E19,AX$3)+1)/($F19-$E19+1)</f>
        <v>0.0125941136208077</v>
      </c>
      <c r="AY19" s="54" t="n">
        <f aca="false">MAX(0,MIN($F19,AY$4)-MAX($E19,AY$3)+1)/($F19-$E19+1)</f>
        <v>0.0123203285420945</v>
      </c>
      <c r="AZ19" s="54" t="n">
        <f aca="false">MAX(0,MIN($F19,AZ$4)-MAX($E19,AZ$3)+1)/($F19-$E19+1)</f>
        <v>0.0124572210814511</v>
      </c>
      <c r="BA19" s="54" t="n">
        <f aca="false">MAX(0,MIN($F19,BA$4)-MAX($E19,BA$3)+1)/($F19-$E19+1)</f>
        <v>0.0125941136208077</v>
      </c>
      <c r="BB19" s="54" t="n">
        <f aca="false">MAX(0,MIN($F19,BB$4)-MAX($E19,BB$3)+1)/($F19-$E19+1)</f>
        <v>0.0125941136208077</v>
      </c>
      <c r="BC19" s="54" t="n">
        <f aca="false">MAX(0,MIN($F19,BC$4)-MAX($E19,BC$3)+1)/($F19-$E19+1)</f>
        <v>0.0123203285420945</v>
      </c>
      <c r="BD19" s="54" t="n">
        <f aca="false">MAX(0,MIN($F19,BD$4)-MAX($E19,BD$3)+1)/($F19-$E19+1)</f>
        <v>0.0124572210814511</v>
      </c>
      <c r="BE19" s="54" t="n">
        <f aca="false">MAX(0,MIN($F19,BE$4)-MAX($E19,BE$3)+1)/($F19-$E19+1)</f>
        <v>0.0125941136208077</v>
      </c>
      <c r="BF19" s="54" t="n">
        <f aca="false">MAX(0,MIN($F19,BF$4)-MAX($E19,BF$3)+1)/($F19-$E19+1)</f>
        <v>0.0125941136208077</v>
      </c>
      <c r="BG19" s="54" t="n">
        <f aca="false">MAX(0,MIN($F19,BG$4)-MAX($E19,BG$3)+1)/($F19-$E19+1)</f>
        <v>0.0123203285420945</v>
      </c>
      <c r="BH19" s="54" t="n">
        <f aca="false">MAX(0,MIN($F19,BH$4)-MAX($E19,BH$3)+1)/($F19-$E19+1)</f>
        <v>0.0124572210814511</v>
      </c>
      <c r="BI19" s="54" t="n">
        <f aca="false">MAX(0,MIN($F19,BI$4)-MAX($E19,BI$3)+1)/($F19-$E19+1)</f>
        <v>0.0125941136208077</v>
      </c>
      <c r="BJ19" s="54" t="n">
        <f aca="false">MAX(0,MIN($F19,BJ$4)-MAX($E19,BJ$3)+1)/($F19-$E19+1)</f>
        <v>0.0125941136208077</v>
      </c>
      <c r="BK19" s="54" t="n">
        <f aca="false">MAX(0,MIN($F19,BK$4)-MAX($E19,BK$3)+1)/($F19-$E19+1)</f>
        <v>0.0124572210814511</v>
      </c>
      <c r="BL19" s="54" t="n">
        <f aca="false">MAX(0,MIN($F19,BL$4)-MAX($E19,BL$3)+1)/($F19-$E19+1)</f>
        <v>0.0124572210814511</v>
      </c>
      <c r="BM19" s="54" t="n">
        <f aca="false">MAX(0,MIN($F19,BM$4)-MAX($E19,BM$3)+1)/($F19-$E19+1)</f>
        <v>0.0125941136208077</v>
      </c>
      <c r="BN19" s="54" t="n">
        <f aca="false">MAX(0,MIN($F19,BN$4)-MAX($E19,BN$3)+1)/($F19-$E19+1)</f>
        <v>0.0125941136208077</v>
      </c>
      <c r="BO19" s="54" t="n">
        <f aca="false">MAX(0,MIN($F19,BO$4)-MAX($E19,BO$3)+1)/($F19-$E19+1)</f>
        <v>0.0123203285420945</v>
      </c>
      <c r="BP19" s="54" t="n">
        <f aca="false">MAX(0,MIN($F19,BP$4)-MAX($E19,BP$3)+1)/($F19-$E19+1)</f>
        <v>0.0124572210814511</v>
      </c>
      <c r="BQ19" s="54" t="n">
        <f aca="false">MAX(0,MIN($F19,BQ$4)-MAX($E19,BQ$3)+1)/($F19-$E19+1)</f>
        <v>0.0125941136208077</v>
      </c>
      <c r="BR19" s="54" t="n">
        <f aca="false">MAX(0,MIN($F19,BR$4)-MAX($E19,BR$3)+1)/($F19-$E19+1)</f>
        <v>0.0125941136208077</v>
      </c>
      <c r="BS19" s="54" t="n">
        <f aca="false">MAX(0,MIN($F19,BS$4)-MAX($E19,BS$3)+1)/($F19-$E19+1)</f>
        <v>0.0123203285420945</v>
      </c>
      <c r="BT19" s="54" t="n">
        <f aca="false">MAX(0,MIN($F19,BT$4)-MAX($E19,BT$3)+1)/($F19-$E19+1)</f>
        <v>0.0124572210814511</v>
      </c>
      <c r="BU19" s="54" t="n">
        <f aca="false">MAX(0,MIN($F19,BU$4)-MAX($E19,BU$3)+1)/($F19-$E19+1)</f>
        <v>0.0125941136208077</v>
      </c>
      <c r="BV19" s="54" t="n">
        <f aca="false">MAX(0,MIN($F19,BV$4)-MAX($E19,BV$3)+1)/($F19-$E19+1)</f>
        <v>0.0125941136208077</v>
      </c>
      <c r="BW19" s="54" t="n">
        <f aca="false">MAX(0,MIN($F19,BW$4)-MAX($E19,BW$3)+1)/($F19-$E19+1)</f>
        <v>0.0123203285420945</v>
      </c>
      <c r="BX19" s="54" t="n">
        <f aca="false">MAX(0,MIN($F19,BX$4)-MAX($E19,BX$3)+1)/($F19-$E19+1)</f>
        <v>0.0124572210814511</v>
      </c>
      <c r="BY19" s="54" t="n">
        <f aca="false">MAX(0,MIN($F19,BY$4)-MAX($E19,BY$3)+1)/($F19-$E19+1)</f>
        <v>0.0125941136208077</v>
      </c>
      <c r="BZ19" s="54" t="n">
        <f aca="false">MAX(0,MIN($F19,BZ$4)-MAX($E19,BZ$3)+1)/($F19-$E19+1)</f>
        <v>0.0125941136208077</v>
      </c>
      <c r="CA19" s="54" t="n">
        <f aca="false">MAX(0,MIN($F19,CA$4)-MAX($E19,CA$3)+1)/($F19-$E19+1)</f>
        <v>0.0124572210814511</v>
      </c>
      <c r="CB19" s="54" t="n">
        <f aca="false">MAX(0,MIN($F19,CB$4)-MAX($E19,CB$3)+1)/($F19-$E19+1)</f>
        <v>0.0124572210814511</v>
      </c>
      <c r="CC19" s="54" t="n">
        <f aca="false">MAX(0,MIN($F19,CC$4)-MAX($E19,CC$3)+1)/($F19-$E19+1)</f>
        <v>0.0125941136208077</v>
      </c>
      <c r="CD19" s="54" t="n">
        <f aca="false">MAX(0,MIN($F19,CD$4)-MAX($E19,CD$3)+1)/($F19-$E19+1)</f>
        <v>0.0125941136208077</v>
      </c>
      <c r="CE19" s="54" t="n">
        <f aca="false">MAX(0,MIN($F19,CE$4)-MAX($E19,CE$3)+1)/($F19-$E19+1)</f>
        <v>0.0123203285420945</v>
      </c>
      <c r="CF19" s="54" t="n">
        <f aca="false">MAX(0,MIN($F19,CF$4)-MAX($E19,CF$3)+1)/($F19-$E19+1)</f>
        <v>0.0124572210814511</v>
      </c>
      <c r="CG19" s="54" t="n">
        <f aca="false">MAX(0,MIN($F19,CG$4)-MAX($E19,CG$3)+1)/($F19-$E19+1)</f>
        <v>0.0125941136208077</v>
      </c>
      <c r="CH19" s="54" t="n">
        <f aca="false">MAX(0,MIN($F19,CH$4)-MAX($E19,CH$3)+1)/($F19-$E19+1)</f>
        <v>0.0125941136208077</v>
      </c>
      <c r="CI19" s="54" t="n">
        <f aca="false">MAX(0,MIN($F19,CI$4)-MAX($E19,CI$3)+1)/($F19-$E19+1)</f>
        <v>0.0123203285420945</v>
      </c>
      <c r="CJ19" s="54" t="n">
        <f aca="false">MAX(0,MIN($F19,CJ$4)-MAX($E19,CJ$3)+1)/($F19-$E19+1)</f>
        <v>0.0124572210814511</v>
      </c>
      <c r="CK19" s="54" t="n">
        <f aca="false">MAX(0,MIN($F19,CK$4)-MAX($E19,CK$3)+1)/($F19-$E19+1)</f>
        <v>0.0125941136208077</v>
      </c>
      <c r="CL19" s="54" t="n">
        <f aca="false">MAX(0,MIN($F19,CL$4)-MAX($E19,CL$3)+1)/($F19-$E19+1)</f>
        <v>0.0125941136208077</v>
      </c>
      <c r="CM19" s="54" t="n">
        <f aca="false">MAX(0,MIN($F19,CM$4)-MAX($E19,CM$3)+1)/($F19-$E19+1)</f>
        <v>0.0123203285420945</v>
      </c>
      <c r="CN19" s="54" t="n">
        <f aca="false">MAX(0,MIN($F19,CN$4)-MAX($E19,CN$3)+1)/($F19-$E19+1)</f>
        <v>0.0124572210814511</v>
      </c>
      <c r="CO19" s="54" t="n">
        <f aca="false">MAX(0,MIN($F19,CO$4)-MAX($E19,CO$3)+1)/($F19-$E19+1)</f>
        <v>0.0125941136208077</v>
      </c>
      <c r="CP19" s="54" t="n">
        <f aca="false">MAX(0,MIN($F19,CP$4)-MAX($E19,CP$3)+1)/($F19-$E19+1)</f>
        <v>0.0125941136208077</v>
      </c>
      <c r="CQ19" s="54" t="n">
        <f aca="false">MAX(0,MIN($F19,CQ$4)-MAX($E19,CQ$3)+1)/($F19-$E19+1)</f>
        <v>0.0124572210814511</v>
      </c>
      <c r="CR19" s="54" t="n">
        <f aca="false">MAX(0,MIN($F19,CR$4)-MAX($E19,CR$3)+1)/($F19-$E19+1)</f>
        <v>0.0124572210814511</v>
      </c>
      <c r="CS19" s="54" t="n">
        <f aca="false">MAX(0,MIN($F19,CS$4)-MAX($E19,CS$3)+1)/($F19-$E19+1)</f>
        <v>0.0125941136208077</v>
      </c>
      <c r="CT19" s="54" t="n">
        <f aca="false">MAX(0,MIN($F19,CT$4)-MAX($E19,CT$3)+1)/($F19-$E19+1)</f>
        <v>0.0125941136208077</v>
      </c>
      <c r="CU19" s="54" t="n">
        <f aca="false">MAX(0,MIN($F19,CU$4)-MAX($E19,CU$3)+1)/($F19-$E19+1)</f>
        <v>0.0123203285420945</v>
      </c>
      <c r="CV19" s="54" t="n">
        <f aca="false">MAX(0,MIN($F19,CV$4)-MAX($E19,CV$3)+1)/($F19-$E19+1)</f>
        <v>0.0124572210814511</v>
      </c>
      <c r="CW19" s="54" t="n">
        <f aca="false">MAX(0,MIN($F19,CW$4)-MAX($E19,CW$3)+1)/($F19-$E19+1)</f>
        <v>0.0125941136208077</v>
      </c>
      <c r="CX19" s="54" t="n">
        <f aca="false">MAX(0,MIN($F19,CX$4)-MAX($E19,CX$3)+1)/($F19-$E19+1)</f>
        <v>0.0125941136208077</v>
      </c>
      <c r="CY19" s="54" t="n">
        <f aca="false">MAX(0,MIN($F19,CY$4)-MAX($E19,CY$3)+1)/($F19-$E19+1)</f>
        <v>0.0123203285420945</v>
      </c>
      <c r="CZ19" s="54" t="n">
        <f aca="false">MAX(0,MIN($F19,CZ$4)-MAX($E19,CZ$3)+1)/($F19-$E19+1)</f>
        <v>0.0124572210814511</v>
      </c>
      <c r="DA19" s="54" t="n">
        <f aca="false">MAX(0,MIN($F19,DA$4)-MAX($E19,DA$3)+1)/($F19-$E19+1)</f>
        <v>0.0125941136208077</v>
      </c>
      <c r="DB19" s="54" t="n">
        <f aca="false">MAX(0,MIN($F19,DB$4)-MAX($E19,DB$3)+1)/($F19-$E19+1)</f>
        <v>0</v>
      </c>
      <c r="DC19" s="54" t="n">
        <f aca="false">MAX(0,MIN($F19,DC$4)-MAX($E19,DC$3)+1)/($F19-$E19+1)</f>
        <v>0</v>
      </c>
      <c r="DD19" s="54" t="n">
        <f aca="false">MAX(0,MIN($F19,DD$4)-MAX($E19,DD$3)+1)/($F19-$E19+1)</f>
        <v>0</v>
      </c>
      <c r="DE19" s="54" t="n">
        <f aca="false">MAX(0,MIN($F19,DE$4)-MAX($E19,DE$3)+1)/($F19-$E19+1)</f>
        <v>0</v>
      </c>
      <c r="DF19" s="54" t="n">
        <f aca="false">MAX(0,MIN($F19,DF$4)-MAX($E19,DF$3)+1)/($F19-$E19+1)</f>
        <v>0</v>
      </c>
      <c r="DG19" s="54" t="n">
        <f aca="false">MAX(0,MIN($F19,DG$4)-MAX($E19,DG$3)+1)/($F19-$E19+1)</f>
        <v>0</v>
      </c>
      <c r="DH19" s="54" t="n">
        <f aca="false">MAX(0,MIN($F19,DH$4)-MAX($E19,DH$3)+1)/($F19-$E19+1)</f>
        <v>0</v>
      </c>
      <c r="DI19" s="54" t="n">
        <f aca="false">MAX(0,MIN($F19,DI$4)-MAX($E19,DI$3)+1)/($F19-$E19+1)</f>
        <v>0</v>
      </c>
      <c r="DJ19" s="54" t="n">
        <f aca="false">MAX(0,MIN($F19,DJ$4)-MAX($E19,DJ$3)+1)/($F19-$E19+1)</f>
        <v>0</v>
      </c>
      <c r="DK19" s="54" t="n">
        <f aca="false">MAX(0,MIN($F19,DK$4)-MAX($E19,DK$3)+1)/($F19-$E19+1)</f>
        <v>0</v>
      </c>
      <c r="DL19" s="54" t="n">
        <f aca="false">MAX(0,MIN($F19,DL$4)-MAX($E19,DL$3)+1)/($F19-$E19+1)</f>
        <v>0</v>
      </c>
      <c r="DM19" s="54" t="n">
        <f aca="false">MAX(0,MIN($F19,DM$4)-MAX($E19,DM$3)+1)/($F19-$E19+1)</f>
        <v>0</v>
      </c>
      <c r="DN19" s="54" t="n">
        <f aca="false">MAX(0,MIN($F19,DN$4)-MAX($E19,DN$3)+1)/($F19-$E19+1)</f>
        <v>0</v>
      </c>
      <c r="DO19" s="54" t="n">
        <f aca="false">MAX(0,MIN($F19,DO$4)-MAX($E19,DO$3)+1)/($F19-$E19+1)</f>
        <v>0</v>
      </c>
      <c r="DP19" s="54" t="n">
        <f aca="false">MAX(0,MIN($F19,DP$4)-MAX($E19,DP$3)+1)/($F19-$E19+1)</f>
        <v>0</v>
      </c>
      <c r="DQ19" s="54" t="n">
        <f aca="false">MAX(0,MIN($F19,DQ$4)-MAX($E19,DQ$3)+1)/($F19-$E19+1)</f>
        <v>0</v>
      </c>
      <c r="DR19" s="54" t="n">
        <f aca="false">MAX(0,MIN($F19,DR$4)-MAX($E19,DR$3)+1)/($F19-$E19+1)</f>
        <v>0</v>
      </c>
      <c r="DS19" s="54" t="n">
        <f aca="false">MAX(0,MIN($F19,DS$4)-MAX($E19,DS$3)+1)/($F19-$E19+1)</f>
        <v>0</v>
      </c>
      <c r="DT19" s="54" t="n">
        <f aca="false">MAX(0,MIN($F19,DT$4)-MAX($E19,DT$3)+1)/($F19-$E19+1)</f>
        <v>0</v>
      </c>
      <c r="DU19" s="54" t="n">
        <f aca="false">MAX(0,MIN($F19,DU$4)-MAX($E19,DU$3)+1)/($F19-$E19+1)</f>
        <v>0</v>
      </c>
      <c r="DV19" s="54" t="n">
        <f aca="false">MAX(0,MIN($F19,DV$4)-MAX($E19,DV$3)+1)/($F19-$E19+1)</f>
        <v>0</v>
      </c>
      <c r="DW19" s="54" t="n">
        <f aca="false">MAX(0,MIN($F19,DW$4)-MAX($E19,DW$3)+1)/($F19-$E19+1)</f>
        <v>0</v>
      </c>
      <c r="DX19" s="54" t="n">
        <f aca="false">MAX(0,MIN($F19,DX$4)-MAX($E19,DX$3)+1)/($F19-$E19+1)</f>
        <v>0</v>
      </c>
      <c r="DY19" s="54" t="n">
        <f aca="false">MAX(0,MIN($F19,DY$4)-MAX($E19,DY$3)+1)/($F19-$E19+1)</f>
        <v>0</v>
      </c>
      <c r="DZ19" s="54" t="n">
        <f aca="false">MAX(0,MIN($F19,DZ$4)-MAX($E19,DZ$3)+1)/($F19-$E19+1)</f>
        <v>0</v>
      </c>
      <c r="EA19" s="54" t="n">
        <f aca="false">MAX(0,MIN($F19,EA$4)-MAX($E19,EA$3)+1)/($F19-$E19+1)</f>
        <v>0</v>
      </c>
      <c r="EB19" s="54" t="n">
        <f aca="false">MAX(0,MIN($F19,EB$4)-MAX($E19,EB$3)+1)/($F19-$E19+1)</f>
        <v>0</v>
      </c>
      <c r="EC19" s="54" t="n">
        <f aca="false">MAX(0,MIN($F19,EC$4)-MAX($E19,EC$3)+1)/($F19-$E19+1)</f>
        <v>0</v>
      </c>
      <c r="ED19" s="54" t="n">
        <f aca="false">MAX(0,MIN($F19,ED$4)-MAX($E19,ED$3)+1)/($F19-$E19+1)</f>
        <v>0</v>
      </c>
      <c r="EE19" s="54" t="n">
        <f aca="false">MAX(0,MIN($F19,EE$4)-MAX($E19,EE$3)+1)/($F19-$E19+1)</f>
        <v>0</v>
      </c>
      <c r="EF19" s="54" t="n">
        <f aca="false">MAX(0,MIN($F19,EF$4)-MAX($E19,EF$3)+1)/($F19-$E19+1)</f>
        <v>0</v>
      </c>
      <c r="EG19" s="54" t="n">
        <f aca="false">MAX(0,MIN($F19,EG$4)-MAX($E19,EG$3)+1)/($F19-$E19+1)</f>
        <v>0</v>
      </c>
      <c r="EH19" s="54" t="n">
        <f aca="false">MAX(0,MIN($F19,EH$4)-MAX($E19,EH$3)+1)/($F19-$E19+1)</f>
        <v>0</v>
      </c>
      <c r="EI19" s="54" t="n">
        <f aca="false">MAX(0,MIN($F19,EI$4)-MAX($E19,EI$3)+1)/($F19-$E19+1)</f>
        <v>0</v>
      </c>
      <c r="EJ19" s="54" t="n">
        <f aca="false">MAX(0,MIN($F19,EJ$4)-MAX($E19,EJ$3)+1)/($F19-$E19+1)</f>
        <v>0</v>
      </c>
      <c r="EK19" s="54" t="n">
        <f aca="false">MAX(0,MIN($F19,EK$4)-MAX($E19,EK$3)+1)/($F19-$E19+1)</f>
        <v>0</v>
      </c>
      <c r="EL19" s="54" t="n">
        <f aca="false">MAX(0,MIN($F19,EL$4)-MAX($E19,EL$3)+1)/($F19-$E19+1)</f>
        <v>0</v>
      </c>
      <c r="EM19" s="54" t="n">
        <f aca="false">MAX(0,MIN($F19,EM$4)-MAX($E19,EM$3)+1)/($F19-$E19+1)</f>
        <v>0</v>
      </c>
      <c r="EN19" s="54" t="n">
        <f aca="false">MAX(0,MIN($F19,EN$4)-MAX($E19,EN$3)+1)/($F19-$E19+1)</f>
        <v>0</v>
      </c>
      <c r="EO19" s="54" t="n">
        <f aca="false">MAX(0,MIN($F19,EO$4)-MAX($E19,EO$3)+1)/($F19-$E19+1)</f>
        <v>0</v>
      </c>
    </row>
    <row r="20" customFormat="false" ht="15" hidden="false" customHeight="false" outlineLevel="0" collapsed="false">
      <c r="C20" s="0" t="s">
        <v>379</v>
      </c>
      <c r="D20" s="11" t="s">
        <v>140</v>
      </c>
      <c r="J20" s="43" t="n">
        <f aca="false">ROUNDUP(YEARFRAC(In_COD,J$4),0)*(J$4&gt;In_COD)</f>
        <v>0</v>
      </c>
      <c r="K20" s="43" t="n">
        <f aca="false">ROUNDUP(YEARFRAC(In_COD,K$4),0)*(K$4&gt;In_COD)</f>
        <v>0</v>
      </c>
      <c r="L20" s="43" t="n">
        <f aca="false">ROUNDUP(YEARFRAC(In_COD,L$4),0)*(L$4&gt;In_COD)</f>
        <v>0</v>
      </c>
      <c r="M20" s="43" t="n">
        <f aca="false">ROUNDUP(YEARFRAC(In_COD,M$4),0)*(M$4&gt;In_COD)</f>
        <v>0</v>
      </c>
      <c r="N20" s="43" t="n">
        <f aca="false">ROUNDUP(YEARFRAC(In_COD,N$4),0)*(N$4&gt;In_COD)</f>
        <v>0</v>
      </c>
      <c r="O20" s="43" t="n">
        <f aca="false">ROUNDUP(YEARFRAC(In_COD,O$4),0)*(O$4&gt;In_COD)</f>
        <v>0</v>
      </c>
      <c r="P20" s="43" t="n">
        <f aca="false">ROUNDUP(YEARFRAC(In_COD,P$4),0)*(P$4&gt;In_COD)</f>
        <v>0</v>
      </c>
      <c r="Q20" s="43" t="n">
        <f aca="false">ROUNDUP(YEARFRAC(In_COD,Q$4),0)*(Q$4&gt;In_COD)</f>
        <v>0</v>
      </c>
      <c r="R20" s="43" t="n">
        <f aca="false">ROUNDUP(YEARFRAC(In_COD,R$4),0)*(R$4&gt;In_COD)</f>
        <v>0</v>
      </c>
      <c r="S20" s="43" t="n">
        <f aca="false">ROUNDUP(YEARFRAC(In_COD,S$4),0)*(S$4&gt;In_COD)</f>
        <v>0</v>
      </c>
      <c r="T20" s="43" t="n">
        <f aca="false">ROUNDUP(YEARFRAC(In_COD,T$4),0)*(T$4&gt;In_COD)</f>
        <v>0</v>
      </c>
      <c r="U20" s="43" t="n">
        <f aca="false">ROUNDUP(YEARFRAC(In_COD,U$4),0)*(U$4&gt;In_COD)</f>
        <v>0</v>
      </c>
      <c r="V20" s="43" t="n">
        <f aca="false">ROUNDUP(YEARFRAC(In_COD,V$4),0)*(V$4&gt;In_COD)</f>
        <v>0</v>
      </c>
      <c r="W20" s="43" t="n">
        <f aca="false">ROUNDUP(YEARFRAC(In_COD,W$4),0)*(W$4&gt;In_COD)</f>
        <v>0</v>
      </c>
      <c r="X20" s="43" t="n">
        <f aca="false">ROUNDUP(YEARFRAC(In_COD,X$4),0)*(X$4&gt;In_COD)</f>
        <v>0</v>
      </c>
      <c r="Y20" s="43" t="n">
        <f aca="false">ROUNDUP(YEARFRAC(In_COD,Y$4),0)*(Y$4&gt;In_COD)</f>
        <v>0</v>
      </c>
      <c r="Z20" s="43" t="n">
        <f aca="false">ROUNDUP(YEARFRAC(In_COD,Z$4),0)*(Z$4&gt;In_COD)</f>
        <v>1</v>
      </c>
      <c r="AA20" s="43" t="n">
        <f aca="false">ROUNDUP(YEARFRAC(In_COD,AA$4),0)*(AA$4&gt;In_COD)</f>
        <v>1</v>
      </c>
      <c r="AB20" s="43" t="n">
        <f aca="false">ROUNDUP(YEARFRAC(In_COD,AB$4),0)*(AB$4&gt;In_COD)</f>
        <v>1</v>
      </c>
      <c r="AC20" s="43" t="n">
        <f aca="false">ROUNDUP(YEARFRAC(In_COD,AC$4),0)*(AC$4&gt;In_COD)</f>
        <v>1</v>
      </c>
      <c r="AD20" s="43" t="n">
        <f aca="false">ROUNDUP(YEARFRAC(In_COD,AD$4),0)*(AD$4&gt;In_COD)</f>
        <v>2</v>
      </c>
      <c r="AE20" s="43" t="n">
        <f aca="false">ROUNDUP(YEARFRAC(In_COD,AE$4),0)*(AE$4&gt;In_COD)</f>
        <v>2</v>
      </c>
      <c r="AF20" s="43" t="n">
        <f aca="false">ROUNDUP(YEARFRAC(In_COD,AF$4),0)*(AF$4&gt;In_COD)</f>
        <v>2</v>
      </c>
      <c r="AG20" s="43" t="n">
        <f aca="false">ROUNDUP(YEARFRAC(In_COD,AG$4),0)*(AG$4&gt;In_COD)</f>
        <v>2</v>
      </c>
      <c r="AH20" s="43" t="n">
        <f aca="false">ROUNDUP(YEARFRAC(In_COD,AH$4),0)*(AH$4&gt;In_COD)</f>
        <v>3</v>
      </c>
      <c r="AI20" s="43" t="n">
        <f aca="false">ROUNDUP(YEARFRAC(In_COD,AI$4),0)*(AI$4&gt;In_COD)</f>
        <v>3</v>
      </c>
      <c r="AJ20" s="43" t="n">
        <f aca="false">ROUNDUP(YEARFRAC(In_COD,AJ$4),0)*(AJ$4&gt;In_COD)</f>
        <v>3</v>
      </c>
      <c r="AK20" s="43" t="n">
        <f aca="false">ROUNDUP(YEARFRAC(In_COD,AK$4),0)*(AK$4&gt;In_COD)</f>
        <v>3</v>
      </c>
      <c r="AL20" s="43" t="n">
        <f aca="false">ROUNDUP(YEARFRAC(In_COD,AL$4),0)*(AL$4&gt;In_COD)</f>
        <v>4</v>
      </c>
      <c r="AM20" s="43" t="n">
        <f aca="false">ROUNDUP(YEARFRAC(In_COD,AM$4),0)*(AM$4&gt;In_COD)</f>
        <v>4</v>
      </c>
      <c r="AN20" s="43" t="n">
        <f aca="false">ROUNDUP(YEARFRAC(In_COD,AN$4),0)*(AN$4&gt;In_COD)</f>
        <v>4</v>
      </c>
      <c r="AO20" s="43" t="n">
        <f aca="false">ROUNDUP(YEARFRAC(In_COD,AO$4),0)*(AO$4&gt;In_COD)</f>
        <v>4</v>
      </c>
      <c r="AP20" s="43" t="n">
        <f aca="false">ROUNDUP(YEARFRAC(In_COD,AP$4),0)*(AP$4&gt;In_COD)</f>
        <v>5</v>
      </c>
      <c r="AQ20" s="43" t="n">
        <f aca="false">ROUNDUP(YEARFRAC(In_COD,AQ$4),0)*(AQ$4&gt;In_COD)</f>
        <v>5</v>
      </c>
      <c r="AR20" s="43" t="n">
        <f aca="false">ROUNDUP(YEARFRAC(In_COD,AR$4),0)*(AR$4&gt;In_COD)</f>
        <v>5</v>
      </c>
      <c r="AS20" s="43" t="n">
        <f aca="false">ROUNDUP(YEARFRAC(In_COD,AS$4),0)*(AS$4&gt;In_COD)</f>
        <v>5</v>
      </c>
      <c r="AT20" s="43" t="n">
        <f aca="false">ROUNDUP(YEARFRAC(In_COD,AT$4),0)*(AT$4&gt;In_COD)</f>
        <v>6</v>
      </c>
      <c r="AU20" s="43" t="n">
        <f aca="false">ROUNDUP(YEARFRAC(In_COD,AU$4),0)*(AU$4&gt;In_COD)</f>
        <v>6</v>
      </c>
      <c r="AV20" s="43" t="n">
        <f aca="false">ROUNDUP(YEARFRAC(In_COD,AV$4),0)*(AV$4&gt;In_COD)</f>
        <v>6</v>
      </c>
      <c r="AW20" s="43" t="n">
        <f aca="false">ROUNDUP(YEARFRAC(In_COD,AW$4),0)*(AW$4&gt;In_COD)</f>
        <v>6</v>
      </c>
      <c r="AX20" s="43" t="n">
        <f aca="false">ROUNDUP(YEARFRAC(In_COD,AX$4),0)*(AX$4&gt;In_COD)</f>
        <v>7</v>
      </c>
      <c r="AY20" s="43" t="n">
        <f aca="false">ROUNDUP(YEARFRAC(In_COD,AY$4),0)*(AY$4&gt;In_COD)</f>
        <v>7</v>
      </c>
      <c r="AZ20" s="43" t="n">
        <f aca="false">ROUNDUP(YEARFRAC(In_COD,AZ$4),0)*(AZ$4&gt;In_COD)</f>
        <v>7</v>
      </c>
      <c r="BA20" s="43" t="n">
        <f aca="false">ROUNDUP(YEARFRAC(In_COD,BA$4),0)*(BA$4&gt;In_COD)</f>
        <v>7</v>
      </c>
      <c r="BB20" s="43" t="n">
        <f aca="false">ROUNDUP(YEARFRAC(In_COD,BB$4),0)*(BB$4&gt;In_COD)</f>
        <v>8</v>
      </c>
      <c r="BC20" s="43" t="n">
        <f aca="false">ROUNDUP(YEARFRAC(In_COD,BC$4),0)*(BC$4&gt;In_COD)</f>
        <v>8</v>
      </c>
      <c r="BD20" s="43" t="n">
        <f aca="false">ROUNDUP(YEARFRAC(In_COD,BD$4),0)*(BD$4&gt;In_COD)</f>
        <v>8</v>
      </c>
      <c r="BE20" s="43" t="n">
        <f aca="false">ROUNDUP(YEARFRAC(In_COD,BE$4),0)*(BE$4&gt;In_COD)</f>
        <v>8</v>
      </c>
      <c r="BF20" s="43" t="n">
        <f aca="false">ROUNDUP(YEARFRAC(In_COD,BF$4),0)*(BF$4&gt;In_COD)</f>
        <v>9</v>
      </c>
      <c r="BG20" s="43" t="n">
        <f aca="false">ROUNDUP(YEARFRAC(In_COD,BG$4),0)*(BG$4&gt;In_COD)</f>
        <v>9</v>
      </c>
      <c r="BH20" s="43" t="n">
        <f aca="false">ROUNDUP(YEARFRAC(In_COD,BH$4),0)*(BH$4&gt;In_COD)</f>
        <v>9</v>
      </c>
      <c r="BI20" s="43" t="n">
        <f aca="false">ROUNDUP(YEARFRAC(In_COD,BI$4),0)*(BI$4&gt;In_COD)</f>
        <v>9</v>
      </c>
      <c r="BJ20" s="43" t="n">
        <f aca="false">ROUNDUP(YEARFRAC(In_COD,BJ$4),0)*(BJ$4&gt;In_COD)</f>
        <v>10</v>
      </c>
      <c r="BK20" s="43" t="n">
        <f aca="false">ROUNDUP(YEARFRAC(In_COD,BK$4),0)*(BK$4&gt;In_COD)</f>
        <v>10</v>
      </c>
      <c r="BL20" s="43" t="n">
        <f aca="false">ROUNDUP(YEARFRAC(In_COD,BL$4),0)*(BL$4&gt;In_COD)</f>
        <v>10</v>
      </c>
      <c r="BM20" s="43" t="n">
        <f aca="false">ROUNDUP(YEARFRAC(In_COD,BM$4),0)*(BM$4&gt;In_COD)</f>
        <v>10</v>
      </c>
      <c r="BN20" s="43" t="n">
        <f aca="false">ROUNDUP(YEARFRAC(In_COD,BN$4),0)*(BN$4&gt;In_COD)</f>
        <v>11</v>
      </c>
      <c r="BO20" s="43" t="n">
        <f aca="false">ROUNDUP(YEARFRAC(In_COD,BO$4),0)*(BO$4&gt;In_COD)</f>
        <v>11</v>
      </c>
      <c r="BP20" s="43" t="n">
        <f aca="false">ROUNDUP(YEARFRAC(In_COD,BP$4),0)*(BP$4&gt;In_COD)</f>
        <v>11</v>
      </c>
      <c r="BQ20" s="43" t="n">
        <f aca="false">ROUNDUP(YEARFRAC(In_COD,BQ$4),0)*(BQ$4&gt;In_COD)</f>
        <v>11</v>
      </c>
      <c r="BR20" s="43" t="n">
        <f aca="false">ROUNDUP(YEARFRAC(In_COD,BR$4),0)*(BR$4&gt;In_COD)</f>
        <v>12</v>
      </c>
      <c r="BS20" s="43" t="n">
        <f aca="false">ROUNDUP(YEARFRAC(In_COD,BS$4),0)*(BS$4&gt;In_COD)</f>
        <v>12</v>
      </c>
      <c r="BT20" s="43" t="n">
        <f aca="false">ROUNDUP(YEARFRAC(In_COD,BT$4),0)*(BT$4&gt;In_COD)</f>
        <v>12</v>
      </c>
      <c r="BU20" s="43" t="n">
        <f aca="false">ROUNDUP(YEARFRAC(In_COD,BU$4),0)*(BU$4&gt;In_COD)</f>
        <v>12</v>
      </c>
      <c r="BV20" s="43" t="n">
        <f aca="false">ROUNDUP(YEARFRAC(In_COD,BV$4),0)*(BV$4&gt;In_COD)</f>
        <v>13</v>
      </c>
      <c r="BW20" s="43" t="n">
        <f aca="false">ROUNDUP(YEARFRAC(In_COD,BW$4),0)*(BW$4&gt;In_COD)</f>
        <v>13</v>
      </c>
      <c r="BX20" s="43" t="n">
        <f aca="false">ROUNDUP(YEARFRAC(In_COD,BX$4),0)*(BX$4&gt;In_COD)</f>
        <v>13</v>
      </c>
      <c r="BY20" s="43" t="n">
        <f aca="false">ROUNDUP(YEARFRAC(In_COD,BY$4),0)*(BY$4&gt;In_COD)</f>
        <v>13</v>
      </c>
      <c r="BZ20" s="43" t="n">
        <f aca="false">ROUNDUP(YEARFRAC(In_COD,BZ$4),0)*(BZ$4&gt;In_COD)</f>
        <v>14</v>
      </c>
      <c r="CA20" s="43" t="n">
        <f aca="false">ROUNDUP(YEARFRAC(In_COD,CA$4),0)*(CA$4&gt;In_COD)</f>
        <v>14</v>
      </c>
      <c r="CB20" s="43" t="n">
        <f aca="false">ROUNDUP(YEARFRAC(In_COD,CB$4),0)*(CB$4&gt;In_COD)</f>
        <v>14</v>
      </c>
      <c r="CC20" s="43" t="n">
        <f aca="false">ROUNDUP(YEARFRAC(In_COD,CC$4),0)*(CC$4&gt;In_COD)</f>
        <v>14</v>
      </c>
      <c r="CD20" s="43" t="n">
        <f aca="false">ROUNDUP(YEARFRAC(In_COD,CD$4),0)*(CD$4&gt;In_COD)</f>
        <v>15</v>
      </c>
      <c r="CE20" s="43" t="n">
        <f aca="false">ROUNDUP(YEARFRAC(In_COD,CE$4),0)*(CE$4&gt;In_COD)</f>
        <v>15</v>
      </c>
      <c r="CF20" s="43" t="n">
        <f aca="false">ROUNDUP(YEARFRAC(In_COD,CF$4),0)*(CF$4&gt;In_COD)</f>
        <v>15</v>
      </c>
      <c r="CG20" s="43" t="n">
        <f aca="false">ROUNDUP(YEARFRAC(In_COD,CG$4),0)*(CG$4&gt;In_COD)</f>
        <v>15</v>
      </c>
      <c r="CH20" s="43" t="n">
        <f aca="false">ROUNDUP(YEARFRAC(In_COD,CH$4),0)*(CH$4&gt;In_COD)</f>
        <v>16</v>
      </c>
      <c r="CI20" s="43" t="n">
        <f aca="false">ROUNDUP(YEARFRAC(In_COD,CI$4),0)*(CI$4&gt;In_COD)</f>
        <v>16</v>
      </c>
      <c r="CJ20" s="43" t="n">
        <f aca="false">ROUNDUP(YEARFRAC(In_COD,CJ$4),0)*(CJ$4&gt;In_COD)</f>
        <v>16</v>
      </c>
      <c r="CK20" s="43" t="n">
        <f aca="false">ROUNDUP(YEARFRAC(In_COD,CK$4),0)*(CK$4&gt;In_COD)</f>
        <v>16</v>
      </c>
      <c r="CL20" s="43" t="n">
        <f aca="false">ROUNDUP(YEARFRAC(In_COD,CL$4),0)*(CL$4&gt;In_COD)</f>
        <v>17</v>
      </c>
      <c r="CM20" s="43" t="n">
        <f aca="false">ROUNDUP(YEARFRAC(In_COD,CM$4),0)*(CM$4&gt;In_COD)</f>
        <v>17</v>
      </c>
      <c r="CN20" s="43" t="n">
        <f aca="false">ROUNDUP(YEARFRAC(In_COD,CN$4),0)*(CN$4&gt;In_COD)</f>
        <v>17</v>
      </c>
      <c r="CO20" s="43" t="n">
        <f aca="false">ROUNDUP(YEARFRAC(In_COD,CO$4),0)*(CO$4&gt;In_COD)</f>
        <v>17</v>
      </c>
      <c r="CP20" s="43" t="n">
        <f aca="false">ROUNDUP(YEARFRAC(In_COD,CP$4),0)*(CP$4&gt;In_COD)</f>
        <v>18</v>
      </c>
      <c r="CQ20" s="43" t="n">
        <f aca="false">ROUNDUP(YEARFRAC(In_COD,CQ$4),0)*(CQ$4&gt;In_COD)</f>
        <v>18</v>
      </c>
      <c r="CR20" s="43" t="n">
        <f aca="false">ROUNDUP(YEARFRAC(In_COD,CR$4),0)*(CR$4&gt;In_COD)</f>
        <v>18</v>
      </c>
      <c r="CS20" s="43" t="n">
        <f aca="false">ROUNDUP(YEARFRAC(In_COD,CS$4),0)*(CS$4&gt;In_COD)</f>
        <v>18</v>
      </c>
      <c r="CT20" s="43" t="n">
        <f aca="false">ROUNDUP(YEARFRAC(In_COD,CT$4),0)*(CT$4&gt;In_COD)</f>
        <v>19</v>
      </c>
      <c r="CU20" s="43" t="n">
        <f aca="false">ROUNDUP(YEARFRAC(In_COD,CU$4),0)*(CU$4&gt;In_COD)</f>
        <v>19</v>
      </c>
      <c r="CV20" s="43" t="n">
        <f aca="false">ROUNDUP(YEARFRAC(In_COD,CV$4),0)*(CV$4&gt;In_COD)</f>
        <v>19</v>
      </c>
      <c r="CW20" s="43" t="n">
        <f aca="false">ROUNDUP(YEARFRAC(In_COD,CW$4),0)*(CW$4&gt;In_COD)</f>
        <v>19</v>
      </c>
      <c r="CX20" s="43" t="n">
        <f aca="false">ROUNDUP(YEARFRAC(In_COD,CX$4),0)*(CX$4&gt;In_COD)</f>
        <v>20</v>
      </c>
      <c r="CY20" s="43" t="n">
        <f aca="false">ROUNDUP(YEARFRAC(In_COD,CY$4),0)*(CY$4&gt;In_COD)</f>
        <v>20</v>
      </c>
      <c r="CZ20" s="43" t="n">
        <f aca="false">ROUNDUP(YEARFRAC(In_COD,CZ$4),0)*(CZ$4&gt;In_COD)</f>
        <v>20</v>
      </c>
      <c r="DA20" s="43" t="n">
        <f aca="false">ROUNDUP(YEARFRAC(In_COD,DA$4),0)*(DA$4&gt;In_COD)</f>
        <v>20</v>
      </c>
      <c r="DB20" s="43" t="n">
        <f aca="false">ROUNDUP(YEARFRAC(In_COD,DB$4),0)*(DB$4&gt;In_COD)</f>
        <v>21</v>
      </c>
      <c r="DC20" s="43" t="n">
        <f aca="false">ROUNDUP(YEARFRAC(In_COD,DC$4),0)*(DC$4&gt;In_COD)</f>
        <v>21</v>
      </c>
      <c r="DD20" s="43" t="n">
        <f aca="false">ROUNDUP(YEARFRAC(In_COD,DD$4),0)*(DD$4&gt;In_COD)</f>
        <v>21</v>
      </c>
      <c r="DE20" s="43" t="n">
        <f aca="false">ROUNDUP(YEARFRAC(In_COD,DE$4),0)*(DE$4&gt;In_COD)</f>
        <v>21</v>
      </c>
      <c r="DF20" s="43" t="n">
        <f aca="false">ROUNDUP(YEARFRAC(In_COD,DF$4),0)*(DF$4&gt;In_COD)</f>
        <v>22</v>
      </c>
      <c r="DG20" s="43" t="n">
        <f aca="false">ROUNDUP(YEARFRAC(In_COD,DG$4),0)*(DG$4&gt;In_COD)</f>
        <v>22</v>
      </c>
      <c r="DH20" s="43" t="n">
        <f aca="false">ROUNDUP(YEARFRAC(In_COD,DH$4),0)*(DH$4&gt;In_COD)</f>
        <v>22</v>
      </c>
      <c r="DI20" s="43" t="n">
        <f aca="false">ROUNDUP(YEARFRAC(In_COD,DI$4),0)*(DI$4&gt;In_COD)</f>
        <v>22</v>
      </c>
      <c r="DJ20" s="43" t="n">
        <f aca="false">ROUNDUP(YEARFRAC(In_COD,DJ$4),0)*(DJ$4&gt;In_COD)</f>
        <v>23</v>
      </c>
      <c r="DK20" s="43" t="n">
        <f aca="false">ROUNDUP(YEARFRAC(In_COD,DK$4),0)*(DK$4&gt;In_COD)</f>
        <v>23</v>
      </c>
      <c r="DL20" s="43" t="n">
        <f aca="false">ROUNDUP(YEARFRAC(In_COD,DL$4),0)*(DL$4&gt;In_COD)</f>
        <v>23</v>
      </c>
      <c r="DM20" s="43" t="n">
        <f aca="false">ROUNDUP(YEARFRAC(In_COD,DM$4),0)*(DM$4&gt;In_COD)</f>
        <v>23</v>
      </c>
      <c r="DN20" s="43" t="n">
        <f aca="false">ROUNDUP(YEARFRAC(In_COD,DN$4),0)*(DN$4&gt;In_COD)</f>
        <v>24</v>
      </c>
      <c r="DO20" s="43" t="n">
        <f aca="false">ROUNDUP(YEARFRAC(In_COD,DO$4),0)*(DO$4&gt;In_COD)</f>
        <v>24</v>
      </c>
      <c r="DP20" s="43" t="n">
        <f aca="false">ROUNDUP(YEARFRAC(In_COD,DP$4),0)*(DP$4&gt;In_COD)</f>
        <v>24</v>
      </c>
      <c r="DQ20" s="43" t="n">
        <f aca="false">ROUNDUP(YEARFRAC(In_COD,DQ$4),0)*(DQ$4&gt;In_COD)</f>
        <v>24</v>
      </c>
      <c r="DR20" s="43" t="n">
        <f aca="false">ROUNDUP(YEARFRAC(In_COD,DR$4),0)*(DR$4&gt;In_COD)</f>
        <v>25</v>
      </c>
      <c r="DS20" s="43" t="n">
        <f aca="false">ROUNDUP(YEARFRAC(In_COD,DS$4),0)*(DS$4&gt;In_COD)</f>
        <v>25</v>
      </c>
      <c r="DT20" s="43" t="n">
        <f aca="false">ROUNDUP(YEARFRAC(In_COD,DT$4),0)*(DT$4&gt;In_COD)</f>
        <v>25</v>
      </c>
      <c r="DU20" s="43" t="n">
        <f aca="false">ROUNDUP(YEARFRAC(In_COD,DU$4),0)*(DU$4&gt;In_COD)</f>
        <v>25</v>
      </c>
      <c r="DV20" s="43" t="n">
        <f aca="false">ROUNDUP(YEARFRAC(In_COD,DV$4),0)*(DV$4&gt;In_COD)</f>
        <v>26</v>
      </c>
      <c r="DW20" s="43" t="n">
        <f aca="false">ROUNDUP(YEARFRAC(In_COD,DW$4),0)*(DW$4&gt;In_COD)</f>
        <v>26</v>
      </c>
      <c r="DX20" s="43" t="n">
        <f aca="false">ROUNDUP(YEARFRAC(In_COD,DX$4),0)*(DX$4&gt;In_COD)</f>
        <v>26</v>
      </c>
      <c r="DY20" s="43" t="n">
        <f aca="false">ROUNDUP(YEARFRAC(In_COD,DY$4),0)*(DY$4&gt;In_COD)</f>
        <v>26</v>
      </c>
      <c r="DZ20" s="43" t="n">
        <f aca="false">ROUNDUP(YEARFRAC(In_COD,DZ$4),0)*(DZ$4&gt;In_COD)</f>
        <v>27</v>
      </c>
      <c r="EA20" s="43" t="n">
        <f aca="false">ROUNDUP(YEARFRAC(In_COD,EA$4),0)*(EA$4&gt;In_COD)</f>
        <v>27</v>
      </c>
      <c r="EB20" s="43" t="n">
        <f aca="false">ROUNDUP(YEARFRAC(In_COD,EB$4),0)*(EB$4&gt;In_COD)</f>
        <v>27</v>
      </c>
      <c r="EC20" s="43" t="n">
        <f aca="false">ROUNDUP(YEARFRAC(In_COD,EC$4),0)*(EC$4&gt;In_COD)</f>
        <v>27</v>
      </c>
      <c r="ED20" s="43" t="n">
        <f aca="false">ROUNDUP(YEARFRAC(In_COD,ED$4),0)*(ED$4&gt;In_COD)</f>
        <v>28</v>
      </c>
      <c r="EE20" s="43" t="n">
        <f aca="false">ROUNDUP(YEARFRAC(In_COD,EE$4),0)*(EE$4&gt;In_COD)</f>
        <v>28</v>
      </c>
      <c r="EF20" s="43" t="n">
        <f aca="false">ROUNDUP(YEARFRAC(In_COD,EF$4),0)*(EF$4&gt;In_COD)</f>
        <v>28</v>
      </c>
      <c r="EG20" s="43" t="n">
        <f aca="false">ROUNDUP(YEARFRAC(In_COD,EG$4),0)*(EG$4&gt;In_COD)</f>
        <v>28</v>
      </c>
      <c r="EH20" s="43" t="n">
        <f aca="false">ROUNDUP(YEARFRAC(In_COD,EH$4),0)*(EH$4&gt;In_COD)</f>
        <v>29</v>
      </c>
      <c r="EI20" s="43" t="n">
        <f aca="false">ROUNDUP(YEARFRAC(In_COD,EI$4),0)*(EI$4&gt;In_COD)</f>
        <v>29</v>
      </c>
      <c r="EJ20" s="43" t="n">
        <f aca="false">ROUNDUP(YEARFRAC(In_COD,EJ$4),0)*(EJ$4&gt;In_COD)</f>
        <v>29</v>
      </c>
      <c r="EK20" s="43" t="n">
        <f aca="false">ROUNDUP(YEARFRAC(In_COD,EK$4),0)*(EK$4&gt;In_COD)</f>
        <v>29</v>
      </c>
      <c r="EL20" s="43" t="n">
        <f aca="false">ROUNDUP(YEARFRAC(In_COD,EL$4),0)*(EL$4&gt;In_COD)</f>
        <v>30</v>
      </c>
      <c r="EM20" s="43" t="n">
        <f aca="false">ROUNDUP(YEARFRAC(In_COD,EM$4),0)*(EM$4&gt;In_COD)</f>
        <v>30</v>
      </c>
      <c r="EN20" s="43" t="n">
        <f aca="false">ROUNDUP(YEARFRAC(In_COD,EN$4),0)*(EN$4&gt;In_COD)</f>
        <v>30</v>
      </c>
      <c r="EO20" s="43" t="n">
        <f aca="false">ROUNDUP(YEARFRAC(In_COD,EO$4),0)*(EO$4&gt;In_COD)</f>
        <v>30</v>
      </c>
    </row>
    <row r="21" customFormat="false" ht="15" hidden="false" customHeight="false" outlineLevel="0" collapsed="false">
      <c r="C21" s="0" t="s">
        <v>380</v>
      </c>
      <c r="D21" s="11" t="s">
        <v>368</v>
      </c>
      <c r="E21" s="54" t="n">
        <f aca="false">SUMIF($J$4:$EO$4,In_COD,$J21:$EO21)</f>
        <v>1.21988954770292</v>
      </c>
      <c r="F21" s="55" t="n">
        <f aca="false">In_Debt_Rate*Months_Per_Period/Months_In_Year</f>
        <v>0.0125</v>
      </c>
      <c r="J21" s="54" t="n">
        <f aca="false">(1+$F21)^J$8</f>
        <v>1.0125</v>
      </c>
      <c r="K21" s="54" t="n">
        <f aca="false">(1+$F21)^K$8</f>
        <v>1.02515625</v>
      </c>
      <c r="L21" s="54" t="n">
        <f aca="false">(1+$F21)^L$8</f>
        <v>1.037970703125</v>
      </c>
      <c r="M21" s="54" t="n">
        <f aca="false">(1+$F21)^M$8</f>
        <v>1.05094533691406</v>
      </c>
      <c r="N21" s="54" t="n">
        <f aca="false">(1+$F21)^N$8</f>
        <v>1.06408215362549</v>
      </c>
      <c r="O21" s="54" t="n">
        <f aca="false">(1+$F21)^O$8</f>
        <v>1.07738318054581</v>
      </c>
      <c r="P21" s="54" t="n">
        <f aca="false">(1+$F21)^P$8</f>
        <v>1.09085047030263</v>
      </c>
      <c r="Q21" s="54" t="n">
        <f aca="false">(1+$F21)^Q$8</f>
        <v>1.10448610118141</v>
      </c>
      <c r="R21" s="54" t="n">
        <f aca="false">(1+$F21)^R$8</f>
        <v>1.11829217744618</v>
      </c>
      <c r="S21" s="54" t="n">
        <f aca="false">(1+$F21)^S$8</f>
        <v>1.13227082966426</v>
      </c>
      <c r="T21" s="54" t="n">
        <f aca="false">(1+$F21)^T$8</f>
        <v>1.14642421503506</v>
      </c>
      <c r="U21" s="54" t="n">
        <f aca="false">(1+$F21)^U$8</f>
        <v>1.160754517723</v>
      </c>
      <c r="V21" s="54" t="n">
        <f aca="false">(1+$F21)^V$8</f>
        <v>1.17526394919454</v>
      </c>
      <c r="W21" s="54" t="n">
        <f aca="false">(1+$F21)^W$8</f>
        <v>1.18995474855947</v>
      </c>
      <c r="X21" s="54" t="n">
        <f aca="false">(1+$F21)^X$8</f>
        <v>1.20482918291646</v>
      </c>
      <c r="Y21" s="54" t="n">
        <f aca="false">(1+$F21)^Y$8</f>
        <v>1.21988954770292</v>
      </c>
      <c r="Z21" s="54" t="n">
        <f aca="false">(1+$F21)^Z$8</f>
        <v>1.2351381670492</v>
      </c>
      <c r="AA21" s="54" t="n">
        <f aca="false">(1+$F21)^AA$8</f>
        <v>1.25057739413732</v>
      </c>
      <c r="AB21" s="54" t="n">
        <f aca="false">(1+$F21)^AB$8</f>
        <v>1.26620961156403</v>
      </c>
      <c r="AC21" s="54" t="n">
        <f aca="false">(1+$F21)^AC$8</f>
        <v>1.28203723170858</v>
      </c>
      <c r="AD21" s="54" t="n">
        <f aca="false">(1+$F21)^AD$8</f>
        <v>1.29806269710494</v>
      </c>
      <c r="AE21" s="54" t="n">
        <f aca="false">(1+$F21)^AE$8</f>
        <v>1.31428848081875</v>
      </c>
      <c r="AF21" s="54" t="n">
        <f aca="false">(1+$F21)^AF$8</f>
        <v>1.33071708682899</v>
      </c>
      <c r="AG21" s="54" t="n">
        <f aca="false">(1+$F21)^AG$8</f>
        <v>1.34735105041435</v>
      </c>
      <c r="AH21" s="54" t="n">
        <f aca="false">(1+$F21)^AH$8</f>
        <v>1.36419293854453</v>
      </c>
      <c r="AI21" s="54" t="n">
        <f aca="false">(1+$F21)^AI$8</f>
        <v>1.38124535027634</v>
      </c>
      <c r="AJ21" s="54" t="n">
        <f aca="false">(1+$F21)^AJ$8</f>
        <v>1.39851091715479</v>
      </c>
      <c r="AK21" s="54" t="n">
        <f aca="false">(1+$F21)^AK$8</f>
        <v>1.41599230361922</v>
      </c>
      <c r="AL21" s="54" t="n">
        <f aca="false">(1+$F21)^AL$8</f>
        <v>1.43369220741447</v>
      </c>
      <c r="AM21" s="54" t="n">
        <f aca="false">(1+$F21)^AM$8</f>
        <v>1.45161336000715</v>
      </c>
      <c r="AN21" s="54" t="n">
        <f aca="false">(1+$F21)^AN$8</f>
        <v>1.46975852700724</v>
      </c>
      <c r="AO21" s="54" t="n">
        <f aca="false">(1+$F21)^AO$8</f>
        <v>1.48813050859483</v>
      </c>
      <c r="AP21" s="54" t="n">
        <f aca="false">(1+$F21)^AP$8</f>
        <v>1.50673213995226</v>
      </c>
      <c r="AQ21" s="54" t="n">
        <f aca="false">(1+$F21)^AQ$8</f>
        <v>1.52556629170166</v>
      </c>
      <c r="AR21" s="54" t="n">
        <f aca="false">(1+$F21)^AR$8</f>
        <v>1.54463587034793</v>
      </c>
      <c r="AS21" s="54" t="n">
        <f aca="false">(1+$F21)^AS$8</f>
        <v>1.56394381872728</v>
      </c>
      <c r="AT21" s="54" t="n">
        <f aca="false">(1+$F21)^AT$8</f>
        <v>1.58349311646137</v>
      </c>
      <c r="AU21" s="54" t="n">
        <f aca="false">(1+$F21)^AU$8</f>
        <v>1.60328678041714</v>
      </c>
      <c r="AV21" s="54" t="n">
        <f aca="false">(1+$F21)^AV$8</f>
        <v>1.62332786517236</v>
      </c>
      <c r="AW21" s="54" t="n">
        <f aca="false">(1+$F21)^AW$8</f>
        <v>1.64361946348701</v>
      </c>
      <c r="AX21" s="54" t="n">
        <f aca="false">(1+$F21)^AX$8</f>
        <v>1.6641647067806</v>
      </c>
      <c r="AY21" s="54" t="n">
        <f aca="false">(1+$F21)^AY$8</f>
        <v>1.68496676561536</v>
      </c>
      <c r="AZ21" s="54" t="n">
        <f aca="false">(1+$F21)^AZ$8</f>
        <v>1.70602885018555</v>
      </c>
      <c r="BA21" s="54" t="n">
        <f aca="false">(1+$F21)^BA$8</f>
        <v>1.72735421081287</v>
      </c>
      <c r="BB21" s="54" t="n">
        <f aca="false">(1+$F21)^BB$8</f>
        <v>1.74894613844803</v>
      </c>
      <c r="BC21" s="54" t="n">
        <f aca="false">(1+$F21)^BC$8</f>
        <v>1.77080796517863</v>
      </c>
      <c r="BD21" s="54" t="n">
        <f aca="false">(1+$F21)^BD$8</f>
        <v>1.79294306474336</v>
      </c>
      <c r="BE21" s="54" t="n">
        <f aca="false">(1+$F21)^BE$8</f>
        <v>1.81535485305265</v>
      </c>
      <c r="BF21" s="54" t="n">
        <f aca="false">(1+$F21)^BF$8</f>
        <v>1.83804678871581</v>
      </c>
      <c r="BG21" s="54" t="n">
        <f aca="false">(1+$F21)^BG$8</f>
        <v>1.86102237357476</v>
      </c>
      <c r="BH21" s="54" t="n">
        <f aca="false">(1+$F21)^BH$8</f>
        <v>1.88428515324444</v>
      </c>
      <c r="BI21" s="54" t="n">
        <f aca="false">(1+$F21)^BI$8</f>
        <v>1.90783871766</v>
      </c>
      <c r="BJ21" s="54" t="n">
        <f aca="false">(1+$F21)^BJ$8</f>
        <v>1.93168670163075</v>
      </c>
      <c r="BK21" s="54" t="n">
        <f aca="false">(1+$F21)^BK$8</f>
        <v>1.95583278540113</v>
      </c>
      <c r="BL21" s="54" t="n">
        <f aca="false">(1+$F21)^BL$8</f>
        <v>1.98028069521865</v>
      </c>
      <c r="BM21" s="54" t="n">
        <f aca="false">(1+$F21)^BM$8</f>
        <v>2.00503420390888</v>
      </c>
      <c r="BN21" s="54" t="n">
        <f aca="false">(1+$F21)^BN$8</f>
        <v>2.03009713145774</v>
      </c>
      <c r="BO21" s="54" t="n">
        <f aca="false">(1+$F21)^BO$8</f>
        <v>2.05547334560096</v>
      </c>
      <c r="BP21" s="54" t="n">
        <f aca="false">(1+$F21)^BP$8</f>
        <v>2.08116676242097</v>
      </c>
      <c r="BQ21" s="54" t="n">
        <f aca="false">(1+$F21)^BQ$8</f>
        <v>2.10718134695124</v>
      </c>
      <c r="BR21" s="54" t="n">
        <f aca="false">(1+$F21)^BR$8</f>
        <v>2.13352111378813</v>
      </c>
      <c r="BS21" s="54" t="n">
        <f aca="false">(1+$F21)^BS$8</f>
        <v>2.16019012771048</v>
      </c>
      <c r="BT21" s="54" t="n">
        <f aca="false">(1+$F21)^BT$8</f>
        <v>2.18719250430686</v>
      </c>
      <c r="BU21" s="54" t="n">
        <f aca="false">(1+$F21)^BU$8</f>
        <v>2.21453241061069</v>
      </c>
      <c r="BV21" s="54" t="n">
        <f aca="false">(1+$F21)^BV$8</f>
        <v>2.24221406574333</v>
      </c>
      <c r="BW21" s="54" t="n">
        <f aca="false">(1+$F21)^BW$8</f>
        <v>2.27024174156512</v>
      </c>
      <c r="BX21" s="54" t="n">
        <f aca="false">(1+$F21)^BX$8</f>
        <v>2.29861976333468</v>
      </c>
      <c r="BY21" s="54" t="n">
        <f aca="false">(1+$F21)^BY$8</f>
        <v>2.32735251037637</v>
      </c>
      <c r="BZ21" s="54" t="n">
        <f aca="false">(1+$F21)^BZ$8</f>
        <v>2.35644441675607</v>
      </c>
      <c r="CA21" s="54" t="n">
        <f aca="false">(1+$F21)^CA$8</f>
        <v>2.38589997196552</v>
      </c>
      <c r="CB21" s="54" t="n">
        <f aca="false">(1+$F21)^CB$8</f>
        <v>2.41572372161509</v>
      </c>
      <c r="CC21" s="54" t="n">
        <f aca="false">(1+$F21)^CC$8</f>
        <v>2.44592026813528</v>
      </c>
      <c r="CD21" s="54" t="n">
        <f aca="false">(1+$F21)^CD$8</f>
        <v>2.47649427148697</v>
      </c>
      <c r="CE21" s="54" t="n">
        <f aca="false">(1+$F21)^CE$8</f>
        <v>2.50745044988056</v>
      </c>
      <c r="CF21" s="54" t="n">
        <f aca="false">(1+$F21)^CF$8</f>
        <v>2.53879358050406</v>
      </c>
      <c r="CG21" s="54" t="n">
        <f aca="false">(1+$F21)^CG$8</f>
        <v>2.57052850026036</v>
      </c>
      <c r="CH21" s="54" t="n">
        <f aca="false">(1+$F21)^CH$8</f>
        <v>2.60266010651362</v>
      </c>
      <c r="CI21" s="54" t="n">
        <f aca="false">(1+$F21)^CI$8</f>
        <v>2.63519335784504</v>
      </c>
      <c r="CJ21" s="54" t="n">
        <f aca="false">(1+$F21)^CJ$8</f>
        <v>2.6681332748181</v>
      </c>
      <c r="CK21" s="54" t="n">
        <f aca="false">(1+$F21)^CK$8</f>
        <v>2.70148494075333</v>
      </c>
      <c r="CL21" s="54" t="n">
        <f aca="false">(1+$F21)^CL$8</f>
        <v>2.73525350251274</v>
      </c>
      <c r="CM21" s="54" t="n">
        <f aca="false">(1+$F21)^CM$8</f>
        <v>2.76944417129415</v>
      </c>
      <c r="CN21" s="54" t="n">
        <f aca="false">(1+$F21)^CN$8</f>
        <v>2.80406222343533</v>
      </c>
      <c r="CO21" s="54" t="n">
        <f aca="false">(1+$F21)^CO$8</f>
        <v>2.83911300122827</v>
      </c>
      <c r="CP21" s="54" t="n">
        <f aca="false">(1+$F21)^CP$8</f>
        <v>2.87460191374363</v>
      </c>
      <c r="CQ21" s="54" t="n">
        <f aca="false">(1+$F21)^CQ$8</f>
        <v>2.91053443766542</v>
      </c>
      <c r="CR21" s="54" t="n">
        <f aca="false">(1+$F21)^CR$8</f>
        <v>2.94691611813624</v>
      </c>
      <c r="CS21" s="54" t="n">
        <f aca="false">(1+$F21)^CS$8</f>
        <v>2.98375256961294</v>
      </c>
      <c r="CT21" s="54" t="n">
        <f aca="false">(1+$F21)^CT$8</f>
        <v>3.0210494767331</v>
      </c>
      <c r="CU21" s="54" t="n">
        <f aca="false">(1+$F21)^CU$8</f>
        <v>3.05881259519227</v>
      </c>
      <c r="CV21" s="54" t="n">
        <f aca="false">(1+$F21)^CV$8</f>
        <v>3.09704775263217</v>
      </c>
      <c r="CW21" s="54" t="n">
        <f aca="false">(1+$F21)^CW$8</f>
        <v>3.13576084954007</v>
      </c>
      <c r="CX21" s="54" t="n">
        <f aca="false">(1+$F21)^CX$8</f>
        <v>3.17495786015932</v>
      </c>
      <c r="CY21" s="54" t="n">
        <f aca="false">(1+$F21)^CY$8</f>
        <v>3.21464483341131</v>
      </c>
      <c r="CZ21" s="54" t="n">
        <f aca="false">(1+$F21)^CZ$8</f>
        <v>3.25482789382895</v>
      </c>
      <c r="DA21" s="54" t="n">
        <f aca="false">(1+$F21)^DA$8</f>
        <v>3.29551324250182</v>
      </c>
      <c r="DB21" s="54" t="n">
        <f aca="false">(1+$F21)^DB$8</f>
        <v>3.33670715803309</v>
      </c>
      <c r="DC21" s="54" t="n">
        <f aca="false">(1+$F21)^DC$8</f>
        <v>3.3784159975085</v>
      </c>
      <c r="DD21" s="54" t="n">
        <f aca="false">(1+$F21)^DD$8</f>
        <v>3.42064619747736</v>
      </c>
      <c r="DE21" s="54" t="n">
        <f aca="false">(1+$F21)^DE$8</f>
        <v>3.46340427494583</v>
      </c>
      <c r="DF21" s="54" t="n">
        <f aca="false">(1+$F21)^DF$8</f>
        <v>3.50669682838265</v>
      </c>
      <c r="DG21" s="54" t="n">
        <f aca="false">(1+$F21)^DG$8</f>
        <v>3.55053053873743</v>
      </c>
      <c r="DH21" s="54" t="n">
        <f aca="false">(1+$F21)^DH$8</f>
        <v>3.59491217047165</v>
      </c>
      <c r="DI21" s="54" t="n">
        <f aca="false">(1+$F21)^DI$8</f>
        <v>3.63984857260254</v>
      </c>
      <c r="DJ21" s="54" t="n">
        <f aca="false">(1+$F21)^DJ$8</f>
        <v>3.68534667976008</v>
      </c>
      <c r="DK21" s="54" t="n">
        <f aca="false">(1+$F21)^DK$8</f>
        <v>3.73141351325708</v>
      </c>
      <c r="DL21" s="54" t="n">
        <f aca="false">(1+$F21)^DL$8</f>
        <v>3.77805618217279</v>
      </c>
      <c r="DM21" s="54" t="n">
        <f aca="false">(1+$F21)^DM$8</f>
        <v>3.82528188444995</v>
      </c>
      <c r="DN21" s="54" t="n">
        <f aca="false">(1+$F21)^DN$8</f>
        <v>3.87309790800557</v>
      </c>
      <c r="DO21" s="54" t="n">
        <f aca="false">(1+$F21)^DO$8</f>
        <v>3.92151163185564</v>
      </c>
      <c r="DP21" s="54" t="n">
        <f aca="false">(1+$F21)^DP$8</f>
        <v>3.97053052725384</v>
      </c>
      <c r="DQ21" s="54" t="n">
        <f aca="false">(1+$F21)^DQ$8</f>
        <v>4.02016215884451</v>
      </c>
      <c r="DR21" s="54" t="n">
        <f aca="false">(1+$F21)^DR$8</f>
        <v>4.07041418583007</v>
      </c>
      <c r="DS21" s="54" t="n">
        <f aca="false">(1+$F21)^DS$8</f>
        <v>4.12129436315294</v>
      </c>
      <c r="DT21" s="54" t="n">
        <f aca="false">(1+$F21)^DT$8</f>
        <v>4.17281054269235</v>
      </c>
      <c r="DU21" s="54" t="n">
        <f aca="false">(1+$F21)^DU$8</f>
        <v>4.22497067447601</v>
      </c>
      <c r="DV21" s="54" t="n">
        <f aca="false">(1+$F21)^DV$8</f>
        <v>4.27778280790696</v>
      </c>
      <c r="DW21" s="54" t="n">
        <f aca="false">(1+$F21)^DW$8</f>
        <v>4.3312550930058</v>
      </c>
      <c r="DX21" s="54" t="n">
        <f aca="false">(1+$F21)^DX$8</f>
        <v>4.38539578166837</v>
      </c>
      <c r="DY21" s="54" t="n">
        <f aca="false">(1+$F21)^DY$8</f>
        <v>4.44021322893922</v>
      </c>
      <c r="DZ21" s="54" t="n">
        <f aca="false">(1+$F21)^DZ$8</f>
        <v>4.49571589430096</v>
      </c>
      <c r="EA21" s="54" t="n">
        <f aca="false">(1+$F21)^EA$8</f>
        <v>4.55191234297972</v>
      </c>
      <c r="EB21" s="54" t="n">
        <f aca="false">(1+$F21)^EB$8</f>
        <v>4.60881124726697</v>
      </c>
      <c r="EC21" s="54" t="n">
        <f aca="false">(1+$F21)^EC$8</f>
        <v>4.66642138785781</v>
      </c>
      <c r="ED21" s="54" t="n">
        <f aca="false">(1+$F21)^ED$8</f>
        <v>4.72475165520603</v>
      </c>
      <c r="EE21" s="54" t="n">
        <f aca="false">(1+$F21)^EE$8</f>
        <v>4.78381105089611</v>
      </c>
      <c r="EF21" s="54" t="n">
        <f aca="false">(1+$F21)^EF$8</f>
        <v>4.84360868903231</v>
      </c>
      <c r="EG21" s="54" t="n">
        <f aca="false">(1+$F21)^EG$8</f>
        <v>4.90415379764521</v>
      </c>
      <c r="EH21" s="54" t="n">
        <f aca="false">(1+$F21)^EH$8</f>
        <v>4.96545572011577</v>
      </c>
      <c r="EI21" s="54" t="n">
        <f aca="false">(1+$F21)^EI$8</f>
        <v>5.02752391661722</v>
      </c>
      <c r="EJ21" s="54" t="n">
        <f aca="false">(1+$F21)^EJ$8</f>
        <v>5.09036796557494</v>
      </c>
      <c r="EK21" s="54" t="n">
        <f aca="false">(1+$F21)^EK$8</f>
        <v>5.15399756514462</v>
      </c>
      <c r="EL21" s="54" t="n">
        <f aca="false">(1+$F21)^EL$8</f>
        <v>5.21842253470893</v>
      </c>
      <c r="EM21" s="54" t="n">
        <f aca="false">(1+$F21)^EM$8</f>
        <v>5.28365281639279</v>
      </c>
      <c r="EN21" s="54" t="n">
        <f aca="false">(1+$F21)^EN$8</f>
        <v>5.3496984765977</v>
      </c>
      <c r="EO21" s="54" t="n">
        <f aca="false">(1+$F21)^EO$8</f>
        <v>5.41656970755517</v>
      </c>
    </row>
    <row r="23" customFormat="false" ht="15" hidden="false" customHeight="false" outlineLevel="0" collapsed="false">
      <c r="A23" s="9" t="s">
        <v>13</v>
      </c>
      <c r="B23" s="9"/>
      <c r="C23" s="9" t="s">
        <v>381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</row>
    <row r="24" customFormat="false" ht="15" hidden="false" customHeight="false" outlineLevel="0" collapsed="false">
      <c r="C24" s="0" t="s">
        <v>382</v>
      </c>
      <c r="D24" s="11" t="s">
        <v>62</v>
      </c>
      <c r="E24" s="36" t="n">
        <f aca="false">In_MVA*(1+INDEX(Dash_Overbuild,1,$A$1))</f>
        <v>60</v>
      </c>
      <c r="F24" s="36" t="n">
        <f aca="false">In_MVA*(1+In_Overbuild_Built)</f>
        <v>55</v>
      </c>
    </row>
    <row r="25" customFormat="false" ht="15" hidden="false" customHeight="false" outlineLevel="0" collapsed="false">
      <c r="C25" s="0" t="s">
        <v>383</v>
      </c>
      <c r="D25" s="11" t="s">
        <v>62</v>
      </c>
      <c r="E25" s="36" t="n">
        <f aca="false">INDEX(Dash_BESS,1,$A$1)*In_MVA</f>
        <v>10</v>
      </c>
      <c r="F25" s="36" t="n">
        <f aca="false">$E25*In_BESS_Built</f>
        <v>10</v>
      </c>
    </row>
    <row r="26" customFormat="false" ht="15" hidden="false" customHeight="false" outlineLevel="0" collapsed="false">
      <c r="C26" s="0" t="s">
        <v>384</v>
      </c>
      <c r="D26" s="11" t="s">
        <v>70</v>
      </c>
      <c r="E26" s="36" t="n">
        <f aca="false">$E25*INDEX(Dash_BESS_Hours,1,$A$1)</f>
        <v>40</v>
      </c>
    </row>
    <row r="27" customFormat="false" ht="15" hidden="false" customHeight="false" outlineLevel="0" collapsed="false">
      <c r="C27" s="0" t="s">
        <v>385</v>
      </c>
      <c r="D27" s="11" t="s">
        <v>27</v>
      </c>
      <c r="E27" s="55" t="n">
        <f aca="false">($F24-In_MVA)/$F24*In_Bottleneck_Loss</f>
        <v>0.00454545454545455</v>
      </c>
    </row>
    <row r="28" customFormat="false" ht="15" hidden="false" customHeight="false" outlineLevel="0" collapsed="false">
      <c r="C28" s="0" t="s">
        <v>386</v>
      </c>
      <c r="D28" s="11" t="s">
        <v>27</v>
      </c>
      <c r="E28" s="48" t="n">
        <f aca="false">MAX(0,1-$F24/$E24)</f>
        <v>0.0833333333333333</v>
      </c>
      <c r="F28" s="48" t="n">
        <f aca="false">(1-In_BESS_Built)*($E25&gt;0)</f>
        <v>0</v>
      </c>
    </row>
    <row r="30" customFormat="false" ht="15" hidden="false" customHeight="false" outlineLevel="0" collapsed="false">
      <c r="A30" s="9" t="s">
        <v>13</v>
      </c>
      <c r="B30" s="9"/>
      <c r="C30" s="9" t="s">
        <v>387</v>
      </c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</row>
    <row r="31" customFormat="false" ht="15" hidden="false" customHeight="false" outlineLevel="0" collapsed="false">
      <c r="C31" s="0" t="s">
        <v>388</v>
      </c>
      <c r="D31" s="11" t="s">
        <v>19</v>
      </c>
      <c r="E31" s="32" t="n">
        <f aca="false">INDEX(Dash_Municipal,1,$A$1)</f>
        <v>50</v>
      </c>
      <c r="F31" s="32" t="n">
        <f aca="false">INDEX(Osz1_Pts,1+SUMPRODUCT((Osz1_LB&lt;$E31)+(Osz1_LB=$E31)*Osz1_Incl))*Osz1_W</f>
        <v>20</v>
      </c>
    </row>
    <row r="32" customFormat="false" ht="15" hidden="false" customHeight="false" outlineLevel="0" collapsed="false">
      <c r="C32" s="0" t="s">
        <v>389</v>
      </c>
      <c r="D32" s="11" t="s">
        <v>24</v>
      </c>
      <c r="E32" s="32" t="n">
        <f aca="false">INDEX(Dash_Community,1,$A$1)</f>
        <v>3</v>
      </c>
      <c r="F32" s="32" t="n">
        <f aca="false">INDEX(Osz2_Pts,1+SUMPRODUCT((Osz2_LB&lt;$E32)+(Osz2_LB=$E32)*Osz2_Incl))*Osz2_W</f>
        <v>15</v>
      </c>
    </row>
    <row r="33" customFormat="false" ht="15" hidden="false" customHeight="false" outlineLevel="0" collapsed="false">
      <c r="C33" s="0" t="s">
        <v>390</v>
      </c>
      <c r="D33" s="11" t="s">
        <v>27</v>
      </c>
      <c r="E33" s="48" t="n">
        <f aca="false">INDEX(Dash_Overbuild,1,$A$1)</f>
        <v>0.2</v>
      </c>
      <c r="F33" s="32" t="n">
        <f aca="false">INDEX(Osz3_Pts,1+SUMPRODUCT((Osz3_LB&lt;$E33)+(Osz3_LB=$E33)*Osz3_Incl))*Osz3_W</f>
        <v>5</v>
      </c>
    </row>
    <row r="34" customFormat="false" ht="15" hidden="false" customHeight="false" outlineLevel="0" collapsed="false">
      <c r="C34" s="0" t="s">
        <v>391</v>
      </c>
      <c r="D34" s="11" t="s">
        <v>27</v>
      </c>
      <c r="E34" s="48" t="n">
        <f aca="false">INDEX(Dash_BESS,1,$A$1)</f>
        <v>0.2</v>
      </c>
      <c r="F34" s="32" t="n">
        <f aca="false">INDEX(Osz4_Pts,1+SUMPRODUCT((Osz4_LB&lt;$E34)+(Osz4_LB=$E34)*Osz4_Incl))*Osz4_W*($E34&gt;=Osz4_Min)</f>
        <v>7.5</v>
      </c>
    </row>
    <row r="35" customFormat="false" ht="15" hidden="false" customHeight="false" outlineLevel="0" collapsed="false">
      <c r="C35" s="0" t="s">
        <v>392</v>
      </c>
      <c r="D35" s="11" t="s">
        <v>43</v>
      </c>
      <c r="E35" s="49" t="n">
        <f aca="false">INDEX(Dash_Partial,1,$A$1)</f>
        <v>0</v>
      </c>
      <c r="F35" s="32" t="n">
        <f aca="false">$E35*Osz5_Pts*Osz5_W</f>
        <v>0</v>
      </c>
    </row>
    <row r="36" customFormat="false" ht="15" hidden="false" customHeight="false" outlineLevel="0" collapsed="false">
      <c r="C36" s="0" t="s">
        <v>393</v>
      </c>
      <c r="D36" s="11" t="s">
        <v>13</v>
      </c>
      <c r="E36" s="52" t="n">
        <f aca="false">INDEX(Dash_PB_Mult,1,$A$1)</f>
        <v>1</v>
      </c>
      <c r="F36" s="32" t="n">
        <f aca="false">INDEX(Osz6_Pts,1+SUMPRODUCT((Osz6_LB&lt;$E36)+(Osz6_LB=$E36)*Osz6_Incl))*Osz6_W</f>
        <v>0</v>
      </c>
    </row>
    <row r="37" customFormat="false" ht="15" hidden="false" customHeight="false" outlineLevel="0" collapsed="false">
      <c r="C37" s="0" t="s">
        <v>394</v>
      </c>
      <c r="D37" s="11" t="s">
        <v>43</v>
      </c>
      <c r="E37" s="49" t="n">
        <f aca="false">INDEX(Dash_Shared,1,$A$1)</f>
        <v>0</v>
      </c>
      <c r="F37" s="32" t="n">
        <f aca="false">$E37*Osz8_Pts*Osz8_W</f>
        <v>0</v>
      </c>
    </row>
    <row r="38" customFormat="false" ht="15" hidden="false" customHeight="false" outlineLevel="0" collapsed="false">
      <c r="C38" s="0" t="s">
        <v>395</v>
      </c>
      <c r="D38" s="11" t="s">
        <v>43</v>
      </c>
      <c r="E38" s="49" t="n">
        <f aca="false">INDEX(Dash_EU_Turbine,1,$A$1)</f>
        <v>0</v>
      </c>
      <c r="F38" s="32" t="n">
        <f aca="false">$E38*Osz9a_Pts*Osz9_W</f>
        <v>0</v>
      </c>
    </row>
    <row r="39" customFormat="false" ht="15" hidden="false" customHeight="false" outlineLevel="0" collapsed="false">
      <c r="C39" s="0" t="s">
        <v>396</v>
      </c>
      <c r="D39" s="11" t="s">
        <v>43</v>
      </c>
      <c r="E39" s="49" t="n">
        <f aca="false">INDEX(Dash_EU_Transformer,1,$A$1)</f>
        <v>0</v>
      </c>
      <c r="F39" s="32" t="n">
        <f aca="false">$E39*Osz9b_Pts*Osz9_W</f>
        <v>0</v>
      </c>
    </row>
    <row r="40" customFormat="false" ht="15" hidden="false" customHeight="false" outlineLevel="0" collapsed="false">
      <c r="C40" s="25" t="s">
        <v>52</v>
      </c>
      <c r="D40" s="11" t="s">
        <v>53</v>
      </c>
      <c r="E40" s="26" t="n">
        <f aca="false">ROUND(SUM($F31:$F39),Points_Decimals)</f>
        <v>47.5</v>
      </c>
    </row>
    <row r="41" customFormat="false" ht="15" hidden="false" customHeight="false" outlineLevel="0" collapsed="false">
      <c r="C41" s="0" t="s">
        <v>397</v>
      </c>
      <c r="D41" s="11" t="s">
        <v>140</v>
      </c>
      <c r="E41" s="43" t="n">
        <f aca="false">($E31&lt;&gt;0)*($E31&lt;Osz1_Min)+($E31&gt;Osz1_Max)+($E32&lt;&gt;0)*($E32&lt;Osz2_Min)+($E32&gt;Osz2_Max)</f>
        <v>0</v>
      </c>
      <c r="F41" s="43" t="n">
        <f aca="false">N($E36&lt;1)+N($E25&gt;$E24)+N($E26&lt;$E25*In_Min_Hours)</f>
        <v>0</v>
      </c>
    </row>
    <row r="43" customFormat="false" ht="15" hidden="false" customHeight="false" outlineLevel="0" collapsed="false">
      <c r="A43" s="9" t="s">
        <v>13</v>
      </c>
      <c r="B43" s="9"/>
      <c r="C43" s="9" t="s">
        <v>398</v>
      </c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</row>
    <row r="44" customFormat="false" ht="15" hidden="false" customHeight="false" outlineLevel="0" collapsed="false">
      <c r="C44" s="0" t="s">
        <v>32</v>
      </c>
      <c r="D44" s="11" t="s">
        <v>33</v>
      </c>
      <c r="E44" s="18" t="n">
        <f aca="false">In_Purchase_Price</f>
        <v>4500</v>
      </c>
      <c r="F44" s="20" t="n">
        <f aca="false">In_Closing</f>
        <v>46387</v>
      </c>
      <c r="I44" s="47" t="n">
        <f aca="false">SUM(J44:EO44)</f>
        <v>-4500</v>
      </c>
      <c r="J44" s="47" t="n">
        <f aca="false">-$E44*N(AND(J$3&lt;=$F44,J$4&gt;=$F44))</f>
        <v>-4500</v>
      </c>
      <c r="K44" s="47" t="n">
        <f aca="false">-$E44*N(AND(K$3&lt;=$F44,K$4&gt;=$F44))</f>
        <v>-0</v>
      </c>
      <c r="L44" s="47" t="n">
        <f aca="false">-$E44*N(AND(L$3&lt;=$F44,L$4&gt;=$F44))</f>
        <v>-0</v>
      </c>
      <c r="M44" s="47" t="n">
        <f aca="false">-$E44*N(AND(M$3&lt;=$F44,M$4&gt;=$F44))</f>
        <v>-0</v>
      </c>
      <c r="N44" s="47" t="n">
        <f aca="false">-$E44*N(AND(N$3&lt;=$F44,N$4&gt;=$F44))</f>
        <v>-0</v>
      </c>
      <c r="O44" s="47" t="n">
        <f aca="false">-$E44*N(AND(O$3&lt;=$F44,O$4&gt;=$F44))</f>
        <v>-0</v>
      </c>
      <c r="P44" s="47" t="n">
        <f aca="false">-$E44*N(AND(P$3&lt;=$F44,P$4&gt;=$F44))</f>
        <v>-0</v>
      </c>
      <c r="Q44" s="47" t="n">
        <f aca="false">-$E44*N(AND(Q$3&lt;=$F44,Q$4&gt;=$F44))</f>
        <v>-0</v>
      </c>
      <c r="R44" s="47" t="n">
        <f aca="false">-$E44*N(AND(R$3&lt;=$F44,R$4&gt;=$F44))</f>
        <v>-0</v>
      </c>
      <c r="S44" s="47" t="n">
        <f aca="false">-$E44*N(AND(S$3&lt;=$F44,S$4&gt;=$F44))</f>
        <v>-0</v>
      </c>
      <c r="T44" s="47" t="n">
        <f aca="false">-$E44*N(AND(T$3&lt;=$F44,T$4&gt;=$F44))</f>
        <v>-0</v>
      </c>
      <c r="U44" s="47" t="n">
        <f aca="false">-$E44*N(AND(U$3&lt;=$F44,U$4&gt;=$F44))</f>
        <v>-0</v>
      </c>
      <c r="V44" s="47" t="n">
        <f aca="false">-$E44*N(AND(V$3&lt;=$F44,V$4&gt;=$F44))</f>
        <v>-0</v>
      </c>
      <c r="W44" s="47" t="n">
        <f aca="false">-$E44*N(AND(W$3&lt;=$F44,W$4&gt;=$F44))</f>
        <v>-0</v>
      </c>
      <c r="X44" s="47" t="n">
        <f aca="false">-$E44*N(AND(X$3&lt;=$F44,X$4&gt;=$F44))</f>
        <v>-0</v>
      </c>
      <c r="Y44" s="47" t="n">
        <f aca="false">-$E44*N(AND(Y$3&lt;=$F44,Y$4&gt;=$F44))</f>
        <v>-0</v>
      </c>
      <c r="Z44" s="47" t="n">
        <f aca="false">-$E44*N(AND(Z$3&lt;=$F44,Z$4&gt;=$F44))</f>
        <v>-0</v>
      </c>
      <c r="AA44" s="47" t="n">
        <f aca="false">-$E44*N(AND(AA$3&lt;=$F44,AA$4&gt;=$F44))</f>
        <v>-0</v>
      </c>
      <c r="AB44" s="47" t="n">
        <f aca="false">-$E44*N(AND(AB$3&lt;=$F44,AB$4&gt;=$F44))</f>
        <v>-0</v>
      </c>
      <c r="AC44" s="47" t="n">
        <f aca="false">-$E44*N(AND(AC$3&lt;=$F44,AC$4&gt;=$F44))</f>
        <v>-0</v>
      </c>
      <c r="AD44" s="47" t="n">
        <f aca="false">-$E44*N(AND(AD$3&lt;=$F44,AD$4&gt;=$F44))</f>
        <v>-0</v>
      </c>
      <c r="AE44" s="47" t="n">
        <f aca="false">-$E44*N(AND(AE$3&lt;=$F44,AE$4&gt;=$F44))</f>
        <v>-0</v>
      </c>
      <c r="AF44" s="47" t="n">
        <f aca="false">-$E44*N(AND(AF$3&lt;=$F44,AF$4&gt;=$F44))</f>
        <v>-0</v>
      </c>
      <c r="AG44" s="47" t="n">
        <f aca="false">-$E44*N(AND(AG$3&lt;=$F44,AG$4&gt;=$F44))</f>
        <v>-0</v>
      </c>
      <c r="AH44" s="47" t="n">
        <f aca="false">-$E44*N(AND(AH$3&lt;=$F44,AH$4&gt;=$F44))</f>
        <v>-0</v>
      </c>
      <c r="AI44" s="47" t="n">
        <f aca="false">-$E44*N(AND(AI$3&lt;=$F44,AI$4&gt;=$F44))</f>
        <v>-0</v>
      </c>
      <c r="AJ44" s="47" t="n">
        <f aca="false">-$E44*N(AND(AJ$3&lt;=$F44,AJ$4&gt;=$F44))</f>
        <v>-0</v>
      </c>
      <c r="AK44" s="47" t="n">
        <f aca="false">-$E44*N(AND(AK$3&lt;=$F44,AK$4&gt;=$F44))</f>
        <v>-0</v>
      </c>
      <c r="AL44" s="47" t="n">
        <f aca="false">-$E44*N(AND(AL$3&lt;=$F44,AL$4&gt;=$F44))</f>
        <v>-0</v>
      </c>
      <c r="AM44" s="47" t="n">
        <f aca="false">-$E44*N(AND(AM$3&lt;=$F44,AM$4&gt;=$F44))</f>
        <v>-0</v>
      </c>
      <c r="AN44" s="47" t="n">
        <f aca="false">-$E44*N(AND(AN$3&lt;=$F44,AN$4&gt;=$F44))</f>
        <v>-0</v>
      </c>
      <c r="AO44" s="47" t="n">
        <f aca="false">-$E44*N(AND(AO$3&lt;=$F44,AO$4&gt;=$F44))</f>
        <v>-0</v>
      </c>
      <c r="AP44" s="47" t="n">
        <f aca="false">-$E44*N(AND(AP$3&lt;=$F44,AP$4&gt;=$F44))</f>
        <v>-0</v>
      </c>
      <c r="AQ44" s="47" t="n">
        <f aca="false">-$E44*N(AND(AQ$3&lt;=$F44,AQ$4&gt;=$F44))</f>
        <v>-0</v>
      </c>
      <c r="AR44" s="47" t="n">
        <f aca="false">-$E44*N(AND(AR$3&lt;=$F44,AR$4&gt;=$F44))</f>
        <v>-0</v>
      </c>
      <c r="AS44" s="47" t="n">
        <f aca="false">-$E44*N(AND(AS$3&lt;=$F44,AS$4&gt;=$F44))</f>
        <v>-0</v>
      </c>
      <c r="AT44" s="47" t="n">
        <f aca="false">-$E44*N(AND(AT$3&lt;=$F44,AT$4&gt;=$F44))</f>
        <v>-0</v>
      </c>
      <c r="AU44" s="47" t="n">
        <f aca="false">-$E44*N(AND(AU$3&lt;=$F44,AU$4&gt;=$F44))</f>
        <v>-0</v>
      </c>
      <c r="AV44" s="47" t="n">
        <f aca="false">-$E44*N(AND(AV$3&lt;=$F44,AV$4&gt;=$F44))</f>
        <v>-0</v>
      </c>
      <c r="AW44" s="47" t="n">
        <f aca="false">-$E44*N(AND(AW$3&lt;=$F44,AW$4&gt;=$F44))</f>
        <v>-0</v>
      </c>
      <c r="AX44" s="47" t="n">
        <f aca="false">-$E44*N(AND(AX$3&lt;=$F44,AX$4&gt;=$F44))</f>
        <v>-0</v>
      </c>
      <c r="AY44" s="47" t="n">
        <f aca="false">-$E44*N(AND(AY$3&lt;=$F44,AY$4&gt;=$F44))</f>
        <v>-0</v>
      </c>
      <c r="AZ44" s="47" t="n">
        <f aca="false">-$E44*N(AND(AZ$3&lt;=$F44,AZ$4&gt;=$F44))</f>
        <v>-0</v>
      </c>
      <c r="BA44" s="47" t="n">
        <f aca="false">-$E44*N(AND(BA$3&lt;=$F44,BA$4&gt;=$F44))</f>
        <v>-0</v>
      </c>
      <c r="BB44" s="47" t="n">
        <f aca="false">-$E44*N(AND(BB$3&lt;=$F44,BB$4&gt;=$F44))</f>
        <v>-0</v>
      </c>
      <c r="BC44" s="47" t="n">
        <f aca="false">-$E44*N(AND(BC$3&lt;=$F44,BC$4&gt;=$F44))</f>
        <v>-0</v>
      </c>
      <c r="BD44" s="47" t="n">
        <f aca="false">-$E44*N(AND(BD$3&lt;=$F44,BD$4&gt;=$F44))</f>
        <v>-0</v>
      </c>
      <c r="BE44" s="47" t="n">
        <f aca="false">-$E44*N(AND(BE$3&lt;=$F44,BE$4&gt;=$F44))</f>
        <v>-0</v>
      </c>
      <c r="BF44" s="47" t="n">
        <f aca="false">-$E44*N(AND(BF$3&lt;=$F44,BF$4&gt;=$F44))</f>
        <v>-0</v>
      </c>
      <c r="BG44" s="47" t="n">
        <f aca="false">-$E44*N(AND(BG$3&lt;=$F44,BG$4&gt;=$F44))</f>
        <v>-0</v>
      </c>
      <c r="BH44" s="47" t="n">
        <f aca="false">-$E44*N(AND(BH$3&lt;=$F44,BH$4&gt;=$F44))</f>
        <v>-0</v>
      </c>
      <c r="BI44" s="47" t="n">
        <f aca="false">-$E44*N(AND(BI$3&lt;=$F44,BI$4&gt;=$F44))</f>
        <v>-0</v>
      </c>
      <c r="BJ44" s="47" t="n">
        <f aca="false">-$E44*N(AND(BJ$3&lt;=$F44,BJ$4&gt;=$F44))</f>
        <v>-0</v>
      </c>
      <c r="BK44" s="47" t="n">
        <f aca="false">-$E44*N(AND(BK$3&lt;=$F44,BK$4&gt;=$F44))</f>
        <v>-0</v>
      </c>
      <c r="BL44" s="47" t="n">
        <f aca="false">-$E44*N(AND(BL$3&lt;=$F44,BL$4&gt;=$F44))</f>
        <v>-0</v>
      </c>
      <c r="BM44" s="47" t="n">
        <f aca="false">-$E44*N(AND(BM$3&lt;=$F44,BM$4&gt;=$F44))</f>
        <v>-0</v>
      </c>
      <c r="BN44" s="47" t="n">
        <f aca="false">-$E44*N(AND(BN$3&lt;=$F44,BN$4&gt;=$F44))</f>
        <v>-0</v>
      </c>
      <c r="BO44" s="47" t="n">
        <f aca="false">-$E44*N(AND(BO$3&lt;=$F44,BO$4&gt;=$F44))</f>
        <v>-0</v>
      </c>
      <c r="BP44" s="47" t="n">
        <f aca="false">-$E44*N(AND(BP$3&lt;=$F44,BP$4&gt;=$F44))</f>
        <v>-0</v>
      </c>
      <c r="BQ44" s="47" t="n">
        <f aca="false">-$E44*N(AND(BQ$3&lt;=$F44,BQ$4&gt;=$F44))</f>
        <v>-0</v>
      </c>
      <c r="BR44" s="47" t="n">
        <f aca="false">-$E44*N(AND(BR$3&lt;=$F44,BR$4&gt;=$F44))</f>
        <v>-0</v>
      </c>
      <c r="BS44" s="47" t="n">
        <f aca="false">-$E44*N(AND(BS$3&lt;=$F44,BS$4&gt;=$F44))</f>
        <v>-0</v>
      </c>
      <c r="BT44" s="47" t="n">
        <f aca="false">-$E44*N(AND(BT$3&lt;=$F44,BT$4&gt;=$F44))</f>
        <v>-0</v>
      </c>
      <c r="BU44" s="47" t="n">
        <f aca="false">-$E44*N(AND(BU$3&lt;=$F44,BU$4&gt;=$F44))</f>
        <v>-0</v>
      </c>
      <c r="BV44" s="47" t="n">
        <f aca="false">-$E44*N(AND(BV$3&lt;=$F44,BV$4&gt;=$F44))</f>
        <v>-0</v>
      </c>
      <c r="BW44" s="47" t="n">
        <f aca="false">-$E44*N(AND(BW$3&lt;=$F44,BW$4&gt;=$F44))</f>
        <v>-0</v>
      </c>
      <c r="BX44" s="47" t="n">
        <f aca="false">-$E44*N(AND(BX$3&lt;=$F44,BX$4&gt;=$F44))</f>
        <v>-0</v>
      </c>
      <c r="BY44" s="47" t="n">
        <f aca="false">-$E44*N(AND(BY$3&lt;=$F44,BY$4&gt;=$F44))</f>
        <v>-0</v>
      </c>
      <c r="BZ44" s="47" t="n">
        <f aca="false">-$E44*N(AND(BZ$3&lt;=$F44,BZ$4&gt;=$F44))</f>
        <v>-0</v>
      </c>
      <c r="CA44" s="47" t="n">
        <f aca="false">-$E44*N(AND(CA$3&lt;=$F44,CA$4&gt;=$F44))</f>
        <v>-0</v>
      </c>
      <c r="CB44" s="47" t="n">
        <f aca="false">-$E44*N(AND(CB$3&lt;=$F44,CB$4&gt;=$F44))</f>
        <v>-0</v>
      </c>
      <c r="CC44" s="47" t="n">
        <f aca="false">-$E44*N(AND(CC$3&lt;=$F44,CC$4&gt;=$F44))</f>
        <v>-0</v>
      </c>
      <c r="CD44" s="47" t="n">
        <f aca="false">-$E44*N(AND(CD$3&lt;=$F44,CD$4&gt;=$F44))</f>
        <v>-0</v>
      </c>
      <c r="CE44" s="47" t="n">
        <f aca="false">-$E44*N(AND(CE$3&lt;=$F44,CE$4&gt;=$F44))</f>
        <v>-0</v>
      </c>
      <c r="CF44" s="47" t="n">
        <f aca="false">-$E44*N(AND(CF$3&lt;=$F44,CF$4&gt;=$F44))</f>
        <v>-0</v>
      </c>
      <c r="CG44" s="47" t="n">
        <f aca="false">-$E44*N(AND(CG$3&lt;=$F44,CG$4&gt;=$F44))</f>
        <v>-0</v>
      </c>
      <c r="CH44" s="47" t="n">
        <f aca="false">-$E44*N(AND(CH$3&lt;=$F44,CH$4&gt;=$F44))</f>
        <v>-0</v>
      </c>
      <c r="CI44" s="47" t="n">
        <f aca="false">-$E44*N(AND(CI$3&lt;=$F44,CI$4&gt;=$F44))</f>
        <v>-0</v>
      </c>
      <c r="CJ44" s="47" t="n">
        <f aca="false">-$E44*N(AND(CJ$3&lt;=$F44,CJ$4&gt;=$F44))</f>
        <v>-0</v>
      </c>
      <c r="CK44" s="47" t="n">
        <f aca="false">-$E44*N(AND(CK$3&lt;=$F44,CK$4&gt;=$F44))</f>
        <v>-0</v>
      </c>
      <c r="CL44" s="47" t="n">
        <f aca="false">-$E44*N(AND(CL$3&lt;=$F44,CL$4&gt;=$F44))</f>
        <v>-0</v>
      </c>
      <c r="CM44" s="47" t="n">
        <f aca="false">-$E44*N(AND(CM$3&lt;=$F44,CM$4&gt;=$F44))</f>
        <v>-0</v>
      </c>
      <c r="CN44" s="47" t="n">
        <f aca="false">-$E44*N(AND(CN$3&lt;=$F44,CN$4&gt;=$F44))</f>
        <v>-0</v>
      </c>
      <c r="CO44" s="47" t="n">
        <f aca="false">-$E44*N(AND(CO$3&lt;=$F44,CO$4&gt;=$F44))</f>
        <v>-0</v>
      </c>
      <c r="CP44" s="47" t="n">
        <f aca="false">-$E44*N(AND(CP$3&lt;=$F44,CP$4&gt;=$F44))</f>
        <v>-0</v>
      </c>
      <c r="CQ44" s="47" t="n">
        <f aca="false">-$E44*N(AND(CQ$3&lt;=$F44,CQ$4&gt;=$F44))</f>
        <v>-0</v>
      </c>
      <c r="CR44" s="47" t="n">
        <f aca="false">-$E44*N(AND(CR$3&lt;=$F44,CR$4&gt;=$F44))</f>
        <v>-0</v>
      </c>
      <c r="CS44" s="47" t="n">
        <f aca="false">-$E44*N(AND(CS$3&lt;=$F44,CS$4&gt;=$F44))</f>
        <v>-0</v>
      </c>
      <c r="CT44" s="47" t="n">
        <f aca="false">-$E44*N(AND(CT$3&lt;=$F44,CT$4&gt;=$F44))</f>
        <v>-0</v>
      </c>
      <c r="CU44" s="47" t="n">
        <f aca="false">-$E44*N(AND(CU$3&lt;=$F44,CU$4&gt;=$F44))</f>
        <v>-0</v>
      </c>
      <c r="CV44" s="47" t="n">
        <f aca="false">-$E44*N(AND(CV$3&lt;=$F44,CV$4&gt;=$F44))</f>
        <v>-0</v>
      </c>
      <c r="CW44" s="47" t="n">
        <f aca="false">-$E44*N(AND(CW$3&lt;=$F44,CW$4&gt;=$F44))</f>
        <v>-0</v>
      </c>
      <c r="CX44" s="47" t="n">
        <f aca="false">-$E44*N(AND(CX$3&lt;=$F44,CX$4&gt;=$F44))</f>
        <v>-0</v>
      </c>
      <c r="CY44" s="47" t="n">
        <f aca="false">-$E44*N(AND(CY$3&lt;=$F44,CY$4&gt;=$F44))</f>
        <v>-0</v>
      </c>
      <c r="CZ44" s="47" t="n">
        <f aca="false">-$E44*N(AND(CZ$3&lt;=$F44,CZ$4&gt;=$F44))</f>
        <v>-0</v>
      </c>
      <c r="DA44" s="47" t="n">
        <f aca="false">-$E44*N(AND(DA$3&lt;=$F44,DA$4&gt;=$F44))</f>
        <v>-0</v>
      </c>
      <c r="DB44" s="47" t="n">
        <f aca="false">-$E44*N(AND(DB$3&lt;=$F44,DB$4&gt;=$F44))</f>
        <v>-0</v>
      </c>
      <c r="DC44" s="47" t="n">
        <f aca="false">-$E44*N(AND(DC$3&lt;=$F44,DC$4&gt;=$F44))</f>
        <v>-0</v>
      </c>
      <c r="DD44" s="47" t="n">
        <f aca="false">-$E44*N(AND(DD$3&lt;=$F44,DD$4&gt;=$F44))</f>
        <v>-0</v>
      </c>
      <c r="DE44" s="47" t="n">
        <f aca="false">-$E44*N(AND(DE$3&lt;=$F44,DE$4&gt;=$F44))</f>
        <v>-0</v>
      </c>
      <c r="DF44" s="47" t="n">
        <f aca="false">-$E44*N(AND(DF$3&lt;=$F44,DF$4&gt;=$F44))</f>
        <v>-0</v>
      </c>
      <c r="DG44" s="47" t="n">
        <f aca="false">-$E44*N(AND(DG$3&lt;=$F44,DG$4&gt;=$F44))</f>
        <v>-0</v>
      </c>
      <c r="DH44" s="47" t="n">
        <f aca="false">-$E44*N(AND(DH$3&lt;=$F44,DH$4&gt;=$F44))</f>
        <v>-0</v>
      </c>
      <c r="DI44" s="47" t="n">
        <f aca="false">-$E44*N(AND(DI$3&lt;=$F44,DI$4&gt;=$F44))</f>
        <v>-0</v>
      </c>
      <c r="DJ44" s="47" t="n">
        <f aca="false">-$E44*N(AND(DJ$3&lt;=$F44,DJ$4&gt;=$F44))</f>
        <v>-0</v>
      </c>
      <c r="DK44" s="47" t="n">
        <f aca="false">-$E44*N(AND(DK$3&lt;=$F44,DK$4&gt;=$F44))</f>
        <v>-0</v>
      </c>
      <c r="DL44" s="47" t="n">
        <f aca="false">-$E44*N(AND(DL$3&lt;=$F44,DL$4&gt;=$F44))</f>
        <v>-0</v>
      </c>
      <c r="DM44" s="47" t="n">
        <f aca="false">-$E44*N(AND(DM$3&lt;=$F44,DM$4&gt;=$F44))</f>
        <v>-0</v>
      </c>
      <c r="DN44" s="47" t="n">
        <f aca="false">-$E44*N(AND(DN$3&lt;=$F44,DN$4&gt;=$F44))</f>
        <v>-0</v>
      </c>
      <c r="DO44" s="47" t="n">
        <f aca="false">-$E44*N(AND(DO$3&lt;=$F44,DO$4&gt;=$F44))</f>
        <v>-0</v>
      </c>
      <c r="DP44" s="47" t="n">
        <f aca="false">-$E44*N(AND(DP$3&lt;=$F44,DP$4&gt;=$F44))</f>
        <v>-0</v>
      </c>
      <c r="DQ44" s="47" t="n">
        <f aca="false">-$E44*N(AND(DQ$3&lt;=$F44,DQ$4&gt;=$F44))</f>
        <v>-0</v>
      </c>
      <c r="DR44" s="47" t="n">
        <f aca="false">-$E44*N(AND(DR$3&lt;=$F44,DR$4&gt;=$F44))</f>
        <v>-0</v>
      </c>
      <c r="DS44" s="47" t="n">
        <f aca="false">-$E44*N(AND(DS$3&lt;=$F44,DS$4&gt;=$F44))</f>
        <v>-0</v>
      </c>
      <c r="DT44" s="47" t="n">
        <f aca="false">-$E44*N(AND(DT$3&lt;=$F44,DT$4&gt;=$F44))</f>
        <v>-0</v>
      </c>
      <c r="DU44" s="47" t="n">
        <f aca="false">-$E44*N(AND(DU$3&lt;=$F44,DU$4&gt;=$F44))</f>
        <v>-0</v>
      </c>
      <c r="DV44" s="47" t="n">
        <f aca="false">-$E44*N(AND(DV$3&lt;=$F44,DV$4&gt;=$F44))</f>
        <v>-0</v>
      </c>
      <c r="DW44" s="47" t="n">
        <f aca="false">-$E44*N(AND(DW$3&lt;=$F44,DW$4&gt;=$F44))</f>
        <v>-0</v>
      </c>
      <c r="DX44" s="47" t="n">
        <f aca="false">-$E44*N(AND(DX$3&lt;=$F44,DX$4&gt;=$F44))</f>
        <v>-0</v>
      </c>
      <c r="DY44" s="47" t="n">
        <f aca="false">-$E44*N(AND(DY$3&lt;=$F44,DY$4&gt;=$F44))</f>
        <v>-0</v>
      </c>
      <c r="DZ44" s="47" t="n">
        <f aca="false">-$E44*N(AND(DZ$3&lt;=$F44,DZ$4&gt;=$F44))</f>
        <v>-0</v>
      </c>
      <c r="EA44" s="47" t="n">
        <f aca="false">-$E44*N(AND(EA$3&lt;=$F44,EA$4&gt;=$F44))</f>
        <v>-0</v>
      </c>
      <c r="EB44" s="47" t="n">
        <f aca="false">-$E44*N(AND(EB$3&lt;=$F44,EB$4&gt;=$F44))</f>
        <v>-0</v>
      </c>
      <c r="EC44" s="47" t="n">
        <f aca="false">-$E44*N(AND(EC$3&lt;=$F44,EC$4&gt;=$F44))</f>
        <v>-0</v>
      </c>
      <c r="ED44" s="47" t="n">
        <f aca="false">-$E44*N(AND(ED$3&lt;=$F44,ED$4&gt;=$F44))</f>
        <v>-0</v>
      </c>
      <c r="EE44" s="47" t="n">
        <f aca="false">-$E44*N(AND(EE$3&lt;=$F44,EE$4&gt;=$F44))</f>
        <v>-0</v>
      </c>
      <c r="EF44" s="47" t="n">
        <f aca="false">-$E44*N(AND(EF$3&lt;=$F44,EF$4&gt;=$F44))</f>
        <v>-0</v>
      </c>
      <c r="EG44" s="47" t="n">
        <f aca="false">-$E44*N(AND(EG$3&lt;=$F44,EG$4&gt;=$F44))</f>
        <v>-0</v>
      </c>
      <c r="EH44" s="47" t="n">
        <f aca="false">-$E44*N(AND(EH$3&lt;=$F44,EH$4&gt;=$F44))</f>
        <v>-0</v>
      </c>
      <c r="EI44" s="47" t="n">
        <f aca="false">-$E44*N(AND(EI$3&lt;=$F44,EI$4&gt;=$F44))</f>
        <v>-0</v>
      </c>
      <c r="EJ44" s="47" t="n">
        <f aca="false">-$E44*N(AND(EJ$3&lt;=$F44,EJ$4&gt;=$F44))</f>
        <v>-0</v>
      </c>
      <c r="EK44" s="47" t="n">
        <f aca="false">-$E44*N(AND(EK$3&lt;=$F44,EK$4&gt;=$F44))</f>
        <v>-0</v>
      </c>
      <c r="EL44" s="47" t="n">
        <f aca="false">-$E44*N(AND(EL$3&lt;=$F44,EL$4&gt;=$F44))</f>
        <v>-0</v>
      </c>
      <c r="EM44" s="47" t="n">
        <f aca="false">-$E44*N(AND(EM$3&lt;=$F44,EM$4&gt;=$F44))</f>
        <v>-0</v>
      </c>
      <c r="EN44" s="47" t="n">
        <f aca="false">-$E44*N(AND(EN$3&lt;=$F44,EN$4&gt;=$F44))</f>
        <v>-0</v>
      </c>
      <c r="EO44" s="47" t="n">
        <f aca="false">-$E44*N(AND(EO$3&lt;=$F44,EO$4&gt;=$F44))</f>
        <v>-0</v>
      </c>
    </row>
    <row r="45" customFormat="false" ht="15" hidden="false" customHeight="false" outlineLevel="0" collapsed="false">
      <c r="C45" s="0" t="s">
        <v>212</v>
      </c>
      <c r="D45" s="11" t="s">
        <v>33</v>
      </c>
      <c r="E45" s="18" t="n">
        <f aca="false">In_DD</f>
        <v>150</v>
      </c>
      <c r="F45" s="20" t="n">
        <f aca="false">In_Bid_Date</f>
        <v>46325</v>
      </c>
      <c r="I45" s="47" t="n">
        <f aca="false">SUM(J45:EO45)</f>
        <v>-150</v>
      </c>
      <c r="J45" s="47" t="n">
        <f aca="false">-$E45*N(AND(J$3&lt;=$F45,J$4&gt;=$F45))</f>
        <v>-150</v>
      </c>
      <c r="K45" s="47" t="n">
        <f aca="false">-$E45*N(AND(K$3&lt;=$F45,K$4&gt;=$F45))</f>
        <v>-0</v>
      </c>
      <c r="L45" s="47" t="n">
        <f aca="false">-$E45*N(AND(L$3&lt;=$F45,L$4&gt;=$F45))</f>
        <v>-0</v>
      </c>
      <c r="M45" s="47" t="n">
        <f aca="false">-$E45*N(AND(M$3&lt;=$F45,M$4&gt;=$F45))</f>
        <v>-0</v>
      </c>
      <c r="N45" s="47" t="n">
        <f aca="false">-$E45*N(AND(N$3&lt;=$F45,N$4&gt;=$F45))</f>
        <v>-0</v>
      </c>
      <c r="O45" s="47" t="n">
        <f aca="false">-$E45*N(AND(O$3&lt;=$F45,O$4&gt;=$F45))</f>
        <v>-0</v>
      </c>
      <c r="P45" s="47" t="n">
        <f aca="false">-$E45*N(AND(P$3&lt;=$F45,P$4&gt;=$F45))</f>
        <v>-0</v>
      </c>
      <c r="Q45" s="47" t="n">
        <f aca="false">-$E45*N(AND(Q$3&lt;=$F45,Q$4&gt;=$F45))</f>
        <v>-0</v>
      </c>
      <c r="R45" s="47" t="n">
        <f aca="false">-$E45*N(AND(R$3&lt;=$F45,R$4&gt;=$F45))</f>
        <v>-0</v>
      </c>
      <c r="S45" s="47" t="n">
        <f aca="false">-$E45*N(AND(S$3&lt;=$F45,S$4&gt;=$F45))</f>
        <v>-0</v>
      </c>
      <c r="T45" s="47" t="n">
        <f aca="false">-$E45*N(AND(T$3&lt;=$F45,T$4&gt;=$F45))</f>
        <v>-0</v>
      </c>
      <c r="U45" s="47" t="n">
        <f aca="false">-$E45*N(AND(U$3&lt;=$F45,U$4&gt;=$F45))</f>
        <v>-0</v>
      </c>
      <c r="V45" s="47" t="n">
        <f aca="false">-$E45*N(AND(V$3&lt;=$F45,V$4&gt;=$F45))</f>
        <v>-0</v>
      </c>
      <c r="W45" s="47" t="n">
        <f aca="false">-$E45*N(AND(W$3&lt;=$F45,W$4&gt;=$F45))</f>
        <v>-0</v>
      </c>
      <c r="X45" s="47" t="n">
        <f aca="false">-$E45*N(AND(X$3&lt;=$F45,X$4&gt;=$F45))</f>
        <v>-0</v>
      </c>
      <c r="Y45" s="47" t="n">
        <f aca="false">-$E45*N(AND(Y$3&lt;=$F45,Y$4&gt;=$F45))</f>
        <v>-0</v>
      </c>
      <c r="Z45" s="47" t="n">
        <f aca="false">-$E45*N(AND(Z$3&lt;=$F45,Z$4&gt;=$F45))</f>
        <v>-0</v>
      </c>
      <c r="AA45" s="47" t="n">
        <f aca="false">-$E45*N(AND(AA$3&lt;=$F45,AA$4&gt;=$F45))</f>
        <v>-0</v>
      </c>
      <c r="AB45" s="47" t="n">
        <f aca="false">-$E45*N(AND(AB$3&lt;=$F45,AB$4&gt;=$F45))</f>
        <v>-0</v>
      </c>
      <c r="AC45" s="47" t="n">
        <f aca="false">-$E45*N(AND(AC$3&lt;=$F45,AC$4&gt;=$F45))</f>
        <v>-0</v>
      </c>
      <c r="AD45" s="47" t="n">
        <f aca="false">-$E45*N(AND(AD$3&lt;=$F45,AD$4&gt;=$F45))</f>
        <v>-0</v>
      </c>
      <c r="AE45" s="47" t="n">
        <f aca="false">-$E45*N(AND(AE$3&lt;=$F45,AE$4&gt;=$F45))</f>
        <v>-0</v>
      </c>
      <c r="AF45" s="47" t="n">
        <f aca="false">-$E45*N(AND(AF$3&lt;=$F45,AF$4&gt;=$F45))</f>
        <v>-0</v>
      </c>
      <c r="AG45" s="47" t="n">
        <f aca="false">-$E45*N(AND(AG$3&lt;=$F45,AG$4&gt;=$F45))</f>
        <v>-0</v>
      </c>
      <c r="AH45" s="47" t="n">
        <f aca="false">-$E45*N(AND(AH$3&lt;=$F45,AH$4&gt;=$F45))</f>
        <v>-0</v>
      </c>
      <c r="AI45" s="47" t="n">
        <f aca="false">-$E45*N(AND(AI$3&lt;=$F45,AI$4&gt;=$F45))</f>
        <v>-0</v>
      </c>
      <c r="AJ45" s="47" t="n">
        <f aca="false">-$E45*N(AND(AJ$3&lt;=$F45,AJ$4&gt;=$F45))</f>
        <v>-0</v>
      </c>
      <c r="AK45" s="47" t="n">
        <f aca="false">-$E45*N(AND(AK$3&lt;=$F45,AK$4&gt;=$F45))</f>
        <v>-0</v>
      </c>
      <c r="AL45" s="47" t="n">
        <f aca="false">-$E45*N(AND(AL$3&lt;=$F45,AL$4&gt;=$F45))</f>
        <v>-0</v>
      </c>
      <c r="AM45" s="47" t="n">
        <f aca="false">-$E45*N(AND(AM$3&lt;=$F45,AM$4&gt;=$F45))</f>
        <v>-0</v>
      </c>
      <c r="AN45" s="47" t="n">
        <f aca="false">-$E45*N(AND(AN$3&lt;=$F45,AN$4&gt;=$F45))</f>
        <v>-0</v>
      </c>
      <c r="AO45" s="47" t="n">
        <f aca="false">-$E45*N(AND(AO$3&lt;=$F45,AO$4&gt;=$F45))</f>
        <v>-0</v>
      </c>
      <c r="AP45" s="47" t="n">
        <f aca="false">-$E45*N(AND(AP$3&lt;=$F45,AP$4&gt;=$F45))</f>
        <v>-0</v>
      </c>
      <c r="AQ45" s="47" t="n">
        <f aca="false">-$E45*N(AND(AQ$3&lt;=$F45,AQ$4&gt;=$F45))</f>
        <v>-0</v>
      </c>
      <c r="AR45" s="47" t="n">
        <f aca="false">-$E45*N(AND(AR$3&lt;=$F45,AR$4&gt;=$F45))</f>
        <v>-0</v>
      </c>
      <c r="AS45" s="47" t="n">
        <f aca="false">-$E45*N(AND(AS$3&lt;=$F45,AS$4&gt;=$F45))</f>
        <v>-0</v>
      </c>
      <c r="AT45" s="47" t="n">
        <f aca="false">-$E45*N(AND(AT$3&lt;=$F45,AT$4&gt;=$F45))</f>
        <v>-0</v>
      </c>
      <c r="AU45" s="47" t="n">
        <f aca="false">-$E45*N(AND(AU$3&lt;=$F45,AU$4&gt;=$F45))</f>
        <v>-0</v>
      </c>
      <c r="AV45" s="47" t="n">
        <f aca="false">-$E45*N(AND(AV$3&lt;=$F45,AV$4&gt;=$F45))</f>
        <v>-0</v>
      </c>
      <c r="AW45" s="47" t="n">
        <f aca="false">-$E45*N(AND(AW$3&lt;=$F45,AW$4&gt;=$F45))</f>
        <v>-0</v>
      </c>
      <c r="AX45" s="47" t="n">
        <f aca="false">-$E45*N(AND(AX$3&lt;=$F45,AX$4&gt;=$F45))</f>
        <v>-0</v>
      </c>
      <c r="AY45" s="47" t="n">
        <f aca="false">-$E45*N(AND(AY$3&lt;=$F45,AY$4&gt;=$F45))</f>
        <v>-0</v>
      </c>
      <c r="AZ45" s="47" t="n">
        <f aca="false">-$E45*N(AND(AZ$3&lt;=$F45,AZ$4&gt;=$F45))</f>
        <v>-0</v>
      </c>
      <c r="BA45" s="47" t="n">
        <f aca="false">-$E45*N(AND(BA$3&lt;=$F45,BA$4&gt;=$F45))</f>
        <v>-0</v>
      </c>
      <c r="BB45" s="47" t="n">
        <f aca="false">-$E45*N(AND(BB$3&lt;=$F45,BB$4&gt;=$F45))</f>
        <v>-0</v>
      </c>
      <c r="BC45" s="47" t="n">
        <f aca="false">-$E45*N(AND(BC$3&lt;=$F45,BC$4&gt;=$F45))</f>
        <v>-0</v>
      </c>
      <c r="BD45" s="47" t="n">
        <f aca="false">-$E45*N(AND(BD$3&lt;=$F45,BD$4&gt;=$F45))</f>
        <v>-0</v>
      </c>
      <c r="BE45" s="47" t="n">
        <f aca="false">-$E45*N(AND(BE$3&lt;=$F45,BE$4&gt;=$F45))</f>
        <v>-0</v>
      </c>
      <c r="BF45" s="47" t="n">
        <f aca="false">-$E45*N(AND(BF$3&lt;=$F45,BF$4&gt;=$F45))</f>
        <v>-0</v>
      </c>
      <c r="BG45" s="47" t="n">
        <f aca="false">-$E45*N(AND(BG$3&lt;=$F45,BG$4&gt;=$F45))</f>
        <v>-0</v>
      </c>
      <c r="BH45" s="47" t="n">
        <f aca="false">-$E45*N(AND(BH$3&lt;=$F45,BH$4&gt;=$F45))</f>
        <v>-0</v>
      </c>
      <c r="BI45" s="47" t="n">
        <f aca="false">-$E45*N(AND(BI$3&lt;=$F45,BI$4&gt;=$F45))</f>
        <v>-0</v>
      </c>
      <c r="BJ45" s="47" t="n">
        <f aca="false">-$E45*N(AND(BJ$3&lt;=$F45,BJ$4&gt;=$F45))</f>
        <v>-0</v>
      </c>
      <c r="BK45" s="47" t="n">
        <f aca="false">-$E45*N(AND(BK$3&lt;=$F45,BK$4&gt;=$F45))</f>
        <v>-0</v>
      </c>
      <c r="BL45" s="47" t="n">
        <f aca="false">-$E45*N(AND(BL$3&lt;=$F45,BL$4&gt;=$F45))</f>
        <v>-0</v>
      </c>
      <c r="BM45" s="47" t="n">
        <f aca="false">-$E45*N(AND(BM$3&lt;=$F45,BM$4&gt;=$F45))</f>
        <v>-0</v>
      </c>
      <c r="BN45" s="47" t="n">
        <f aca="false">-$E45*N(AND(BN$3&lt;=$F45,BN$4&gt;=$F45))</f>
        <v>-0</v>
      </c>
      <c r="BO45" s="47" t="n">
        <f aca="false">-$E45*N(AND(BO$3&lt;=$F45,BO$4&gt;=$F45))</f>
        <v>-0</v>
      </c>
      <c r="BP45" s="47" t="n">
        <f aca="false">-$E45*N(AND(BP$3&lt;=$F45,BP$4&gt;=$F45))</f>
        <v>-0</v>
      </c>
      <c r="BQ45" s="47" t="n">
        <f aca="false">-$E45*N(AND(BQ$3&lt;=$F45,BQ$4&gt;=$F45))</f>
        <v>-0</v>
      </c>
      <c r="BR45" s="47" t="n">
        <f aca="false">-$E45*N(AND(BR$3&lt;=$F45,BR$4&gt;=$F45))</f>
        <v>-0</v>
      </c>
      <c r="BS45" s="47" t="n">
        <f aca="false">-$E45*N(AND(BS$3&lt;=$F45,BS$4&gt;=$F45))</f>
        <v>-0</v>
      </c>
      <c r="BT45" s="47" t="n">
        <f aca="false">-$E45*N(AND(BT$3&lt;=$F45,BT$4&gt;=$F45))</f>
        <v>-0</v>
      </c>
      <c r="BU45" s="47" t="n">
        <f aca="false">-$E45*N(AND(BU$3&lt;=$F45,BU$4&gt;=$F45))</f>
        <v>-0</v>
      </c>
      <c r="BV45" s="47" t="n">
        <f aca="false">-$E45*N(AND(BV$3&lt;=$F45,BV$4&gt;=$F45))</f>
        <v>-0</v>
      </c>
      <c r="BW45" s="47" t="n">
        <f aca="false">-$E45*N(AND(BW$3&lt;=$F45,BW$4&gt;=$F45))</f>
        <v>-0</v>
      </c>
      <c r="BX45" s="47" t="n">
        <f aca="false">-$E45*N(AND(BX$3&lt;=$F45,BX$4&gt;=$F45))</f>
        <v>-0</v>
      </c>
      <c r="BY45" s="47" t="n">
        <f aca="false">-$E45*N(AND(BY$3&lt;=$F45,BY$4&gt;=$F45))</f>
        <v>-0</v>
      </c>
      <c r="BZ45" s="47" t="n">
        <f aca="false">-$E45*N(AND(BZ$3&lt;=$F45,BZ$4&gt;=$F45))</f>
        <v>-0</v>
      </c>
      <c r="CA45" s="47" t="n">
        <f aca="false">-$E45*N(AND(CA$3&lt;=$F45,CA$4&gt;=$F45))</f>
        <v>-0</v>
      </c>
      <c r="CB45" s="47" t="n">
        <f aca="false">-$E45*N(AND(CB$3&lt;=$F45,CB$4&gt;=$F45))</f>
        <v>-0</v>
      </c>
      <c r="CC45" s="47" t="n">
        <f aca="false">-$E45*N(AND(CC$3&lt;=$F45,CC$4&gt;=$F45))</f>
        <v>-0</v>
      </c>
      <c r="CD45" s="47" t="n">
        <f aca="false">-$E45*N(AND(CD$3&lt;=$F45,CD$4&gt;=$F45))</f>
        <v>-0</v>
      </c>
      <c r="CE45" s="47" t="n">
        <f aca="false">-$E45*N(AND(CE$3&lt;=$F45,CE$4&gt;=$F45))</f>
        <v>-0</v>
      </c>
      <c r="CF45" s="47" t="n">
        <f aca="false">-$E45*N(AND(CF$3&lt;=$F45,CF$4&gt;=$F45))</f>
        <v>-0</v>
      </c>
      <c r="CG45" s="47" t="n">
        <f aca="false">-$E45*N(AND(CG$3&lt;=$F45,CG$4&gt;=$F45))</f>
        <v>-0</v>
      </c>
      <c r="CH45" s="47" t="n">
        <f aca="false">-$E45*N(AND(CH$3&lt;=$F45,CH$4&gt;=$F45))</f>
        <v>-0</v>
      </c>
      <c r="CI45" s="47" t="n">
        <f aca="false">-$E45*N(AND(CI$3&lt;=$F45,CI$4&gt;=$F45))</f>
        <v>-0</v>
      </c>
      <c r="CJ45" s="47" t="n">
        <f aca="false">-$E45*N(AND(CJ$3&lt;=$F45,CJ$4&gt;=$F45))</f>
        <v>-0</v>
      </c>
      <c r="CK45" s="47" t="n">
        <f aca="false">-$E45*N(AND(CK$3&lt;=$F45,CK$4&gt;=$F45))</f>
        <v>-0</v>
      </c>
      <c r="CL45" s="47" t="n">
        <f aca="false">-$E45*N(AND(CL$3&lt;=$F45,CL$4&gt;=$F45))</f>
        <v>-0</v>
      </c>
      <c r="CM45" s="47" t="n">
        <f aca="false">-$E45*N(AND(CM$3&lt;=$F45,CM$4&gt;=$F45))</f>
        <v>-0</v>
      </c>
      <c r="CN45" s="47" t="n">
        <f aca="false">-$E45*N(AND(CN$3&lt;=$F45,CN$4&gt;=$F45))</f>
        <v>-0</v>
      </c>
      <c r="CO45" s="47" t="n">
        <f aca="false">-$E45*N(AND(CO$3&lt;=$F45,CO$4&gt;=$F45))</f>
        <v>-0</v>
      </c>
      <c r="CP45" s="47" t="n">
        <f aca="false">-$E45*N(AND(CP$3&lt;=$F45,CP$4&gt;=$F45))</f>
        <v>-0</v>
      </c>
      <c r="CQ45" s="47" t="n">
        <f aca="false">-$E45*N(AND(CQ$3&lt;=$F45,CQ$4&gt;=$F45))</f>
        <v>-0</v>
      </c>
      <c r="CR45" s="47" t="n">
        <f aca="false">-$E45*N(AND(CR$3&lt;=$F45,CR$4&gt;=$F45))</f>
        <v>-0</v>
      </c>
      <c r="CS45" s="47" t="n">
        <f aca="false">-$E45*N(AND(CS$3&lt;=$F45,CS$4&gt;=$F45))</f>
        <v>-0</v>
      </c>
      <c r="CT45" s="47" t="n">
        <f aca="false">-$E45*N(AND(CT$3&lt;=$F45,CT$4&gt;=$F45))</f>
        <v>-0</v>
      </c>
      <c r="CU45" s="47" t="n">
        <f aca="false">-$E45*N(AND(CU$3&lt;=$F45,CU$4&gt;=$F45))</f>
        <v>-0</v>
      </c>
      <c r="CV45" s="47" t="n">
        <f aca="false">-$E45*N(AND(CV$3&lt;=$F45,CV$4&gt;=$F45))</f>
        <v>-0</v>
      </c>
      <c r="CW45" s="47" t="n">
        <f aca="false">-$E45*N(AND(CW$3&lt;=$F45,CW$4&gt;=$F45))</f>
        <v>-0</v>
      </c>
      <c r="CX45" s="47" t="n">
        <f aca="false">-$E45*N(AND(CX$3&lt;=$F45,CX$4&gt;=$F45))</f>
        <v>-0</v>
      </c>
      <c r="CY45" s="47" t="n">
        <f aca="false">-$E45*N(AND(CY$3&lt;=$F45,CY$4&gt;=$F45))</f>
        <v>-0</v>
      </c>
      <c r="CZ45" s="47" t="n">
        <f aca="false">-$E45*N(AND(CZ$3&lt;=$F45,CZ$4&gt;=$F45))</f>
        <v>-0</v>
      </c>
      <c r="DA45" s="47" t="n">
        <f aca="false">-$E45*N(AND(DA$3&lt;=$F45,DA$4&gt;=$F45))</f>
        <v>-0</v>
      </c>
      <c r="DB45" s="47" t="n">
        <f aca="false">-$E45*N(AND(DB$3&lt;=$F45,DB$4&gt;=$F45))</f>
        <v>-0</v>
      </c>
      <c r="DC45" s="47" t="n">
        <f aca="false">-$E45*N(AND(DC$3&lt;=$F45,DC$4&gt;=$F45))</f>
        <v>-0</v>
      </c>
      <c r="DD45" s="47" t="n">
        <f aca="false">-$E45*N(AND(DD$3&lt;=$F45,DD$4&gt;=$F45))</f>
        <v>-0</v>
      </c>
      <c r="DE45" s="47" t="n">
        <f aca="false">-$E45*N(AND(DE$3&lt;=$F45,DE$4&gt;=$F45))</f>
        <v>-0</v>
      </c>
      <c r="DF45" s="47" t="n">
        <f aca="false">-$E45*N(AND(DF$3&lt;=$F45,DF$4&gt;=$F45))</f>
        <v>-0</v>
      </c>
      <c r="DG45" s="47" t="n">
        <f aca="false">-$E45*N(AND(DG$3&lt;=$F45,DG$4&gt;=$F45))</f>
        <v>-0</v>
      </c>
      <c r="DH45" s="47" t="n">
        <f aca="false">-$E45*N(AND(DH$3&lt;=$F45,DH$4&gt;=$F45))</f>
        <v>-0</v>
      </c>
      <c r="DI45" s="47" t="n">
        <f aca="false">-$E45*N(AND(DI$3&lt;=$F45,DI$4&gt;=$F45))</f>
        <v>-0</v>
      </c>
      <c r="DJ45" s="47" t="n">
        <f aca="false">-$E45*N(AND(DJ$3&lt;=$F45,DJ$4&gt;=$F45))</f>
        <v>-0</v>
      </c>
      <c r="DK45" s="47" t="n">
        <f aca="false">-$E45*N(AND(DK$3&lt;=$F45,DK$4&gt;=$F45))</f>
        <v>-0</v>
      </c>
      <c r="DL45" s="47" t="n">
        <f aca="false">-$E45*N(AND(DL$3&lt;=$F45,DL$4&gt;=$F45))</f>
        <v>-0</v>
      </c>
      <c r="DM45" s="47" t="n">
        <f aca="false">-$E45*N(AND(DM$3&lt;=$F45,DM$4&gt;=$F45))</f>
        <v>-0</v>
      </c>
      <c r="DN45" s="47" t="n">
        <f aca="false">-$E45*N(AND(DN$3&lt;=$F45,DN$4&gt;=$F45))</f>
        <v>-0</v>
      </c>
      <c r="DO45" s="47" t="n">
        <f aca="false">-$E45*N(AND(DO$3&lt;=$F45,DO$4&gt;=$F45))</f>
        <v>-0</v>
      </c>
      <c r="DP45" s="47" t="n">
        <f aca="false">-$E45*N(AND(DP$3&lt;=$F45,DP$4&gt;=$F45))</f>
        <v>-0</v>
      </c>
      <c r="DQ45" s="47" t="n">
        <f aca="false">-$E45*N(AND(DQ$3&lt;=$F45,DQ$4&gt;=$F45))</f>
        <v>-0</v>
      </c>
      <c r="DR45" s="47" t="n">
        <f aca="false">-$E45*N(AND(DR$3&lt;=$F45,DR$4&gt;=$F45))</f>
        <v>-0</v>
      </c>
      <c r="DS45" s="47" t="n">
        <f aca="false">-$E45*N(AND(DS$3&lt;=$F45,DS$4&gt;=$F45))</f>
        <v>-0</v>
      </c>
      <c r="DT45" s="47" t="n">
        <f aca="false">-$E45*N(AND(DT$3&lt;=$F45,DT$4&gt;=$F45))</f>
        <v>-0</v>
      </c>
      <c r="DU45" s="47" t="n">
        <f aca="false">-$E45*N(AND(DU$3&lt;=$F45,DU$4&gt;=$F45))</f>
        <v>-0</v>
      </c>
      <c r="DV45" s="47" t="n">
        <f aca="false">-$E45*N(AND(DV$3&lt;=$F45,DV$4&gt;=$F45))</f>
        <v>-0</v>
      </c>
      <c r="DW45" s="47" t="n">
        <f aca="false">-$E45*N(AND(DW$3&lt;=$F45,DW$4&gt;=$F45))</f>
        <v>-0</v>
      </c>
      <c r="DX45" s="47" t="n">
        <f aca="false">-$E45*N(AND(DX$3&lt;=$F45,DX$4&gt;=$F45))</f>
        <v>-0</v>
      </c>
      <c r="DY45" s="47" t="n">
        <f aca="false">-$E45*N(AND(DY$3&lt;=$F45,DY$4&gt;=$F45))</f>
        <v>-0</v>
      </c>
      <c r="DZ45" s="47" t="n">
        <f aca="false">-$E45*N(AND(DZ$3&lt;=$F45,DZ$4&gt;=$F45))</f>
        <v>-0</v>
      </c>
      <c r="EA45" s="47" t="n">
        <f aca="false">-$E45*N(AND(EA$3&lt;=$F45,EA$4&gt;=$F45))</f>
        <v>-0</v>
      </c>
      <c r="EB45" s="47" t="n">
        <f aca="false">-$E45*N(AND(EB$3&lt;=$F45,EB$4&gt;=$F45))</f>
        <v>-0</v>
      </c>
      <c r="EC45" s="47" t="n">
        <f aca="false">-$E45*N(AND(EC$3&lt;=$F45,EC$4&gt;=$F45))</f>
        <v>-0</v>
      </c>
      <c r="ED45" s="47" t="n">
        <f aca="false">-$E45*N(AND(ED$3&lt;=$F45,ED$4&gt;=$F45))</f>
        <v>-0</v>
      </c>
      <c r="EE45" s="47" t="n">
        <f aca="false">-$E45*N(AND(EE$3&lt;=$F45,EE$4&gt;=$F45))</f>
        <v>-0</v>
      </c>
      <c r="EF45" s="47" t="n">
        <f aca="false">-$E45*N(AND(EF$3&lt;=$F45,EF$4&gt;=$F45))</f>
        <v>-0</v>
      </c>
      <c r="EG45" s="47" t="n">
        <f aca="false">-$E45*N(AND(EG$3&lt;=$F45,EG$4&gt;=$F45))</f>
        <v>-0</v>
      </c>
      <c r="EH45" s="47" t="n">
        <f aca="false">-$E45*N(AND(EH$3&lt;=$F45,EH$4&gt;=$F45))</f>
        <v>-0</v>
      </c>
      <c r="EI45" s="47" t="n">
        <f aca="false">-$E45*N(AND(EI$3&lt;=$F45,EI$4&gt;=$F45))</f>
        <v>-0</v>
      </c>
      <c r="EJ45" s="47" t="n">
        <f aca="false">-$E45*N(AND(EJ$3&lt;=$F45,EJ$4&gt;=$F45))</f>
        <v>-0</v>
      </c>
      <c r="EK45" s="47" t="n">
        <f aca="false">-$E45*N(AND(EK$3&lt;=$F45,EK$4&gt;=$F45))</f>
        <v>-0</v>
      </c>
      <c r="EL45" s="47" t="n">
        <f aca="false">-$E45*N(AND(EL$3&lt;=$F45,EL$4&gt;=$F45))</f>
        <v>-0</v>
      </c>
      <c r="EM45" s="47" t="n">
        <f aca="false">-$E45*N(AND(EM$3&lt;=$F45,EM$4&gt;=$F45))</f>
        <v>-0</v>
      </c>
      <c r="EN45" s="47" t="n">
        <f aca="false">-$E45*N(AND(EN$3&lt;=$F45,EN$4&gt;=$F45))</f>
        <v>-0</v>
      </c>
      <c r="EO45" s="47" t="n">
        <f aca="false">-$E45*N(AND(EO$3&lt;=$F45,EO$4&gt;=$F45))</f>
        <v>-0</v>
      </c>
    </row>
    <row r="46" customFormat="false" ht="15" hidden="false" customHeight="false" outlineLevel="0" collapsed="false">
      <c r="C46" s="0" t="s">
        <v>399</v>
      </c>
      <c r="D46" s="11" t="s">
        <v>33</v>
      </c>
      <c r="I46" s="47" t="n">
        <f aca="false">SUM(J46:EO46)</f>
        <v>-500</v>
      </c>
      <c r="J46" s="47" t="n">
        <f aca="false">-In_Devex*J13</f>
        <v>-0</v>
      </c>
      <c r="K46" s="47" t="n">
        <f aca="false">-In_Devex*K13</f>
        <v>-70.4225352112676</v>
      </c>
      <c r="L46" s="47" t="n">
        <f aca="false">-In_Devex*L13</f>
        <v>-71.2050078247261</v>
      </c>
      <c r="M46" s="47" t="n">
        <f aca="false">-In_Devex*M13</f>
        <v>-71.9874804381847</v>
      </c>
      <c r="N46" s="47" t="n">
        <f aca="false">-In_Devex*N13</f>
        <v>-71.9874804381847</v>
      </c>
      <c r="O46" s="47" t="n">
        <f aca="false">-In_Devex*O13</f>
        <v>-71.2050078247261</v>
      </c>
      <c r="P46" s="47" t="n">
        <f aca="false">-In_Devex*P13</f>
        <v>-71.2050078247261</v>
      </c>
      <c r="Q46" s="47" t="n">
        <f aca="false">-In_Devex*Q13</f>
        <v>-71.9874804381847</v>
      </c>
      <c r="R46" s="47" t="n">
        <f aca="false">-In_Devex*R13</f>
        <v>-0</v>
      </c>
      <c r="S46" s="47" t="n">
        <f aca="false">-In_Devex*S13</f>
        <v>-0</v>
      </c>
      <c r="T46" s="47" t="n">
        <f aca="false">-In_Devex*T13</f>
        <v>-0</v>
      </c>
      <c r="U46" s="47" t="n">
        <f aca="false">-In_Devex*U13</f>
        <v>-0</v>
      </c>
      <c r="V46" s="47" t="n">
        <f aca="false">-In_Devex*V13</f>
        <v>-0</v>
      </c>
      <c r="W46" s="47" t="n">
        <f aca="false">-In_Devex*W13</f>
        <v>-0</v>
      </c>
      <c r="X46" s="47" t="n">
        <f aca="false">-In_Devex*X13</f>
        <v>-0</v>
      </c>
      <c r="Y46" s="47" t="n">
        <f aca="false">-In_Devex*Y13</f>
        <v>-0</v>
      </c>
      <c r="Z46" s="47" t="n">
        <f aca="false">-In_Devex*Z13</f>
        <v>-0</v>
      </c>
      <c r="AA46" s="47" t="n">
        <f aca="false">-In_Devex*AA13</f>
        <v>-0</v>
      </c>
      <c r="AB46" s="47" t="n">
        <f aca="false">-In_Devex*AB13</f>
        <v>-0</v>
      </c>
      <c r="AC46" s="47" t="n">
        <f aca="false">-In_Devex*AC13</f>
        <v>-0</v>
      </c>
      <c r="AD46" s="47" t="n">
        <f aca="false">-In_Devex*AD13</f>
        <v>-0</v>
      </c>
      <c r="AE46" s="47" t="n">
        <f aca="false">-In_Devex*AE13</f>
        <v>-0</v>
      </c>
      <c r="AF46" s="47" t="n">
        <f aca="false">-In_Devex*AF13</f>
        <v>-0</v>
      </c>
      <c r="AG46" s="47" t="n">
        <f aca="false">-In_Devex*AG13</f>
        <v>-0</v>
      </c>
      <c r="AH46" s="47" t="n">
        <f aca="false">-In_Devex*AH13</f>
        <v>-0</v>
      </c>
      <c r="AI46" s="47" t="n">
        <f aca="false">-In_Devex*AI13</f>
        <v>-0</v>
      </c>
      <c r="AJ46" s="47" t="n">
        <f aca="false">-In_Devex*AJ13</f>
        <v>-0</v>
      </c>
      <c r="AK46" s="47" t="n">
        <f aca="false">-In_Devex*AK13</f>
        <v>-0</v>
      </c>
      <c r="AL46" s="47" t="n">
        <f aca="false">-In_Devex*AL13</f>
        <v>-0</v>
      </c>
      <c r="AM46" s="47" t="n">
        <f aca="false">-In_Devex*AM13</f>
        <v>-0</v>
      </c>
      <c r="AN46" s="47" t="n">
        <f aca="false">-In_Devex*AN13</f>
        <v>-0</v>
      </c>
      <c r="AO46" s="47" t="n">
        <f aca="false">-In_Devex*AO13</f>
        <v>-0</v>
      </c>
      <c r="AP46" s="47" t="n">
        <f aca="false">-In_Devex*AP13</f>
        <v>-0</v>
      </c>
      <c r="AQ46" s="47" t="n">
        <f aca="false">-In_Devex*AQ13</f>
        <v>-0</v>
      </c>
      <c r="AR46" s="47" t="n">
        <f aca="false">-In_Devex*AR13</f>
        <v>-0</v>
      </c>
      <c r="AS46" s="47" t="n">
        <f aca="false">-In_Devex*AS13</f>
        <v>-0</v>
      </c>
      <c r="AT46" s="47" t="n">
        <f aca="false">-In_Devex*AT13</f>
        <v>-0</v>
      </c>
      <c r="AU46" s="47" t="n">
        <f aca="false">-In_Devex*AU13</f>
        <v>-0</v>
      </c>
      <c r="AV46" s="47" t="n">
        <f aca="false">-In_Devex*AV13</f>
        <v>-0</v>
      </c>
      <c r="AW46" s="47" t="n">
        <f aca="false">-In_Devex*AW13</f>
        <v>-0</v>
      </c>
      <c r="AX46" s="47" t="n">
        <f aca="false">-In_Devex*AX13</f>
        <v>-0</v>
      </c>
      <c r="AY46" s="47" t="n">
        <f aca="false">-In_Devex*AY13</f>
        <v>-0</v>
      </c>
      <c r="AZ46" s="47" t="n">
        <f aca="false">-In_Devex*AZ13</f>
        <v>-0</v>
      </c>
      <c r="BA46" s="47" t="n">
        <f aca="false">-In_Devex*BA13</f>
        <v>-0</v>
      </c>
      <c r="BB46" s="47" t="n">
        <f aca="false">-In_Devex*BB13</f>
        <v>-0</v>
      </c>
      <c r="BC46" s="47" t="n">
        <f aca="false">-In_Devex*BC13</f>
        <v>-0</v>
      </c>
      <c r="BD46" s="47" t="n">
        <f aca="false">-In_Devex*BD13</f>
        <v>-0</v>
      </c>
      <c r="BE46" s="47" t="n">
        <f aca="false">-In_Devex*BE13</f>
        <v>-0</v>
      </c>
      <c r="BF46" s="47" t="n">
        <f aca="false">-In_Devex*BF13</f>
        <v>-0</v>
      </c>
      <c r="BG46" s="47" t="n">
        <f aca="false">-In_Devex*BG13</f>
        <v>-0</v>
      </c>
      <c r="BH46" s="47" t="n">
        <f aca="false">-In_Devex*BH13</f>
        <v>-0</v>
      </c>
      <c r="BI46" s="47" t="n">
        <f aca="false">-In_Devex*BI13</f>
        <v>-0</v>
      </c>
      <c r="BJ46" s="47" t="n">
        <f aca="false">-In_Devex*BJ13</f>
        <v>-0</v>
      </c>
      <c r="BK46" s="47" t="n">
        <f aca="false">-In_Devex*BK13</f>
        <v>-0</v>
      </c>
      <c r="BL46" s="47" t="n">
        <f aca="false">-In_Devex*BL13</f>
        <v>-0</v>
      </c>
      <c r="BM46" s="47" t="n">
        <f aca="false">-In_Devex*BM13</f>
        <v>-0</v>
      </c>
      <c r="BN46" s="47" t="n">
        <f aca="false">-In_Devex*BN13</f>
        <v>-0</v>
      </c>
      <c r="BO46" s="47" t="n">
        <f aca="false">-In_Devex*BO13</f>
        <v>-0</v>
      </c>
      <c r="BP46" s="47" t="n">
        <f aca="false">-In_Devex*BP13</f>
        <v>-0</v>
      </c>
      <c r="BQ46" s="47" t="n">
        <f aca="false">-In_Devex*BQ13</f>
        <v>-0</v>
      </c>
      <c r="BR46" s="47" t="n">
        <f aca="false">-In_Devex*BR13</f>
        <v>-0</v>
      </c>
      <c r="BS46" s="47" t="n">
        <f aca="false">-In_Devex*BS13</f>
        <v>-0</v>
      </c>
      <c r="BT46" s="47" t="n">
        <f aca="false">-In_Devex*BT13</f>
        <v>-0</v>
      </c>
      <c r="BU46" s="47" t="n">
        <f aca="false">-In_Devex*BU13</f>
        <v>-0</v>
      </c>
      <c r="BV46" s="47" t="n">
        <f aca="false">-In_Devex*BV13</f>
        <v>-0</v>
      </c>
      <c r="BW46" s="47" t="n">
        <f aca="false">-In_Devex*BW13</f>
        <v>-0</v>
      </c>
      <c r="BX46" s="47" t="n">
        <f aca="false">-In_Devex*BX13</f>
        <v>-0</v>
      </c>
      <c r="BY46" s="47" t="n">
        <f aca="false">-In_Devex*BY13</f>
        <v>-0</v>
      </c>
      <c r="BZ46" s="47" t="n">
        <f aca="false">-In_Devex*BZ13</f>
        <v>-0</v>
      </c>
      <c r="CA46" s="47" t="n">
        <f aca="false">-In_Devex*CA13</f>
        <v>-0</v>
      </c>
      <c r="CB46" s="47" t="n">
        <f aca="false">-In_Devex*CB13</f>
        <v>-0</v>
      </c>
      <c r="CC46" s="47" t="n">
        <f aca="false">-In_Devex*CC13</f>
        <v>-0</v>
      </c>
      <c r="CD46" s="47" t="n">
        <f aca="false">-In_Devex*CD13</f>
        <v>-0</v>
      </c>
      <c r="CE46" s="47" t="n">
        <f aca="false">-In_Devex*CE13</f>
        <v>-0</v>
      </c>
      <c r="CF46" s="47" t="n">
        <f aca="false">-In_Devex*CF13</f>
        <v>-0</v>
      </c>
      <c r="CG46" s="47" t="n">
        <f aca="false">-In_Devex*CG13</f>
        <v>-0</v>
      </c>
      <c r="CH46" s="47" t="n">
        <f aca="false">-In_Devex*CH13</f>
        <v>-0</v>
      </c>
      <c r="CI46" s="47" t="n">
        <f aca="false">-In_Devex*CI13</f>
        <v>-0</v>
      </c>
      <c r="CJ46" s="47" t="n">
        <f aca="false">-In_Devex*CJ13</f>
        <v>-0</v>
      </c>
      <c r="CK46" s="47" t="n">
        <f aca="false">-In_Devex*CK13</f>
        <v>-0</v>
      </c>
      <c r="CL46" s="47" t="n">
        <f aca="false">-In_Devex*CL13</f>
        <v>-0</v>
      </c>
      <c r="CM46" s="47" t="n">
        <f aca="false">-In_Devex*CM13</f>
        <v>-0</v>
      </c>
      <c r="CN46" s="47" t="n">
        <f aca="false">-In_Devex*CN13</f>
        <v>-0</v>
      </c>
      <c r="CO46" s="47" t="n">
        <f aca="false">-In_Devex*CO13</f>
        <v>-0</v>
      </c>
      <c r="CP46" s="47" t="n">
        <f aca="false">-In_Devex*CP13</f>
        <v>-0</v>
      </c>
      <c r="CQ46" s="47" t="n">
        <f aca="false">-In_Devex*CQ13</f>
        <v>-0</v>
      </c>
      <c r="CR46" s="47" t="n">
        <f aca="false">-In_Devex*CR13</f>
        <v>-0</v>
      </c>
      <c r="CS46" s="47" t="n">
        <f aca="false">-In_Devex*CS13</f>
        <v>-0</v>
      </c>
      <c r="CT46" s="47" t="n">
        <f aca="false">-In_Devex*CT13</f>
        <v>-0</v>
      </c>
      <c r="CU46" s="47" t="n">
        <f aca="false">-In_Devex*CU13</f>
        <v>-0</v>
      </c>
      <c r="CV46" s="47" t="n">
        <f aca="false">-In_Devex*CV13</f>
        <v>-0</v>
      </c>
      <c r="CW46" s="47" t="n">
        <f aca="false">-In_Devex*CW13</f>
        <v>-0</v>
      </c>
      <c r="CX46" s="47" t="n">
        <f aca="false">-In_Devex*CX13</f>
        <v>-0</v>
      </c>
      <c r="CY46" s="47" t="n">
        <f aca="false">-In_Devex*CY13</f>
        <v>-0</v>
      </c>
      <c r="CZ46" s="47" t="n">
        <f aca="false">-In_Devex*CZ13</f>
        <v>-0</v>
      </c>
      <c r="DA46" s="47" t="n">
        <f aca="false">-In_Devex*DA13</f>
        <v>-0</v>
      </c>
      <c r="DB46" s="47" t="n">
        <f aca="false">-In_Devex*DB13</f>
        <v>-0</v>
      </c>
      <c r="DC46" s="47" t="n">
        <f aca="false">-In_Devex*DC13</f>
        <v>-0</v>
      </c>
      <c r="DD46" s="47" t="n">
        <f aca="false">-In_Devex*DD13</f>
        <v>-0</v>
      </c>
      <c r="DE46" s="47" t="n">
        <f aca="false">-In_Devex*DE13</f>
        <v>-0</v>
      </c>
      <c r="DF46" s="47" t="n">
        <f aca="false">-In_Devex*DF13</f>
        <v>-0</v>
      </c>
      <c r="DG46" s="47" t="n">
        <f aca="false">-In_Devex*DG13</f>
        <v>-0</v>
      </c>
      <c r="DH46" s="47" t="n">
        <f aca="false">-In_Devex*DH13</f>
        <v>-0</v>
      </c>
      <c r="DI46" s="47" t="n">
        <f aca="false">-In_Devex*DI13</f>
        <v>-0</v>
      </c>
      <c r="DJ46" s="47" t="n">
        <f aca="false">-In_Devex*DJ13</f>
        <v>-0</v>
      </c>
      <c r="DK46" s="47" t="n">
        <f aca="false">-In_Devex*DK13</f>
        <v>-0</v>
      </c>
      <c r="DL46" s="47" t="n">
        <f aca="false">-In_Devex*DL13</f>
        <v>-0</v>
      </c>
      <c r="DM46" s="47" t="n">
        <f aca="false">-In_Devex*DM13</f>
        <v>-0</v>
      </c>
      <c r="DN46" s="47" t="n">
        <f aca="false">-In_Devex*DN13</f>
        <v>-0</v>
      </c>
      <c r="DO46" s="47" t="n">
        <f aca="false">-In_Devex*DO13</f>
        <v>-0</v>
      </c>
      <c r="DP46" s="47" t="n">
        <f aca="false">-In_Devex*DP13</f>
        <v>-0</v>
      </c>
      <c r="DQ46" s="47" t="n">
        <f aca="false">-In_Devex*DQ13</f>
        <v>-0</v>
      </c>
      <c r="DR46" s="47" t="n">
        <f aca="false">-In_Devex*DR13</f>
        <v>-0</v>
      </c>
      <c r="DS46" s="47" t="n">
        <f aca="false">-In_Devex*DS13</f>
        <v>-0</v>
      </c>
      <c r="DT46" s="47" t="n">
        <f aca="false">-In_Devex*DT13</f>
        <v>-0</v>
      </c>
      <c r="DU46" s="47" t="n">
        <f aca="false">-In_Devex*DU13</f>
        <v>-0</v>
      </c>
      <c r="DV46" s="47" t="n">
        <f aca="false">-In_Devex*DV13</f>
        <v>-0</v>
      </c>
      <c r="DW46" s="47" t="n">
        <f aca="false">-In_Devex*DW13</f>
        <v>-0</v>
      </c>
      <c r="DX46" s="47" t="n">
        <f aca="false">-In_Devex*DX13</f>
        <v>-0</v>
      </c>
      <c r="DY46" s="47" t="n">
        <f aca="false">-In_Devex*DY13</f>
        <v>-0</v>
      </c>
      <c r="DZ46" s="47" t="n">
        <f aca="false">-In_Devex*DZ13</f>
        <v>-0</v>
      </c>
      <c r="EA46" s="47" t="n">
        <f aca="false">-In_Devex*EA13</f>
        <v>-0</v>
      </c>
      <c r="EB46" s="47" t="n">
        <f aca="false">-In_Devex*EB13</f>
        <v>-0</v>
      </c>
      <c r="EC46" s="47" t="n">
        <f aca="false">-In_Devex*EC13</f>
        <v>-0</v>
      </c>
      <c r="ED46" s="47" t="n">
        <f aca="false">-In_Devex*ED13</f>
        <v>-0</v>
      </c>
      <c r="EE46" s="47" t="n">
        <f aca="false">-In_Devex*EE13</f>
        <v>-0</v>
      </c>
      <c r="EF46" s="47" t="n">
        <f aca="false">-In_Devex*EF13</f>
        <v>-0</v>
      </c>
      <c r="EG46" s="47" t="n">
        <f aca="false">-In_Devex*EG13</f>
        <v>-0</v>
      </c>
      <c r="EH46" s="47" t="n">
        <f aca="false">-In_Devex*EH13</f>
        <v>-0</v>
      </c>
      <c r="EI46" s="47" t="n">
        <f aca="false">-In_Devex*EI13</f>
        <v>-0</v>
      </c>
      <c r="EJ46" s="47" t="n">
        <f aca="false">-In_Devex*EJ13</f>
        <v>-0</v>
      </c>
      <c r="EK46" s="47" t="n">
        <f aca="false">-In_Devex*EK13</f>
        <v>-0</v>
      </c>
      <c r="EL46" s="47" t="n">
        <f aca="false">-In_Devex*EL13</f>
        <v>-0</v>
      </c>
      <c r="EM46" s="47" t="n">
        <f aca="false">-In_Devex*EM13</f>
        <v>-0</v>
      </c>
      <c r="EN46" s="47" t="n">
        <f aca="false">-In_Devex*EN13</f>
        <v>-0</v>
      </c>
      <c r="EO46" s="47" t="n">
        <f aca="false">-In_Devex*EO13</f>
        <v>-0</v>
      </c>
    </row>
    <row r="47" customFormat="false" ht="15" hidden="false" customHeight="false" outlineLevel="0" collapsed="false">
      <c r="C47" s="0" t="s">
        <v>400</v>
      </c>
      <c r="D47" s="11" t="s">
        <v>260</v>
      </c>
      <c r="E47" s="47" t="n">
        <f aca="false">$E24*In_Bench_Wind+$E26*In_Bench_BESS</f>
        <v>32360</v>
      </c>
    </row>
    <row r="48" customFormat="false" ht="15" hidden="false" customHeight="false" outlineLevel="0" collapsed="false">
      <c r="C48" s="0" t="s">
        <v>401</v>
      </c>
      <c r="D48" s="11" t="s">
        <v>33</v>
      </c>
      <c r="E48" s="47" t="n">
        <f aca="false">In_Part_Fee*Thousand/In_FX</f>
        <v>8.21917808219178</v>
      </c>
      <c r="F48" s="20" t="n">
        <f aca="false">In_Bid_Date</f>
        <v>46325</v>
      </c>
      <c r="I48" s="47" t="n">
        <f aca="false">SUM(J48:EO48)</f>
        <v>-8.21917808219178</v>
      </c>
      <c r="J48" s="47" t="n">
        <f aca="false">-$E48*N(AND(J$3&lt;=$F48,J$4&gt;=$F48))</f>
        <v>-8.21917808219178</v>
      </c>
      <c r="K48" s="47" t="n">
        <f aca="false">-$E48*N(AND(K$3&lt;=$F48,K$4&gt;=$F48))</f>
        <v>-0</v>
      </c>
      <c r="L48" s="47" t="n">
        <f aca="false">-$E48*N(AND(L$3&lt;=$F48,L$4&gt;=$F48))</f>
        <v>-0</v>
      </c>
      <c r="M48" s="47" t="n">
        <f aca="false">-$E48*N(AND(M$3&lt;=$F48,M$4&gt;=$F48))</f>
        <v>-0</v>
      </c>
      <c r="N48" s="47" t="n">
        <f aca="false">-$E48*N(AND(N$3&lt;=$F48,N$4&gt;=$F48))</f>
        <v>-0</v>
      </c>
      <c r="O48" s="47" t="n">
        <f aca="false">-$E48*N(AND(O$3&lt;=$F48,O$4&gt;=$F48))</f>
        <v>-0</v>
      </c>
      <c r="P48" s="47" t="n">
        <f aca="false">-$E48*N(AND(P$3&lt;=$F48,P$4&gt;=$F48))</f>
        <v>-0</v>
      </c>
      <c r="Q48" s="47" t="n">
        <f aca="false">-$E48*N(AND(Q$3&lt;=$F48,Q$4&gt;=$F48))</f>
        <v>-0</v>
      </c>
      <c r="R48" s="47" t="n">
        <f aca="false">-$E48*N(AND(R$3&lt;=$F48,R$4&gt;=$F48))</f>
        <v>-0</v>
      </c>
      <c r="S48" s="47" t="n">
        <f aca="false">-$E48*N(AND(S$3&lt;=$F48,S$4&gt;=$F48))</f>
        <v>-0</v>
      </c>
      <c r="T48" s="47" t="n">
        <f aca="false">-$E48*N(AND(T$3&lt;=$F48,T$4&gt;=$F48))</f>
        <v>-0</v>
      </c>
      <c r="U48" s="47" t="n">
        <f aca="false">-$E48*N(AND(U$3&lt;=$F48,U$4&gt;=$F48))</f>
        <v>-0</v>
      </c>
      <c r="V48" s="47" t="n">
        <f aca="false">-$E48*N(AND(V$3&lt;=$F48,V$4&gt;=$F48))</f>
        <v>-0</v>
      </c>
      <c r="W48" s="47" t="n">
        <f aca="false">-$E48*N(AND(W$3&lt;=$F48,W$4&gt;=$F48))</f>
        <v>-0</v>
      </c>
      <c r="X48" s="47" t="n">
        <f aca="false">-$E48*N(AND(X$3&lt;=$F48,X$4&gt;=$F48))</f>
        <v>-0</v>
      </c>
      <c r="Y48" s="47" t="n">
        <f aca="false">-$E48*N(AND(Y$3&lt;=$F48,Y$4&gt;=$F48))</f>
        <v>-0</v>
      </c>
      <c r="Z48" s="47" t="n">
        <f aca="false">-$E48*N(AND(Z$3&lt;=$F48,Z$4&gt;=$F48))</f>
        <v>-0</v>
      </c>
      <c r="AA48" s="47" t="n">
        <f aca="false">-$E48*N(AND(AA$3&lt;=$F48,AA$4&gt;=$F48))</f>
        <v>-0</v>
      </c>
      <c r="AB48" s="47" t="n">
        <f aca="false">-$E48*N(AND(AB$3&lt;=$F48,AB$4&gt;=$F48))</f>
        <v>-0</v>
      </c>
      <c r="AC48" s="47" t="n">
        <f aca="false">-$E48*N(AND(AC$3&lt;=$F48,AC$4&gt;=$F48))</f>
        <v>-0</v>
      </c>
      <c r="AD48" s="47" t="n">
        <f aca="false">-$E48*N(AND(AD$3&lt;=$F48,AD$4&gt;=$F48))</f>
        <v>-0</v>
      </c>
      <c r="AE48" s="47" t="n">
        <f aca="false">-$E48*N(AND(AE$3&lt;=$F48,AE$4&gt;=$F48))</f>
        <v>-0</v>
      </c>
      <c r="AF48" s="47" t="n">
        <f aca="false">-$E48*N(AND(AF$3&lt;=$F48,AF$4&gt;=$F48))</f>
        <v>-0</v>
      </c>
      <c r="AG48" s="47" t="n">
        <f aca="false">-$E48*N(AND(AG$3&lt;=$F48,AG$4&gt;=$F48))</f>
        <v>-0</v>
      </c>
      <c r="AH48" s="47" t="n">
        <f aca="false">-$E48*N(AND(AH$3&lt;=$F48,AH$4&gt;=$F48))</f>
        <v>-0</v>
      </c>
      <c r="AI48" s="47" t="n">
        <f aca="false">-$E48*N(AND(AI$3&lt;=$F48,AI$4&gt;=$F48))</f>
        <v>-0</v>
      </c>
      <c r="AJ48" s="47" t="n">
        <f aca="false">-$E48*N(AND(AJ$3&lt;=$F48,AJ$4&gt;=$F48))</f>
        <v>-0</v>
      </c>
      <c r="AK48" s="47" t="n">
        <f aca="false">-$E48*N(AND(AK$3&lt;=$F48,AK$4&gt;=$F48))</f>
        <v>-0</v>
      </c>
      <c r="AL48" s="47" t="n">
        <f aca="false">-$E48*N(AND(AL$3&lt;=$F48,AL$4&gt;=$F48))</f>
        <v>-0</v>
      </c>
      <c r="AM48" s="47" t="n">
        <f aca="false">-$E48*N(AND(AM$3&lt;=$F48,AM$4&gt;=$F48))</f>
        <v>-0</v>
      </c>
      <c r="AN48" s="47" t="n">
        <f aca="false">-$E48*N(AND(AN$3&lt;=$F48,AN$4&gt;=$F48))</f>
        <v>-0</v>
      </c>
      <c r="AO48" s="47" t="n">
        <f aca="false">-$E48*N(AND(AO$3&lt;=$F48,AO$4&gt;=$F48))</f>
        <v>-0</v>
      </c>
      <c r="AP48" s="47" t="n">
        <f aca="false">-$E48*N(AND(AP$3&lt;=$F48,AP$4&gt;=$F48))</f>
        <v>-0</v>
      </c>
      <c r="AQ48" s="47" t="n">
        <f aca="false">-$E48*N(AND(AQ$3&lt;=$F48,AQ$4&gt;=$F48))</f>
        <v>-0</v>
      </c>
      <c r="AR48" s="47" t="n">
        <f aca="false">-$E48*N(AND(AR$3&lt;=$F48,AR$4&gt;=$F48))</f>
        <v>-0</v>
      </c>
      <c r="AS48" s="47" t="n">
        <f aca="false">-$E48*N(AND(AS$3&lt;=$F48,AS$4&gt;=$F48))</f>
        <v>-0</v>
      </c>
      <c r="AT48" s="47" t="n">
        <f aca="false">-$E48*N(AND(AT$3&lt;=$F48,AT$4&gt;=$F48))</f>
        <v>-0</v>
      </c>
      <c r="AU48" s="47" t="n">
        <f aca="false">-$E48*N(AND(AU$3&lt;=$F48,AU$4&gt;=$F48))</f>
        <v>-0</v>
      </c>
      <c r="AV48" s="47" t="n">
        <f aca="false">-$E48*N(AND(AV$3&lt;=$F48,AV$4&gt;=$F48))</f>
        <v>-0</v>
      </c>
      <c r="AW48" s="47" t="n">
        <f aca="false">-$E48*N(AND(AW$3&lt;=$F48,AW$4&gt;=$F48))</f>
        <v>-0</v>
      </c>
      <c r="AX48" s="47" t="n">
        <f aca="false">-$E48*N(AND(AX$3&lt;=$F48,AX$4&gt;=$F48))</f>
        <v>-0</v>
      </c>
      <c r="AY48" s="47" t="n">
        <f aca="false">-$E48*N(AND(AY$3&lt;=$F48,AY$4&gt;=$F48))</f>
        <v>-0</v>
      </c>
      <c r="AZ48" s="47" t="n">
        <f aca="false">-$E48*N(AND(AZ$3&lt;=$F48,AZ$4&gt;=$F48))</f>
        <v>-0</v>
      </c>
      <c r="BA48" s="47" t="n">
        <f aca="false">-$E48*N(AND(BA$3&lt;=$F48,BA$4&gt;=$F48))</f>
        <v>-0</v>
      </c>
      <c r="BB48" s="47" t="n">
        <f aca="false">-$E48*N(AND(BB$3&lt;=$F48,BB$4&gt;=$F48))</f>
        <v>-0</v>
      </c>
      <c r="BC48" s="47" t="n">
        <f aca="false">-$E48*N(AND(BC$3&lt;=$F48,BC$4&gt;=$F48))</f>
        <v>-0</v>
      </c>
      <c r="BD48" s="47" t="n">
        <f aca="false">-$E48*N(AND(BD$3&lt;=$F48,BD$4&gt;=$F48))</f>
        <v>-0</v>
      </c>
      <c r="BE48" s="47" t="n">
        <f aca="false">-$E48*N(AND(BE$3&lt;=$F48,BE$4&gt;=$F48))</f>
        <v>-0</v>
      </c>
      <c r="BF48" s="47" t="n">
        <f aca="false">-$E48*N(AND(BF$3&lt;=$F48,BF$4&gt;=$F48))</f>
        <v>-0</v>
      </c>
      <c r="BG48" s="47" t="n">
        <f aca="false">-$E48*N(AND(BG$3&lt;=$F48,BG$4&gt;=$F48))</f>
        <v>-0</v>
      </c>
      <c r="BH48" s="47" t="n">
        <f aca="false">-$E48*N(AND(BH$3&lt;=$F48,BH$4&gt;=$F48))</f>
        <v>-0</v>
      </c>
      <c r="BI48" s="47" t="n">
        <f aca="false">-$E48*N(AND(BI$3&lt;=$F48,BI$4&gt;=$F48))</f>
        <v>-0</v>
      </c>
      <c r="BJ48" s="47" t="n">
        <f aca="false">-$E48*N(AND(BJ$3&lt;=$F48,BJ$4&gt;=$F48))</f>
        <v>-0</v>
      </c>
      <c r="BK48" s="47" t="n">
        <f aca="false">-$E48*N(AND(BK$3&lt;=$F48,BK$4&gt;=$F48))</f>
        <v>-0</v>
      </c>
      <c r="BL48" s="47" t="n">
        <f aca="false">-$E48*N(AND(BL$3&lt;=$F48,BL$4&gt;=$F48))</f>
        <v>-0</v>
      </c>
      <c r="BM48" s="47" t="n">
        <f aca="false">-$E48*N(AND(BM$3&lt;=$F48,BM$4&gt;=$F48))</f>
        <v>-0</v>
      </c>
      <c r="BN48" s="47" t="n">
        <f aca="false">-$E48*N(AND(BN$3&lt;=$F48,BN$4&gt;=$F48))</f>
        <v>-0</v>
      </c>
      <c r="BO48" s="47" t="n">
        <f aca="false">-$E48*N(AND(BO$3&lt;=$F48,BO$4&gt;=$F48))</f>
        <v>-0</v>
      </c>
      <c r="BP48" s="47" t="n">
        <f aca="false">-$E48*N(AND(BP$3&lt;=$F48,BP$4&gt;=$F48))</f>
        <v>-0</v>
      </c>
      <c r="BQ48" s="47" t="n">
        <f aca="false">-$E48*N(AND(BQ$3&lt;=$F48,BQ$4&gt;=$F48))</f>
        <v>-0</v>
      </c>
      <c r="BR48" s="47" t="n">
        <f aca="false">-$E48*N(AND(BR$3&lt;=$F48,BR$4&gt;=$F48))</f>
        <v>-0</v>
      </c>
      <c r="BS48" s="47" t="n">
        <f aca="false">-$E48*N(AND(BS$3&lt;=$F48,BS$4&gt;=$F48))</f>
        <v>-0</v>
      </c>
      <c r="BT48" s="47" t="n">
        <f aca="false">-$E48*N(AND(BT$3&lt;=$F48,BT$4&gt;=$F48))</f>
        <v>-0</v>
      </c>
      <c r="BU48" s="47" t="n">
        <f aca="false">-$E48*N(AND(BU$3&lt;=$F48,BU$4&gt;=$F48))</f>
        <v>-0</v>
      </c>
      <c r="BV48" s="47" t="n">
        <f aca="false">-$E48*N(AND(BV$3&lt;=$F48,BV$4&gt;=$F48))</f>
        <v>-0</v>
      </c>
      <c r="BW48" s="47" t="n">
        <f aca="false">-$E48*N(AND(BW$3&lt;=$F48,BW$4&gt;=$F48))</f>
        <v>-0</v>
      </c>
      <c r="BX48" s="47" t="n">
        <f aca="false">-$E48*N(AND(BX$3&lt;=$F48,BX$4&gt;=$F48))</f>
        <v>-0</v>
      </c>
      <c r="BY48" s="47" t="n">
        <f aca="false">-$E48*N(AND(BY$3&lt;=$F48,BY$4&gt;=$F48))</f>
        <v>-0</v>
      </c>
      <c r="BZ48" s="47" t="n">
        <f aca="false">-$E48*N(AND(BZ$3&lt;=$F48,BZ$4&gt;=$F48))</f>
        <v>-0</v>
      </c>
      <c r="CA48" s="47" t="n">
        <f aca="false">-$E48*N(AND(CA$3&lt;=$F48,CA$4&gt;=$F48))</f>
        <v>-0</v>
      </c>
      <c r="CB48" s="47" t="n">
        <f aca="false">-$E48*N(AND(CB$3&lt;=$F48,CB$4&gt;=$F48))</f>
        <v>-0</v>
      </c>
      <c r="CC48" s="47" t="n">
        <f aca="false">-$E48*N(AND(CC$3&lt;=$F48,CC$4&gt;=$F48))</f>
        <v>-0</v>
      </c>
      <c r="CD48" s="47" t="n">
        <f aca="false">-$E48*N(AND(CD$3&lt;=$F48,CD$4&gt;=$F48))</f>
        <v>-0</v>
      </c>
      <c r="CE48" s="47" t="n">
        <f aca="false">-$E48*N(AND(CE$3&lt;=$F48,CE$4&gt;=$F48))</f>
        <v>-0</v>
      </c>
      <c r="CF48" s="47" t="n">
        <f aca="false">-$E48*N(AND(CF$3&lt;=$F48,CF$4&gt;=$F48))</f>
        <v>-0</v>
      </c>
      <c r="CG48" s="47" t="n">
        <f aca="false">-$E48*N(AND(CG$3&lt;=$F48,CG$4&gt;=$F48))</f>
        <v>-0</v>
      </c>
      <c r="CH48" s="47" t="n">
        <f aca="false">-$E48*N(AND(CH$3&lt;=$F48,CH$4&gt;=$F48))</f>
        <v>-0</v>
      </c>
      <c r="CI48" s="47" t="n">
        <f aca="false">-$E48*N(AND(CI$3&lt;=$F48,CI$4&gt;=$F48))</f>
        <v>-0</v>
      </c>
      <c r="CJ48" s="47" t="n">
        <f aca="false">-$E48*N(AND(CJ$3&lt;=$F48,CJ$4&gt;=$F48))</f>
        <v>-0</v>
      </c>
      <c r="CK48" s="47" t="n">
        <f aca="false">-$E48*N(AND(CK$3&lt;=$F48,CK$4&gt;=$F48))</f>
        <v>-0</v>
      </c>
      <c r="CL48" s="47" t="n">
        <f aca="false">-$E48*N(AND(CL$3&lt;=$F48,CL$4&gt;=$F48))</f>
        <v>-0</v>
      </c>
      <c r="CM48" s="47" t="n">
        <f aca="false">-$E48*N(AND(CM$3&lt;=$F48,CM$4&gt;=$F48))</f>
        <v>-0</v>
      </c>
      <c r="CN48" s="47" t="n">
        <f aca="false">-$E48*N(AND(CN$3&lt;=$F48,CN$4&gt;=$F48))</f>
        <v>-0</v>
      </c>
      <c r="CO48" s="47" t="n">
        <f aca="false">-$E48*N(AND(CO$3&lt;=$F48,CO$4&gt;=$F48))</f>
        <v>-0</v>
      </c>
      <c r="CP48" s="47" t="n">
        <f aca="false">-$E48*N(AND(CP$3&lt;=$F48,CP$4&gt;=$F48))</f>
        <v>-0</v>
      </c>
      <c r="CQ48" s="47" t="n">
        <f aca="false">-$E48*N(AND(CQ$3&lt;=$F48,CQ$4&gt;=$F48))</f>
        <v>-0</v>
      </c>
      <c r="CR48" s="47" t="n">
        <f aca="false">-$E48*N(AND(CR$3&lt;=$F48,CR$4&gt;=$F48))</f>
        <v>-0</v>
      </c>
      <c r="CS48" s="47" t="n">
        <f aca="false">-$E48*N(AND(CS$3&lt;=$F48,CS$4&gt;=$F48))</f>
        <v>-0</v>
      </c>
      <c r="CT48" s="47" t="n">
        <f aca="false">-$E48*N(AND(CT$3&lt;=$F48,CT$4&gt;=$F48))</f>
        <v>-0</v>
      </c>
      <c r="CU48" s="47" t="n">
        <f aca="false">-$E48*N(AND(CU$3&lt;=$F48,CU$4&gt;=$F48))</f>
        <v>-0</v>
      </c>
      <c r="CV48" s="47" t="n">
        <f aca="false">-$E48*N(AND(CV$3&lt;=$F48,CV$4&gt;=$F48))</f>
        <v>-0</v>
      </c>
      <c r="CW48" s="47" t="n">
        <f aca="false">-$E48*N(AND(CW$3&lt;=$F48,CW$4&gt;=$F48))</f>
        <v>-0</v>
      </c>
      <c r="CX48" s="47" t="n">
        <f aca="false">-$E48*N(AND(CX$3&lt;=$F48,CX$4&gt;=$F48))</f>
        <v>-0</v>
      </c>
      <c r="CY48" s="47" t="n">
        <f aca="false">-$E48*N(AND(CY$3&lt;=$F48,CY$4&gt;=$F48))</f>
        <v>-0</v>
      </c>
      <c r="CZ48" s="47" t="n">
        <f aca="false">-$E48*N(AND(CZ$3&lt;=$F48,CZ$4&gt;=$F48))</f>
        <v>-0</v>
      </c>
      <c r="DA48" s="47" t="n">
        <f aca="false">-$E48*N(AND(DA$3&lt;=$F48,DA$4&gt;=$F48))</f>
        <v>-0</v>
      </c>
      <c r="DB48" s="47" t="n">
        <f aca="false">-$E48*N(AND(DB$3&lt;=$F48,DB$4&gt;=$F48))</f>
        <v>-0</v>
      </c>
      <c r="DC48" s="47" t="n">
        <f aca="false">-$E48*N(AND(DC$3&lt;=$F48,DC$4&gt;=$F48))</f>
        <v>-0</v>
      </c>
      <c r="DD48" s="47" t="n">
        <f aca="false">-$E48*N(AND(DD$3&lt;=$F48,DD$4&gt;=$F48))</f>
        <v>-0</v>
      </c>
      <c r="DE48" s="47" t="n">
        <f aca="false">-$E48*N(AND(DE$3&lt;=$F48,DE$4&gt;=$F48))</f>
        <v>-0</v>
      </c>
      <c r="DF48" s="47" t="n">
        <f aca="false">-$E48*N(AND(DF$3&lt;=$F48,DF$4&gt;=$F48))</f>
        <v>-0</v>
      </c>
      <c r="DG48" s="47" t="n">
        <f aca="false">-$E48*N(AND(DG$3&lt;=$F48,DG$4&gt;=$F48))</f>
        <v>-0</v>
      </c>
      <c r="DH48" s="47" t="n">
        <f aca="false">-$E48*N(AND(DH$3&lt;=$F48,DH$4&gt;=$F48))</f>
        <v>-0</v>
      </c>
      <c r="DI48" s="47" t="n">
        <f aca="false">-$E48*N(AND(DI$3&lt;=$F48,DI$4&gt;=$F48))</f>
        <v>-0</v>
      </c>
      <c r="DJ48" s="47" t="n">
        <f aca="false">-$E48*N(AND(DJ$3&lt;=$F48,DJ$4&gt;=$F48))</f>
        <v>-0</v>
      </c>
      <c r="DK48" s="47" t="n">
        <f aca="false">-$E48*N(AND(DK$3&lt;=$F48,DK$4&gt;=$F48))</f>
        <v>-0</v>
      </c>
      <c r="DL48" s="47" t="n">
        <f aca="false">-$E48*N(AND(DL$3&lt;=$F48,DL$4&gt;=$F48))</f>
        <v>-0</v>
      </c>
      <c r="DM48" s="47" t="n">
        <f aca="false">-$E48*N(AND(DM$3&lt;=$F48,DM$4&gt;=$F48))</f>
        <v>-0</v>
      </c>
      <c r="DN48" s="47" t="n">
        <f aca="false">-$E48*N(AND(DN$3&lt;=$F48,DN$4&gt;=$F48))</f>
        <v>-0</v>
      </c>
      <c r="DO48" s="47" t="n">
        <f aca="false">-$E48*N(AND(DO$3&lt;=$F48,DO$4&gt;=$F48))</f>
        <v>-0</v>
      </c>
      <c r="DP48" s="47" t="n">
        <f aca="false">-$E48*N(AND(DP$3&lt;=$F48,DP$4&gt;=$F48))</f>
        <v>-0</v>
      </c>
      <c r="DQ48" s="47" t="n">
        <f aca="false">-$E48*N(AND(DQ$3&lt;=$F48,DQ$4&gt;=$F48))</f>
        <v>-0</v>
      </c>
      <c r="DR48" s="47" t="n">
        <f aca="false">-$E48*N(AND(DR$3&lt;=$F48,DR$4&gt;=$F48))</f>
        <v>-0</v>
      </c>
      <c r="DS48" s="47" t="n">
        <f aca="false">-$E48*N(AND(DS$3&lt;=$F48,DS$4&gt;=$F48))</f>
        <v>-0</v>
      </c>
      <c r="DT48" s="47" t="n">
        <f aca="false">-$E48*N(AND(DT$3&lt;=$F48,DT$4&gt;=$F48))</f>
        <v>-0</v>
      </c>
      <c r="DU48" s="47" t="n">
        <f aca="false">-$E48*N(AND(DU$3&lt;=$F48,DU$4&gt;=$F48))</f>
        <v>-0</v>
      </c>
      <c r="DV48" s="47" t="n">
        <f aca="false">-$E48*N(AND(DV$3&lt;=$F48,DV$4&gt;=$F48))</f>
        <v>-0</v>
      </c>
      <c r="DW48" s="47" t="n">
        <f aca="false">-$E48*N(AND(DW$3&lt;=$F48,DW$4&gt;=$F48))</f>
        <v>-0</v>
      </c>
      <c r="DX48" s="47" t="n">
        <f aca="false">-$E48*N(AND(DX$3&lt;=$F48,DX$4&gt;=$F48))</f>
        <v>-0</v>
      </c>
      <c r="DY48" s="47" t="n">
        <f aca="false">-$E48*N(AND(DY$3&lt;=$F48,DY$4&gt;=$F48))</f>
        <v>-0</v>
      </c>
      <c r="DZ48" s="47" t="n">
        <f aca="false">-$E48*N(AND(DZ$3&lt;=$F48,DZ$4&gt;=$F48))</f>
        <v>-0</v>
      </c>
      <c r="EA48" s="47" t="n">
        <f aca="false">-$E48*N(AND(EA$3&lt;=$F48,EA$4&gt;=$F48))</f>
        <v>-0</v>
      </c>
      <c r="EB48" s="47" t="n">
        <f aca="false">-$E48*N(AND(EB$3&lt;=$F48,EB$4&gt;=$F48))</f>
        <v>-0</v>
      </c>
      <c r="EC48" s="47" t="n">
        <f aca="false">-$E48*N(AND(EC$3&lt;=$F48,EC$4&gt;=$F48))</f>
        <v>-0</v>
      </c>
      <c r="ED48" s="47" t="n">
        <f aca="false">-$E48*N(AND(ED$3&lt;=$F48,ED$4&gt;=$F48))</f>
        <v>-0</v>
      </c>
      <c r="EE48" s="47" t="n">
        <f aca="false">-$E48*N(AND(EE$3&lt;=$F48,EE$4&gt;=$F48))</f>
        <v>-0</v>
      </c>
      <c r="EF48" s="47" t="n">
        <f aca="false">-$E48*N(AND(EF$3&lt;=$F48,EF$4&gt;=$F48))</f>
        <v>-0</v>
      </c>
      <c r="EG48" s="47" t="n">
        <f aca="false">-$E48*N(AND(EG$3&lt;=$F48,EG$4&gt;=$F48))</f>
        <v>-0</v>
      </c>
      <c r="EH48" s="47" t="n">
        <f aca="false">-$E48*N(AND(EH$3&lt;=$F48,EH$4&gt;=$F48))</f>
        <v>-0</v>
      </c>
      <c r="EI48" s="47" t="n">
        <f aca="false">-$E48*N(AND(EI$3&lt;=$F48,EI$4&gt;=$F48))</f>
        <v>-0</v>
      </c>
      <c r="EJ48" s="47" t="n">
        <f aca="false">-$E48*N(AND(EJ$3&lt;=$F48,EJ$4&gt;=$F48))</f>
        <v>-0</v>
      </c>
      <c r="EK48" s="47" t="n">
        <f aca="false">-$E48*N(AND(EK$3&lt;=$F48,EK$4&gt;=$F48))</f>
        <v>-0</v>
      </c>
      <c r="EL48" s="47" t="n">
        <f aca="false">-$E48*N(AND(EL$3&lt;=$F48,EL$4&gt;=$F48))</f>
        <v>-0</v>
      </c>
      <c r="EM48" s="47" t="n">
        <f aca="false">-$E48*N(AND(EM$3&lt;=$F48,EM$4&gt;=$F48))</f>
        <v>-0</v>
      </c>
      <c r="EN48" s="47" t="n">
        <f aca="false">-$E48*N(AND(EN$3&lt;=$F48,EN$4&gt;=$F48))</f>
        <v>-0</v>
      </c>
      <c r="EO48" s="47" t="n">
        <f aca="false">-$E48*N(AND(EO$3&lt;=$F48,EO$4&gt;=$F48))</f>
        <v>-0</v>
      </c>
    </row>
    <row r="49" customFormat="false" ht="15" hidden="false" customHeight="false" outlineLevel="0" collapsed="false">
      <c r="C49" s="0" t="s">
        <v>402</v>
      </c>
      <c r="D49" s="11" t="s">
        <v>33</v>
      </c>
      <c r="E49" s="47" t="n">
        <f aca="false">In_Bid_Rate*$E47*Thousand/In_FX</f>
        <v>443.287671232877</v>
      </c>
      <c r="F49" s="20" t="n">
        <f aca="false">In_Bid_Date</f>
        <v>46325</v>
      </c>
      <c r="J49" s="47" t="n">
        <f aca="false">$E49*MAX(0,(MIN(In_Decision_Date+In_PB_Days-1,J$4)-MAX($F49,J$3)+1)/J$5)</f>
        <v>303.55568790947</v>
      </c>
      <c r="K49" s="47" t="n">
        <f aca="false">$E49*MAX(0,(MIN(In_Decision_Date+In_PB_Days-1,K$4)-MAX($F49,K$3)+1)/K$5)</f>
        <v>221.643835616438</v>
      </c>
      <c r="L49" s="47" t="n">
        <f aca="false">$E49*MAX(0,(MIN(In_Decision_Date+In_PB_Days-1,L$4)-MAX($F49,L$3)+1)/L$5)</f>
        <v>0</v>
      </c>
      <c r="M49" s="47" t="n">
        <f aca="false">$E49*MAX(0,(MIN(In_Decision_Date+In_PB_Days-1,M$4)-MAX($F49,M$3)+1)/M$5)</f>
        <v>0</v>
      </c>
      <c r="N49" s="47" t="n">
        <f aca="false">$E49*MAX(0,(MIN(In_Decision_Date+In_PB_Days-1,N$4)-MAX($F49,N$3)+1)/N$5)</f>
        <v>0</v>
      </c>
      <c r="O49" s="47" t="n">
        <f aca="false">$E49*MAX(0,(MIN(In_Decision_Date+In_PB_Days-1,O$4)-MAX($F49,O$3)+1)/O$5)</f>
        <v>0</v>
      </c>
      <c r="P49" s="47" t="n">
        <f aca="false">$E49*MAX(0,(MIN(In_Decision_Date+In_PB_Days-1,P$4)-MAX($F49,P$3)+1)/P$5)</f>
        <v>0</v>
      </c>
      <c r="Q49" s="47" t="n">
        <f aca="false">$E49*MAX(0,(MIN(In_Decision_Date+In_PB_Days-1,Q$4)-MAX($F49,Q$3)+1)/Q$5)</f>
        <v>0</v>
      </c>
      <c r="R49" s="47" t="n">
        <f aca="false">$E49*MAX(0,(MIN(In_Decision_Date+In_PB_Days-1,R$4)-MAX($F49,R$3)+1)/R$5)</f>
        <v>0</v>
      </c>
      <c r="S49" s="47" t="n">
        <f aca="false">$E49*MAX(0,(MIN(In_Decision_Date+In_PB_Days-1,S$4)-MAX($F49,S$3)+1)/S$5)</f>
        <v>0</v>
      </c>
      <c r="T49" s="47" t="n">
        <f aca="false">$E49*MAX(0,(MIN(In_Decision_Date+In_PB_Days-1,T$4)-MAX($F49,T$3)+1)/T$5)</f>
        <v>0</v>
      </c>
      <c r="U49" s="47" t="n">
        <f aca="false">$E49*MAX(0,(MIN(In_Decision_Date+In_PB_Days-1,U$4)-MAX($F49,U$3)+1)/U$5)</f>
        <v>0</v>
      </c>
      <c r="V49" s="47" t="n">
        <f aca="false">$E49*MAX(0,(MIN(In_Decision_Date+In_PB_Days-1,V$4)-MAX($F49,V$3)+1)/V$5)</f>
        <v>0</v>
      </c>
      <c r="W49" s="47" t="n">
        <f aca="false">$E49*MAX(0,(MIN(In_Decision_Date+In_PB_Days-1,W$4)-MAX($F49,W$3)+1)/W$5)</f>
        <v>0</v>
      </c>
      <c r="X49" s="47" t="n">
        <f aca="false">$E49*MAX(0,(MIN(In_Decision_Date+In_PB_Days-1,X$4)-MAX($F49,X$3)+1)/X$5)</f>
        <v>0</v>
      </c>
      <c r="Y49" s="47" t="n">
        <f aca="false">$E49*MAX(0,(MIN(In_Decision_Date+In_PB_Days-1,Y$4)-MAX($F49,Y$3)+1)/Y$5)</f>
        <v>0</v>
      </c>
      <c r="Z49" s="47" t="n">
        <f aca="false">$E49*MAX(0,(MIN(In_Decision_Date+In_PB_Days-1,Z$4)-MAX($F49,Z$3)+1)/Z$5)</f>
        <v>0</v>
      </c>
      <c r="AA49" s="47" t="n">
        <f aca="false">$E49*MAX(0,(MIN(In_Decision_Date+In_PB_Days-1,AA$4)-MAX($F49,AA$3)+1)/AA$5)</f>
        <v>0</v>
      </c>
      <c r="AB49" s="47" t="n">
        <f aca="false">$E49*MAX(0,(MIN(In_Decision_Date+In_PB_Days-1,AB$4)-MAX($F49,AB$3)+1)/AB$5)</f>
        <v>0</v>
      </c>
      <c r="AC49" s="47" t="n">
        <f aca="false">$E49*MAX(0,(MIN(In_Decision_Date+In_PB_Days-1,AC$4)-MAX($F49,AC$3)+1)/AC$5)</f>
        <v>0</v>
      </c>
      <c r="AD49" s="47" t="n">
        <f aca="false">$E49*MAX(0,(MIN(In_Decision_Date+In_PB_Days-1,AD$4)-MAX($F49,AD$3)+1)/AD$5)</f>
        <v>0</v>
      </c>
      <c r="AE49" s="47" t="n">
        <f aca="false">$E49*MAX(0,(MIN(In_Decision_Date+In_PB_Days-1,AE$4)-MAX($F49,AE$3)+1)/AE$5)</f>
        <v>0</v>
      </c>
      <c r="AF49" s="47" t="n">
        <f aca="false">$E49*MAX(0,(MIN(In_Decision_Date+In_PB_Days-1,AF$4)-MAX($F49,AF$3)+1)/AF$5)</f>
        <v>0</v>
      </c>
      <c r="AG49" s="47" t="n">
        <f aca="false">$E49*MAX(0,(MIN(In_Decision_Date+In_PB_Days-1,AG$4)-MAX($F49,AG$3)+1)/AG$5)</f>
        <v>0</v>
      </c>
      <c r="AH49" s="47" t="n">
        <f aca="false">$E49*MAX(0,(MIN(In_Decision_Date+In_PB_Days-1,AH$4)-MAX($F49,AH$3)+1)/AH$5)</f>
        <v>0</v>
      </c>
      <c r="AI49" s="47" t="n">
        <f aca="false">$E49*MAX(0,(MIN(In_Decision_Date+In_PB_Days-1,AI$4)-MAX($F49,AI$3)+1)/AI$5)</f>
        <v>0</v>
      </c>
      <c r="AJ49" s="47" t="n">
        <f aca="false">$E49*MAX(0,(MIN(In_Decision_Date+In_PB_Days-1,AJ$4)-MAX($F49,AJ$3)+1)/AJ$5)</f>
        <v>0</v>
      </c>
      <c r="AK49" s="47" t="n">
        <f aca="false">$E49*MAX(0,(MIN(In_Decision_Date+In_PB_Days-1,AK$4)-MAX($F49,AK$3)+1)/AK$5)</f>
        <v>0</v>
      </c>
      <c r="AL49" s="47" t="n">
        <f aca="false">$E49*MAX(0,(MIN(In_Decision_Date+In_PB_Days-1,AL$4)-MAX($F49,AL$3)+1)/AL$5)</f>
        <v>0</v>
      </c>
      <c r="AM49" s="47" t="n">
        <f aca="false">$E49*MAX(0,(MIN(In_Decision_Date+In_PB_Days-1,AM$4)-MAX($F49,AM$3)+1)/AM$5)</f>
        <v>0</v>
      </c>
      <c r="AN49" s="47" t="n">
        <f aca="false">$E49*MAX(0,(MIN(In_Decision_Date+In_PB_Days-1,AN$4)-MAX($F49,AN$3)+1)/AN$5)</f>
        <v>0</v>
      </c>
      <c r="AO49" s="47" t="n">
        <f aca="false">$E49*MAX(0,(MIN(In_Decision_Date+In_PB_Days-1,AO$4)-MAX($F49,AO$3)+1)/AO$5)</f>
        <v>0</v>
      </c>
      <c r="AP49" s="47" t="n">
        <f aca="false">$E49*MAX(0,(MIN(In_Decision_Date+In_PB_Days-1,AP$4)-MAX($F49,AP$3)+1)/AP$5)</f>
        <v>0</v>
      </c>
      <c r="AQ49" s="47" t="n">
        <f aca="false">$E49*MAX(0,(MIN(In_Decision_Date+In_PB_Days-1,AQ$4)-MAX($F49,AQ$3)+1)/AQ$5)</f>
        <v>0</v>
      </c>
      <c r="AR49" s="47" t="n">
        <f aca="false">$E49*MAX(0,(MIN(In_Decision_Date+In_PB_Days-1,AR$4)-MAX($F49,AR$3)+1)/AR$5)</f>
        <v>0</v>
      </c>
      <c r="AS49" s="47" t="n">
        <f aca="false">$E49*MAX(0,(MIN(In_Decision_Date+In_PB_Days-1,AS$4)-MAX($F49,AS$3)+1)/AS$5)</f>
        <v>0</v>
      </c>
      <c r="AT49" s="47" t="n">
        <f aca="false">$E49*MAX(0,(MIN(In_Decision_Date+In_PB_Days-1,AT$4)-MAX($F49,AT$3)+1)/AT$5)</f>
        <v>0</v>
      </c>
      <c r="AU49" s="47" t="n">
        <f aca="false">$E49*MAX(0,(MIN(In_Decision_Date+In_PB_Days-1,AU$4)-MAX($F49,AU$3)+1)/AU$5)</f>
        <v>0</v>
      </c>
      <c r="AV49" s="47" t="n">
        <f aca="false">$E49*MAX(0,(MIN(In_Decision_Date+In_PB_Days-1,AV$4)-MAX($F49,AV$3)+1)/AV$5)</f>
        <v>0</v>
      </c>
      <c r="AW49" s="47" t="n">
        <f aca="false">$E49*MAX(0,(MIN(In_Decision_Date+In_PB_Days-1,AW$4)-MAX($F49,AW$3)+1)/AW$5)</f>
        <v>0</v>
      </c>
      <c r="AX49" s="47" t="n">
        <f aca="false">$E49*MAX(0,(MIN(In_Decision_Date+In_PB_Days-1,AX$4)-MAX($F49,AX$3)+1)/AX$5)</f>
        <v>0</v>
      </c>
      <c r="AY49" s="47" t="n">
        <f aca="false">$E49*MAX(0,(MIN(In_Decision_Date+In_PB_Days-1,AY$4)-MAX($F49,AY$3)+1)/AY$5)</f>
        <v>0</v>
      </c>
      <c r="AZ49" s="47" t="n">
        <f aca="false">$E49*MAX(0,(MIN(In_Decision_Date+In_PB_Days-1,AZ$4)-MAX($F49,AZ$3)+1)/AZ$5)</f>
        <v>0</v>
      </c>
      <c r="BA49" s="47" t="n">
        <f aca="false">$E49*MAX(0,(MIN(In_Decision_Date+In_PB_Days-1,BA$4)-MAX($F49,BA$3)+1)/BA$5)</f>
        <v>0</v>
      </c>
      <c r="BB49" s="47" t="n">
        <f aca="false">$E49*MAX(0,(MIN(In_Decision_Date+In_PB_Days-1,BB$4)-MAX($F49,BB$3)+1)/BB$5)</f>
        <v>0</v>
      </c>
      <c r="BC49" s="47" t="n">
        <f aca="false">$E49*MAX(0,(MIN(In_Decision_Date+In_PB_Days-1,BC$4)-MAX($F49,BC$3)+1)/BC$5)</f>
        <v>0</v>
      </c>
      <c r="BD49" s="47" t="n">
        <f aca="false">$E49*MAX(0,(MIN(In_Decision_Date+In_PB_Days-1,BD$4)-MAX($F49,BD$3)+1)/BD$5)</f>
        <v>0</v>
      </c>
      <c r="BE49" s="47" t="n">
        <f aca="false">$E49*MAX(0,(MIN(In_Decision_Date+In_PB_Days-1,BE$4)-MAX($F49,BE$3)+1)/BE$5)</f>
        <v>0</v>
      </c>
      <c r="BF49" s="47" t="n">
        <f aca="false">$E49*MAX(0,(MIN(In_Decision_Date+In_PB_Days-1,BF$4)-MAX($F49,BF$3)+1)/BF$5)</f>
        <v>0</v>
      </c>
      <c r="BG49" s="47" t="n">
        <f aca="false">$E49*MAX(0,(MIN(In_Decision_Date+In_PB_Days-1,BG$4)-MAX($F49,BG$3)+1)/BG$5)</f>
        <v>0</v>
      </c>
      <c r="BH49" s="47" t="n">
        <f aca="false">$E49*MAX(0,(MIN(In_Decision_Date+In_PB_Days-1,BH$4)-MAX($F49,BH$3)+1)/BH$5)</f>
        <v>0</v>
      </c>
      <c r="BI49" s="47" t="n">
        <f aca="false">$E49*MAX(0,(MIN(In_Decision_Date+In_PB_Days-1,BI$4)-MAX($F49,BI$3)+1)/BI$5)</f>
        <v>0</v>
      </c>
      <c r="BJ49" s="47" t="n">
        <f aca="false">$E49*MAX(0,(MIN(In_Decision_Date+In_PB_Days-1,BJ$4)-MAX($F49,BJ$3)+1)/BJ$5)</f>
        <v>0</v>
      </c>
      <c r="BK49" s="47" t="n">
        <f aca="false">$E49*MAX(0,(MIN(In_Decision_Date+In_PB_Days-1,BK$4)-MAX($F49,BK$3)+1)/BK$5)</f>
        <v>0</v>
      </c>
      <c r="BL49" s="47" t="n">
        <f aca="false">$E49*MAX(0,(MIN(In_Decision_Date+In_PB_Days-1,BL$4)-MAX($F49,BL$3)+1)/BL$5)</f>
        <v>0</v>
      </c>
      <c r="BM49" s="47" t="n">
        <f aca="false">$E49*MAX(0,(MIN(In_Decision_Date+In_PB_Days-1,BM$4)-MAX($F49,BM$3)+1)/BM$5)</f>
        <v>0</v>
      </c>
      <c r="BN49" s="47" t="n">
        <f aca="false">$E49*MAX(0,(MIN(In_Decision_Date+In_PB_Days-1,BN$4)-MAX($F49,BN$3)+1)/BN$5)</f>
        <v>0</v>
      </c>
      <c r="BO49" s="47" t="n">
        <f aca="false">$E49*MAX(0,(MIN(In_Decision_Date+In_PB_Days-1,BO$4)-MAX($F49,BO$3)+1)/BO$5)</f>
        <v>0</v>
      </c>
      <c r="BP49" s="47" t="n">
        <f aca="false">$E49*MAX(0,(MIN(In_Decision_Date+In_PB_Days-1,BP$4)-MAX($F49,BP$3)+1)/BP$5)</f>
        <v>0</v>
      </c>
      <c r="BQ49" s="47" t="n">
        <f aca="false">$E49*MAX(0,(MIN(In_Decision_Date+In_PB_Days-1,BQ$4)-MAX($F49,BQ$3)+1)/BQ$5)</f>
        <v>0</v>
      </c>
      <c r="BR49" s="47" t="n">
        <f aca="false">$E49*MAX(0,(MIN(In_Decision_Date+In_PB_Days-1,BR$4)-MAX($F49,BR$3)+1)/BR$5)</f>
        <v>0</v>
      </c>
      <c r="BS49" s="47" t="n">
        <f aca="false">$E49*MAX(0,(MIN(In_Decision_Date+In_PB_Days-1,BS$4)-MAX($F49,BS$3)+1)/BS$5)</f>
        <v>0</v>
      </c>
      <c r="BT49" s="47" t="n">
        <f aca="false">$E49*MAX(0,(MIN(In_Decision_Date+In_PB_Days-1,BT$4)-MAX($F49,BT$3)+1)/BT$5)</f>
        <v>0</v>
      </c>
      <c r="BU49" s="47" t="n">
        <f aca="false">$E49*MAX(0,(MIN(In_Decision_Date+In_PB_Days-1,BU$4)-MAX($F49,BU$3)+1)/BU$5)</f>
        <v>0</v>
      </c>
      <c r="BV49" s="47" t="n">
        <f aca="false">$E49*MAX(0,(MIN(In_Decision_Date+In_PB_Days-1,BV$4)-MAX($F49,BV$3)+1)/BV$5)</f>
        <v>0</v>
      </c>
      <c r="BW49" s="47" t="n">
        <f aca="false">$E49*MAX(0,(MIN(In_Decision_Date+In_PB_Days-1,BW$4)-MAX($F49,BW$3)+1)/BW$5)</f>
        <v>0</v>
      </c>
      <c r="BX49" s="47" t="n">
        <f aca="false">$E49*MAX(0,(MIN(In_Decision_Date+In_PB_Days-1,BX$4)-MAX($F49,BX$3)+1)/BX$5)</f>
        <v>0</v>
      </c>
      <c r="BY49" s="47" t="n">
        <f aca="false">$E49*MAX(0,(MIN(In_Decision_Date+In_PB_Days-1,BY$4)-MAX($F49,BY$3)+1)/BY$5)</f>
        <v>0</v>
      </c>
      <c r="BZ49" s="47" t="n">
        <f aca="false">$E49*MAX(0,(MIN(In_Decision_Date+In_PB_Days-1,BZ$4)-MAX($F49,BZ$3)+1)/BZ$5)</f>
        <v>0</v>
      </c>
      <c r="CA49" s="47" t="n">
        <f aca="false">$E49*MAX(0,(MIN(In_Decision_Date+In_PB_Days-1,CA$4)-MAX($F49,CA$3)+1)/CA$5)</f>
        <v>0</v>
      </c>
      <c r="CB49" s="47" t="n">
        <f aca="false">$E49*MAX(0,(MIN(In_Decision_Date+In_PB_Days-1,CB$4)-MAX($F49,CB$3)+1)/CB$5)</f>
        <v>0</v>
      </c>
      <c r="CC49" s="47" t="n">
        <f aca="false">$E49*MAX(0,(MIN(In_Decision_Date+In_PB_Days-1,CC$4)-MAX($F49,CC$3)+1)/CC$5)</f>
        <v>0</v>
      </c>
      <c r="CD49" s="47" t="n">
        <f aca="false">$E49*MAX(0,(MIN(In_Decision_Date+In_PB_Days-1,CD$4)-MAX($F49,CD$3)+1)/CD$5)</f>
        <v>0</v>
      </c>
      <c r="CE49" s="47" t="n">
        <f aca="false">$E49*MAX(0,(MIN(In_Decision_Date+In_PB_Days-1,CE$4)-MAX($F49,CE$3)+1)/CE$5)</f>
        <v>0</v>
      </c>
      <c r="CF49" s="47" t="n">
        <f aca="false">$E49*MAX(0,(MIN(In_Decision_Date+In_PB_Days-1,CF$4)-MAX($F49,CF$3)+1)/CF$5)</f>
        <v>0</v>
      </c>
      <c r="CG49" s="47" t="n">
        <f aca="false">$E49*MAX(0,(MIN(In_Decision_Date+In_PB_Days-1,CG$4)-MAX($F49,CG$3)+1)/CG$5)</f>
        <v>0</v>
      </c>
      <c r="CH49" s="47" t="n">
        <f aca="false">$E49*MAX(0,(MIN(In_Decision_Date+In_PB_Days-1,CH$4)-MAX($F49,CH$3)+1)/CH$5)</f>
        <v>0</v>
      </c>
      <c r="CI49" s="47" t="n">
        <f aca="false">$E49*MAX(0,(MIN(In_Decision_Date+In_PB_Days-1,CI$4)-MAX($F49,CI$3)+1)/CI$5)</f>
        <v>0</v>
      </c>
      <c r="CJ49" s="47" t="n">
        <f aca="false">$E49*MAX(0,(MIN(In_Decision_Date+In_PB_Days-1,CJ$4)-MAX($F49,CJ$3)+1)/CJ$5)</f>
        <v>0</v>
      </c>
      <c r="CK49" s="47" t="n">
        <f aca="false">$E49*MAX(0,(MIN(In_Decision_Date+In_PB_Days-1,CK$4)-MAX($F49,CK$3)+1)/CK$5)</f>
        <v>0</v>
      </c>
      <c r="CL49" s="47" t="n">
        <f aca="false">$E49*MAX(0,(MIN(In_Decision_Date+In_PB_Days-1,CL$4)-MAX($F49,CL$3)+1)/CL$5)</f>
        <v>0</v>
      </c>
      <c r="CM49" s="47" t="n">
        <f aca="false">$E49*MAX(0,(MIN(In_Decision_Date+In_PB_Days-1,CM$4)-MAX($F49,CM$3)+1)/CM$5)</f>
        <v>0</v>
      </c>
      <c r="CN49" s="47" t="n">
        <f aca="false">$E49*MAX(0,(MIN(In_Decision_Date+In_PB_Days-1,CN$4)-MAX($F49,CN$3)+1)/CN$5)</f>
        <v>0</v>
      </c>
      <c r="CO49" s="47" t="n">
        <f aca="false">$E49*MAX(0,(MIN(In_Decision_Date+In_PB_Days-1,CO$4)-MAX($F49,CO$3)+1)/CO$5)</f>
        <v>0</v>
      </c>
      <c r="CP49" s="47" t="n">
        <f aca="false">$E49*MAX(0,(MIN(In_Decision_Date+In_PB_Days-1,CP$4)-MAX($F49,CP$3)+1)/CP$5)</f>
        <v>0</v>
      </c>
      <c r="CQ49" s="47" t="n">
        <f aca="false">$E49*MAX(0,(MIN(In_Decision_Date+In_PB_Days-1,CQ$4)-MAX($F49,CQ$3)+1)/CQ$5)</f>
        <v>0</v>
      </c>
      <c r="CR49" s="47" t="n">
        <f aca="false">$E49*MAX(0,(MIN(In_Decision_Date+In_PB_Days-1,CR$4)-MAX($F49,CR$3)+1)/CR$5)</f>
        <v>0</v>
      </c>
      <c r="CS49" s="47" t="n">
        <f aca="false">$E49*MAX(0,(MIN(In_Decision_Date+In_PB_Days-1,CS$4)-MAX($F49,CS$3)+1)/CS$5)</f>
        <v>0</v>
      </c>
      <c r="CT49" s="47" t="n">
        <f aca="false">$E49*MAX(0,(MIN(In_Decision_Date+In_PB_Days-1,CT$4)-MAX($F49,CT$3)+1)/CT$5)</f>
        <v>0</v>
      </c>
      <c r="CU49" s="47" t="n">
        <f aca="false">$E49*MAX(0,(MIN(In_Decision_Date+In_PB_Days-1,CU$4)-MAX($F49,CU$3)+1)/CU$5)</f>
        <v>0</v>
      </c>
      <c r="CV49" s="47" t="n">
        <f aca="false">$E49*MAX(0,(MIN(In_Decision_Date+In_PB_Days-1,CV$4)-MAX($F49,CV$3)+1)/CV$5)</f>
        <v>0</v>
      </c>
      <c r="CW49" s="47" t="n">
        <f aca="false">$E49*MAX(0,(MIN(In_Decision_Date+In_PB_Days-1,CW$4)-MAX($F49,CW$3)+1)/CW$5)</f>
        <v>0</v>
      </c>
      <c r="CX49" s="47" t="n">
        <f aca="false">$E49*MAX(0,(MIN(In_Decision_Date+In_PB_Days-1,CX$4)-MAX($F49,CX$3)+1)/CX$5)</f>
        <v>0</v>
      </c>
      <c r="CY49" s="47" t="n">
        <f aca="false">$E49*MAX(0,(MIN(In_Decision_Date+In_PB_Days-1,CY$4)-MAX($F49,CY$3)+1)/CY$5)</f>
        <v>0</v>
      </c>
      <c r="CZ49" s="47" t="n">
        <f aca="false">$E49*MAX(0,(MIN(In_Decision_Date+In_PB_Days-1,CZ$4)-MAX($F49,CZ$3)+1)/CZ$5)</f>
        <v>0</v>
      </c>
      <c r="DA49" s="47" t="n">
        <f aca="false">$E49*MAX(0,(MIN(In_Decision_Date+In_PB_Days-1,DA$4)-MAX($F49,DA$3)+1)/DA$5)</f>
        <v>0</v>
      </c>
      <c r="DB49" s="47" t="n">
        <f aca="false">$E49*MAX(0,(MIN(In_Decision_Date+In_PB_Days-1,DB$4)-MAX($F49,DB$3)+1)/DB$5)</f>
        <v>0</v>
      </c>
      <c r="DC49" s="47" t="n">
        <f aca="false">$E49*MAX(0,(MIN(In_Decision_Date+In_PB_Days-1,DC$4)-MAX($F49,DC$3)+1)/DC$5)</f>
        <v>0</v>
      </c>
      <c r="DD49" s="47" t="n">
        <f aca="false">$E49*MAX(0,(MIN(In_Decision_Date+In_PB_Days-1,DD$4)-MAX($F49,DD$3)+1)/DD$5)</f>
        <v>0</v>
      </c>
      <c r="DE49" s="47" t="n">
        <f aca="false">$E49*MAX(0,(MIN(In_Decision_Date+In_PB_Days-1,DE$4)-MAX($F49,DE$3)+1)/DE$5)</f>
        <v>0</v>
      </c>
      <c r="DF49" s="47" t="n">
        <f aca="false">$E49*MAX(0,(MIN(In_Decision_Date+In_PB_Days-1,DF$4)-MAX($F49,DF$3)+1)/DF$5)</f>
        <v>0</v>
      </c>
      <c r="DG49" s="47" t="n">
        <f aca="false">$E49*MAX(0,(MIN(In_Decision_Date+In_PB_Days-1,DG$4)-MAX($F49,DG$3)+1)/DG$5)</f>
        <v>0</v>
      </c>
      <c r="DH49" s="47" t="n">
        <f aca="false">$E49*MAX(0,(MIN(In_Decision_Date+In_PB_Days-1,DH$4)-MAX($F49,DH$3)+1)/DH$5)</f>
        <v>0</v>
      </c>
      <c r="DI49" s="47" t="n">
        <f aca="false">$E49*MAX(0,(MIN(In_Decision_Date+In_PB_Days-1,DI$4)-MAX($F49,DI$3)+1)/DI$5)</f>
        <v>0</v>
      </c>
      <c r="DJ49" s="47" t="n">
        <f aca="false">$E49*MAX(0,(MIN(In_Decision_Date+In_PB_Days-1,DJ$4)-MAX($F49,DJ$3)+1)/DJ$5)</f>
        <v>0</v>
      </c>
      <c r="DK49" s="47" t="n">
        <f aca="false">$E49*MAX(0,(MIN(In_Decision_Date+In_PB_Days-1,DK$4)-MAX($F49,DK$3)+1)/DK$5)</f>
        <v>0</v>
      </c>
      <c r="DL49" s="47" t="n">
        <f aca="false">$E49*MAX(0,(MIN(In_Decision_Date+In_PB_Days-1,DL$4)-MAX($F49,DL$3)+1)/DL$5)</f>
        <v>0</v>
      </c>
      <c r="DM49" s="47" t="n">
        <f aca="false">$E49*MAX(0,(MIN(In_Decision_Date+In_PB_Days-1,DM$4)-MAX($F49,DM$3)+1)/DM$5)</f>
        <v>0</v>
      </c>
      <c r="DN49" s="47" t="n">
        <f aca="false">$E49*MAX(0,(MIN(In_Decision_Date+In_PB_Days-1,DN$4)-MAX($F49,DN$3)+1)/DN$5)</f>
        <v>0</v>
      </c>
      <c r="DO49" s="47" t="n">
        <f aca="false">$E49*MAX(0,(MIN(In_Decision_Date+In_PB_Days-1,DO$4)-MAX($F49,DO$3)+1)/DO$5)</f>
        <v>0</v>
      </c>
      <c r="DP49" s="47" t="n">
        <f aca="false">$E49*MAX(0,(MIN(In_Decision_Date+In_PB_Days-1,DP$4)-MAX($F49,DP$3)+1)/DP$5)</f>
        <v>0</v>
      </c>
      <c r="DQ49" s="47" t="n">
        <f aca="false">$E49*MAX(0,(MIN(In_Decision_Date+In_PB_Days-1,DQ$4)-MAX($F49,DQ$3)+1)/DQ$5)</f>
        <v>0</v>
      </c>
      <c r="DR49" s="47" t="n">
        <f aca="false">$E49*MAX(0,(MIN(In_Decision_Date+In_PB_Days-1,DR$4)-MAX($F49,DR$3)+1)/DR$5)</f>
        <v>0</v>
      </c>
      <c r="DS49" s="47" t="n">
        <f aca="false">$E49*MAX(0,(MIN(In_Decision_Date+In_PB_Days-1,DS$4)-MAX($F49,DS$3)+1)/DS$5)</f>
        <v>0</v>
      </c>
      <c r="DT49" s="47" t="n">
        <f aca="false">$E49*MAX(0,(MIN(In_Decision_Date+In_PB_Days-1,DT$4)-MAX($F49,DT$3)+1)/DT$5)</f>
        <v>0</v>
      </c>
      <c r="DU49" s="47" t="n">
        <f aca="false">$E49*MAX(0,(MIN(In_Decision_Date+In_PB_Days-1,DU$4)-MAX($F49,DU$3)+1)/DU$5)</f>
        <v>0</v>
      </c>
      <c r="DV49" s="47" t="n">
        <f aca="false">$E49*MAX(0,(MIN(In_Decision_Date+In_PB_Days-1,DV$4)-MAX($F49,DV$3)+1)/DV$5)</f>
        <v>0</v>
      </c>
      <c r="DW49" s="47" t="n">
        <f aca="false">$E49*MAX(0,(MIN(In_Decision_Date+In_PB_Days-1,DW$4)-MAX($F49,DW$3)+1)/DW$5)</f>
        <v>0</v>
      </c>
      <c r="DX49" s="47" t="n">
        <f aca="false">$E49*MAX(0,(MIN(In_Decision_Date+In_PB_Days-1,DX$4)-MAX($F49,DX$3)+1)/DX$5)</f>
        <v>0</v>
      </c>
      <c r="DY49" s="47" t="n">
        <f aca="false">$E49*MAX(0,(MIN(In_Decision_Date+In_PB_Days-1,DY$4)-MAX($F49,DY$3)+1)/DY$5)</f>
        <v>0</v>
      </c>
      <c r="DZ49" s="47" t="n">
        <f aca="false">$E49*MAX(0,(MIN(In_Decision_Date+In_PB_Days-1,DZ$4)-MAX($F49,DZ$3)+1)/DZ$5)</f>
        <v>0</v>
      </c>
      <c r="EA49" s="47" t="n">
        <f aca="false">$E49*MAX(0,(MIN(In_Decision_Date+In_PB_Days-1,EA$4)-MAX($F49,EA$3)+1)/EA$5)</f>
        <v>0</v>
      </c>
      <c r="EB49" s="47" t="n">
        <f aca="false">$E49*MAX(0,(MIN(In_Decision_Date+In_PB_Days-1,EB$4)-MAX($F49,EB$3)+1)/EB$5)</f>
        <v>0</v>
      </c>
      <c r="EC49" s="47" t="n">
        <f aca="false">$E49*MAX(0,(MIN(In_Decision_Date+In_PB_Days-1,EC$4)-MAX($F49,EC$3)+1)/EC$5)</f>
        <v>0</v>
      </c>
      <c r="ED49" s="47" t="n">
        <f aca="false">$E49*MAX(0,(MIN(In_Decision_Date+In_PB_Days-1,ED$4)-MAX($F49,ED$3)+1)/ED$5)</f>
        <v>0</v>
      </c>
      <c r="EE49" s="47" t="n">
        <f aca="false">$E49*MAX(0,(MIN(In_Decision_Date+In_PB_Days-1,EE$4)-MAX($F49,EE$3)+1)/EE$5)</f>
        <v>0</v>
      </c>
      <c r="EF49" s="47" t="n">
        <f aca="false">$E49*MAX(0,(MIN(In_Decision_Date+In_PB_Days-1,EF$4)-MAX($F49,EF$3)+1)/EF$5)</f>
        <v>0</v>
      </c>
      <c r="EG49" s="47" t="n">
        <f aca="false">$E49*MAX(0,(MIN(In_Decision_Date+In_PB_Days-1,EG$4)-MAX($F49,EG$3)+1)/EG$5)</f>
        <v>0</v>
      </c>
      <c r="EH49" s="47" t="n">
        <f aca="false">$E49*MAX(0,(MIN(In_Decision_Date+In_PB_Days-1,EH$4)-MAX($F49,EH$3)+1)/EH$5)</f>
        <v>0</v>
      </c>
      <c r="EI49" s="47" t="n">
        <f aca="false">$E49*MAX(0,(MIN(In_Decision_Date+In_PB_Days-1,EI$4)-MAX($F49,EI$3)+1)/EI$5)</f>
        <v>0</v>
      </c>
      <c r="EJ49" s="47" t="n">
        <f aca="false">$E49*MAX(0,(MIN(In_Decision_Date+In_PB_Days-1,EJ$4)-MAX($F49,EJ$3)+1)/EJ$5)</f>
        <v>0</v>
      </c>
      <c r="EK49" s="47" t="n">
        <f aca="false">$E49*MAX(0,(MIN(In_Decision_Date+In_PB_Days-1,EK$4)-MAX($F49,EK$3)+1)/EK$5)</f>
        <v>0</v>
      </c>
      <c r="EL49" s="47" t="n">
        <f aca="false">$E49*MAX(0,(MIN(In_Decision_Date+In_PB_Days-1,EL$4)-MAX($F49,EL$3)+1)/EL$5)</f>
        <v>0</v>
      </c>
      <c r="EM49" s="47" t="n">
        <f aca="false">$E49*MAX(0,(MIN(In_Decision_Date+In_PB_Days-1,EM$4)-MAX($F49,EM$3)+1)/EM$5)</f>
        <v>0</v>
      </c>
      <c r="EN49" s="47" t="n">
        <f aca="false">$E49*MAX(0,(MIN(In_Decision_Date+In_PB_Days-1,EN$4)-MAX($F49,EN$3)+1)/EN$5)</f>
        <v>0</v>
      </c>
      <c r="EO49" s="47" t="n">
        <f aca="false">$E49*MAX(0,(MIN(In_Decision_Date+In_PB_Days-1,EO$4)-MAX($F49,EO$3)+1)/EO$5)</f>
        <v>0</v>
      </c>
    </row>
    <row r="50" customFormat="false" ht="15" hidden="false" customHeight="false" outlineLevel="0" collapsed="false">
      <c r="C50" s="0" t="s">
        <v>403</v>
      </c>
      <c r="D50" s="11" t="s">
        <v>33</v>
      </c>
      <c r="E50" s="47" t="n">
        <f aca="false">In_PB_Rate*$E36*$E47*Thousand/In_FX</f>
        <v>2216.43835616438</v>
      </c>
      <c r="F50" s="45" t="n">
        <f aca="false">In_Decision_Date+In_PB_Days</f>
        <v>46433</v>
      </c>
      <c r="J50" s="47" t="n">
        <f aca="false">$E50*MAX(0,(MIN(In_PB_Release,J$4)-MAX($F50,J$3)+1)/J$5)</f>
        <v>0</v>
      </c>
      <c r="K50" s="47" t="n">
        <f aca="false">$E50*MAX(0,(MIN(In_PB_Release,K$4)-MAX($F50,K$3)+1)/K$5)</f>
        <v>1108.21917808219</v>
      </c>
      <c r="L50" s="47" t="n">
        <f aca="false">$E50*MAX(0,(MIN(In_PB_Release,L$4)-MAX($F50,L$3)+1)/L$5)</f>
        <v>2216.43835616438</v>
      </c>
      <c r="M50" s="47" t="n">
        <f aca="false">$E50*MAX(0,(MIN(In_PB_Release,M$4)-MAX($F50,M$3)+1)/M$5)</f>
        <v>2216.43835616438</v>
      </c>
      <c r="N50" s="47" t="n">
        <f aca="false">$E50*MAX(0,(MIN(In_PB_Release,N$4)-MAX($F50,N$3)+1)/N$5)</f>
        <v>2216.43835616438</v>
      </c>
      <c r="O50" s="47" t="n">
        <f aca="false">$E50*MAX(0,(MIN(In_PB_Release,O$4)-MAX($F50,O$3)+1)/O$5)</f>
        <v>2216.43835616438</v>
      </c>
      <c r="P50" s="47" t="n">
        <f aca="false">$E50*MAX(0,(MIN(In_PB_Release,P$4)-MAX($F50,P$3)+1)/P$5)</f>
        <v>2216.43835616438</v>
      </c>
      <c r="Q50" s="47" t="n">
        <f aca="false">$E50*MAX(0,(MIN(In_PB_Release,Q$4)-MAX($F50,Q$3)+1)/Q$5)</f>
        <v>2216.43835616438</v>
      </c>
      <c r="R50" s="47" t="n">
        <f aca="false">$E50*MAX(0,(MIN(In_PB_Release,R$4)-MAX($F50,R$3)+1)/R$5)</f>
        <v>2216.43835616438</v>
      </c>
      <c r="S50" s="47" t="n">
        <f aca="false">$E50*MAX(0,(MIN(In_PB_Release,S$4)-MAX($F50,S$3)+1)/S$5)</f>
        <v>2216.43835616438</v>
      </c>
      <c r="T50" s="47" t="n">
        <f aca="false">$E50*MAX(0,(MIN(In_PB_Release,T$4)-MAX($F50,T$3)+1)/T$5)</f>
        <v>2216.43835616438</v>
      </c>
      <c r="U50" s="47" t="n">
        <f aca="false">$E50*MAX(0,(MIN(In_PB_Release,U$4)-MAX($F50,U$3)+1)/U$5)</f>
        <v>2216.43835616438</v>
      </c>
      <c r="V50" s="47" t="n">
        <f aca="false">$E50*MAX(0,(MIN(In_PB_Release,V$4)-MAX($F50,V$3)+1)/V$5)</f>
        <v>2216.43835616438</v>
      </c>
      <c r="W50" s="47" t="n">
        <f aca="false">$E50*MAX(0,(MIN(In_PB_Release,W$4)-MAX($F50,W$3)+1)/W$5)</f>
        <v>2216.43835616438</v>
      </c>
      <c r="X50" s="47" t="n">
        <f aca="false">$E50*MAX(0,(MIN(In_PB_Release,X$4)-MAX($F50,X$3)+1)/X$5)</f>
        <v>2216.43835616438</v>
      </c>
      <c r="Y50" s="47" t="n">
        <f aca="false">$E50*MAX(0,(MIN(In_PB_Release,Y$4)-MAX($F50,Y$3)+1)/Y$5)</f>
        <v>2216.43835616438</v>
      </c>
      <c r="Z50" s="47" t="n">
        <f aca="false">$E50*MAX(0,(MIN(In_PB_Release,Z$4)-MAX($F50,Z$3)+1)/Z$5)</f>
        <v>2216.43835616438</v>
      </c>
      <c r="AA50" s="47" t="n">
        <f aca="false">$E50*MAX(0,(MIN(In_PB_Release,AA$4)-MAX($F50,AA$3)+1)/AA$5)</f>
        <v>2216.43835616438</v>
      </c>
      <c r="AB50" s="47" t="n">
        <f aca="false">$E50*MAX(0,(MIN(In_PB_Release,AB$4)-MAX($F50,AB$3)+1)/AB$5)</f>
        <v>2216.43835616438</v>
      </c>
      <c r="AC50" s="47" t="n">
        <f aca="false">$E50*MAX(0,(MIN(In_PB_Release,AC$4)-MAX($F50,AC$3)+1)/AC$5)</f>
        <v>2216.43835616438</v>
      </c>
      <c r="AD50" s="47" t="n">
        <f aca="false">$E50*MAX(0,(MIN(In_PB_Release,AD$4)-MAX($F50,AD$3)+1)/AD$5)</f>
        <v>2216.43835616438</v>
      </c>
      <c r="AE50" s="47" t="n">
        <f aca="false">$E50*MAX(0,(MIN(In_PB_Release,AE$4)-MAX($F50,AE$3)+1)/AE$5)</f>
        <v>2216.43835616438</v>
      </c>
      <c r="AF50" s="47" t="n">
        <f aca="false">$E50*MAX(0,(MIN(In_PB_Release,AF$4)-MAX($F50,AF$3)+1)/AF$5)</f>
        <v>2216.43835616438</v>
      </c>
      <c r="AG50" s="47" t="n">
        <f aca="false">$E50*MAX(0,(MIN(In_PB_Release,AG$4)-MAX($F50,AG$3)+1)/AG$5)</f>
        <v>2216.43835616438</v>
      </c>
      <c r="AH50" s="47" t="n">
        <f aca="false">$E50*MAX(0,(MIN(In_PB_Release,AH$4)-MAX($F50,AH$3)+1)/AH$5)</f>
        <v>2216.43835616438</v>
      </c>
      <c r="AI50" s="47" t="n">
        <f aca="false">$E50*MAX(0,(MIN(In_PB_Release,AI$4)-MAX($F50,AI$3)+1)/AI$5)</f>
        <v>2216.43835616438</v>
      </c>
      <c r="AJ50" s="47" t="n">
        <f aca="false">$E50*MAX(0,(MIN(In_PB_Release,AJ$4)-MAX($F50,AJ$3)+1)/AJ$5)</f>
        <v>0</v>
      </c>
      <c r="AK50" s="47" t="n">
        <f aca="false">$E50*MAX(0,(MIN(In_PB_Release,AK$4)-MAX($F50,AK$3)+1)/AK$5)</f>
        <v>0</v>
      </c>
      <c r="AL50" s="47" t="n">
        <f aca="false">$E50*MAX(0,(MIN(In_PB_Release,AL$4)-MAX($F50,AL$3)+1)/AL$5)</f>
        <v>0</v>
      </c>
      <c r="AM50" s="47" t="n">
        <f aca="false">$E50*MAX(0,(MIN(In_PB_Release,AM$4)-MAX($F50,AM$3)+1)/AM$5)</f>
        <v>0</v>
      </c>
      <c r="AN50" s="47" t="n">
        <f aca="false">$E50*MAX(0,(MIN(In_PB_Release,AN$4)-MAX($F50,AN$3)+1)/AN$5)</f>
        <v>0</v>
      </c>
      <c r="AO50" s="47" t="n">
        <f aca="false">$E50*MAX(0,(MIN(In_PB_Release,AO$4)-MAX($F50,AO$3)+1)/AO$5)</f>
        <v>0</v>
      </c>
      <c r="AP50" s="47" t="n">
        <f aca="false">$E50*MAX(0,(MIN(In_PB_Release,AP$4)-MAX($F50,AP$3)+1)/AP$5)</f>
        <v>0</v>
      </c>
      <c r="AQ50" s="47" t="n">
        <f aca="false">$E50*MAX(0,(MIN(In_PB_Release,AQ$4)-MAX($F50,AQ$3)+1)/AQ$5)</f>
        <v>0</v>
      </c>
      <c r="AR50" s="47" t="n">
        <f aca="false">$E50*MAX(0,(MIN(In_PB_Release,AR$4)-MAX($F50,AR$3)+1)/AR$5)</f>
        <v>0</v>
      </c>
      <c r="AS50" s="47" t="n">
        <f aca="false">$E50*MAX(0,(MIN(In_PB_Release,AS$4)-MAX($F50,AS$3)+1)/AS$5)</f>
        <v>0</v>
      </c>
      <c r="AT50" s="47" t="n">
        <f aca="false">$E50*MAX(0,(MIN(In_PB_Release,AT$4)-MAX($F50,AT$3)+1)/AT$5)</f>
        <v>0</v>
      </c>
      <c r="AU50" s="47" t="n">
        <f aca="false">$E50*MAX(0,(MIN(In_PB_Release,AU$4)-MAX($F50,AU$3)+1)/AU$5)</f>
        <v>0</v>
      </c>
      <c r="AV50" s="47" t="n">
        <f aca="false">$E50*MAX(0,(MIN(In_PB_Release,AV$4)-MAX($F50,AV$3)+1)/AV$5)</f>
        <v>0</v>
      </c>
      <c r="AW50" s="47" t="n">
        <f aca="false">$E50*MAX(0,(MIN(In_PB_Release,AW$4)-MAX($F50,AW$3)+1)/AW$5)</f>
        <v>0</v>
      </c>
      <c r="AX50" s="47" t="n">
        <f aca="false">$E50*MAX(0,(MIN(In_PB_Release,AX$4)-MAX($F50,AX$3)+1)/AX$5)</f>
        <v>0</v>
      </c>
      <c r="AY50" s="47" t="n">
        <f aca="false">$E50*MAX(0,(MIN(In_PB_Release,AY$4)-MAX($F50,AY$3)+1)/AY$5)</f>
        <v>0</v>
      </c>
      <c r="AZ50" s="47" t="n">
        <f aca="false">$E50*MAX(0,(MIN(In_PB_Release,AZ$4)-MAX($F50,AZ$3)+1)/AZ$5)</f>
        <v>0</v>
      </c>
      <c r="BA50" s="47" t="n">
        <f aca="false">$E50*MAX(0,(MIN(In_PB_Release,BA$4)-MAX($F50,BA$3)+1)/BA$5)</f>
        <v>0</v>
      </c>
      <c r="BB50" s="47" t="n">
        <f aca="false">$E50*MAX(0,(MIN(In_PB_Release,BB$4)-MAX($F50,BB$3)+1)/BB$5)</f>
        <v>0</v>
      </c>
      <c r="BC50" s="47" t="n">
        <f aca="false">$E50*MAX(0,(MIN(In_PB_Release,BC$4)-MAX($F50,BC$3)+1)/BC$5)</f>
        <v>0</v>
      </c>
      <c r="BD50" s="47" t="n">
        <f aca="false">$E50*MAX(0,(MIN(In_PB_Release,BD$4)-MAX($F50,BD$3)+1)/BD$5)</f>
        <v>0</v>
      </c>
      <c r="BE50" s="47" t="n">
        <f aca="false">$E50*MAX(0,(MIN(In_PB_Release,BE$4)-MAX($F50,BE$3)+1)/BE$5)</f>
        <v>0</v>
      </c>
      <c r="BF50" s="47" t="n">
        <f aca="false">$E50*MAX(0,(MIN(In_PB_Release,BF$4)-MAX($F50,BF$3)+1)/BF$5)</f>
        <v>0</v>
      </c>
      <c r="BG50" s="47" t="n">
        <f aca="false">$E50*MAX(0,(MIN(In_PB_Release,BG$4)-MAX($F50,BG$3)+1)/BG$5)</f>
        <v>0</v>
      </c>
      <c r="BH50" s="47" t="n">
        <f aca="false">$E50*MAX(0,(MIN(In_PB_Release,BH$4)-MAX($F50,BH$3)+1)/BH$5)</f>
        <v>0</v>
      </c>
      <c r="BI50" s="47" t="n">
        <f aca="false">$E50*MAX(0,(MIN(In_PB_Release,BI$4)-MAX($F50,BI$3)+1)/BI$5)</f>
        <v>0</v>
      </c>
      <c r="BJ50" s="47" t="n">
        <f aca="false">$E50*MAX(0,(MIN(In_PB_Release,BJ$4)-MAX($F50,BJ$3)+1)/BJ$5)</f>
        <v>0</v>
      </c>
      <c r="BK50" s="47" t="n">
        <f aca="false">$E50*MAX(0,(MIN(In_PB_Release,BK$4)-MAX($F50,BK$3)+1)/BK$5)</f>
        <v>0</v>
      </c>
      <c r="BL50" s="47" t="n">
        <f aca="false">$E50*MAX(0,(MIN(In_PB_Release,BL$4)-MAX($F50,BL$3)+1)/BL$5)</f>
        <v>0</v>
      </c>
      <c r="BM50" s="47" t="n">
        <f aca="false">$E50*MAX(0,(MIN(In_PB_Release,BM$4)-MAX($F50,BM$3)+1)/BM$5)</f>
        <v>0</v>
      </c>
      <c r="BN50" s="47" t="n">
        <f aca="false">$E50*MAX(0,(MIN(In_PB_Release,BN$4)-MAX($F50,BN$3)+1)/BN$5)</f>
        <v>0</v>
      </c>
      <c r="BO50" s="47" t="n">
        <f aca="false">$E50*MAX(0,(MIN(In_PB_Release,BO$4)-MAX($F50,BO$3)+1)/BO$5)</f>
        <v>0</v>
      </c>
      <c r="BP50" s="47" t="n">
        <f aca="false">$E50*MAX(0,(MIN(In_PB_Release,BP$4)-MAX($F50,BP$3)+1)/BP$5)</f>
        <v>0</v>
      </c>
      <c r="BQ50" s="47" t="n">
        <f aca="false">$E50*MAX(0,(MIN(In_PB_Release,BQ$4)-MAX($F50,BQ$3)+1)/BQ$5)</f>
        <v>0</v>
      </c>
      <c r="BR50" s="47" t="n">
        <f aca="false">$E50*MAX(0,(MIN(In_PB_Release,BR$4)-MAX($F50,BR$3)+1)/BR$5)</f>
        <v>0</v>
      </c>
      <c r="BS50" s="47" t="n">
        <f aca="false">$E50*MAX(0,(MIN(In_PB_Release,BS$4)-MAX($F50,BS$3)+1)/BS$5)</f>
        <v>0</v>
      </c>
      <c r="BT50" s="47" t="n">
        <f aca="false">$E50*MAX(0,(MIN(In_PB_Release,BT$4)-MAX($F50,BT$3)+1)/BT$5)</f>
        <v>0</v>
      </c>
      <c r="BU50" s="47" t="n">
        <f aca="false">$E50*MAX(0,(MIN(In_PB_Release,BU$4)-MAX($F50,BU$3)+1)/BU$5)</f>
        <v>0</v>
      </c>
      <c r="BV50" s="47" t="n">
        <f aca="false">$E50*MAX(0,(MIN(In_PB_Release,BV$4)-MAX($F50,BV$3)+1)/BV$5)</f>
        <v>0</v>
      </c>
      <c r="BW50" s="47" t="n">
        <f aca="false">$E50*MAX(0,(MIN(In_PB_Release,BW$4)-MAX($F50,BW$3)+1)/BW$5)</f>
        <v>0</v>
      </c>
      <c r="BX50" s="47" t="n">
        <f aca="false">$E50*MAX(0,(MIN(In_PB_Release,BX$4)-MAX($F50,BX$3)+1)/BX$5)</f>
        <v>0</v>
      </c>
      <c r="BY50" s="47" t="n">
        <f aca="false">$E50*MAX(0,(MIN(In_PB_Release,BY$4)-MAX($F50,BY$3)+1)/BY$5)</f>
        <v>0</v>
      </c>
      <c r="BZ50" s="47" t="n">
        <f aca="false">$E50*MAX(0,(MIN(In_PB_Release,BZ$4)-MAX($F50,BZ$3)+1)/BZ$5)</f>
        <v>0</v>
      </c>
      <c r="CA50" s="47" t="n">
        <f aca="false">$E50*MAX(0,(MIN(In_PB_Release,CA$4)-MAX($F50,CA$3)+1)/CA$5)</f>
        <v>0</v>
      </c>
      <c r="CB50" s="47" t="n">
        <f aca="false">$E50*MAX(0,(MIN(In_PB_Release,CB$4)-MAX($F50,CB$3)+1)/CB$5)</f>
        <v>0</v>
      </c>
      <c r="CC50" s="47" t="n">
        <f aca="false">$E50*MAX(0,(MIN(In_PB_Release,CC$4)-MAX($F50,CC$3)+1)/CC$5)</f>
        <v>0</v>
      </c>
      <c r="CD50" s="47" t="n">
        <f aca="false">$E50*MAX(0,(MIN(In_PB_Release,CD$4)-MAX($F50,CD$3)+1)/CD$5)</f>
        <v>0</v>
      </c>
      <c r="CE50" s="47" t="n">
        <f aca="false">$E50*MAX(0,(MIN(In_PB_Release,CE$4)-MAX($F50,CE$3)+1)/CE$5)</f>
        <v>0</v>
      </c>
      <c r="CF50" s="47" t="n">
        <f aca="false">$E50*MAX(0,(MIN(In_PB_Release,CF$4)-MAX($F50,CF$3)+1)/CF$5)</f>
        <v>0</v>
      </c>
      <c r="CG50" s="47" t="n">
        <f aca="false">$E50*MAX(0,(MIN(In_PB_Release,CG$4)-MAX($F50,CG$3)+1)/CG$5)</f>
        <v>0</v>
      </c>
      <c r="CH50" s="47" t="n">
        <f aca="false">$E50*MAX(0,(MIN(In_PB_Release,CH$4)-MAX($F50,CH$3)+1)/CH$5)</f>
        <v>0</v>
      </c>
      <c r="CI50" s="47" t="n">
        <f aca="false">$E50*MAX(0,(MIN(In_PB_Release,CI$4)-MAX($F50,CI$3)+1)/CI$5)</f>
        <v>0</v>
      </c>
      <c r="CJ50" s="47" t="n">
        <f aca="false">$E50*MAX(0,(MIN(In_PB_Release,CJ$4)-MAX($F50,CJ$3)+1)/CJ$5)</f>
        <v>0</v>
      </c>
      <c r="CK50" s="47" t="n">
        <f aca="false">$E50*MAX(0,(MIN(In_PB_Release,CK$4)-MAX($F50,CK$3)+1)/CK$5)</f>
        <v>0</v>
      </c>
      <c r="CL50" s="47" t="n">
        <f aca="false">$E50*MAX(0,(MIN(In_PB_Release,CL$4)-MAX($F50,CL$3)+1)/CL$5)</f>
        <v>0</v>
      </c>
      <c r="CM50" s="47" t="n">
        <f aca="false">$E50*MAX(0,(MIN(In_PB_Release,CM$4)-MAX($F50,CM$3)+1)/CM$5)</f>
        <v>0</v>
      </c>
      <c r="CN50" s="47" t="n">
        <f aca="false">$E50*MAX(0,(MIN(In_PB_Release,CN$4)-MAX($F50,CN$3)+1)/CN$5)</f>
        <v>0</v>
      </c>
      <c r="CO50" s="47" t="n">
        <f aca="false">$E50*MAX(0,(MIN(In_PB_Release,CO$4)-MAX($F50,CO$3)+1)/CO$5)</f>
        <v>0</v>
      </c>
      <c r="CP50" s="47" t="n">
        <f aca="false">$E50*MAX(0,(MIN(In_PB_Release,CP$4)-MAX($F50,CP$3)+1)/CP$5)</f>
        <v>0</v>
      </c>
      <c r="CQ50" s="47" t="n">
        <f aca="false">$E50*MAX(0,(MIN(In_PB_Release,CQ$4)-MAX($F50,CQ$3)+1)/CQ$5)</f>
        <v>0</v>
      </c>
      <c r="CR50" s="47" t="n">
        <f aca="false">$E50*MAX(0,(MIN(In_PB_Release,CR$4)-MAX($F50,CR$3)+1)/CR$5)</f>
        <v>0</v>
      </c>
      <c r="CS50" s="47" t="n">
        <f aca="false">$E50*MAX(0,(MIN(In_PB_Release,CS$4)-MAX($F50,CS$3)+1)/CS$5)</f>
        <v>0</v>
      </c>
      <c r="CT50" s="47" t="n">
        <f aca="false">$E50*MAX(0,(MIN(In_PB_Release,CT$4)-MAX($F50,CT$3)+1)/CT$5)</f>
        <v>0</v>
      </c>
      <c r="CU50" s="47" t="n">
        <f aca="false">$E50*MAX(0,(MIN(In_PB_Release,CU$4)-MAX($F50,CU$3)+1)/CU$5)</f>
        <v>0</v>
      </c>
      <c r="CV50" s="47" t="n">
        <f aca="false">$E50*MAX(0,(MIN(In_PB_Release,CV$4)-MAX($F50,CV$3)+1)/CV$5)</f>
        <v>0</v>
      </c>
      <c r="CW50" s="47" t="n">
        <f aca="false">$E50*MAX(0,(MIN(In_PB_Release,CW$4)-MAX($F50,CW$3)+1)/CW$5)</f>
        <v>0</v>
      </c>
      <c r="CX50" s="47" t="n">
        <f aca="false">$E50*MAX(0,(MIN(In_PB_Release,CX$4)-MAX($F50,CX$3)+1)/CX$5)</f>
        <v>0</v>
      </c>
      <c r="CY50" s="47" t="n">
        <f aca="false">$E50*MAX(0,(MIN(In_PB_Release,CY$4)-MAX($F50,CY$3)+1)/CY$5)</f>
        <v>0</v>
      </c>
      <c r="CZ50" s="47" t="n">
        <f aca="false">$E50*MAX(0,(MIN(In_PB_Release,CZ$4)-MAX($F50,CZ$3)+1)/CZ$5)</f>
        <v>0</v>
      </c>
      <c r="DA50" s="47" t="n">
        <f aca="false">$E50*MAX(0,(MIN(In_PB_Release,DA$4)-MAX($F50,DA$3)+1)/DA$5)</f>
        <v>0</v>
      </c>
      <c r="DB50" s="47" t="n">
        <f aca="false">$E50*MAX(0,(MIN(In_PB_Release,DB$4)-MAX($F50,DB$3)+1)/DB$5)</f>
        <v>0</v>
      </c>
      <c r="DC50" s="47" t="n">
        <f aca="false">$E50*MAX(0,(MIN(In_PB_Release,DC$4)-MAX($F50,DC$3)+1)/DC$5)</f>
        <v>0</v>
      </c>
      <c r="DD50" s="47" t="n">
        <f aca="false">$E50*MAX(0,(MIN(In_PB_Release,DD$4)-MAX($F50,DD$3)+1)/DD$5)</f>
        <v>0</v>
      </c>
      <c r="DE50" s="47" t="n">
        <f aca="false">$E50*MAX(0,(MIN(In_PB_Release,DE$4)-MAX($F50,DE$3)+1)/DE$5)</f>
        <v>0</v>
      </c>
      <c r="DF50" s="47" t="n">
        <f aca="false">$E50*MAX(0,(MIN(In_PB_Release,DF$4)-MAX($F50,DF$3)+1)/DF$5)</f>
        <v>0</v>
      </c>
      <c r="DG50" s="47" t="n">
        <f aca="false">$E50*MAX(0,(MIN(In_PB_Release,DG$4)-MAX($F50,DG$3)+1)/DG$5)</f>
        <v>0</v>
      </c>
      <c r="DH50" s="47" t="n">
        <f aca="false">$E50*MAX(0,(MIN(In_PB_Release,DH$4)-MAX($F50,DH$3)+1)/DH$5)</f>
        <v>0</v>
      </c>
      <c r="DI50" s="47" t="n">
        <f aca="false">$E50*MAX(0,(MIN(In_PB_Release,DI$4)-MAX($F50,DI$3)+1)/DI$5)</f>
        <v>0</v>
      </c>
      <c r="DJ50" s="47" t="n">
        <f aca="false">$E50*MAX(0,(MIN(In_PB_Release,DJ$4)-MAX($F50,DJ$3)+1)/DJ$5)</f>
        <v>0</v>
      </c>
      <c r="DK50" s="47" t="n">
        <f aca="false">$E50*MAX(0,(MIN(In_PB_Release,DK$4)-MAX($F50,DK$3)+1)/DK$5)</f>
        <v>0</v>
      </c>
      <c r="DL50" s="47" t="n">
        <f aca="false">$E50*MAX(0,(MIN(In_PB_Release,DL$4)-MAX($F50,DL$3)+1)/DL$5)</f>
        <v>0</v>
      </c>
      <c r="DM50" s="47" t="n">
        <f aca="false">$E50*MAX(0,(MIN(In_PB_Release,DM$4)-MAX($F50,DM$3)+1)/DM$5)</f>
        <v>0</v>
      </c>
      <c r="DN50" s="47" t="n">
        <f aca="false">$E50*MAX(0,(MIN(In_PB_Release,DN$4)-MAX($F50,DN$3)+1)/DN$5)</f>
        <v>0</v>
      </c>
      <c r="DO50" s="47" t="n">
        <f aca="false">$E50*MAX(0,(MIN(In_PB_Release,DO$4)-MAX($F50,DO$3)+1)/DO$5)</f>
        <v>0</v>
      </c>
      <c r="DP50" s="47" t="n">
        <f aca="false">$E50*MAX(0,(MIN(In_PB_Release,DP$4)-MAX($F50,DP$3)+1)/DP$5)</f>
        <v>0</v>
      </c>
      <c r="DQ50" s="47" t="n">
        <f aca="false">$E50*MAX(0,(MIN(In_PB_Release,DQ$4)-MAX($F50,DQ$3)+1)/DQ$5)</f>
        <v>0</v>
      </c>
      <c r="DR50" s="47" t="n">
        <f aca="false">$E50*MAX(0,(MIN(In_PB_Release,DR$4)-MAX($F50,DR$3)+1)/DR$5)</f>
        <v>0</v>
      </c>
      <c r="DS50" s="47" t="n">
        <f aca="false">$E50*MAX(0,(MIN(In_PB_Release,DS$4)-MAX($F50,DS$3)+1)/DS$5)</f>
        <v>0</v>
      </c>
      <c r="DT50" s="47" t="n">
        <f aca="false">$E50*MAX(0,(MIN(In_PB_Release,DT$4)-MAX($F50,DT$3)+1)/DT$5)</f>
        <v>0</v>
      </c>
      <c r="DU50" s="47" t="n">
        <f aca="false">$E50*MAX(0,(MIN(In_PB_Release,DU$4)-MAX($F50,DU$3)+1)/DU$5)</f>
        <v>0</v>
      </c>
      <c r="DV50" s="47" t="n">
        <f aca="false">$E50*MAX(0,(MIN(In_PB_Release,DV$4)-MAX($F50,DV$3)+1)/DV$5)</f>
        <v>0</v>
      </c>
      <c r="DW50" s="47" t="n">
        <f aca="false">$E50*MAX(0,(MIN(In_PB_Release,DW$4)-MAX($F50,DW$3)+1)/DW$5)</f>
        <v>0</v>
      </c>
      <c r="DX50" s="47" t="n">
        <f aca="false">$E50*MAX(0,(MIN(In_PB_Release,DX$4)-MAX($F50,DX$3)+1)/DX$5)</f>
        <v>0</v>
      </c>
      <c r="DY50" s="47" t="n">
        <f aca="false">$E50*MAX(0,(MIN(In_PB_Release,DY$4)-MAX($F50,DY$3)+1)/DY$5)</f>
        <v>0</v>
      </c>
      <c r="DZ50" s="47" t="n">
        <f aca="false">$E50*MAX(0,(MIN(In_PB_Release,DZ$4)-MAX($F50,DZ$3)+1)/DZ$5)</f>
        <v>0</v>
      </c>
      <c r="EA50" s="47" t="n">
        <f aca="false">$E50*MAX(0,(MIN(In_PB_Release,EA$4)-MAX($F50,EA$3)+1)/EA$5)</f>
        <v>0</v>
      </c>
      <c r="EB50" s="47" t="n">
        <f aca="false">$E50*MAX(0,(MIN(In_PB_Release,EB$4)-MAX($F50,EB$3)+1)/EB$5)</f>
        <v>0</v>
      </c>
      <c r="EC50" s="47" t="n">
        <f aca="false">$E50*MAX(0,(MIN(In_PB_Release,EC$4)-MAX($F50,EC$3)+1)/EC$5)</f>
        <v>0</v>
      </c>
      <c r="ED50" s="47" t="n">
        <f aca="false">$E50*MAX(0,(MIN(In_PB_Release,ED$4)-MAX($F50,ED$3)+1)/ED$5)</f>
        <v>0</v>
      </c>
      <c r="EE50" s="47" t="n">
        <f aca="false">$E50*MAX(0,(MIN(In_PB_Release,EE$4)-MAX($F50,EE$3)+1)/EE$5)</f>
        <v>0</v>
      </c>
      <c r="EF50" s="47" t="n">
        <f aca="false">$E50*MAX(0,(MIN(In_PB_Release,EF$4)-MAX($F50,EF$3)+1)/EF$5)</f>
        <v>0</v>
      </c>
      <c r="EG50" s="47" t="n">
        <f aca="false">$E50*MAX(0,(MIN(In_PB_Release,EG$4)-MAX($F50,EG$3)+1)/EG$5)</f>
        <v>0</v>
      </c>
      <c r="EH50" s="47" t="n">
        <f aca="false">$E50*MAX(0,(MIN(In_PB_Release,EH$4)-MAX($F50,EH$3)+1)/EH$5)</f>
        <v>0</v>
      </c>
      <c r="EI50" s="47" t="n">
        <f aca="false">$E50*MAX(0,(MIN(In_PB_Release,EI$4)-MAX($F50,EI$3)+1)/EI$5)</f>
        <v>0</v>
      </c>
      <c r="EJ50" s="47" t="n">
        <f aca="false">$E50*MAX(0,(MIN(In_PB_Release,EJ$4)-MAX($F50,EJ$3)+1)/EJ$5)</f>
        <v>0</v>
      </c>
      <c r="EK50" s="47" t="n">
        <f aca="false">$E50*MAX(0,(MIN(In_PB_Release,EK$4)-MAX($F50,EK$3)+1)/EK$5)</f>
        <v>0</v>
      </c>
      <c r="EL50" s="47" t="n">
        <f aca="false">$E50*MAX(0,(MIN(In_PB_Release,EL$4)-MAX($F50,EL$3)+1)/EL$5)</f>
        <v>0</v>
      </c>
      <c r="EM50" s="47" t="n">
        <f aca="false">$E50*MAX(0,(MIN(In_PB_Release,EM$4)-MAX($F50,EM$3)+1)/EM$5)</f>
        <v>0</v>
      </c>
      <c r="EN50" s="47" t="n">
        <f aca="false">$E50*MAX(0,(MIN(In_PB_Release,EN$4)-MAX($F50,EN$3)+1)/EN$5)</f>
        <v>0</v>
      </c>
      <c r="EO50" s="47" t="n">
        <f aca="false">$E50*MAX(0,(MIN(In_PB_Release,EO$4)-MAX($F50,EO$3)+1)/EO$5)</f>
        <v>0</v>
      </c>
    </row>
    <row r="51" customFormat="false" ht="15" hidden="false" customHeight="false" outlineLevel="0" collapsed="false">
      <c r="C51" s="0" t="s">
        <v>404</v>
      </c>
      <c r="D51" s="11" t="s">
        <v>33</v>
      </c>
      <c r="E51" s="47" t="n">
        <f aca="false">In_TSO_Security*In_MVA*Thousand/In_FX</f>
        <v>616.438356164384</v>
      </c>
      <c r="F51" s="45" t="n">
        <f aca="false">In_Decision_Date+In_PB_Days</f>
        <v>46433</v>
      </c>
      <c r="I51" s="47" t="n">
        <f aca="false">SUM(J51:EO51)</f>
        <v>-616.438356164384</v>
      </c>
      <c r="J51" s="47" t="n">
        <f aca="false">-$E51*N(AND(J$3&lt;=$F51,J$4&gt;=$F51))</f>
        <v>-0</v>
      </c>
      <c r="K51" s="47" t="n">
        <f aca="false">-$E51*N(AND(K$3&lt;=$F51,K$4&gt;=$F51))</f>
        <v>-616.438356164384</v>
      </c>
      <c r="L51" s="47" t="n">
        <f aca="false">-$E51*N(AND(L$3&lt;=$F51,L$4&gt;=$F51))</f>
        <v>-0</v>
      </c>
      <c r="M51" s="47" t="n">
        <f aca="false">-$E51*N(AND(M$3&lt;=$F51,M$4&gt;=$F51))</f>
        <v>-0</v>
      </c>
      <c r="N51" s="47" t="n">
        <f aca="false">-$E51*N(AND(N$3&lt;=$F51,N$4&gt;=$F51))</f>
        <v>-0</v>
      </c>
      <c r="O51" s="47" t="n">
        <f aca="false">-$E51*N(AND(O$3&lt;=$F51,O$4&gt;=$F51))</f>
        <v>-0</v>
      </c>
      <c r="P51" s="47" t="n">
        <f aca="false">-$E51*N(AND(P$3&lt;=$F51,P$4&gt;=$F51))</f>
        <v>-0</v>
      </c>
      <c r="Q51" s="47" t="n">
        <f aca="false">-$E51*N(AND(Q$3&lt;=$F51,Q$4&gt;=$F51))</f>
        <v>-0</v>
      </c>
      <c r="R51" s="47" t="n">
        <f aca="false">-$E51*N(AND(R$3&lt;=$F51,R$4&gt;=$F51))</f>
        <v>-0</v>
      </c>
      <c r="S51" s="47" t="n">
        <f aca="false">-$E51*N(AND(S$3&lt;=$F51,S$4&gt;=$F51))</f>
        <v>-0</v>
      </c>
      <c r="T51" s="47" t="n">
        <f aca="false">-$E51*N(AND(T$3&lt;=$F51,T$4&gt;=$F51))</f>
        <v>-0</v>
      </c>
      <c r="U51" s="47" t="n">
        <f aca="false">-$E51*N(AND(U$3&lt;=$F51,U$4&gt;=$F51))</f>
        <v>-0</v>
      </c>
      <c r="V51" s="47" t="n">
        <f aca="false">-$E51*N(AND(V$3&lt;=$F51,V$4&gt;=$F51))</f>
        <v>-0</v>
      </c>
      <c r="W51" s="47" t="n">
        <f aca="false">-$E51*N(AND(W$3&lt;=$F51,W$4&gt;=$F51))</f>
        <v>-0</v>
      </c>
      <c r="X51" s="47" t="n">
        <f aca="false">-$E51*N(AND(X$3&lt;=$F51,X$4&gt;=$F51))</f>
        <v>-0</v>
      </c>
      <c r="Y51" s="47" t="n">
        <f aca="false">-$E51*N(AND(Y$3&lt;=$F51,Y$4&gt;=$F51))</f>
        <v>-0</v>
      </c>
      <c r="Z51" s="47" t="n">
        <f aca="false">-$E51*N(AND(Z$3&lt;=$F51,Z$4&gt;=$F51))</f>
        <v>-0</v>
      </c>
      <c r="AA51" s="47" t="n">
        <f aca="false">-$E51*N(AND(AA$3&lt;=$F51,AA$4&gt;=$F51))</f>
        <v>-0</v>
      </c>
      <c r="AB51" s="47" t="n">
        <f aca="false">-$E51*N(AND(AB$3&lt;=$F51,AB$4&gt;=$F51))</f>
        <v>-0</v>
      </c>
      <c r="AC51" s="47" t="n">
        <f aca="false">-$E51*N(AND(AC$3&lt;=$F51,AC$4&gt;=$F51))</f>
        <v>-0</v>
      </c>
      <c r="AD51" s="47" t="n">
        <f aca="false">-$E51*N(AND(AD$3&lt;=$F51,AD$4&gt;=$F51))</f>
        <v>-0</v>
      </c>
      <c r="AE51" s="47" t="n">
        <f aca="false">-$E51*N(AND(AE$3&lt;=$F51,AE$4&gt;=$F51))</f>
        <v>-0</v>
      </c>
      <c r="AF51" s="47" t="n">
        <f aca="false">-$E51*N(AND(AF$3&lt;=$F51,AF$4&gt;=$F51))</f>
        <v>-0</v>
      </c>
      <c r="AG51" s="47" t="n">
        <f aca="false">-$E51*N(AND(AG$3&lt;=$F51,AG$4&gt;=$F51))</f>
        <v>-0</v>
      </c>
      <c r="AH51" s="47" t="n">
        <f aca="false">-$E51*N(AND(AH$3&lt;=$F51,AH$4&gt;=$F51))</f>
        <v>-0</v>
      </c>
      <c r="AI51" s="47" t="n">
        <f aca="false">-$E51*N(AND(AI$3&lt;=$F51,AI$4&gt;=$F51))</f>
        <v>-0</v>
      </c>
      <c r="AJ51" s="47" t="n">
        <f aca="false">-$E51*N(AND(AJ$3&lt;=$F51,AJ$4&gt;=$F51))</f>
        <v>-0</v>
      </c>
      <c r="AK51" s="47" t="n">
        <f aca="false">-$E51*N(AND(AK$3&lt;=$F51,AK$4&gt;=$F51))</f>
        <v>-0</v>
      </c>
      <c r="AL51" s="47" t="n">
        <f aca="false">-$E51*N(AND(AL$3&lt;=$F51,AL$4&gt;=$F51))</f>
        <v>-0</v>
      </c>
      <c r="AM51" s="47" t="n">
        <f aca="false">-$E51*N(AND(AM$3&lt;=$F51,AM$4&gt;=$F51))</f>
        <v>-0</v>
      </c>
      <c r="AN51" s="47" t="n">
        <f aca="false">-$E51*N(AND(AN$3&lt;=$F51,AN$4&gt;=$F51))</f>
        <v>-0</v>
      </c>
      <c r="AO51" s="47" t="n">
        <f aca="false">-$E51*N(AND(AO$3&lt;=$F51,AO$4&gt;=$F51))</f>
        <v>-0</v>
      </c>
      <c r="AP51" s="47" t="n">
        <f aca="false">-$E51*N(AND(AP$3&lt;=$F51,AP$4&gt;=$F51))</f>
        <v>-0</v>
      </c>
      <c r="AQ51" s="47" t="n">
        <f aca="false">-$E51*N(AND(AQ$3&lt;=$F51,AQ$4&gt;=$F51))</f>
        <v>-0</v>
      </c>
      <c r="AR51" s="47" t="n">
        <f aca="false">-$E51*N(AND(AR$3&lt;=$F51,AR$4&gt;=$F51))</f>
        <v>-0</v>
      </c>
      <c r="AS51" s="47" t="n">
        <f aca="false">-$E51*N(AND(AS$3&lt;=$F51,AS$4&gt;=$F51))</f>
        <v>-0</v>
      </c>
      <c r="AT51" s="47" t="n">
        <f aca="false">-$E51*N(AND(AT$3&lt;=$F51,AT$4&gt;=$F51))</f>
        <v>-0</v>
      </c>
      <c r="AU51" s="47" t="n">
        <f aca="false">-$E51*N(AND(AU$3&lt;=$F51,AU$4&gt;=$F51))</f>
        <v>-0</v>
      </c>
      <c r="AV51" s="47" t="n">
        <f aca="false">-$E51*N(AND(AV$3&lt;=$F51,AV$4&gt;=$F51))</f>
        <v>-0</v>
      </c>
      <c r="AW51" s="47" t="n">
        <f aca="false">-$E51*N(AND(AW$3&lt;=$F51,AW$4&gt;=$F51))</f>
        <v>-0</v>
      </c>
      <c r="AX51" s="47" t="n">
        <f aca="false">-$E51*N(AND(AX$3&lt;=$F51,AX$4&gt;=$F51))</f>
        <v>-0</v>
      </c>
      <c r="AY51" s="47" t="n">
        <f aca="false">-$E51*N(AND(AY$3&lt;=$F51,AY$4&gt;=$F51))</f>
        <v>-0</v>
      </c>
      <c r="AZ51" s="47" t="n">
        <f aca="false">-$E51*N(AND(AZ$3&lt;=$F51,AZ$4&gt;=$F51))</f>
        <v>-0</v>
      </c>
      <c r="BA51" s="47" t="n">
        <f aca="false">-$E51*N(AND(BA$3&lt;=$F51,BA$4&gt;=$F51))</f>
        <v>-0</v>
      </c>
      <c r="BB51" s="47" t="n">
        <f aca="false">-$E51*N(AND(BB$3&lt;=$F51,BB$4&gt;=$F51))</f>
        <v>-0</v>
      </c>
      <c r="BC51" s="47" t="n">
        <f aca="false">-$E51*N(AND(BC$3&lt;=$F51,BC$4&gt;=$F51))</f>
        <v>-0</v>
      </c>
      <c r="BD51" s="47" t="n">
        <f aca="false">-$E51*N(AND(BD$3&lt;=$F51,BD$4&gt;=$F51))</f>
        <v>-0</v>
      </c>
      <c r="BE51" s="47" t="n">
        <f aca="false">-$E51*N(AND(BE$3&lt;=$F51,BE$4&gt;=$F51))</f>
        <v>-0</v>
      </c>
      <c r="BF51" s="47" t="n">
        <f aca="false">-$E51*N(AND(BF$3&lt;=$F51,BF$4&gt;=$F51))</f>
        <v>-0</v>
      </c>
      <c r="BG51" s="47" t="n">
        <f aca="false">-$E51*N(AND(BG$3&lt;=$F51,BG$4&gt;=$F51))</f>
        <v>-0</v>
      </c>
      <c r="BH51" s="47" t="n">
        <f aca="false">-$E51*N(AND(BH$3&lt;=$F51,BH$4&gt;=$F51))</f>
        <v>-0</v>
      </c>
      <c r="BI51" s="47" t="n">
        <f aca="false">-$E51*N(AND(BI$3&lt;=$F51,BI$4&gt;=$F51))</f>
        <v>-0</v>
      </c>
      <c r="BJ51" s="47" t="n">
        <f aca="false">-$E51*N(AND(BJ$3&lt;=$F51,BJ$4&gt;=$F51))</f>
        <v>-0</v>
      </c>
      <c r="BK51" s="47" t="n">
        <f aca="false">-$E51*N(AND(BK$3&lt;=$F51,BK$4&gt;=$F51))</f>
        <v>-0</v>
      </c>
      <c r="BL51" s="47" t="n">
        <f aca="false">-$E51*N(AND(BL$3&lt;=$F51,BL$4&gt;=$F51))</f>
        <v>-0</v>
      </c>
      <c r="BM51" s="47" t="n">
        <f aca="false">-$E51*N(AND(BM$3&lt;=$F51,BM$4&gt;=$F51))</f>
        <v>-0</v>
      </c>
      <c r="BN51" s="47" t="n">
        <f aca="false">-$E51*N(AND(BN$3&lt;=$F51,BN$4&gt;=$F51))</f>
        <v>-0</v>
      </c>
      <c r="BO51" s="47" t="n">
        <f aca="false">-$E51*N(AND(BO$3&lt;=$F51,BO$4&gt;=$F51))</f>
        <v>-0</v>
      </c>
      <c r="BP51" s="47" t="n">
        <f aca="false">-$E51*N(AND(BP$3&lt;=$F51,BP$4&gt;=$F51))</f>
        <v>-0</v>
      </c>
      <c r="BQ51" s="47" t="n">
        <f aca="false">-$E51*N(AND(BQ$3&lt;=$F51,BQ$4&gt;=$F51))</f>
        <v>-0</v>
      </c>
      <c r="BR51" s="47" t="n">
        <f aca="false">-$E51*N(AND(BR$3&lt;=$F51,BR$4&gt;=$F51))</f>
        <v>-0</v>
      </c>
      <c r="BS51" s="47" t="n">
        <f aca="false">-$E51*N(AND(BS$3&lt;=$F51,BS$4&gt;=$F51))</f>
        <v>-0</v>
      </c>
      <c r="BT51" s="47" t="n">
        <f aca="false">-$E51*N(AND(BT$3&lt;=$F51,BT$4&gt;=$F51))</f>
        <v>-0</v>
      </c>
      <c r="BU51" s="47" t="n">
        <f aca="false">-$E51*N(AND(BU$3&lt;=$F51,BU$4&gt;=$F51))</f>
        <v>-0</v>
      </c>
      <c r="BV51" s="47" t="n">
        <f aca="false">-$E51*N(AND(BV$3&lt;=$F51,BV$4&gt;=$F51))</f>
        <v>-0</v>
      </c>
      <c r="BW51" s="47" t="n">
        <f aca="false">-$E51*N(AND(BW$3&lt;=$F51,BW$4&gt;=$F51))</f>
        <v>-0</v>
      </c>
      <c r="BX51" s="47" t="n">
        <f aca="false">-$E51*N(AND(BX$3&lt;=$F51,BX$4&gt;=$F51))</f>
        <v>-0</v>
      </c>
      <c r="BY51" s="47" t="n">
        <f aca="false">-$E51*N(AND(BY$3&lt;=$F51,BY$4&gt;=$F51))</f>
        <v>-0</v>
      </c>
      <c r="BZ51" s="47" t="n">
        <f aca="false">-$E51*N(AND(BZ$3&lt;=$F51,BZ$4&gt;=$F51))</f>
        <v>-0</v>
      </c>
      <c r="CA51" s="47" t="n">
        <f aca="false">-$E51*N(AND(CA$3&lt;=$F51,CA$4&gt;=$F51))</f>
        <v>-0</v>
      </c>
      <c r="CB51" s="47" t="n">
        <f aca="false">-$E51*N(AND(CB$3&lt;=$F51,CB$4&gt;=$F51))</f>
        <v>-0</v>
      </c>
      <c r="CC51" s="47" t="n">
        <f aca="false">-$E51*N(AND(CC$3&lt;=$F51,CC$4&gt;=$F51))</f>
        <v>-0</v>
      </c>
      <c r="CD51" s="47" t="n">
        <f aca="false">-$E51*N(AND(CD$3&lt;=$F51,CD$4&gt;=$F51))</f>
        <v>-0</v>
      </c>
      <c r="CE51" s="47" t="n">
        <f aca="false">-$E51*N(AND(CE$3&lt;=$F51,CE$4&gt;=$F51))</f>
        <v>-0</v>
      </c>
      <c r="CF51" s="47" t="n">
        <f aca="false">-$E51*N(AND(CF$3&lt;=$F51,CF$4&gt;=$F51))</f>
        <v>-0</v>
      </c>
      <c r="CG51" s="47" t="n">
        <f aca="false">-$E51*N(AND(CG$3&lt;=$F51,CG$4&gt;=$F51))</f>
        <v>-0</v>
      </c>
      <c r="CH51" s="47" t="n">
        <f aca="false">-$E51*N(AND(CH$3&lt;=$F51,CH$4&gt;=$F51))</f>
        <v>-0</v>
      </c>
      <c r="CI51" s="47" t="n">
        <f aca="false">-$E51*N(AND(CI$3&lt;=$F51,CI$4&gt;=$F51))</f>
        <v>-0</v>
      </c>
      <c r="CJ51" s="47" t="n">
        <f aca="false">-$E51*N(AND(CJ$3&lt;=$F51,CJ$4&gt;=$F51))</f>
        <v>-0</v>
      </c>
      <c r="CK51" s="47" t="n">
        <f aca="false">-$E51*N(AND(CK$3&lt;=$F51,CK$4&gt;=$F51))</f>
        <v>-0</v>
      </c>
      <c r="CL51" s="47" t="n">
        <f aca="false">-$E51*N(AND(CL$3&lt;=$F51,CL$4&gt;=$F51))</f>
        <v>-0</v>
      </c>
      <c r="CM51" s="47" t="n">
        <f aca="false">-$E51*N(AND(CM$3&lt;=$F51,CM$4&gt;=$F51))</f>
        <v>-0</v>
      </c>
      <c r="CN51" s="47" t="n">
        <f aca="false">-$E51*N(AND(CN$3&lt;=$F51,CN$4&gt;=$F51))</f>
        <v>-0</v>
      </c>
      <c r="CO51" s="47" t="n">
        <f aca="false">-$E51*N(AND(CO$3&lt;=$F51,CO$4&gt;=$F51))</f>
        <v>-0</v>
      </c>
      <c r="CP51" s="47" t="n">
        <f aca="false">-$E51*N(AND(CP$3&lt;=$F51,CP$4&gt;=$F51))</f>
        <v>-0</v>
      </c>
      <c r="CQ51" s="47" t="n">
        <f aca="false">-$E51*N(AND(CQ$3&lt;=$F51,CQ$4&gt;=$F51))</f>
        <v>-0</v>
      </c>
      <c r="CR51" s="47" t="n">
        <f aca="false">-$E51*N(AND(CR$3&lt;=$F51,CR$4&gt;=$F51))</f>
        <v>-0</v>
      </c>
      <c r="CS51" s="47" t="n">
        <f aca="false">-$E51*N(AND(CS$3&lt;=$F51,CS$4&gt;=$F51))</f>
        <v>-0</v>
      </c>
      <c r="CT51" s="47" t="n">
        <f aca="false">-$E51*N(AND(CT$3&lt;=$F51,CT$4&gt;=$F51))</f>
        <v>-0</v>
      </c>
      <c r="CU51" s="47" t="n">
        <f aca="false">-$E51*N(AND(CU$3&lt;=$F51,CU$4&gt;=$F51))</f>
        <v>-0</v>
      </c>
      <c r="CV51" s="47" t="n">
        <f aca="false">-$E51*N(AND(CV$3&lt;=$F51,CV$4&gt;=$F51))</f>
        <v>-0</v>
      </c>
      <c r="CW51" s="47" t="n">
        <f aca="false">-$E51*N(AND(CW$3&lt;=$F51,CW$4&gt;=$F51))</f>
        <v>-0</v>
      </c>
      <c r="CX51" s="47" t="n">
        <f aca="false">-$E51*N(AND(CX$3&lt;=$F51,CX$4&gt;=$F51))</f>
        <v>-0</v>
      </c>
      <c r="CY51" s="47" t="n">
        <f aca="false">-$E51*N(AND(CY$3&lt;=$F51,CY$4&gt;=$F51))</f>
        <v>-0</v>
      </c>
      <c r="CZ51" s="47" t="n">
        <f aca="false">-$E51*N(AND(CZ$3&lt;=$F51,CZ$4&gt;=$F51))</f>
        <v>-0</v>
      </c>
      <c r="DA51" s="47" t="n">
        <f aca="false">-$E51*N(AND(DA$3&lt;=$F51,DA$4&gt;=$F51))</f>
        <v>-0</v>
      </c>
      <c r="DB51" s="47" t="n">
        <f aca="false">-$E51*N(AND(DB$3&lt;=$F51,DB$4&gt;=$F51))</f>
        <v>-0</v>
      </c>
      <c r="DC51" s="47" t="n">
        <f aca="false">-$E51*N(AND(DC$3&lt;=$F51,DC$4&gt;=$F51))</f>
        <v>-0</v>
      </c>
      <c r="DD51" s="47" t="n">
        <f aca="false">-$E51*N(AND(DD$3&lt;=$F51,DD$4&gt;=$F51))</f>
        <v>-0</v>
      </c>
      <c r="DE51" s="47" t="n">
        <f aca="false">-$E51*N(AND(DE$3&lt;=$F51,DE$4&gt;=$F51))</f>
        <v>-0</v>
      </c>
      <c r="DF51" s="47" t="n">
        <f aca="false">-$E51*N(AND(DF$3&lt;=$F51,DF$4&gt;=$F51))</f>
        <v>-0</v>
      </c>
      <c r="DG51" s="47" t="n">
        <f aca="false">-$E51*N(AND(DG$3&lt;=$F51,DG$4&gt;=$F51))</f>
        <v>-0</v>
      </c>
      <c r="DH51" s="47" t="n">
        <f aca="false">-$E51*N(AND(DH$3&lt;=$F51,DH$4&gt;=$F51))</f>
        <v>-0</v>
      </c>
      <c r="DI51" s="47" t="n">
        <f aca="false">-$E51*N(AND(DI$3&lt;=$F51,DI$4&gt;=$F51))</f>
        <v>-0</v>
      </c>
      <c r="DJ51" s="47" t="n">
        <f aca="false">-$E51*N(AND(DJ$3&lt;=$F51,DJ$4&gt;=$F51))</f>
        <v>-0</v>
      </c>
      <c r="DK51" s="47" t="n">
        <f aca="false">-$E51*N(AND(DK$3&lt;=$F51,DK$4&gt;=$F51))</f>
        <v>-0</v>
      </c>
      <c r="DL51" s="47" t="n">
        <f aca="false">-$E51*N(AND(DL$3&lt;=$F51,DL$4&gt;=$F51))</f>
        <v>-0</v>
      </c>
      <c r="DM51" s="47" t="n">
        <f aca="false">-$E51*N(AND(DM$3&lt;=$F51,DM$4&gt;=$F51))</f>
        <v>-0</v>
      </c>
      <c r="DN51" s="47" t="n">
        <f aca="false">-$E51*N(AND(DN$3&lt;=$F51,DN$4&gt;=$F51))</f>
        <v>-0</v>
      </c>
      <c r="DO51" s="47" t="n">
        <f aca="false">-$E51*N(AND(DO$3&lt;=$F51,DO$4&gt;=$F51))</f>
        <v>-0</v>
      </c>
      <c r="DP51" s="47" t="n">
        <f aca="false">-$E51*N(AND(DP$3&lt;=$F51,DP$4&gt;=$F51))</f>
        <v>-0</v>
      </c>
      <c r="DQ51" s="47" t="n">
        <f aca="false">-$E51*N(AND(DQ$3&lt;=$F51,DQ$4&gt;=$F51))</f>
        <v>-0</v>
      </c>
      <c r="DR51" s="47" t="n">
        <f aca="false">-$E51*N(AND(DR$3&lt;=$F51,DR$4&gt;=$F51))</f>
        <v>-0</v>
      </c>
      <c r="DS51" s="47" t="n">
        <f aca="false">-$E51*N(AND(DS$3&lt;=$F51,DS$4&gt;=$F51))</f>
        <v>-0</v>
      </c>
      <c r="DT51" s="47" t="n">
        <f aca="false">-$E51*N(AND(DT$3&lt;=$F51,DT$4&gt;=$F51))</f>
        <v>-0</v>
      </c>
      <c r="DU51" s="47" t="n">
        <f aca="false">-$E51*N(AND(DU$3&lt;=$F51,DU$4&gt;=$F51))</f>
        <v>-0</v>
      </c>
      <c r="DV51" s="47" t="n">
        <f aca="false">-$E51*N(AND(DV$3&lt;=$F51,DV$4&gt;=$F51))</f>
        <v>-0</v>
      </c>
      <c r="DW51" s="47" t="n">
        <f aca="false">-$E51*N(AND(DW$3&lt;=$F51,DW$4&gt;=$F51))</f>
        <v>-0</v>
      </c>
      <c r="DX51" s="47" t="n">
        <f aca="false">-$E51*N(AND(DX$3&lt;=$F51,DX$4&gt;=$F51))</f>
        <v>-0</v>
      </c>
      <c r="DY51" s="47" t="n">
        <f aca="false">-$E51*N(AND(DY$3&lt;=$F51,DY$4&gt;=$F51))</f>
        <v>-0</v>
      </c>
      <c r="DZ51" s="47" t="n">
        <f aca="false">-$E51*N(AND(DZ$3&lt;=$F51,DZ$4&gt;=$F51))</f>
        <v>-0</v>
      </c>
      <c r="EA51" s="47" t="n">
        <f aca="false">-$E51*N(AND(EA$3&lt;=$F51,EA$4&gt;=$F51))</f>
        <v>-0</v>
      </c>
      <c r="EB51" s="47" t="n">
        <f aca="false">-$E51*N(AND(EB$3&lt;=$F51,EB$4&gt;=$F51))</f>
        <v>-0</v>
      </c>
      <c r="EC51" s="47" t="n">
        <f aca="false">-$E51*N(AND(EC$3&lt;=$F51,EC$4&gt;=$F51))</f>
        <v>-0</v>
      </c>
      <c r="ED51" s="47" t="n">
        <f aca="false">-$E51*N(AND(ED$3&lt;=$F51,ED$4&gt;=$F51))</f>
        <v>-0</v>
      </c>
      <c r="EE51" s="47" t="n">
        <f aca="false">-$E51*N(AND(EE$3&lt;=$F51,EE$4&gt;=$F51))</f>
        <v>-0</v>
      </c>
      <c r="EF51" s="47" t="n">
        <f aca="false">-$E51*N(AND(EF$3&lt;=$F51,EF$4&gt;=$F51))</f>
        <v>-0</v>
      </c>
      <c r="EG51" s="47" t="n">
        <f aca="false">-$E51*N(AND(EG$3&lt;=$F51,EG$4&gt;=$F51))</f>
        <v>-0</v>
      </c>
      <c r="EH51" s="47" t="n">
        <f aca="false">-$E51*N(AND(EH$3&lt;=$F51,EH$4&gt;=$F51))</f>
        <v>-0</v>
      </c>
      <c r="EI51" s="47" t="n">
        <f aca="false">-$E51*N(AND(EI$3&lt;=$F51,EI$4&gt;=$F51))</f>
        <v>-0</v>
      </c>
      <c r="EJ51" s="47" t="n">
        <f aca="false">-$E51*N(AND(EJ$3&lt;=$F51,EJ$4&gt;=$F51))</f>
        <v>-0</v>
      </c>
      <c r="EK51" s="47" t="n">
        <f aca="false">-$E51*N(AND(EK$3&lt;=$F51,EK$4&gt;=$F51))</f>
        <v>-0</v>
      </c>
      <c r="EL51" s="47" t="n">
        <f aca="false">-$E51*N(AND(EL$3&lt;=$F51,EL$4&gt;=$F51))</f>
        <v>-0</v>
      </c>
      <c r="EM51" s="47" t="n">
        <f aca="false">-$E51*N(AND(EM$3&lt;=$F51,EM$4&gt;=$F51))</f>
        <v>-0</v>
      </c>
      <c r="EN51" s="47" t="n">
        <f aca="false">-$E51*N(AND(EN$3&lt;=$F51,EN$4&gt;=$F51))</f>
        <v>-0</v>
      </c>
      <c r="EO51" s="47" t="n">
        <f aca="false">-$E51*N(AND(EO$3&lt;=$F51,EO$4&gt;=$F51))</f>
        <v>-0</v>
      </c>
    </row>
    <row r="52" customFormat="false" ht="15" hidden="false" customHeight="false" outlineLevel="0" collapsed="false">
      <c r="C52" s="0" t="s">
        <v>405</v>
      </c>
      <c r="D52" s="11" t="s">
        <v>33</v>
      </c>
      <c r="E52" s="47" t="n">
        <f aca="false">In_Direct_Fee*Thousand/In_FX</f>
        <v>1260.27397260274</v>
      </c>
      <c r="F52" s="20" t="n">
        <f aca="false">In_HCSSZ_Date</f>
        <v>47126</v>
      </c>
      <c r="I52" s="47" t="n">
        <f aca="false">SUM(J52:EO52)</f>
        <v>-1260.27397260274</v>
      </c>
      <c r="J52" s="47" t="n">
        <f aca="false">-$E52*N(AND(J$3&lt;=$F52,J$4&gt;=$F52))</f>
        <v>-0</v>
      </c>
      <c r="K52" s="47" t="n">
        <f aca="false">-$E52*N(AND(K$3&lt;=$F52,K$4&gt;=$F52))</f>
        <v>-0</v>
      </c>
      <c r="L52" s="47" t="n">
        <f aca="false">-$E52*N(AND(L$3&lt;=$F52,L$4&gt;=$F52))</f>
        <v>-0</v>
      </c>
      <c r="M52" s="47" t="n">
        <f aca="false">-$E52*N(AND(M$3&lt;=$F52,M$4&gt;=$F52))</f>
        <v>-0</v>
      </c>
      <c r="N52" s="47" t="n">
        <f aca="false">-$E52*N(AND(N$3&lt;=$F52,N$4&gt;=$F52))</f>
        <v>-0</v>
      </c>
      <c r="O52" s="47" t="n">
        <f aca="false">-$E52*N(AND(O$3&lt;=$F52,O$4&gt;=$F52))</f>
        <v>-0</v>
      </c>
      <c r="P52" s="47" t="n">
        <f aca="false">-$E52*N(AND(P$3&lt;=$F52,P$4&gt;=$F52))</f>
        <v>-0</v>
      </c>
      <c r="Q52" s="47" t="n">
        <f aca="false">-$E52*N(AND(Q$3&lt;=$F52,Q$4&gt;=$F52))</f>
        <v>-0</v>
      </c>
      <c r="R52" s="47" t="n">
        <f aca="false">-$E52*N(AND(R$3&lt;=$F52,R$4&gt;=$F52))</f>
        <v>-0</v>
      </c>
      <c r="S52" s="47" t="n">
        <f aca="false">-$E52*N(AND(S$3&lt;=$F52,S$4&gt;=$F52))</f>
        <v>-1260.27397260274</v>
      </c>
      <c r="T52" s="47" t="n">
        <f aca="false">-$E52*N(AND(T$3&lt;=$F52,T$4&gt;=$F52))</f>
        <v>-0</v>
      </c>
      <c r="U52" s="47" t="n">
        <f aca="false">-$E52*N(AND(U$3&lt;=$F52,U$4&gt;=$F52))</f>
        <v>-0</v>
      </c>
      <c r="V52" s="47" t="n">
        <f aca="false">-$E52*N(AND(V$3&lt;=$F52,V$4&gt;=$F52))</f>
        <v>-0</v>
      </c>
      <c r="W52" s="47" t="n">
        <f aca="false">-$E52*N(AND(W$3&lt;=$F52,W$4&gt;=$F52))</f>
        <v>-0</v>
      </c>
      <c r="X52" s="47" t="n">
        <f aca="false">-$E52*N(AND(X$3&lt;=$F52,X$4&gt;=$F52))</f>
        <v>-0</v>
      </c>
      <c r="Y52" s="47" t="n">
        <f aca="false">-$E52*N(AND(Y$3&lt;=$F52,Y$4&gt;=$F52))</f>
        <v>-0</v>
      </c>
      <c r="Z52" s="47" t="n">
        <f aca="false">-$E52*N(AND(Z$3&lt;=$F52,Z$4&gt;=$F52))</f>
        <v>-0</v>
      </c>
      <c r="AA52" s="47" t="n">
        <f aca="false">-$E52*N(AND(AA$3&lt;=$F52,AA$4&gt;=$F52))</f>
        <v>-0</v>
      </c>
      <c r="AB52" s="47" t="n">
        <f aca="false">-$E52*N(AND(AB$3&lt;=$F52,AB$4&gt;=$F52))</f>
        <v>-0</v>
      </c>
      <c r="AC52" s="47" t="n">
        <f aca="false">-$E52*N(AND(AC$3&lt;=$F52,AC$4&gt;=$F52))</f>
        <v>-0</v>
      </c>
      <c r="AD52" s="47" t="n">
        <f aca="false">-$E52*N(AND(AD$3&lt;=$F52,AD$4&gt;=$F52))</f>
        <v>-0</v>
      </c>
      <c r="AE52" s="47" t="n">
        <f aca="false">-$E52*N(AND(AE$3&lt;=$F52,AE$4&gt;=$F52))</f>
        <v>-0</v>
      </c>
      <c r="AF52" s="47" t="n">
        <f aca="false">-$E52*N(AND(AF$3&lt;=$F52,AF$4&gt;=$F52))</f>
        <v>-0</v>
      </c>
      <c r="AG52" s="47" t="n">
        <f aca="false">-$E52*N(AND(AG$3&lt;=$F52,AG$4&gt;=$F52))</f>
        <v>-0</v>
      </c>
      <c r="AH52" s="47" t="n">
        <f aca="false">-$E52*N(AND(AH$3&lt;=$F52,AH$4&gt;=$F52))</f>
        <v>-0</v>
      </c>
      <c r="AI52" s="47" t="n">
        <f aca="false">-$E52*N(AND(AI$3&lt;=$F52,AI$4&gt;=$F52))</f>
        <v>-0</v>
      </c>
      <c r="AJ52" s="47" t="n">
        <f aca="false">-$E52*N(AND(AJ$3&lt;=$F52,AJ$4&gt;=$F52))</f>
        <v>-0</v>
      </c>
      <c r="AK52" s="47" t="n">
        <f aca="false">-$E52*N(AND(AK$3&lt;=$F52,AK$4&gt;=$F52))</f>
        <v>-0</v>
      </c>
      <c r="AL52" s="47" t="n">
        <f aca="false">-$E52*N(AND(AL$3&lt;=$F52,AL$4&gt;=$F52))</f>
        <v>-0</v>
      </c>
      <c r="AM52" s="47" t="n">
        <f aca="false">-$E52*N(AND(AM$3&lt;=$F52,AM$4&gt;=$F52))</f>
        <v>-0</v>
      </c>
      <c r="AN52" s="47" t="n">
        <f aca="false">-$E52*N(AND(AN$3&lt;=$F52,AN$4&gt;=$F52))</f>
        <v>-0</v>
      </c>
      <c r="AO52" s="47" t="n">
        <f aca="false">-$E52*N(AND(AO$3&lt;=$F52,AO$4&gt;=$F52))</f>
        <v>-0</v>
      </c>
      <c r="AP52" s="47" t="n">
        <f aca="false">-$E52*N(AND(AP$3&lt;=$F52,AP$4&gt;=$F52))</f>
        <v>-0</v>
      </c>
      <c r="AQ52" s="47" t="n">
        <f aca="false">-$E52*N(AND(AQ$3&lt;=$F52,AQ$4&gt;=$F52))</f>
        <v>-0</v>
      </c>
      <c r="AR52" s="47" t="n">
        <f aca="false">-$E52*N(AND(AR$3&lt;=$F52,AR$4&gt;=$F52))</f>
        <v>-0</v>
      </c>
      <c r="AS52" s="47" t="n">
        <f aca="false">-$E52*N(AND(AS$3&lt;=$F52,AS$4&gt;=$F52))</f>
        <v>-0</v>
      </c>
      <c r="AT52" s="47" t="n">
        <f aca="false">-$E52*N(AND(AT$3&lt;=$F52,AT$4&gt;=$F52))</f>
        <v>-0</v>
      </c>
      <c r="AU52" s="47" t="n">
        <f aca="false">-$E52*N(AND(AU$3&lt;=$F52,AU$4&gt;=$F52))</f>
        <v>-0</v>
      </c>
      <c r="AV52" s="47" t="n">
        <f aca="false">-$E52*N(AND(AV$3&lt;=$F52,AV$4&gt;=$F52))</f>
        <v>-0</v>
      </c>
      <c r="AW52" s="47" t="n">
        <f aca="false">-$E52*N(AND(AW$3&lt;=$F52,AW$4&gt;=$F52))</f>
        <v>-0</v>
      </c>
      <c r="AX52" s="47" t="n">
        <f aca="false">-$E52*N(AND(AX$3&lt;=$F52,AX$4&gt;=$F52))</f>
        <v>-0</v>
      </c>
      <c r="AY52" s="47" t="n">
        <f aca="false">-$E52*N(AND(AY$3&lt;=$F52,AY$4&gt;=$F52))</f>
        <v>-0</v>
      </c>
      <c r="AZ52" s="47" t="n">
        <f aca="false">-$E52*N(AND(AZ$3&lt;=$F52,AZ$4&gt;=$F52))</f>
        <v>-0</v>
      </c>
      <c r="BA52" s="47" t="n">
        <f aca="false">-$E52*N(AND(BA$3&lt;=$F52,BA$4&gt;=$F52))</f>
        <v>-0</v>
      </c>
      <c r="BB52" s="47" t="n">
        <f aca="false">-$E52*N(AND(BB$3&lt;=$F52,BB$4&gt;=$F52))</f>
        <v>-0</v>
      </c>
      <c r="BC52" s="47" t="n">
        <f aca="false">-$E52*N(AND(BC$3&lt;=$F52,BC$4&gt;=$F52))</f>
        <v>-0</v>
      </c>
      <c r="BD52" s="47" t="n">
        <f aca="false">-$E52*N(AND(BD$3&lt;=$F52,BD$4&gt;=$F52))</f>
        <v>-0</v>
      </c>
      <c r="BE52" s="47" t="n">
        <f aca="false">-$E52*N(AND(BE$3&lt;=$F52,BE$4&gt;=$F52))</f>
        <v>-0</v>
      </c>
      <c r="BF52" s="47" t="n">
        <f aca="false">-$E52*N(AND(BF$3&lt;=$F52,BF$4&gt;=$F52))</f>
        <v>-0</v>
      </c>
      <c r="BG52" s="47" t="n">
        <f aca="false">-$E52*N(AND(BG$3&lt;=$F52,BG$4&gt;=$F52))</f>
        <v>-0</v>
      </c>
      <c r="BH52" s="47" t="n">
        <f aca="false">-$E52*N(AND(BH$3&lt;=$F52,BH$4&gt;=$F52))</f>
        <v>-0</v>
      </c>
      <c r="BI52" s="47" t="n">
        <f aca="false">-$E52*N(AND(BI$3&lt;=$F52,BI$4&gt;=$F52))</f>
        <v>-0</v>
      </c>
      <c r="BJ52" s="47" t="n">
        <f aca="false">-$E52*N(AND(BJ$3&lt;=$F52,BJ$4&gt;=$F52))</f>
        <v>-0</v>
      </c>
      <c r="BK52" s="47" t="n">
        <f aca="false">-$E52*N(AND(BK$3&lt;=$F52,BK$4&gt;=$F52))</f>
        <v>-0</v>
      </c>
      <c r="BL52" s="47" t="n">
        <f aca="false">-$E52*N(AND(BL$3&lt;=$F52,BL$4&gt;=$F52))</f>
        <v>-0</v>
      </c>
      <c r="BM52" s="47" t="n">
        <f aca="false">-$E52*N(AND(BM$3&lt;=$F52,BM$4&gt;=$F52))</f>
        <v>-0</v>
      </c>
      <c r="BN52" s="47" t="n">
        <f aca="false">-$E52*N(AND(BN$3&lt;=$F52,BN$4&gt;=$F52))</f>
        <v>-0</v>
      </c>
      <c r="BO52" s="47" t="n">
        <f aca="false">-$E52*N(AND(BO$3&lt;=$F52,BO$4&gt;=$F52))</f>
        <v>-0</v>
      </c>
      <c r="BP52" s="47" t="n">
        <f aca="false">-$E52*N(AND(BP$3&lt;=$F52,BP$4&gt;=$F52))</f>
        <v>-0</v>
      </c>
      <c r="BQ52" s="47" t="n">
        <f aca="false">-$E52*N(AND(BQ$3&lt;=$F52,BQ$4&gt;=$F52))</f>
        <v>-0</v>
      </c>
      <c r="BR52" s="47" t="n">
        <f aca="false">-$E52*N(AND(BR$3&lt;=$F52,BR$4&gt;=$F52))</f>
        <v>-0</v>
      </c>
      <c r="BS52" s="47" t="n">
        <f aca="false">-$E52*N(AND(BS$3&lt;=$F52,BS$4&gt;=$F52))</f>
        <v>-0</v>
      </c>
      <c r="BT52" s="47" t="n">
        <f aca="false">-$E52*N(AND(BT$3&lt;=$F52,BT$4&gt;=$F52))</f>
        <v>-0</v>
      </c>
      <c r="BU52" s="47" t="n">
        <f aca="false">-$E52*N(AND(BU$3&lt;=$F52,BU$4&gt;=$F52))</f>
        <v>-0</v>
      </c>
      <c r="BV52" s="47" t="n">
        <f aca="false">-$E52*N(AND(BV$3&lt;=$F52,BV$4&gt;=$F52))</f>
        <v>-0</v>
      </c>
      <c r="BW52" s="47" t="n">
        <f aca="false">-$E52*N(AND(BW$3&lt;=$F52,BW$4&gt;=$F52))</f>
        <v>-0</v>
      </c>
      <c r="BX52" s="47" t="n">
        <f aca="false">-$E52*N(AND(BX$3&lt;=$F52,BX$4&gt;=$F52))</f>
        <v>-0</v>
      </c>
      <c r="BY52" s="47" t="n">
        <f aca="false">-$E52*N(AND(BY$3&lt;=$F52,BY$4&gt;=$F52))</f>
        <v>-0</v>
      </c>
      <c r="BZ52" s="47" t="n">
        <f aca="false">-$E52*N(AND(BZ$3&lt;=$F52,BZ$4&gt;=$F52))</f>
        <v>-0</v>
      </c>
      <c r="CA52" s="47" t="n">
        <f aca="false">-$E52*N(AND(CA$3&lt;=$F52,CA$4&gt;=$F52))</f>
        <v>-0</v>
      </c>
      <c r="CB52" s="47" t="n">
        <f aca="false">-$E52*N(AND(CB$3&lt;=$F52,CB$4&gt;=$F52))</f>
        <v>-0</v>
      </c>
      <c r="CC52" s="47" t="n">
        <f aca="false">-$E52*N(AND(CC$3&lt;=$F52,CC$4&gt;=$F52))</f>
        <v>-0</v>
      </c>
      <c r="CD52" s="47" t="n">
        <f aca="false">-$E52*N(AND(CD$3&lt;=$F52,CD$4&gt;=$F52))</f>
        <v>-0</v>
      </c>
      <c r="CE52" s="47" t="n">
        <f aca="false">-$E52*N(AND(CE$3&lt;=$F52,CE$4&gt;=$F52))</f>
        <v>-0</v>
      </c>
      <c r="CF52" s="47" t="n">
        <f aca="false">-$E52*N(AND(CF$3&lt;=$F52,CF$4&gt;=$F52))</f>
        <v>-0</v>
      </c>
      <c r="CG52" s="47" t="n">
        <f aca="false">-$E52*N(AND(CG$3&lt;=$F52,CG$4&gt;=$F52))</f>
        <v>-0</v>
      </c>
      <c r="CH52" s="47" t="n">
        <f aca="false">-$E52*N(AND(CH$3&lt;=$F52,CH$4&gt;=$F52))</f>
        <v>-0</v>
      </c>
      <c r="CI52" s="47" t="n">
        <f aca="false">-$E52*N(AND(CI$3&lt;=$F52,CI$4&gt;=$F52))</f>
        <v>-0</v>
      </c>
      <c r="CJ52" s="47" t="n">
        <f aca="false">-$E52*N(AND(CJ$3&lt;=$F52,CJ$4&gt;=$F52))</f>
        <v>-0</v>
      </c>
      <c r="CK52" s="47" t="n">
        <f aca="false">-$E52*N(AND(CK$3&lt;=$F52,CK$4&gt;=$F52))</f>
        <v>-0</v>
      </c>
      <c r="CL52" s="47" t="n">
        <f aca="false">-$E52*N(AND(CL$3&lt;=$F52,CL$4&gt;=$F52))</f>
        <v>-0</v>
      </c>
      <c r="CM52" s="47" t="n">
        <f aca="false">-$E52*N(AND(CM$3&lt;=$F52,CM$4&gt;=$F52))</f>
        <v>-0</v>
      </c>
      <c r="CN52" s="47" t="n">
        <f aca="false">-$E52*N(AND(CN$3&lt;=$F52,CN$4&gt;=$F52))</f>
        <v>-0</v>
      </c>
      <c r="CO52" s="47" t="n">
        <f aca="false">-$E52*N(AND(CO$3&lt;=$F52,CO$4&gt;=$F52))</f>
        <v>-0</v>
      </c>
      <c r="CP52" s="47" t="n">
        <f aca="false">-$E52*N(AND(CP$3&lt;=$F52,CP$4&gt;=$F52))</f>
        <v>-0</v>
      </c>
      <c r="CQ52" s="47" t="n">
        <f aca="false">-$E52*N(AND(CQ$3&lt;=$F52,CQ$4&gt;=$F52))</f>
        <v>-0</v>
      </c>
      <c r="CR52" s="47" t="n">
        <f aca="false">-$E52*N(AND(CR$3&lt;=$F52,CR$4&gt;=$F52))</f>
        <v>-0</v>
      </c>
      <c r="CS52" s="47" t="n">
        <f aca="false">-$E52*N(AND(CS$3&lt;=$F52,CS$4&gt;=$F52))</f>
        <v>-0</v>
      </c>
      <c r="CT52" s="47" t="n">
        <f aca="false">-$E52*N(AND(CT$3&lt;=$F52,CT$4&gt;=$F52))</f>
        <v>-0</v>
      </c>
      <c r="CU52" s="47" t="n">
        <f aca="false">-$E52*N(AND(CU$3&lt;=$F52,CU$4&gt;=$F52))</f>
        <v>-0</v>
      </c>
      <c r="CV52" s="47" t="n">
        <f aca="false">-$E52*N(AND(CV$3&lt;=$F52,CV$4&gt;=$F52))</f>
        <v>-0</v>
      </c>
      <c r="CW52" s="47" t="n">
        <f aca="false">-$E52*N(AND(CW$3&lt;=$F52,CW$4&gt;=$F52))</f>
        <v>-0</v>
      </c>
      <c r="CX52" s="47" t="n">
        <f aca="false">-$E52*N(AND(CX$3&lt;=$F52,CX$4&gt;=$F52))</f>
        <v>-0</v>
      </c>
      <c r="CY52" s="47" t="n">
        <f aca="false">-$E52*N(AND(CY$3&lt;=$F52,CY$4&gt;=$F52))</f>
        <v>-0</v>
      </c>
      <c r="CZ52" s="47" t="n">
        <f aca="false">-$E52*N(AND(CZ$3&lt;=$F52,CZ$4&gt;=$F52))</f>
        <v>-0</v>
      </c>
      <c r="DA52" s="47" t="n">
        <f aca="false">-$E52*N(AND(DA$3&lt;=$F52,DA$4&gt;=$F52))</f>
        <v>-0</v>
      </c>
      <c r="DB52" s="47" t="n">
        <f aca="false">-$E52*N(AND(DB$3&lt;=$F52,DB$4&gt;=$F52))</f>
        <v>-0</v>
      </c>
      <c r="DC52" s="47" t="n">
        <f aca="false">-$E52*N(AND(DC$3&lt;=$F52,DC$4&gt;=$F52))</f>
        <v>-0</v>
      </c>
      <c r="DD52" s="47" t="n">
        <f aca="false">-$E52*N(AND(DD$3&lt;=$F52,DD$4&gt;=$F52))</f>
        <v>-0</v>
      </c>
      <c r="DE52" s="47" t="n">
        <f aca="false">-$E52*N(AND(DE$3&lt;=$F52,DE$4&gt;=$F52))</f>
        <v>-0</v>
      </c>
      <c r="DF52" s="47" t="n">
        <f aca="false">-$E52*N(AND(DF$3&lt;=$F52,DF$4&gt;=$F52))</f>
        <v>-0</v>
      </c>
      <c r="DG52" s="47" t="n">
        <f aca="false">-$E52*N(AND(DG$3&lt;=$F52,DG$4&gt;=$F52))</f>
        <v>-0</v>
      </c>
      <c r="DH52" s="47" t="n">
        <f aca="false">-$E52*N(AND(DH$3&lt;=$F52,DH$4&gt;=$F52))</f>
        <v>-0</v>
      </c>
      <c r="DI52" s="47" t="n">
        <f aca="false">-$E52*N(AND(DI$3&lt;=$F52,DI$4&gt;=$F52))</f>
        <v>-0</v>
      </c>
      <c r="DJ52" s="47" t="n">
        <f aca="false">-$E52*N(AND(DJ$3&lt;=$F52,DJ$4&gt;=$F52))</f>
        <v>-0</v>
      </c>
      <c r="DK52" s="47" t="n">
        <f aca="false">-$E52*N(AND(DK$3&lt;=$F52,DK$4&gt;=$F52))</f>
        <v>-0</v>
      </c>
      <c r="DL52" s="47" t="n">
        <f aca="false">-$E52*N(AND(DL$3&lt;=$F52,DL$4&gt;=$F52))</f>
        <v>-0</v>
      </c>
      <c r="DM52" s="47" t="n">
        <f aca="false">-$E52*N(AND(DM$3&lt;=$F52,DM$4&gt;=$F52))</f>
        <v>-0</v>
      </c>
      <c r="DN52" s="47" t="n">
        <f aca="false">-$E52*N(AND(DN$3&lt;=$F52,DN$4&gt;=$F52))</f>
        <v>-0</v>
      </c>
      <c r="DO52" s="47" t="n">
        <f aca="false">-$E52*N(AND(DO$3&lt;=$F52,DO$4&gt;=$F52))</f>
        <v>-0</v>
      </c>
      <c r="DP52" s="47" t="n">
        <f aca="false">-$E52*N(AND(DP$3&lt;=$F52,DP$4&gt;=$F52))</f>
        <v>-0</v>
      </c>
      <c r="DQ52" s="47" t="n">
        <f aca="false">-$E52*N(AND(DQ$3&lt;=$F52,DQ$4&gt;=$F52))</f>
        <v>-0</v>
      </c>
      <c r="DR52" s="47" t="n">
        <f aca="false">-$E52*N(AND(DR$3&lt;=$F52,DR$4&gt;=$F52))</f>
        <v>-0</v>
      </c>
      <c r="DS52" s="47" t="n">
        <f aca="false">-$E52*N(AND(DS$3&lt;=$F52,DS$4&gt;=$F52))</f>
        <v>-0</v>
      </c>
      <c r="DT52" s="47" t="n">
        <f aca="false">-$E52*N(AND(DT$3&lt;=$F52,DT$4&gt;=$F52))</f>
        <v>-0</v>
      </c>
      <c r="DU52" s="47" t="n">
        <f aca="false">-$E52*N(AND(DU$3&lt;=$F52,DU$4&gt;=$F52))</f>
        <v>-0</v>
      </c>
      <c r="DV52" s="47" t="n">
        <f aca="false">-$E52*N(AND(DV$3&lt;=$F52,DV$4&gt;=$F52))</f>
        <v>-0</v>
      </c>
      <c r="DW52" s="47" t="n">
        <f aca="false">-$E52*N(AND(DW$3&lt;=$F52,DW$4&gt;=$F52))</f>
        <v>-0</v>
      </c>
      <c r="DX52" s="47" t="n">
        <f aca="false">-$E52*N(AND(DX$3&lt;=$F52,DX$4&gt;=$F52))</f>
        <v>-0</v>
      </c>
      <c r="DY52" s="47" t="n">
        <f aca="false">-$E52*N(AND(DY$3&lt;=$F52,DY$4&gt;=$F52))</f>
        <v>-0</v>
      </c>
      <c r="DZ52" s="47" t="n">
        <f aca="false">-$E52*N(AND(DZ$3&lt;=$F52,DZ$4&gt;=$F52))</f>
        <v>-0</v>
      </c>
      <c r="EA52" s="47" t="n">
        <f aca="false">-$E52*N(AND(EA$3&lt;=$F52,EA$4&gt;=$F52))</f>
        <v>-0</v>
      </c>
      <c r="EB52" s="47" t="n">
        <f aca="false">-$E52*N(AND(EB$3&lt;=$F52,EB$4&gt;=$F52))</f>
        <v>-0</v>
      </c>
      <c r="EC52" s="47" t="n">
        <f aca="false">-$E52*N(AND(EC$3&lt;=$F52,EC$4&gt;=$F52))</f>
        <v>-0</v>
      </c>
      <c r="ED52" s="47" t="n">
        <f aca="false">-$E52*N(AND(ED$3&lt;=$F52,ED$4&gt;=$F52))</f>
        <v>-0</v>
      </c>
      <c r="EE52" s="47" t="n">
        <f aca="false">-$E52*N(AND(EE$3&lt;=$F52,EE$4&gt;=$F52))</f>
        <v>-0</v>
      </c>
      <c r="EF52" s="47" t="n">
        <f aca="false">-$E52*N(AND(EF$3&lt;=$F52,EF$4&gt;=$F52))</f>
        <v>-0</v>
      </c>
      <c r="EG52" s="47" t="n">
        <f aca="false">-$E52*N(AND(EG$3&lt;=$F52,EG$4&gt;=$F52))</f>
        <v>-0</v>
      </c>
      <c r="EH52" s="47" t="n">
        <f aca="false">-$E52*N(AND(EH$3&lt;=$F52,EH$4&gt;=$F52))</f>
        <v>-0</v>
      </c>
      <c r="EI52" s="47" t="n">
        <f aca="false">-$E52*N(AND(EI$3&lt;=$F52,EI$4&gt;=$F52))</f>
        <v>-0</v>
      </c>
      <c r="EJ52" s="47" t="n">
        <f aca="false">-$E52*N(AND(EJ$3&lt;=$F52,EJ$4&gt;=$F52))</f>
        <v>-0</v>
      </c>
      <c r="EK52" s="47" t="n">
        <f aca="false">-$E52*N(AND(EK$3&lt;=$F52,EK$4&gt;=$F52))</f>
        <v>-0</v>
      </c>
      <c r="EL52" s="47" t="n">
        <f aca="false">-$E52*N(AND(EL$3&lt;=$F52,EL$4&gt;=$F52))</f>
        <v>-0</v>
      </c>
      <c r="EM52" s="47" t="n">
        <f aca="false">-$E52*N(AND(EM$3&lt;=$F52,EM$4&gt;=$F52))</f>
        <v>-0</v>
      </c>
      <c r="EN52" s="47" t="n">
        <f aca="false">-$E52*N(AND(EN$3&lt;=$F52,EN$4&gt;=$F52))</f>
        <v>-0</v>
      </c>
      <c r="EO52" s="47" t="n">
        <f aca="false">-$E52*N(AND(EO$3&lt;=$F52,EO$4&gt;=$F52))</f>
        <v>-0</v>
      </c>
    </row>
    <row r="53" customFormat="false" ht="15" hidden="false" customHeight="false" outlineLevel="0" collapsed="false">
      <c r="C53" s="0" t="s">
        <v>406</v>
      </c>
      <c r="D53" s="11" t="s">
        <v>33</v>
      </c>
      <c r="E53" s="47" t="n">
        <f aca="false">(In_Indirect_Fee-In_TSO_Security)*In_MVA*Thousand/In_FX</f>
        <v>6894.54917808219</v>
      </c>
      <c r="F53" s="20" t="n">
        <f aca="false">In_HCSSZ_Date</f>
        <v>47126</v>
      </c>
      <c r="I53" s="47" t="n">
        <f aca="false">SUM(J53:EO53)</f>
        <v>-6894.54917808219</v>
      </c>
      <c r="J53" s="47" t="n">
        <f aca="false">-$E53*N(AND(J$3&lt;=$F53,J$4&gt;=$F53))</f>
        <v>-0</v>
      </c>
      <c r="K53" s="47" t="n">
        <f aca="false">-$E53*N(AND(K$3&lt;=$F53,K$4&gt;=$F53))</f>
        <v>-0</v>
      </c>
      <c r="L53" s="47" t="n">
        <f aca="false">-$E53*N(AND(L$3&lt;=$F53,L$4&gt;=$F53))</f>
        <v>-0</v>
      </c>
      <c r="M53" s="47" t="n">
        <f aca="false">-$E53*N(AND(M$3&lt;=$F53,M$4&gt;=$F53))</f>
        <v>-0</v>
      </c>
      <c r="N53" s="47" t="n">
        <f aca="false">-$E53*N(AND(N$3&lt;=$F53,N$4&gt;=$F53))</f>
        <v>-0</v>
      </c>
      <c r="O53" s="47" t="n">
        <f aca="false">-$E53*N(AND(O$3&lt;=$F53,O$4&gt;=$F53))</f>
        <v>-0</v>
      </c>
      <c r="P53" s="47" t="n">
        <f aca="false">-$E53*N(AND(P$3&lt;=$F53,P$4&gt;=$F53))</f>
        <v>-0</v>
      </c>
      <c r="Q53" s="47" t="n">
        <f aca="false">-$E53*N(AND(Q$3&lt;=$F53,Q$4&gt;=$F53))</f>
        <v>-0</v>
      </c>
      <c r="R53" s="47" t="n">
        <f aca="false">-$E53*N(AND(R$3&lt;=$F53,R$4&gt;=$F53))</f>
        <v>-0</v>
      </c>
      <c r="S53" s="47" t="n">
        <f aca="false">-$E53*N(AND(S$3&lt;=$F53,S$4&gt;=$F53))</f>
        <v>-6894.54917808219</v>
      </c>
      <c r="T53" s="47" t="n">
        <f aca="false">-$E53*N(AND(T$3&lt;=$F53,T$4&gt;=$F53))</f>
        <v>-0</v>
      </c>
      <c r="U53" s="47" t="n">
        <f aca="false">-$E53*N(AND(U$3&lt;=$F53,U$4&gt;=$F53))</f>
        <v>-0</v>
      </c>
      <c r="V53" s="47" t="n">
        <f aca="false">-$E53*N(AND(V$3&lt;=$F53,V$4&gt;=$F53))</f>
        <v>-0</v>
      </c>
      <c r="W53" s="47" t="n">
        <f aca="false">-$E53*N(AND(W$3&lt;=$F53,W$4&gt;=$F53))</f>
        <v>-0</v>
      </c>
      <c r="X53" s="47" t="n">
        <f aca="false">-$E53*N(AND(X$3&lt;=$F53,X$4&gt;=$F53))</f>
        <v>-0</v>
      </c>
      <c r="Y53" s="47" t="n">
        <f aca="false">-$E53*N(AND(Y$3&lt;=$F53,Y$4&gt;=$F53))</f>
        <v>-0</v>
      </c>
      <c r="Z53" s="47" t="n">
        <f aca="false">-$E53*N(AND(Z$3&lt;=$F53,Z$4&gt;=$F53))</f>
        <v>-0</v>
      </c>
      <c r="AA53" s="47" t="n">
        <f aca="false">-$E53*N(AND(AA$3&lt;=$F53,AA$4&gt;=$F53))</f>
        <v>-0</v>
      </c>
      <c r="AB53" s="47" t="n">
        <f aca="false">-$E53*N(AND(AB$3&lt;=$F53,AB$4&gt;=$F53))</f>
        <v>-0</v>
      </c>
      <c r="AC53" s="47" t="n">
        <f aca="false">-$E53*N(AND(AC$3&lt;=$F53,AC$4&gt;=$F53))</f>
        <v>-0</v>
      </c>
      <c r="AD53" s="47" t="n">
        <f aca="false">-$E53*N(AND(AD$3&lt;=$F53,AD$4&gt;=$F53))</f>
        <v>-0</v>
      </c>
      <c r="AE53" s="47" t="n">
        <f aca="false">-$E53*N(AND(AE$3&lt;=$F53,AE$4&gt;=$F53))</f>
        <v>-0</v>
      </c>
      <c r="AF53" s="47" t="n">
        <f aca="false">-$E53*N(AND(AF$3&lt;=$F53,AF$4&gt;=$F53))</f>
        <v>-0</v>
      </c>
      <c r="AG53" s="47" t="n">
        <f aca="false">-$E53*N(AND(AG$3&lt;=$F53,AG$4&gt;=$F53))</f>
        <v>-0</v>
      </c>
      <c r="AH53" s="47" t="n">
        <f aca="false">-$E53*N(AND(AH$3&lt;=$F53,AH$4&gt;=$F53))</f>
        <v>-0</v>
      </c>
      <c r="AI53" s="47" t="n">
        <f aca="false">-$E53*N(AND(AI$3&lt;=$F53,AI$4&gt;=$F53))</f>
        <v>-0</v>
      </c>
      <c r="AJ53" s="47" t="n">
        <f aca="false">-$E53*N(AND(AJ$3&lt;=$F53,AJ$4&gt;=$F53))</f>
        <v>-0</v>
      </c>
      <c r="AK53" s="47" t="n">
        <f aca="false">-$E53*N(AND(AK$3&lt;=$F53,AK$4&gt;=$F53))</f>
        <v>-0</v>
      </c>
      <c r="AL53" s="47" t="n">
        <f aca="false">-$E53*N(AND(AL$3&lt;=$F53,AL$4&gt;=$F53))</f>
        <v>-0</v>
      </c>
      <c r="AM53" s="47" t="n">
        <f aca="false">-$E53*N(AND(AM$3&lt;=$F53,AM$4&gt;=$F53))</f>
        <v>-0</v>
      </c>
      <c r="AN53" s="47" t="n">
        <f aca="false">-$E53*N(AND(AN$3&lt;=$F53,AN$4&gt;=$F53))</f>
        <v>-0</v>
      </c>
      <c r="AO53" s="47" t="n">
        <f aca="false">-$E53*N(AND(AO$3&lt;=$F53,AO$4&gt;=$F53))</f>
        <v>-0</v>
      </c>
      <c r="AP53" s="47" t="n">
        <f aca="false">-$E53*N(AND(AP$3&lt;=$F53,AP$4&gt;=$F53))</f>
        <v>-0</v>
      </c>
      <c r="AQ53" s="47" t="n">
        <f aca="false">-$E53*N(AND(AQ$3&lt;=$F53,AQ$4&gt;=$F53))</f>
        <v>-0</v>
      </c>
      <c r="AR53" s="47" t="n">
        <f aca="false">-$E53*N(AND(AR$3&lt;=$F53,AR$4&gt;=$F53))</f>
        <v>-0</v>
      </c>
      <c r="AS53" s="47" t="n">
        <f aca="false">-$E53*N(AND(AS$3&lt;=$F53,AS$4&gt;=$F53))</f>
        <v>-0</v>
      </c>
      <c r="AT53" s="47" t="n">
        <f aca="false">-$E53*N(AND(AT$3&lt;=$F53,AT$4&gt;=$F53))</f>
        <v>-0</v>
      </c>
      <c r="AU53" s="47" t="n">
        <f aca="false">-$E53*N(AND(AU$3&lt;=$F53,AU$4&gt;=$F53))</f>
        <v>-0</v>
      </c>
      <c r="AV53" s="47" t="n">
        <f aca="false">-$E53*N(AND(AV$3&lt;=$F53,AV$4&gt;=$F53))</f>
        <v>-0</v>
      </c>
      <c r="AW53" s="47" t="n">
        <f aca="false">-$E53*N(AND(AW$3&lt;=$F53,AW$4&gt;=$F53))</f>
        <v>-0</v>
      </c>
      <c r="AX53" s="47" t="n">
        <f aca="false">-$E53*N(AND(AX$3&lt;=$F53,AX$4&gt;=$F53))</f>
        <v>-0</v>
      </c>
      <c r="AY53" s="47" t="n">
        <f aca="false">-$E53*N(AND(AY$3&lt;=$F53,AY$4&gt;=$F53))</f>
        <v>-0</v>
      </c>
      <c r="AZ53" s="47" t="n">
        <f aca="false">-$E53*N(AND(AZ$3&lt;=$F53,AZ$4&gt;=$F53))</f>
        <v>-0</v>
      </c>
      <c r="BA53" s="47" t="n">
        <f aca="false">-$E53*N(AND(BA$3&lt;=$F53,BA$4&gt;=$F53))</f>
        <v>-0</v>
      </c>
      <c r="BB53" s="47" t="n">
        <f aca="false">-$E53*N(AND(BB$3&lt;=$F53,BB$4&gt;=$F53))</f>
        <v>-0</v>
      </c>
      <c r="BC53" s="47" t="n">
        <f aca="false">-$E53*N(AND(BC$3&lt;=$F53,BC$4&gt;=$F53))</f>
        <v>-0</v>
      </c>
      <c r="BD53" s="47" t="n">
        <f aca="false">-$E53*N(AND(BD$3&lt;=$F53,BD$4&gt;=$F53))</f>
        <v>-0</v>
      </c>
      <c r="BE53" s="47" t="n">
        <f aca="false">-$E53*N(AND(BE$3&lt;=$F53,BE$4&gt;=$F53))</f>
        <v>-0</v>
      </c>
      <c r="BF53" s="47" t="n">
        <f aca="false">-$E53*N(AND(BF$3&lt;=$F53,BF$4&gt;=$F53))</f>
        <v>-0</v>
      </c>
      <c r="BG53" s="47" t="n">
        <f aca="false">-$E53*N(AND(BG$3&lt;=$F53,BG$4&gt;=$F53))</f>
        <v>-0</v>
      </c>
      <c r="BH53" s="47" t="n">
        <f aca="false">-$E53*N(AND(BH$3&lt;=$F53,BH$4&gt;=$F53))</f>
        <v>-0</v>
      </c>
      <c r="BI53" s="47" t="n">
        <f aca="false">-$E53*N(AND(BI$3&lt;=$F53,BI$4&gt;=$F53))</f>
        <v>-0</v>
      </c>
      <c r="BJ53" s="47" t="n">
        <f aca="false">-$E53*N(AND(BJ$3&lt;=$F53,BJ$4&gt;=$F53))</f>
        <v>-0</v>
      </c>
      <c r="BK53" s="47" t="n">
        <f aca="false">-$E53*N(AND(BK$3&lt;=$F53,BK$4&gt;=$F53))</f>
        <v>-0</v>
      </c>
      <c r="BL53" s="47" t="n">
        <f aca="false">-$E53*N(AND(BL$3&lt;=$F53,BL$4&gt;=$F53))</f>
        <v>-0</v>
      </c>
      <c r="BM53" s="47" t="n">
        <f aca="false">-$E53*N(AND(BM$3&lt;=$F53,BM$4&gt;=$F53))</f>
        <v>-0</v>
      </c>
      <c r="BN53" s="47" t="n">
        <f aca="false">-$E53*N(AND(BN$3&lt;=$F53,BN$4&gt;=$F53))</f>
        <v>-0</v>
      </c>
      <c r="BO53" s="47" t="n">
        <f aca="false">-$E53*N(AND(BO$3&lt;=$F53,BO$4&gt;=$F53))</f>
        <v>-0</v>
      </c>
      <c r="BP53" s="47" t="n">
        <f aca="false">-$E53*N(AND(BP$3&lt;=$F53,BP$4&gt;=$F53))</f>
        <v>-0</v>
      </c>
      <c r="BQ53" s="47" t="n">
        <f aca="false">-$E53*N(AND(BQ$3&lt;=$F53,BQ$4&gt;=$F53))</f>
        <v>-0</v>
      </c>
      <c r="BR53" s="47" t="n">
        <f aca="false">-$E53*N(AND(BR$3&lt;=$F53,BR$4&gt;=$F53))</f>
        <v>-0</v>
      </c>
      <c r="BS53" s="47" t="n">
        <f aca="false">-$E53*N(AND(BS$3&lt;=$F53,BS$4&gt;=$F53))</f>
        <v>-0</v>
      </c>
      <c r="BT53" s="47" t="n">
        <f aca="false">-$E53*N(AND(BT$3&lt;=$F53,BT$4&gt;=$F53))</f>
        <v>-0</v>
      </c>
      <c r="BU53" s="47" t="n">
        <f aca="false">-$E53*N(AND(BU$3&lt;=$F53,BU$4&gt;=$F53))</f>
        <v>-0</v>
      </c>
      <c r="BV53" s="47" t="n">
        <f aca="false">-$E53*N(AND(BV$3&lt;=$F53,BV$4&gt;=$F53))</f>
        <v>-0</v>
      </c>
      <c r="BW53" s="47" t="n">
        <f aca="false">-$E53*N(AND(BW$3&lt;=$F53,BW$4&gt;=$F53))</f>
        <v>-0</v>
      </c>
      <c r="BX53" s="47" t="n">
        <f aca="false">-$E53*N(AND(BX$3&lt;=$F53,BX$4&gt;=$F53))</f>
        <v>-0</v>
      </c>
      <c r="BY53" s="47" t="n">
        <f aca="false">-$E53*N(AND(BY$3&lt;=$F53,BY$4&gt;=$F53))</f>
        <v>-0</v>
      </c>
      <c r="BZ53" s="47" t="n">
        <f aca="false">-$E53*N(AND(BZ$3&lt;=$F53,BZ$4&gt;=$F53))</f>
        <v>-0</v>
      </c>
      <c r="CA53" s="47" t="n">
        <f aca="false">-$E53*N(AND(CA$3&lt;=$F53,CA$4&gt;=$F53))</f>
        <v>-0</v>
      </c>
      <c r="CB53" s="47" t="n">
        <f aca="false">-$E53*N(AND(CB$3&lt;=$F53,CB$4&gt;=$F53))</f>
        <v>-0</v>
      </c>
      <c r="CC53" s="47" t="n">
        <f aca="false">-$E53*N(AND(CC$3&lt;=$F53,CC$4&gt;=$F53))</f>
        <v>-0</v>
      </c>
      <c r="CD53" s="47" t="n">
        <f aca="false">-$E53*N(AND(CD$3&lt;=$F53,CD$4&gt;=$F53))</f>
        <v>-0</v>
      </c>
      <c r="CE53" s="47" t="n">
        <f aca="false">-$E53*N(AND(CE$3&lt;=$F53,CE$4&gt;=$F53))</f>
        <v>-0</v>
      </c>
      <c r="CF53" s="47" t="n">
        <f aca="false">-$E53*N(AND(CF$3&lt;=$F53,CF$4&gt;=$F53))</f>
        <v>-0</v>
      </c>
      <c r="CG53" s="47" t="n">
        <f aca="false">-$E53*N(AND(CG$3&lt;=$F53,CG$4&gt;=$F53))</f>
        <v>-0</v>
      </c>
      <c r="CH53" s="47" t="n">
        <f aca="false">-$E53*N(AND(CH$3&lt;=$F53,CH$4&gt;=$F53))</f>
        <v>-0</v>
      </c>
      <c r="CI53" s="47" t="n">
        <f aca="false">-$E53*N(AND(CI$3&lt;=$F53,CI$4&gt;=$F53))</f>
        <v>-0</v>
      </c>
      <c r="CJ53" s="47" t="n">
        <f aca="false">-$E53*N(AND(CJ$3&lt;=$F53,CJ$4&gt;=$F53))</f>
        <v>-0</v>
      </c>
      <c r="CK53" s="47" t="n">
        <f aca="false">-$E53*N(AND(CK$3&lt;=$F53,CK$4&gt;=$F53))</f>
        <v>-0</v>
      </c>
      <c r="CL53" s="47" t="n">
        <f aca="false">-$E53*N(AND(CL$3&lt;=$F53,CL$4&gt;=$F53))</f>
        <v>-0</v>
      </c>
      <c r="CM53" s="47" t="n">
        <f aca="false">-$E53*N(AND(CM$3&lt;=$F53,CM$4&gt;=$F53))</f>
        <v>-0</v>
      </c>
      <c r="CN53" s="47" t="n">
        <f aca="false">-$E53*N(AND(CN$3&lt;=$F53,CN$4&gt;=$F53))</f>
        <v>-0</v>
      </c>
      <c r="CO53" s="47" t="n">
        <f aca="false">-$E53*N(AND(CO$3&lt;=$F53,CO$4&gt;=$F53))</f>
        <v>-0</v>
      </c>
      <c r="CP53" s="47" t="n">
        <f aca="false">-$E53*N(AND(CP$3&lt;=$F53,CP$4&gt;=$F53))</f>
        <v>-0</v>
      </c>
      <c r="CQ53" s="47" t="n">
        <f aca="false">-$E53*N(AND(CQ$3&lt;=$F53,CQ$4&gt;=$F53))</f>
        <v>-0</v>
      </c>
      <c r="CR53" s="47" t="n">
        <f aca="false">-$E53*N(AND(CR$3&lt;=$F53,CR$4&gt;=$F53))</f>
        <v>-0</v>
      </c>
      <c r="CS53" s="47" t="n">
        <f aca="false">-$E53*N(AND(CS$3&lt;=$F53,CS$4&gt;=$F53))</f>
        <v>-0</v>
      </c>
      <c r="CT53" s="47" t="n">
        <f aca="false">-$E53*N(AND(CT$3&lt;=$F53,CT$4&gt;=$F53))</f>
        <v>-0</v>
      </c>
      <c r="CU53" s="47" t="n">
        <f aca="false">-$E53*N(AND(CU$3&lt;=$F53,CU$4&gt;=$F53))</f>
        <v>-0</v>
      </c>
      <c r="CV53" s="47" t="n">
        <f aca="false">-$E53*N(AND(CV$3&lt;=$F53,CV$4&gt;=$F53))</f>
        <v>-0</v>
      </c>
      <c r="CW53" s="47" t="n">
        <f aca="false">-$E53*N(AND(CW$3&lt;=$F53,CW$4&gt;=$F53))</f>
        <v>-0</v>
      </c>
      <c r="CX53" s="47" t="n">
        <f aca="false">-$E53*N(AND(CX$3&lt;=$F53,CX$4&gt;=$F53))</f>
        <v>-0</v>
      </c>
      <c r="CY53" s="47" t="n">
        <f aca="false">-$E53*N(AND(CY$3&lt;=$F53,CY$4&gt;=$F53))</f>
        <v>-0</v>
      </c>
      <c r="CZ53" s="47" t="n">
        <f aca="false">-$E53*N(AND(CZ$3&lt;=$F53,CZ$4&gt;=$F53))</f>
        <v>-0</v>
      </c>
      <c r="DA53" s="47" t="n">
        <f aca="false">-$E53*N(AND(DA$3&lt;=$F53,DA$4&gt;=$F53))</f>
        <v>-0</v>
      </c>
      <c r="DB53" s="47" t="n">
        <f aca="false">-$E53*N(AND(DB$3&lt;=$F53,DB$4&gt;=$F53))</f>
        <v>-0</v>
      </c>
      <c r="DC53" s="47" t="n">
        <f aca="false">-$E53*N(AND(DC$3&lt;=$F53,DC$4&gt;=$F53))</f>
        <v>-0</v>
      </c>
      <c r="DD53" s="47" t="n">
        <f aca="false">-$E53*N(AND(DD$3&lt;=$F53,DD$4&gt;=$F53))</f>
        <v>-0</v>
      </c>
      <c r="DE53" s="47" t="n">
        <f aca="false">-$E53*N(AND(DE$3&lt;=$F53,DE$4&gt;=$F53))</f>
        <v>-0</v>
      </c>
      <c r="DF53" s="47" t="n">
        <f aca="false">-$E53*N(AND(DF$3&lt;=$F53,DF$4&gt;=$F53))</f>
        <v>-0</v>
      </c>
      <c r="DG53" s="47" t="n">
        <f aca="false">-$E53*N(AND(DG$3&lt;=$F53,DG$4&gt;=$F53))</f>
        <v>-0</v>
      </c>
      <c r="DH53" s="47" t="n">
        <f aca="false">-$E53*N(AND(DH$3&lt;=$F53,DH$4&gt;=$F53))</f>
        <v>-0</v>
      </c>
      <c r="DI53" s="47" t="n">
        <f aca="false">-$E53*N(AND(DI$3&lt;=$F53,DI$4&gt;=$F53))</f>
        <v>-0</v>
      </c>
      <c r="DJ53" s="47" t="n">
        <f aca="false">-$E53*N(AND(DJ$3&lt;=$F53,DJ$4&gt;=$F53))</f>
        <v>-0</v>
      </c>
      <c r="DK53" s="47" t="n">
        <f aca="false">-$E53*N(AND(DK$3&lt;=$F53,DK$4&gt;=$F53))</f>
        <v>-0</v>
      </c>
      <c r="DL53" s="47" t="n">
        <f aca="false">-$E53*N(AND(DL$3&lt;=$F53,DL$4&gt;=$F53))</f>
        <v>-0</v>
      </c>
      <c r="DM53" s="47" t="n">
        <f aca="false">-$E53*N(AND(DM$3&lt;=$F53,DM$4&gt;=$F53))</f>
        <v>-0</v>
      </c>
      <c r="DN53" s="47" t="n">
        <f aca="false">-$E53*N(AND(DN$3&lt;=$F53,DN$4&gt;=$F53))</f>
        <v>-0</v>
      </c>
      <c r="DO53" s="47" t="n">
        <f aca="false">-$E53*N(AND(DO$3&lt;=$F53,DO$4&gt;=$F53))</f>
        <v>-0</v>
      </c>
      <c r="DP53" s="47" t="n">
        <f aca="false">-$E53*N(AND(DP$3&lt;=$F53,DP$4&gt;=$F53))</f>
        <v>-0</v>
      </c>
      <c r="DQ53" s="47" t="n">
        <f aca="false">-$E53*N(AND(DQ$3&lt;=$F53,DQ$4&gt;=$F53))</f>
        <v>-0</v>
      </c>
      <c r="DR53" s="47" t="n">
        <f aca="false">-$E53*N(AND(DR$3&lt;=$F53,DR$4&gt;=$F53))</f>
        <v>-0</v>
      </c>
      <c r="DS53" s="47" t="n">
        <f aca="false">-$E53*N(AND(DS$3&lt;=$F53,DS$4&gt;=$F53))</f>
        <v>-0</v>
      </c>
      <c r="DT53" s="47" t="n">
        <f aca="false">-$E53*N(AND(DT$3&lt;=$F53,DT$4&gt;=$F53))</f>
        <v>-0</v>
      </c>
      <c r="DU53" s="47" t="n">
        <f aca="false">-$E53*N(AND(DU$3&lt;=$F53,DU$4&gt;=$F53))</f>
        <v>-0</v>
      </c>
      <c r="DV53" s="47" t="n">
        <f aca="false">-$E53*N(AND(DV$3&lt;=$F53,DV$4&gt;=$F53))</f>
        <v>-0</v>
      </c>
      <c r="DW53" s="47" t="n">
        <f aca="false">-$E53*N(AND(DW$3&lt;=$F53,DW$4&gt;=$F53))</f>
        <v>-0</v>
      </c>
      <c r="DX53" s="47" t="n">
        <f aca="false">-$E53*N(AND(DX$3&lt;=$F53,DX$4&gt;=$F53))</f>
        <v>-0</v>
      </c>
      <c r="DY53" s="47" t="n">
        <f aca="false">-$E53*N(AND(DY$3&lt;=$F53,DY$4&gt;=$F53))</f>
        <v>-0</v>
      </c>
      <c r="DZ53" s="47" t="n">
        <f aca="false">-$E53*N(AND(DZ$3&lt;=$F53,DZ$4&gt;=$F53))</f>
        <v>-0</v>
      </c>
      <c r="EA53" s="47" t="n">
        <f aca="false">-$E53*N(AND(EA$3&lt;=$F53,EA$4&gt;=$F53))</f>
        <v>-0</v>
      </c>
      <c r="EB53" s="47" t="n">
        <f aca="false">-$E53*N(AND(EB$3&lt;=$F53,EB$4&gt;=$F53))</f>
        <v>-0</v>
      </c>
      <c r="EC53" s="47" t="n">
        <f aca="false">-$E53*N(AND(EC$3&lt;=$F53,EC$4&gt;=$F53))</f>
        <v>-0</v>
      </c>
      <c r="ED53" s="47" t="n">
        <f aca="false">-$E53*N(AND(ED$3&lt;=$F53,ED$4&gt;=$F53))</f>
        <v>-0</v>
      </c>
      <c r="EE53" s="47" t="n">
        <f aca="false">-$E53*N(AND(EE$3&lt;=$F53,EE$4&gt;=$F53))</f>
        <v>-0</v>
      </c>
      <c r="EF53" s="47" t="n">
        <f aca="false">-$E53*N(AND(EF$3&lt;=$F53,EF$4&gt;=$F53))</f>
        <v>-0</v>
      </c>
      <c r="EG53" s="47" t="n">
        <f aca="false">-$E53*N(AND(EG$3&lt;=$F53,EG$4&gt;=$F53))</f>
        <v>-0</v>
      </c>
      <c r="EH53" s="47" t="n">
        <f aca="false">-$E53*N(AND(EH$3&lt;=$F53,EH$4&gt;=$F53))</f>
        <v>-0</v>
      </c>
      <c r="EI53" s="47" t="n">
        <f aca="false">-$E53*N(AND(EI$3&lt;=$F53,EI$4&gt;=$F53))</f>
        <v>-0</v>
      </c>
      <c r="EJ53" s="47" t="n">
        <f aca="false">-$E53*N(AND(EJ$3&lt;=$F53,EJ$4&gt;=$F53))</f>
        <v>-0</v>
      </c>
      <c r="EK53" s="47" t="n">
        <f aca="false">-$E53*N(AND(EK$3&lt;=$F53,EK$4&gt;=$F53))</f>
        <v>-0</v>
      </c>
      <c r="EL53" s="47" t="n">
        <f aca="false">-$E53*N(AND(EL$3&lt;=$F53,EL$4&gt;=$F53))</f>
        <v>-0</v>
      </c>
      <c r="EM53" s="47" t="n">
        <f aca="false">-$E53*N(AND(EM$3&lt;=$F53,EM$4&gt;=$F53))</f>
        <v>-0</v>
      </c>
      <c r="EN53" s="47" t="n">
        <f aca="false">-$E53*N(AND(EN$3&lt;=$F53,EN$4&gt;=$F53))</f>
        <v>-0</v>
      </c>
      <c r="EO53" s="47" t="n">
        <f aca="false">-$E53*N(AND(EO$3&lt;=$F53,EO$4&gt;=$F53))</f>
        <v>-0</v>
      </c>
    </row>
    <row r="54" customFormat="false" ht="15" hidden="false" customHeight="false" outlineLevel="0" collapsed="false">
      <c r="C54" s="0" t="s">
        <v>407</v>
      </c>
      <c r="D54" s="11" t="s">
        <v>33</v>
      </c>
      <c r="I54" s="47" t="n">
        <f aca="false">SUM(J54:EO54)</f>
        <v>-8154.82315068493</v>
      </c>
      <c r="J54" s="47" t="n">
        <f aca="false">J52+J53</f>
        <v>-0</v>
      </c>
      <c r="K54" s="47" t="n">
        <f aca="false">K52+K53</f>
        <v>-0</v>
      </c>
      <c r="L54" s="47" t="n">
        <f aca="false">L52+L53</f>
        <v>-0</v>
      </c>
      <c r="M54" s="47" t="n">
        <f aca="false">M52+M53</f>
        <v>-0</v>
      </c>
      <c r="N54" s="47" t="n">
        <f aca="false">N52+N53</f>
        <v>-0</v>
      </c>
      <c r="O54" s="47" t="n">
        <f aca="false">O52+O53</f>
        <v>-0</v>
      </c>
      <c r="P54" s="47" t="n">
        <f aca="false">P52+P53</f>
        <v>-0</v>
      </c>
      <c r="Q54" s="47" t="n">
        <f aca="false">Q52+Q53</f>
        <v>-0</v>
      </c>
      <c r="R54" s="47" t="n">
        <f aca="false">R52+R53</f>
        <v>-0</v>
      </c>
      <c r="S54" s="47" t="n">
        <f aca="false">S52+S53</f>
        <v>-8154.82315068493</v>
      </c>
      <c r="T54" s="47" t="n">
        <f aca="false">T52+T53</f>
        <v>-0</v>
      </c>
      <c r="U54" s="47" t="n">
        <f aca="false">U52+U53</f>
        <v>-0</v>
      </c>
      <c r="V54" s="47" t="n">
        <f aca="false">V52+V53</f>
        <v>-0</v>
      </c>
      <c r="W54" s="47" t="n">
        <f aca="false">W52+W53</f>
        <v>-0</v>
      </c>
      <c r="X54" s="47" t="n">
        <f aca="false">X52+X53</f>
        <v>-0</v>
      </c>
      <c r="Y54" s="47" t="n">
        <f aca="false">Y52+Y53</f>
        <v>-0</v>
      </c>
      <c r="Z54" s="47" t="n">
        <f aca="false">Z52+Z53</f>
        <v>-0</v>
      </c>
      <c r="AA54" s="47" t="n">
        <f aca="false">AA52+AA53</f>
        <v>-0</v>
      </c>
      <c r="AB54" s="47" t="n">
        <f aca="false">AB52+AB53</f>
        <v>-0</v>
      </c>
      <c r="AC54" s="47" t="n">
        <f aca="false">AC52+AC53</f>
        <v>-0</v>
      </c>
      <c r="AD54" s="47" t="n">
        <f aca="false">AD52+AD53</f>
        <v>-0</v>
      </c>
      <c r="AE54" s="47" t="n">
        <f aca="false">AE52+AE53</f>
        <v>-0</v>
      </c>
      <c r="AF54" s="47" t="n">
        <f aca="false">AF52+AF53</f>
        <v>-0</v>
      </c>
      <c r="AG54" s="47" t="n">
        <f aca="false">AG52+AG53</f>
        <v>-0</v>
      </c>
      <c r="AH54" s="47" t="n">
        <f aca="false">AH52+AH53</f>
        <v>-0</v>
      </c>
      <c r="AI54" s="47" t="n">
        <f aca="false">AI52+AI53</f>
        <v>-0</v>
      </c>
      <c r="AJ54" s="47" t="n">
        <f aca="false">AJ52+AJ53</f>
        <v>-0</v>
      </c>
      <c r="AK54" s="47" t="n">
        <f aca="false">AK52+AK53</f>
        <v>-0</v>
      </c>
      <c r="AL54" s="47" t="n">
        <f aca="false">AL52+AL53</f>
        <v>-0</v>
      </c>
      <c r="AM54" s="47" t="n">
        <f aca="false">AM52+AM53</f>
        <v>-0</v>
      </c>
      <c r="AN54" s="47" t="n">
        <f aca="false">AN52+AN53</f>
        <v>-0</v>
      </c>
      <c r="AO54" s="47" t="n">
        <f aca="false">AO52+AO53</f>
        <v>-0</v>
      </c>
      <c r="AP54" s="47" t="n">
        <f aca="false">AP52+AP53</f>
        <v>-0</v>
      </c>
      <c r="AQ54" s="47" t="n">
        <f aca="false">AQ52+AQ53</f>
        <v>-0</v>
      </c>
      <c r="AR54" s="47" t="n">
        <f aca="false">AR52+AR53</f>
        <v>-0</v>
      </c>
      <c r="AS54" s="47" t="n">
        <f aca="false">AS52+AS53</f>
        <v>-0</v>
      </c>
      <c r="AT54" s="47" t="n">
        <f aca="false">AT52+AT53</f>
        <v>-0</v>
      </c>
      <c r="AU54" s="47" t="n">
        <f aca="false">AU52+AU53</f>
        <v>-0</v>
      </c>
      <c r="AV54" s="47" t="n">
        <f aca="false">AV52+AV53</f>
        <v>-0</v>
      </c>
      <c r="AW54" s="47" t="n">
        <f aca="false">AW52+AW53</f>
        <v>-0</v>
      </c>
      <c r="AX54" s="47" t="n">
        <f aca="false">AX52+AX53</f>
        <v>-0</v>
      </c>
      <c r="AY54" s="47" t="n">
        <f aca="false">AY52+AY53</f>
        <v>-0</v>
      </c>
      <c r="AZ54" s="47" t="n">
        <f aca="false">AZ52+AZ53</f>
        <v>-0</v>
      </c>
      <c r="BA54" s="47" t="n">
        <f aca="false">BA52+BA53</f>
        <v>-0</v>
      </c>
      <c r="BB54" s="47" t="n">
        <f aca="false">BB52+BB53</f>
        <v>-0</v>
      </c>
      <c r="BC54" s="47" t="n">
        <f aca="false">BC52+BC53</f>
        <v>-0</v>
      </c>
      <c r="BD54" s="47" t="n">
        <f aca="false">BD52+BD53</f>
        <v>-0</v>
      </c>
      <c r="BE54" s="47" t="n">
        <f aca="false">BE52+BE53</f>
        <v>-0</v>
      </c>
      <c r="BF54" s="47" t="n">
        <f aca="false">BF52+BF53</f>
        <v>-0</v>
      </c>
      <c r="BG54" s="47" t="n">
        <f aca="false">BG52+BG53</f>
        <v>-0</v>
      </c>
      <c r="BH54" s="47" t="n">
        <f aca="false">BH52+BH53</f>
        <v>-0</v>
      </c>
      <c r="BI54" s="47" t="n">
        <f aca="false">BI52+BI53</f>
        <v>-0</v>
      </c>
      <c r="BJ54" s="47" t="n">
        <f aca="false">BJ52+BJ53</f>
        <v>-0</v>
      </c>
      <c r="BK54" s="47" t="n">
        <f aca="false">BK52+BK53</f>
        <v>-0</v>
      </c>
      <c r="BL54" s="47" t="n">
        <f aca="false">BL52+BL53</f>
        <v>-0</v>
      </c>
      <c r="BM54" s="47" t="n">
        <f aca="false">BM52+BM53</f>
        <v>-0</v>
      </c>
      <c r="BN54" s="47" t="n">
        <f aca="false">BN52+BN53</f>
        <v>-0</v>
      </c>
      <c r="BO54" s="47" t="n">
        <f aca="false">BO52+BO53</f>
        <v>-0</v>
      </c>
      <c r="BP54" s="47" t="n">
        <f aca="false">BP52+BP53</f>
        <v>-0</v>
      </c>
      <c r="BQ54" s="47" t="n">
        <f aca="false">BQ52+BQ53</f>
        <v>-0</v>
      </c>
      <c r="BR54" s="47" t="n">
        <f aca="false">BR52+BR53</f>
        <v>-0</v>
      </c>
      <c r="BS54" s="47" t="n">
        <f aca="false">BS52+BS53</f>
        <v>-0</v>
      </c>
      <c r="BT54" s="47" t="n">
        <f aca="false">BT52+BT53</f>
        <v>-0</v>
      </c>
      <c r="BU54" s="47" t="n">
        <f aca="false">BU52+BU53</f>
        <v>-0</v>
      </c>
      <c r="BV54" s="47" t="n">
        <f aca="false">BV52+BV53</f>
        <v>-0</v>
      </c>
      <c r="BW54" s="47" t="n">
        <f aca="false">BW52+BW53</f>
        <v>-0</v>
      </c>
      <c r="BX54" s="47" t="n">
        <f aca="false">BX52+BX53</f>
        <v>-0</v>
      </c>
      <c r="BY54" s="47" t="n">
        <f aca="false">BY52+BY53</f>
        <v>-0</v>
      </c>
      <c r="BZ54" s="47" t="n">
        <f aca="false">BZ52+BZ53</f>
        <v>-0</v>
      </c>
      <c r="CA54" s="47" t="n">
        <f aca="false">CA52+CA53</f>
        <v>-0</v>
      </c>
      <c r="CB54" s="47" t="n">
        <f aca="false">CB52+CB53</f>
        <v>-0</v>
      </c>
      <c r="CC54" s="47" t="n">
        <f aca="false">CC52+CC53</f>
        <v>-0</v>
      </c>
      <c r="CD54" s="47" t="n">
        <f aca="false">CD52+CD53</f>
        <v>-0</v>
      </c>
      <c r="CE54" s="47" t="n">
        <f aca="false">CE52+CE53</f>
        <v>-0</v>
      </c>
      <c r="CF54" s="47" t="n">
        <f aca="false">CF52+CF53</f>
        <v>-0</v>
      </c>
      <c r="CG54" s="47" t="n">
        <f aca="false">CG52+CG53</f>
        <v>-0</v>
      </c>
      <c r="CH54" s="47" t="n">
        <f aca="false">CH52+CH53</f>
        <v>-0</v>
      </c>
      <c r="CI54" s="47" t="n">
        <f aca="false">CI52+CI53</f>
        <v>-0</v>
      </c>
      <c r="CJ54" s="47" t="n">
        <f aca="false">CJ52+CJ53</f>
        <v>-0</v>
      </c>
      <c r="CK54" s="47" t="n">
        <f aca="false">CK52+CK53</f>
        <v>-0</v>
      </c>
      <c r="CL54" s="47" t="n">
        <f aca="false">CL52+CL53</f>
        <v>-0</v>
      </c>
      <c r="CM54" s="47" t="n">
        <f aca="false">CM52+CM53</f>
        <v>-0</v>
      </c>
      <c r="CN54" s="47" t="n">
        <f aca="false">CN52+CN53</f>
        <v>-0</v>
      </c>
      <c r="CO54" s="47" t="n">
        <f aca="false">CO52+CO53</f>
        <v>-0</v>
      </c>
      <c r="CP54" s="47" t="n">
        <f aca="false">CP52+CP53</f>
        <v>-0</v>
      </c>
      <c r="CQ54" s="47" t="n">
        <f aca="false">CQ52+CQ53</f>
        <v>-0</v>
      </c>
      <c r="CR54" s="47" t="n">
        <f aca="false">CR52+CR53</f>
        <v>-0</v>
      </c>
      <c r="CS54" s="47" t="n">
        <f aca="false">CS52+CS53</f>
        <v>-0</v>
      </c>
      <c r="CT54" s="47" t="n">
        <f aca="false">CT52+CT53</f>
        <v>-0</v>
      </c>
      <c r="CU54" s="47" t="n">
        <f aca="false">CU52+CU53</f>
        <v>-0</v>
      </c>
      <c r="CV54" s="47" t="n">
        <f aca="false">CV52+CV53</f>
        <v>-0</v>
      </c>
      <c r="CW54" s="47" t="n">
        <f aca="false">CW52+CW53</f>
        <v>-0</v>
      </c>
      <c r="CX54" s="47" t="n">
        <f aca="false">CX52+CX53</f>
        <v>-0</v>
      </c>
      <c r="CY54" s="47" t="n">
        <f aca="false">CY52+CY53</f>
        <v>-0</v>
      </c>
      <c r="CZ54" s="47" t="n">
        <f aca="false">CZ52+CZ53</f>
        <v>-0</v>
      </c>
      <c r="DA54" s="47" t="n">
        <f aca="false">DA52+DA53</f>
        <v>-0</v>
      </c>
      <c r="DB54" s="47" t="n">
        <f aca="false">DB52+DB53</f>
        <v>-0</v>
      </c>
      <c r="DC54" s="47" t="n">
        <f aca="false">DC52+DC53</f>
        <v>-0</v>
      </c>
      <c r="DD54" s="47" t="n">
        <f aca="false">DD52+DD53</f>
        <v>-0</v>
      </c>
      <c r="DE54" s="47" t="n">
        <f aca="false">DE52+DE53</f>
        <v>-0</v>
      </c>
      <c r="DF54" s="47" t="n">
        <f aca="false">DF52+DF53</f>
        <v>-0</v>
      </c>
      <c r="DG54" s="47" t="n">
        <f aca="false">DG52+DG53</f>
        <v>-0</v>
      </c>
      <c r="DH54" s="47" t="n">
        <f aca="false">DH52+DH53</f>
        <v>-0</v>
      </c>
      <c r="DI54" s="47" t="n">
        <f aca="false">DI52+DI53</f>
        <v>-0</v>
      </c>
      <c r="DJ54" s="47" t="n">
        <f aca="false">DJ52+DJ53</f>
        <v>-0</v>
      </c>
      <c r="DK54" s="47" t="n">
        <f aca="false">DK52+DK53</f>
        <v>-0</v>
      </c>
      <c r="DL54" s="47" t="n">
        <f aca="false">DL52+DL53</f>
        <v>-0</v>
      </c>
      <c r="DM54" s="47" t="n">
        <f aca="false">DM52+DM53</f>
        <v>-0</v>
      </c>
      <c r="DN54" s="47" t="n">
        <f aca="false">DN52+DN53</f>
        <v>-0</v>
      </c>
      <c r="DO54" s="47" t="n">
        <f aca="false">DO52+DO53</f>
        <v>-0</v>
      </c>
      <c r="DP54" s="47" t="n">
        <f aca="false">DP52+DP53</f>
        <v>-0</v>
      </c>
      <c r="DQ54" s="47" t="n">
        <f aca="false">DQ52+DQ53</f>
        <v>-0</v>
      </c>
      <c r="DR54" s="47" t="n">
        <f aca="false">DR52+DR53</f>
        <v>-0</v>
      </c>
      <c r="DS54" s="47" t="n">
        <f aca="false">DS52+DS53</f>
        <v>-0</v>
      </c>
      <c r="DT54" s="47" t="n">
        <f aca="false">DT52+DT53</f>
        <v>-0</v>
      </c>
      <c r="DU54" s="47" t="n">
        <f aca="false">DU52+DU53</f>
        <v>-0</v>
      </c>
      <c r="DV54" s="47" t="n">
        <f aca="false">DV52+DV53</f>
        <v>-0</v>
      </c>
      <c r="DW54" s="47" t="n">
        <f aca="false">DW52+DW53</f>
        <v>-0</v>
      </c>
      <c r="DX54" s="47" t="n">
        <f aca="false">DX52+DX53</f>
        <v>-0</v>
      </c>
      <c r="DY54" s="47" t="n">
        <f aca="false">DY52+DY53</f>
        <v>-0</v>
      </c>
      <c r="DZ54" s="47" t="n">
        <f aca="false">DZ52+DZ53</f>
        <v>-0</v>
      </c>
      <c r="EA54" s="47" t="n">
        <f aca="false">EA52+EA53</f>
        <v>-0</v>
      </c>
      <c r="EB54" s="47" t="n">
        <f aca="false">EB52+EB53</f>
        <v>-0</v>
      </c>
      <c r="EC54" s="47" t="n">
        <f aca="false">EC52+EC53</f>
        <v>-0</v>
      </c>
      <c r="ED54" s="47" t="n">
        <f aca="false">ED52+ED53</f>
        <v>-0</v>
      </c>
      <c r="EE54" s="47" t="n">
        <f aca="false">EE52+EE53</f>
        <v>-0</v>
      </c>
      <c r="EF54" s="47" t="n">
        <f aca="false">EF52+EF53</f>
        <v>-0</v>
      </c>
      <c r="EG54" s="47" t="n">
        <f aca="false">EG52+EG53</f>
        <v>-0</v>
      </c>
      <c r="EH54" s="47" t="n">
        <f aca="false">EH52+EH53</f>
        <v>-0</v>
      </c>
      <c r="EI54" s="47" t="n">
        <f aca="false">EI52+EI53</f>
        <v>-0</v>
      </c>
      <c r="EJ54" s="47" t="n">
        <f aca="false">EJ52+EJ53</f>
        <v>-0</v>
      </c>
      <c r="EK54" s="47" t="n">
        <f aca="false">EK52+EK53</f>
        <v>-0</v>
      </c>
      <c r="EL54" s="47" t="n">
        <f aca="false">EL52+EL53</f>
        <v>-0</v>
      </c>
      <c r="EM54" s="47" t="n">
        <f aca="false">EM52+EM53</f>
        <v>-0</v>
      </c>
      <c r="EN54" s="47" t="n">
        <f aca="false">EN52+EN53</f>
        <v>-0</v>
      </c>
      <c r="EO54" s="47" t="n">
        <f aca="false">EO52+EO53</f>
        <v>-0</v>
      </c>
    </row>
    <row r="55" customFormat="false" ht="15" hidden="false" customHeight="false" outlineLevel="0" collapsed="false">
      <c r="C55" s="0" t="s">
        <v>408</v>
      </c>
      <c r="D55" s="11" t="s">
        <v>33</v>
      </c>
      <c r="E55" s="47" t="n">
        <f aca="false">SUMIF($J$4:$EO$4,"&lt;="&amp;In_COD,$J55:$EO55)</f>
        <v>-490.264019515857</v>
      </c>
      <c r="I55" s="47" t="n">
        <f aca="false">SUM(J55:EO55)</f>
        <v>-822.911945956089</v>
      </c>
      <c r="J55" s="47" t="n">
        <f aca="false">-(J49+J50)*In_Guarantee_Fee*J$5/Days_In_Year</f>
        <v>-4.5907599924939</v>
      </c>
      <c r="K55" s="47" t="n">
        <f aca="false">-(K49+K50)*In_Guarantee_Fee*K$5/Days_In_Year</f>
        <v>-19.6746856821167</v>
      </c>
      <c r="L55" s="47" t="n">
        <f aca="false">-(L49+L50)*In_Guarantee_Fee*L$5/Days_In_Year</f>
        <v>-33.1554888346782</v>
      </c>
      <c r="M55" s="47" t="n">
        <f aca="false">-(M49+M50)*In_Guarantee_Fee*M$5/Days_In_Year</f>
        <v>-33.5198348658285</v>
      </c>
      <c r="N55" s="47" t="n">
        <f aca="false">-(N49+N50)*In_Guarantee_Fee*N$5/Days_In_Year</f>
        <v>-33.5198348658285</v>
      </c>
      <c r="O55" s="47" t="n">
        <f aca="false">-(O49+O50)*In_Guarantee_Fee*O$5/Days_In_Year</f>
        <v>-33.1554888346782</v>
      </c>
      <c r="P55" s="47" t="n">
        <f aca="false">-(P49+P50)*In_Guarantee_Fee*P$5/Days_In_Year</f>
        <v>-33.1554888346782</v>
      </c>
      <c r="Q55" s="47" t="n">
        <f aca="false">-(Q49+Q50)*In_Guarantee_Fee*Q$5/Days_In_Year</f>
        <v>-33.5198348658285</v>
      </c>
      <c r="R55" s="47" t="n">
        <f aca="false">-(R49+R50)*In_Guarantee_Fee*R$5/Days_In_Year</f>
        <v>-33.5198348658285</v>
      </c>
      <c r="S55" s="47" t="n">
        <f aca="false">-(S49+S50)*In_Guarantee_Fee*S$5/Days_In_Year</f>
        <v>-32.7911428035279</v>
      </c>
      <c r="T55" s="47" t="n">
        <f aca="false">-(T49+T50)*In_Guarantee_Fee*T$5/Days_In_Year</f>
        <v>-33.1554888346782</v>
      </c>
      <c r="U55" s="47" t="n">
        <f aca="false">-(U49+U50)*In_Guarantee_Fee*U$5/Days_In_Year</f>
        <v>-33.5198348658285</v>
      </c>
      <c r="V55" s="47" t="n">
        <f aca="false">-(V49+V50)*In_Guarantee_Fee*V$5/Days_In_Year</f>
        <v>-33.5198348658285</v>
      </c>
      <c r="W55" s="47" t="n">
        <f aca="false">-(W49+W50)*In_Guarantee_Fee*W$5/Days_In_Year</f>
        <v>-32.7911428035279</v>
      </c>
      <c r="X55" s="47" t="n">
        <f aca="false">-(X49+X50)*In_Guarantee_Fee*X$5/Days_In_Year</f>
        <v>-33.1554888346782</v>
      </c>
      <c r="Y55" s="47" t="n">
        <f aca="false">-(Y49+Y50)*In_Guarantee_Fee*Y$5/Days_In_Year</f>
        <v>-33.5198348658285</v>
      </c>
      <c r="Z55" s="47" t="n">
        <f aca="false">-(Z49+Z50)*In_Guarantee_Fee*Z$5/Days_In_Year</f>
        <v>-33.5198348658285</v>
      </c>
      <c r="AA55" s="47" t="n">
        <f aca="false">-(AA49+AA50)*In_Guarantee_Fee*AA$5/Days_In_Year</f>
        <v>-32.7911428035279</v>
      </c>
      <c r="AB55" s="47" t="n">
        <f aca="false">-(AB49+AB50)*In_Guarantee_Fee*AB$5/Days_In_Year</f>
        <v>-33.1554888346782</v>
      </c>
      <c r="AC55" s="47" t="n">
        <f aca="false">-(AC49+AC50)*In_Guarantee_Fee*AC$5/Days_In_Year</f>
        <v>-33.5198348658285</v>
      </c>
      <c r="AD55" s="47" t="n">
        <f aca="false">-(AD49+AD50)*In_Guarantee_Fee*AD$5/Days_In_Year</f>
        <v>-33.5198348658285</v>
      </c>
      <c r="AE55" s="47" t="n">
        <f aca="false">-(AE49+AE50)*In_Guarantee_Fee*AE$5/Days_In_Year</f>
        <v>-33.1554888346782</v>
      </c>
      <c r="AF55" s="47" t="n">
        <f aca="false">-(AF49+AF50)*In_Guarantee_Fee*AF$5/Days_In_Year</f>
        <v>-33.1554888346782</v>
      </c>
      <c r="AG55" s="47" t="n">
        <f aca="false">-(AG49+AG50)*In_Guarantee_Fee*AG$5/Days_In_Year</f>
        <v>-33.5198348658285</v>
      </c>
      <c r="AH55" s="47" t="n">
        <f aca="false">-(AH49+AH50)*In_Guarantee_Fee*AH$5/Days_In_Year</f>
        <v>-33.5198348658285</v>
      </c>
      <c r="AI55" s="47" t="n">
        <f aca="false">-(AI49+AI50)*In_Guarantee_Fee*AI$5/Days_In_Year</f>
        <v>-32.7911428035279</v>
      </c>
      <c r="AJ55" s="47" t="n">
        <f aca="false">-(AJ49+AJ50)*In_Guarantee_Fee*AJ$5/Days_In_Year</f>
        <v>-0</v>
      </c>
      <c r="AK55" s="47" t="n">
        <f aca="false">-(AK49+AK50)*In_Guarantee_Fee*AK$5/Days_In_Year</f>
        <v>-0</v>
      </c>
      <c r="AL55" s="47" t="n">
        <f aca="false">-(AL49+AL50)*In_Guarantee_Fee*AL$5/Days_In_Year</f>
        <v>-0</v>
      </c>
      <c r="AM55" s="47" t="n">
        <f aca="false">-(AM49+AM50)*In_Guarantee_Fee*AM$5/Days_In_Year</f>
        <v>-0</v>
      </c>
      <c r="AN55" s="47" t="n">
        <f aca="false">-(AN49+AN50)*In_Guarantee_Fee*AN$5/Days_In_Year</f>
        <v>-0</v>
      </c>
      <c r="AO55" s="47" t="n">
        <f aca="false">-(AO49+AO50)*In_Guarantee_Fee*AO$5/Days_In_Year</f>
        <v>-0</v>
      </c>
      <c r="AP55" s="47" t="n">
        <f aca="false">-(AP49+AP50)*In_Guarantee_Fee*AP$5/Days_In_Year</f>
        <v>-0</v>
      </c>
      <c r="AQ55" s="47" t="n">
        <f aca="false">-(AQ49+AQ50)*In_Guarantee_Fee*AQ$5/Days_In_Year</f>
        <v>-0</v>
      </c>
      <c r="AR55" s="47" t="n">
        <f aca="false">-(AR49+AR50)*In_Guarantee_Fee*AR$5/Days_In_Year</f>
        <v>-0</v>
      </c>
      <c r="AS55" s="47" t="n">
        <f aca="false">-(AS49+AS50)*In_Guarantee_Fee*AS$5/Days_In_Year</f>
        <v>-0</v>
      </c>
      <c r="AT55" s="47" t="n">
        <f aca="false">-(AT49+AT50)*In_Guarantee_Fee*AT$5/Days_In_Year</f>
        <v>-0</v>
      </c>
      <c r="AU55" s="47" t="n">
        <f aca="false">-(AU49+AU50)*In_Guarantee_Fee*AU$5/Days_In_Year</f>
        <v>-0</v>
      </c>
      <c r="AV55" s="47" t="n">
        <f aca="false">-(AV49+AV50)*In_Guarantee_Fee*AV$5/Days_In_Year</f>
        <v>-0</v>
      </c>
      <c r="AW55" s="47" t="n">
        <f aca="false">-(AW49+AW50)*In_Guarantee_Fee*AW$5/Days_In_Year</f>
        <v>-0</v>
      </c>
      <c r="AX55" s="47" t="n">
        <f aca="false">-(AX49+AX50)*In_Guarantee_Fee*AX$5/Days_In_Year</f>
        <v>-0</v>
      </c>
      <c r="AY55" s="47" t="n">
        <f aca="false">-(AY49+AY50)*In_Guarantee_Fee*AY$5/Days_In_Year</f>
        <v>-0</v>
      </c>
      <c r="AZ55" s="47" t="n">
        <f aca="false">-(AZ49+AZ50)*In_Guarantee_Fee*AZ$5/Days_In_Year</f>
        <v>-0</v>
      </c>
      <c r="BA55" s="47" t="n">
        <f aca="false">-(BA49+BA50)*In_Guarantee_Fee*BA$5/Days_In_Year</f>
        <v>-0</v>
      </c>
      <c r="BB55" s="47" t="n">
        <f aca="false">-(BB49+BB50)*In_Guarantee_Fee*BB$5/Days_In_Year</f>
        <v>-0</v>
      </c>
      <c r="BC55" s="47" t="n">
        <f aca="false">-(BC49+BC50)*In_Guarantee_Fee*BC$5/Days_In_Year</f>
        <v>-0</v>
      </c>
      <c r="BD55" s="47" t="n">
        <f aca="false">-(BD49+BD50)*In_Guarantee_Fee*BD$5/Days_In_Year</f>
        <v>-0</v>
      </c>
      <c r="BE55" s="47" t="n">
        <f aca="false">-(BE49+BE50)*In_Guarantee_Fee*BE$5/Days_In_Year</f>
        <v>-0</v>
      </c>
      <c r="BF55" s="47" t="n">
        <f aca="false">-(BF49+BF50)*In_Guarantee_Fee*BF$5/Days_In_Year</f>
        <v>-0</v>
      </c>
      <c r="BG55" s="47" t="n">
        <f aca="false">-(BG49+BG50)*In_Guarantee_Fee*BG$5/Days_In_Year</f>
        <v>-0</v>
      </c>
      <c r="BH55" s="47" t="n">
        <f aca="false">-(BH49+BH50)*In_Guarantee_Fee*BH$5/Days_In_Year</f>
        <v>-0</v>
      </c>
      <c r="BI55" s="47" t="n">
        <f aca="false">-(BI49+BI50)*In_Guarantee_Fee*BI$5/Days_In_Year</f>
        <v>-0</v>
      </c>
      <c r="BJ55" s="47" t="n">
        <f aca="false">-(BJ49+BJ50)*In_Guarantee_Fee*BJ$5/Days_In_Year</f>
        <v>-0</v>
      </c>
      <c r="BK55" s="47" t="n">
        <f aca="false">-(BK49+BK50)*In_Guarantee_Fee*BK$5/Days_In_Year</f>
        <v>-0</v>
      </c>
      <c r="BL55" s="47" t="n">
        <f aca="false">-(BL49+BL50)*In_Guarantee_Fee*BL$5/Days_In_Year</f>
        <v>-0</v>
      </c>
      <c r="BM55" s="47" t="n">
        <f aca="false">-(BM49+BM50)*In_Guarantee_Fee*BM$5/Days_In_Year</f>
        <v>-0</v>
      </c>
      <c r="BN55" s="47" t="n">
        <f aca="false">-(BN49+BN50)*In_Guarantee_Fee*BN$5/Days_In_Year</f>
        <v>-0</v>
      </c>
      <c r="BO55" s="47" t="n">
        <f aca="false">-(BO49+BO50)*In_Guarantee_Fee*BO$5/Days_In_Year</f>
        <v>-0</v>
      </c>
      <c r="BP55" s="47" t="n">
        <f aca="false">-(BP49+BP50)*In_Guarantee_Fee*BP$5/Days_In_Year</f>
        <v>-0</v>
      </c>
      <c r="BQ55" s="47" t="n">
        <f aca="false">-(BQ49+BQ50)*In_Guarantee_Fee*BQ$5/Days_In_Year</f>
        <v>-0</v>
      </c>
      <c r="BR55" s="47" t="n">
        <f aca="false">-(BR49+BR50)*In_Guarantee_Fee*BR$5/Days_In_Year</f>
        <v>-0</v>
      </c>
      <c r="BS55" s="47" t="n">
        <f aca="false">-(BS49+BS50)*In_Guarantee_Fee*BS$5/Days_In_Year</f>
        <v>-0</v>
      </c>
      <c r="BT55" s="47" t="n">
        <f aca="false">-(BT49+BT50)*In_Guarantee_Fee*BT$5/Days_In_Year</f>
        <v>-0</v>
      </c>
      <c r="BU55" s="47" t="n">
        <f aca="false">-(BU49+BU50)*In_Guarantee_Fee*BU$5/Days_In_Year</f>
        <v>-0</v>
      </c>
      <c r="BV55" s="47" t="n">
        <f aca="false">-(BV49+BV50)*In_Guarantee_Fee*BV$5/Days_In_Year</f>
        <v>-0</v>
      </c>
      <c r="BW55" s="47" t="n">
        <f aca="false">-(BW49+BW50)*In_Guarantee_Fee*BW$5/Days_In_Year</f>
        <v>-0</v>
      </c>
      <c r="BX55" s="47" t="n">
        <f aca="false">-(BX49+BX50)*In_Guarantee_Fee*BX$5/Days_In_Year</f>
        <v>-0</v>
      </c>
      <c r="BY55" s="47" t="n">
        <f aca="false">-(BY49+BY50)*In_Guarantee_Fee*BY$5/Days_In_Year</f>
        <v>-0</v>
      </c>
      <c r="BZ55" s="47" t="n">
        <f aca="false">-(BZ49+BZ50)*In_Guarantee_Fee*BZ$5/Days_In_Year</f>
        <v>-0</v>
      </c>
      <c r="CA55" s="47" t="n">
        <f aca="false">-(CA49+CA50)*In_Guarantee_Fee*CA$5/Days_In_Year</f>
        <v>-0</v>
      </c>
      <c r="CB55" s="47" t="n">
        <f aca="false">-(CB49+CB50)*In_Guarantee_Fee*CB$5/Days_In_Year</f>
        <v>-0</v>
      </c>
      <c r="CC55" s="47" t="n">
        <f aca="false">-(CC49+CC50)*In_Guarantee_Fee*CC$5/Days_In_Year</f>
        <v>-0</v>
      </c>
      <c r="CD55" s="47" t="n">
        <f aca="false">-(CD49+CD50)*In_Guarantee_Fee*CD$5/Days_In_Year</f>
        <v>-0</v>
      </c>
      <c r="CE55" s="47" t="n">
        <f aca="false">-(CE49+CE50)*In_Guarantee_Fee*CE$5/Days_In_Year</f>
        <v>-0</v>
      </c>
      <c r="CF55" s="47" t="n">
        <f aca="false">-(CF49+CF50)*In_Guarantee_Fee*CF$5/Days_In_Year</f>
        <v>-0</v>
      </c>
      <c r="CG55" s="47" t="n">
        <f aca="false">-(CG49+CG50)*In_Guarantee_Fee*CG$5/Days_In_Year</f>
        <v>-0</v>
      </c>
      <c r="CH55" s="47" t="n">
        <f aca="false">-(CH49+CH50)*In_Guarantee_Fee*CH$5/Days_In_Year</f>
        <v>-0</v>
      </c>
      <c r="CI55" s="47" t="n">
        <f aca="false">-(CI49+CI50)*In_Guarantee_Fee*CI$5/Days_In_Year</f>
        <v>-0</v>
      </c>
      <c r="CJ55" s="47" t="n">
        <f aca="false">-(CJ49+CJ50)*In_Guarantee_Fee*CJ$5/Days_In_Year</f>
        <v>-0</v>
      </c>
      <c r="CK55" s="47" t="n">
        <f aca="false">-(CK49+CK50)*In_Guarantee_Fee*CK$5/Days_In_Year</f>
        <v>-0</v>
      </c>
      <c r="CL55" s="47" t="n">
        <f aca="false">-(CL49+CL50)*In_Guarantee_Fee*CL$5/Days_In_Year</f>
        <v>-0</v>
      </c>
      <c r="CM55" s="47" t="n">
        <f aca="false">-(CM49+CM50)*In_Guarantee_Fee*CM$5/Days_In_Year</f>
        <v>-0</v>
      </c>
      <c r="CN55" s="47" t="n">
        <f aca="false">-(CN49+CN50)*In_Guarantee_Fee*CN$5/Days_In_Year</f>
        <v>-0</v>
      </c>
      <c r="CO55" s="47" t="n">
        <f aca="false">-(CO49+CO50)*In_Guarantee_Fee*CO$5/Days_In_Year</f>
        <v>-0</v>
      </c>
      <c r="CP55" s="47" t="n">
        <f aca="false">-(CP49+CP50)*In_Guarantee_Fee*CP$5/Days_In_Year</f>
        <v>-0</v>
      </c>
      <c r="CQ55" s="47" t="n">
        <f aca="false">-(CQ49+CQ50)*In_Guarantee_Fee*CQ$5/Days_In_Year</f>
        <v>-0</v>
      </c>
      <c r="CR55" s="47" t="n">
        <f aca="false">-(CR49+CR50)*In_Guarantee_Fee*CR$5/Days_In_Year</f>
        <v>-0</v>
      </c>
      <c r="CS55" s="47" t="n">
        <f aca="false">-(CS49+CS50)*In_Guarantee_Fee*CS$5/Days_In_Year</f>
        <v>-0</v>
      </c>
      <c r="CT55" s="47" t="n">
        <f aca="false">-(CT49+CT50)*In_Guarantee_Fee*CT$5/Days_In_Year</f>
        <v>-0</v>
      </c>
      <c r="CU55" s="47" t="n">
        <f aca="false">-(CU49+CU50)*In_Guarantee_Fee*CU$5/Days_In_Year</f>
        <v>-0</v>
      </c>
      <c r="CV55" s="47" t="n">
        <f aca="false">-(CV49+CV50)*In_Guarantee_Fee*CV$5/Days_In_Year</f>
        <v>-0</v>
      </c>
      <c r="CW55" s="47" t="n">
        <f aca="false">-(CW49+CW50)*In_Guarantee_Fee*CW$5/Days_In_Year</f>
        <v>-0</v>
      </c>
      <c r="CX55" s="47" t="n">
        <f aca="false">-(CX49+CX50)*In_Guarantee_Fee*CX$5/Days_In_Year</f>
        <v>-0</v>
      </c>
      <c r="CY55" s="47" t="n">
        <f aca="false">-(CY49+CY50)*In_Guarantee_Fee*CY$5/Days_In_Year</f>
        <v>-0</v>
      </c>
      <c r="CZ55" s="47" t="n">
        <f aca="false">-(CZ49+CZ50)*In_Guarantee_Fee*CZ$5/Days_In_Year</f>
        <v>-0</v>
      </c>
      <c r="DA55" s="47" t="n">
        <f aca="false">-(DA49+DA50)*In_Guarantee_Fee*DA$5/Days_In_Year</f>
        <v>-0</v>
      </c>
      <c r="DB55" s="47" t="n">
        <f aca="false">-(DB49+DB50)*In_Guarantee_Fee*DB$5/Days_In_Year</f>
        <v>-0</v>
      </c>
      <c r="DC55" s="47" t="n">
        <f aca="false">-(DC49+DC50)*In_Guarantee_Fee*DC$5/Days_In_Year</f>
        <v>-0</v>
      </c>
      <c r="DD55" s="47" t="n">
        <f aca="false">-(DD49+DD50)*In_Guarantee_Fee*DD$5/Days_In_Year</f>
        <v>-0</v>
      </c>
      <c r="DE55" s="47" t="n">
        <f aca="false">-(DE49+DE50)*In_Guarantee_Fee*DE$5/Days_In_Year</f>
        <v>-0</v>
      </c>
      <c r="DF55" s="47" t="n">
        <f aca="false">-(DF49+DF50)*In_Guarantee_Fee*DF$5/Days_In_Year</f>
        <v>-0</v>
      </c>
      <c r="DG55" s="47" t="n">
        <f aca="false">-(DG49+DG50)*In_Guarantee_Fee*DG$5/Days_In_Year</f>
        <v>-0</v>
      </c>
      <c r="DH55" s="47" t="n">
        <f aca="false">-(DH49+DH50)*In_Guarantee_Fee*DH$5/Days_In_Year</f>
        <v>-0</v>
      </c>
      <c r="DI55" s="47" t="n">
        <f aca="false">-(DI49+DI50)*In_Guarantee_Fee*DI$5/Days_In_Year</f>
        <v>-0</v>
      </c>
      <c r="DJ55" s="47" t="n">
        <f aca="false">-(DJ49+DJ50)*In_Guarantee_Fee*DJ$5/Days_In_Year</f>
        <v>-0</v>
      </c>
      <c r="DK55" s="47" t="n">
        <f aca="false">-(DK49+DK50)*In_Guarantee_Fee*DK$5/Days_In_Year</f>
        <v>-0</v>
      </c>
      <c r="DL55" s="47" t="n">
        <f aca="false">-(DL49+DL50)*In_Guarantee_Fee*DL$5/Days_In_Year</f>
        <v>-0</v>
      </c>
      <c r="DM55" s="47" t="n">
        <f aca="false">-(DM49+DM50)*In_Guarantee_Fee*DM$5/Days_In_Year</f>
        <v>-0</v>
      </c>
      <c r="DN55" s="47" t="n">
        <f aca="false">-(DN49+DN50)*In_Guarantee_Fee*DN$5/Days_In_Year</f>
        <v>-0</v>
      </c>
      <c r="DO55" s="47" t="n">
        <f aca="false">-(DO49+DO50)*In_Guarantee_Fee*DO$5/Days_In_Year</f>
        <v>-0</v>
      </c>
      <c r="DP55" s="47" t="n">
        <f aca="false">-(DP49+DP50)*In_Guarantee_Fee*DP$5/Days_In_Year</f>
        <v>-0</v>
      </c>
      <c r="DQ55" s="47" t="n">
        <f aca="false">-(DQ49+DQ50)*In_Guarantee_Fee*DQ$5/Days_In_Year</f>
        <v>-0</v>
      </c>
      <c r="DR55" s="47" t="n">
        <f aca="false">-(DR49+DR50)*In_Guarantee_Fee*DR$5/Days_In_Year</f>
        <v>-0</v>
      </c>
      <c r="DS55" s="47" t="n">
        <f aca="false">-(DS49+DS50)*In_Guarantee_Fee*DS$5/Days_In_Year</f>
        <v>-0</v>
      </c>
      <c r="DT55" s="47" t="n">
        <f aca="false">-(DT49+DT50)*In_Guarantee_Fee*DT$5/Days_In_Year</f>
        <v>-0</v>
      </c>
      <c r="DU55" s="47" t="n">
        <f aca="false">-(DU49+DU50)*In_Guarantee_Fee*DU$5/Days_In_Year</f>
        <v>-0</v>
      </c>
      <c r="DV55" s="47" t="n">
        <f aca="false">-(DV49+DV50)*In_Guarantee_Fee*DV$5/Days_In_Year</f>
        <v>-0</v>
      </c>
      <c r="DW55" s="47" t="n">
        <f aca="false">-(DW49+DW50)*In_Guarantee_Fee*DW$5/Days_In_Year</f>
        <v>-0</v>
      </c>
      <c r="DX55" s="47" t="n">
        <f aca="false">-(DX49+DX50)*In_Guarantee_Fee*DX$5/Days_In_Year</f>
        <v>-0</v>
      </c>
      <c r="DY55" s="47" t="n">
        <f aca="false">-(DY49+DY50)*In_Guarantee_Fee*DY$5/Days_In_Year</f>
        <v>-0</v>
      </c>
      <c r="DZ55" s="47" t="n">
        <f aca="false">-(DZ49+DZ50)*In_Guarantee_Fee*DZ$5/Days_In_Year</f>
        <v>-0</v>
      </c>
      <c r="EA55" s="47" t="n">
        <f aca="false">-(EA49+EA50)*In_Guarantee_Fee*EA$5/Days_In_Year</f>
        <v>-0</v>
      </c>
      <c r="EB55" s="47" t="n">
        <f aca="false">-(EB49+EB50)*In_Guarantee_Fee*EB$5/Days_In_Year</f>
        <v>-0</v>
      </c>
      <c r="EC55" s="47" t="n">
        <f aca="false">-(EC49+EC50)*In_Guarantee_Fee*EC$5/Days_In_Year</f>
        <v>-0</v>
      </c>
      <c r="ED55" s="47" t="n">
        <f aca="false">-(ED49+ED50)*In_Guarantee_Fee*ED$5/Days_In_Year</f>
        <v>-0</v>
      </c>
      <c r="EE55" s="47" t="n">
        <f aca="false">-(EE49+EE50)*In_Guarantee_Fee*EE$5/Days_In_Year</f>
        <v>-0</v>
      </c>
      <c r="EF55" s="47" t="n">
        <f aca="false">-(EF49+EF50)*In_Guarantee_Fee*EF$5/Days_In_Year</f>
        <v>-0</v>
      </c>
      <c r="EG55" s="47" t="n">
        <f aca="false">-(EG49+EG50)*In_Guarantee_Fee*EG$5/Days_In_Year</f>
        <v>-0</v>
      </c>
      <c r="EH55" s="47" t="n">
        <f aca="false">-(EH49+EH50)*In_Guarantee_Fee*EH$5/Days_In_Year</f>
        <v>-0</v>
      </c>
      <c r="EI55" s="47" t="n">
        <f aca="false">-(EI49+EI50)*In_Guarantee_Fee*EI$5/Days_In_Year</f>
        <v>-0</v>
      </c>
      <c r="EJ55" s="47" t="n">
        <f aca="false">-(EJ49+EJ50)*In_Guarantee_Fee*EJ$5/Days_In_Year</f>
        <v>-0</v>
      </c>
      <c r="EK55" s="47" t="n">
        <f aca="false">-(EK49+EK50)*In_Guarantee_Fee*EK$5/Days_In_Year</f>
        <v>-0</v>
      </c>
      <c r="EL55" s="47" t="n">
        <f aca="false">-(EL49+EL50)*In_Guarantee_Fee*EL$5/Days_In_Year</f>
        <v>-0</v>
      </c>
      <c r="EM55" s="47" t="n">
        <f aca="false">-(EM49+EM50)*In_Guarantee_Fee*EM$5/Days_In_Year</f>
        <v>-0</v>
      </c>
      <c r="EN55" s="47" t="n">
        <f aca="false">-(EN49+EN50)*In_Guarantee_Fee*EN$5/Days_In_Year</f>
        <v>-0</v>
      </c>
      <c r="EO55" s="47" t="n">
        <f aca="false">-(EO49+EO50)*In_Guarantee_Fee*EO$5/Days_In_Year</f>
        <v>-0</v>
      </c>
    </row>
    <row r="56" customFormat="false" ht="15" hidden="false" customHeight="false" outlineLevel="0" collapsed="false">
      <c r="C56" s="0" t="s">
        <v>409</v>
      </c>
      <c r="D56" s="11" t="s">
        <v>33</v>
      </c>
      <c r="E56" s="47" t="n">
        <f aca="false">$E50*$E24*In_Bench_Wind/$E47</f>
        <v>1668.49315068493</v>
      </c>
      <c r="F56" s="47" t="n">
        <f aca="false">$E50-$E56</f>
        <v>547.945205479452</v>
      </c>
    </row>
    <row r="57" customFormat="false" ht="15" hidden="false" customHeight="false" outlineLevel="0" collapsed="false">
      <c r="C57" s="0" t="s">
        <v>410</v>
      </c>
      <c r="D57" s="11" t="s">
        <v>33</v>
      </c>
      <c r="E57" s="47" t="n">
        <f aca="false">($E28&gt;In_Tolerance_Cap)*$E28*$E56+($F28&gt;In_Tolerance_Cap)*$F28*$F56</f>
        <v>0</v>
      </c>
      <c r="F57" s="47" t="n">
        <f aca="false">($E28+$F28&gt;0)*$E50</f>
        <v>2216.43835616438</v>
      </c>
    </row>
    <row r="58" customFormat="false" ht="15" hidden="false" customHeight="false" outlineLevel="0" collapsed="false">
      <c r="C58" s="0" t="s">
        <v>411</v>
      </c>
      <c r="D58" s="11" t="s">
        <v>33</v>
      </c>
      <c r="E58" s="45" t="n">
        <f aca="false">EDATE(In_COD,In_Sanction_Lag)</f>
        <v>47937</v>
      </c>
      <c r="I58" s="47" t="n">
        <f aca="false">SUM(J58:EO58)</f>
        <v>0</v>
      </c>
      <c r="J58" s="47" t="n">
        <f aca="false">-CHOOSE(In_Sanction_Regime,$E57,$F57)*N(AND(J$3&lt;=$E58,J$4&gt;=$E58))</f>
        <v>-0</v>
      </c>
      <c r="K58" s="47" t="n">
        <f aca="false">-CHOOSE(In_Sanction_Regime,$E57,$F57)*N(AND(K$3&lt;=$E58,K$4&gt;=$E58))</f>
        <v>-0</v>
      </c>
      <c r="L58" s="47" t="n">
        <f aca="false">-CHOOSE(In_Sanction_Regime,$E57,$F57)*N(AND(L$3&lt;=$E58,L$4&gt;=$E58))</f>
        <v>-0</v>
      </c>
      <c r="M58" s="47" t="n">
        <f aca="false">-CHOOSE(In_Sanction_Regime,$E57,$F57)*N(AND(M$3&lt;=$E58,M$4&gt;=$E58))</f>
        <v>-0</v>
      </c>
      <c r="N58" s="47" t="n">
        <f aca="false">-CHOOSE(In_Sanction_Regime,$E57,$F57)*N(AND(N$3&lt;=$E58,N$4&gt;=$E58))</f>
        <v>-0</v>
      </c>
      <c r="O58" s="47" t="n">
        <f aca="false">-CHOOSE(In_Sanction_Regime,$E57,$F57)*N(AND(O$3&lt;=$E58,O$4&gt;=$E58))</f>
        <v>-0</v>
      </c>
      <c r="P58" s="47" t="n">
        <f aca="false">-CHOOSE(In_Sanction_Regime,$E57,$F57)*N(AND(P$3&lt;=$E58,P$4&gt;=$E58))</f>
        <v>-0</v>
      </c>
      <c r="Q58" s="47" t="n">
        <f aca="false">-CHOOSE(In_Sanction_Regime,$E57,$F57)*N(AND(Q$3&lt;=$E58,Q$4&gt;=$E58))</f>
        <v>-0</v>
      </c>
      <c r="R58" s="47" t="n">
        <f aca="false">-CHOOSE(In_Sanction_Regime,$E57,$F57)*N(AND(R$3&lt;=$E58,R$4&gt;=$E58))</f>
        <v>-0</v>
      </c>
      <c r="S58" s="47" t="n">
        <f aca="false">-CHOOSE(In_Sanction_Regime,$E57,$F57)*N(AND(S$3&lt;=$E58,S$4&gt;=$E58))</f>
        <v>-0</v>
      </c>
      <c r="T58" s="47" t="n">
        <f aca="false">-CHOOSE(In_Sanction_Regime,$E57,$F57)*N(AND(T$3&lt;=$E58,T$4&gt;=$E58))</f>
        <v>-0</v>
      </c>
      <c r="U58" s="47" t="n">
        <f aca="false">-CHOOSE(In_Sanction_Regime,$E57,$F57)*N(AND(U$3&lt;=$E58,U$4&gt;=$E58))</f>
        <v>-0</v>
      </c>
      <c r="V58" s="47" t="n">
        <f aca="false">-CHOOSE(In_Sanction_Regime,$E57,$F57)*N(AND(V$3&lt;=$E58,V$4&gt;=$E58))</f>
        <v>-0</v>
      </c>
      <c r="W58" s="47" t="n">
        <f aca="false">-CHOOSE(In_Sanction_Regime,$E57,$F57)*N(AND(W$3&lt;=$E58,W$4&gt;=$E58))</f>
        <v>-0</v>
      </c>
      <c r="X58" s="47" t="n">
        <f aca="false">-CHOOSE(In_Sanction_Regime,$E57,$F57)*N(AND(X$3&lt;=$E58,X$4&gt;=$E58))</f>
        <v>-0</v>
      </c>
      <c r="Y58" s="47" t="n">
        <f aca="false">-CHOOSE(In_Sanction_Regime,$E57,$F57)*N(AND(Y$3&lt;=$E58,Y$4&gt;=$E58))</f>
        <v>-0</v>
      </c>
      <c r="Z58" s="47" t="n">
        <f aca="false">-CHOOSE(In_Sanction_Regime,$E57,$F57)*N(AND(Z$3&lt;=$E58,Z$4&gt;=$E58))</f>
        <v>-0</v>
      </c>
      <c r="AA58" s="47" t="n">
        <f aca="false">-CHOOSE(In_Sanction_Regime,$E57,$F57)*N(AND(AA$3&lt;=$E58,AA$4&gt;=$E58))</f>
        <v>-0</v>
      </c>
      <c r="AB58" s="47" t="n">
        <f aca="false">-CHOOSE(In_Sanction_Regime,$E57,$F57)*N(AND(AB$3&lt;=$E58,AB$4&gt;=$E58))</f>
        <v>-0</v>
      </c>
      <c r="AC58" s="47" t="n">
        <f aca="false">-CHOOSE(In_Sanction_Regime,$E57,$F57)*N(AND(AC$3&lt;=$E58,AC$4&gt;=$E58))</f>
        <v>-0</v>
      </c>
      <c r="AD58" s="47" t="n">
        <f aca="false">-CHOOSE(In_Sanction_Regime,$E57,$F57)*N(AND(AD$3&lt;=$E58,AD$4&gt;=$E58))</f>
        <v>-0</v>
      </c>
      <c r="AE58" s="47" t="n">
        <f aca="false">-CHOOSE(In_Sanction_Regime,$E57,$F57)*N(AND(AE$3&lt;=$E58,AE$4&gt;=$E58))</f>
        <v>-0</v>
      </c>
      <c r="AF58" s="47" t="n">
        <f aca="false">-CHOOSE(In_Sanction_Regime,$E57,$F57)*N(AND(AF$3&lt;=$E58,AF$4&gt;=$E58))</f>
        <v>-0</v>
      </c>
      <c r="AG58" s="47" t="n">
        <f aca="false">-CHOOSE(In_Sanction_Regime,$E57,$F57)*N(AND(AG$3&lt;=$E58,AG$4&gt;=$E58))</f>
        <v>-0</v>
      </c>
      <c r="AH58" s="47" t="n">
        <f aca="false">-CHOOSE(In_Sanction_Regime,$E57,$F57)*N(AND(AH$3&lt;=$E58,AH$4&gt;=$E58))</f>
        <v>-0</v>
      </c>
      <c r="AI58" s="47" t="n">
        <f aca="false">-CHOOSE(In_Sanction_Regime,$E57,$F57)*N(AND(AI$3&lt;=$E58,AI$4&gt;=$E58))</f>
        <v>-0</v>
      </c>
      <c r="AJ58" s="47" t="n">
        <f aca="false">-CHOOSE(In_Sanction_Regime,$E57,$F57)*N(AND(AJ$3&lt;=$E58,AJ$4&gt;=$E58))</f>
        <v>-0</v>
      </c>
      <c r="AK58" s="47" t="n">
        <f aca="false">-CHOOSE(In_Sanction_Regime,$E57,$F57)*N(AND(AK$3&lt;=$E58,AK$4&gt;=$E58))</f>
        <v>-0</v>
      </c>
      <c r="AL58" s="47" t="n">
        <f aca="false">-CHOOSE(In_Sanction_Regime,$E57,$F57)*N(AND(AL$3&lt;=$E58,AL$4&gt;=$E58))</f>
        <v>-0</v>
      </c>
      <c r="AM58" s="47" t="n">
        <f aca="false">-CHOOSE(In_Sanction_Regime,$E57,$F57)*N(AND(AM$3&lt;=$E58,AM$4&gt;=$E58))</f>
        <v>-0</v>
      </c>
      <c r="AN58" s="47" t="n">
        <f aca="false">-CHOOSE(In_Sanction_Regime,$E57,$F57)*N(AND(AN$3&lt;=$E58,AN$4&gt;=$E58))</f>
        <v>-0</v>
      </c>
      <c r="AO58" s="47" t="n">
        <f aca="false">-CHOOSE(In_Sanction_Regime,$E57,$F57)*N(AND(AO$3&lt;=$E58,AO$4&gt;=$E58))</f>
        <v>-0</v>
      </c>
      <c r="AP58" s="47" t="n">
        <f aca="false">-CHOOSE(In_Sanction_Regime,$E57,$F57)*N(AND(AP$3&lt;=$E58,AP$4&gt;=$E58))</f>
        <v>-0</v>
      </c>
      <c r="AQ58" s="47" t="n">
        <f aca="false">-CHOOSE(In_Sanction_Regime,$E57,$F57)*N(AND(AQ$3&lt;=$E58,AQ$4&gt;=$E58))</f>
        <v>-0</v>
      </c>
      <c r="AR58" s="47" t="n">
        <f aca="false">-CHOOSE(In_Sanction_Regime,$E57,$F57)*N(AND(AR$3&lt;=$E58,AR$4&gt;=$E58))</f>
        <v>-0</v>
      </c>
      <c r="AS58" s="47" t="n">
        <f aca="false">-CHOOSE(In_Sanction_Regime,$E57,$F57)*N(AND(AS$3&lt;=$E58,AS$4&gt;=$E58))</f>
        <v>-0</v>
      </c>
      <c r="AT58" s="47" t="n">
        <f aca="false">-CHOOSE(In_Sanction_Regime,$E57,$F57)*N(AND(AT$3&lt;=$E58,AT$4&gt;=$E58))</f>
        <v>-0</v>
      </c>
      <c r="AU58" s="47" t="n">
        <f aca="false">-CHOOSE(In_Sanction_Regime,$E57,$F57)*N(AND(AU$3&lt;=$E58,AU$4&gt;=$E58))</f>
        <v>-0</v>
      </c>
      <c r="AV58" s="47" t="n">
        <f aca="false">-CHOOSE(In_Sanction_Regime,$E57,$F57)*N(AND(AV$3&lt;=$E58,AV$4&gt;=$E58))</f>
        <v>-0</v>
      </c>
      <c r="AW58" s="47" t="n">
        <f aca="false">-CHOOSE(In_Sanction_Regime,$E57,$F57)*N(AND(AW$3&lt;=$E58,AW$4&gt;=$E58))</f>
        <v>-0</v>
      </c>
      <c r="AX58" s="47" t="n">
        <f aca="false">-CHOOSE(In_Sanction_Regime,$E57,$F57)*N(AND(AX$3&lt;=$E58,AX$4&gt;=$E58))</f>
        <v>-0</v>
      </c>
      <c r="AY58" s="47" t="n">
        <f aca="false">-CHOOSE(In_Sanction_Regime,$E57,$F57)*N(AND(AY$3&lt;=$E58,AY$4&gt;=$E58))</f>
        <v>-0</v>
      </c>
      <c r="AZ58" s="47" t="n">
        <f aca="false">-CHOOSE(In_Sanction_Regime,$E57,$F57)*N(AND(AZ$3&lt;=$E58,AZ$4&gt;=$E58))</f>
        <v>-0</v>
      </c>
      <c r="BA58" s="47" t="n">
        <f aca="false">-CHOOSE(In_Sanction_Regime,$E57,$F57)*N(AND(BA$3&lt;=$E58,BA$4&gt;=$E58))</f>
        <v>-0</v>
      </c>
      <c r="BB58" s="47" t="n">
        <f aca="false">-CHOOSE(In_Sanction_Regime,$E57,$F57)*N(AND(BB$3&lt;=$E58,BB$4&gt;=$E58))</f>
        <v>-0</v>
      </c>
      <c r="BC58" s="47" t="n">
        <f aca="false">-CHOOSE(In_Sanction_Regime,$E57,$F57)*N(AND(BC$3&lt;=$E58,BC$4&gt;=$E58))</f>
        <v>-0</v>
      </c>
      <c r="BD58" s="47" t="n">
        <f aca="false">-CHOOSE(In_Sanction_Regime,$E57,$F57)*N(AND(BD$3&lt;=$E58,BD$4&gt;=$E58))</f>
        <v>-0</v>
      </c>
      <c r="BE58" s="47" t="n">
        <f aca="false">-CHOOSE(In_Sanction_Regime,$E57,$F57)*N(AND(BE$3&lt;=$E58,BE$4&gt;=$E58))</f>
        <v>-0</v>
      </c>
      <c r="BF58" s="47" t="n">
        <f aca="false">-CHOOSE(In_Sanction_Regime,$E57,$F57)*N(AND(BF$3&lt;=$E58,BF$4&gt;=$E58))</f>
        <v>-0</v>
      </c>
      <c r="BG58" s="47" t="n">
        <f aca="false">-CHOOSE(In_Sanction_Regime,$E57,$F57)*N(AND(BG$3&lt;=$E58,BG$4&gt;=$E58))</f>
        <v>-0</v>
      </c>
      <c r="BH58" s="47" t="n">
        <f aca="false">-CHOOSE(In_Sanction_Regime,$E57,$F57)*N(AND(BH$3&lt;=$E58,BH$4&gt;=$E58))</f>
        <v>-0</v>
      </c>
      <c r="BI58" s="47" t="n">
        <f aca="false">-CHOOSE(In_Sanction_Regime,$E57,$F57)*N(AND(BI$3&lt;=$E58,BI$4&gt;=$E58))</f>
        <v>-0</v>
      </c>
      <c r="BJ58" s="47" t="n">
        <f aca="false">-CHOOSE(In_Sanction_Regime,$E57,$F57)*N(AND(BJ$3&lt;=$E58,BJ$4&gt;=$E58))</f>
        <v>-0</v>
      </c>
      <c r="BK58" s="47" t="n">
        <f aca="false">-CHOOSE(In_Sanction_Regime,$E57,$F57)*N(AND(BK$3&lt;=$E58,BK$4&gt;=$E58))</f>
        <v>-0</v>
      </c>
      <c r="BL58" s="47" t="n">
        <f aca="false">-CHOOSE(In_Sanction_Regime,$E57,$F57)*N(AND(BL$3&lt;=$E58,BL$4&gt;=$E58))</f>
        <v>-0</v>
      </c>
      <c r="BM58" s="47" t="n">
        <f aca="false">-CHOOSE(In_Sanction_Regime,$E57,$F57)*N(AND(BM$3&lt;=$E58,BM$4&gt;=$E58))</f>
        <v>-0</v>
      </c>
      <c r="BN58" s="47" t="n">
        <f aca="false">-CHOOSE(In_Sanction_Regime,$E57,$F57)*N(AND(BN$3&lt;=$E58,BN$4&gt;=$E58))</f>
        <v>-0</v>
      </c>
      <c r="BO58" s="47" t="n">
        <f aca="false">-CHOOSE(In_Sanction_Regime,$E57,$F57)*N(AND(BO$3&lt;=$E58,BO$4&gt;=$E58))</f>
        <v>-0</v>
      </c>
      <c r="BP58" s="47" t="n">
        <f aca="false">-CHOOSE(In_Sanction_Regime,$E57,$F57)*N(AND(BP$3&lt;=$E58,BP$4&gt;=$E58))</f>
        <v>-0</v>
      </c>
      <c r="BQ58" s="47" t="n">
        <f aca="false">-CHOOSE(In_Sanction_Regime,$E57,$F57)*N(AND(BQ$3&lt;=$E58,BQ$4&gt;=$E58))</f>
        <v>-0</v>
      </c>
      <c r="BR58" s="47" t="n">
        <f aca="false">-CHOOSE(In_Sanction_Regime,$E57,$F57)*N(AND(BR$3&lt;=$E58,BR$4&gt;=$E58))</f>
        <v>-0</v>
      </c>
      <c r="BS58" s="47" t="n">
        <f aca="false">-CHOOSE(In_Sanction_Regime,$E57,$F57)*N(AND(BS$3&lt;=$E58,BS$4&gt;=$E58))</f>
        <v>-0</v>
      </c>
      <c r="BT58" s="47" t="n">
        <f aca="false">-CHOOSE(In_Sanction_Regime,$E57,$F57)*N(AND(BT$3&lt;=$E58,BT$4&gt;=$E58))</f>
        <v>-0</v>
      </c>
      <c r="BU58" s="47" t="n">
        <f aca="false">-CHOOSE(In_Sanction_Regime,$E57,$F57)*N(AND(BU$3&lt;=$E58,BU$4&gt;=$E58))</f>
        <v>-0</v>
      </c>
      <c r="BV58" s="47" t="n">
        <f aca="false">-CHOOSE(In_Sanction_Regime,$E57,$F57)*N(AND(BV$3&lt;=$E58,BV$4&gt;=$E58))</f>
        <v>-0</v>
      </c>
      <c r="BW58" s="47" t="n">
        <f aca="false">-CHOOSE(In_Sanction_Regime,$E57,$F57)*N(AND(BW$3&lt;=$E58,BW$4&gt;=$E58))</f>
        <v>-0</v>
      </c>
      <c r="BX58" s="47" t="n">
        <f aca="false">-CHOOSE(In_Sanction_Regime,$E57,$F57)*N(AND(BX$3&lt;=$E58,BX$4&gt;=$E58))</f>
        <v>-0</v>
      </c>
      <c r="BY58" s="47" t="n">
        <f aca="false">-CHOOSE(In_Sanction_Regime,$E57,$F57)*N(AND(BY$3&lt;=$E58,BY$4&gt;=$E58))</f>
        <v>-0</v>
      </c>
      <c r="BZ58" s="47" t="n">
        <f aca="false">-CHOOSE(In_Sanction_Regime,$E57,$F57)*N(AND(BZ$3&lt;=$E58,BZ$4&gt;=$E58))</f>
        <v>-0</v>
      </c>
      <c r="CA58" s="47" t="n">
        <f aca="false">-CHOOSE(In_Sanction_Regime,$E57,$F57)*N(AND(CA$3&lt;=$E58,CA$4&gt;=$E58))</f>
        <v>-0</v>
      </c>
      <c r="CB58" s="47" t="n">
        <f aca="false">-CHOOSE(In_Sanction_Regime,$E57,$F57)*N(AND(CB$3&lt;=$E58,CB$4&gt;=$E58))</f>
        <v>-0</v>
      </c>
      <c r="CC58" s="47" t="n">
        <f aca="false">-CHOOSE(In_Sanction_Regime,$E57,$F57)*N(AND(CC$3&lt;=$E58,CC$4&gt;=$E58))</f>
        <v>-0</v>
      </c>
      <c r="CD58" s="47" t="n">
        <f aca="false">-CHOOSE(In_Sanction_Regime,$E57,$F57)*N(AND(CD$3&lt;=$E58,CD$4&gt;=$E58))</f>
        <v>-0</v>
      </c>
      <c r="CE58" s="47" t="n">
        <f aca="false">-CHOOSE(In_Sanction_Regime,$E57,$F57)*N(AND(CE$3&lt;=$E58,CE$4&gt;=$E58))</f>
        <v>-0</v>
      </c>
      <c r="CF58" s="47" t="n">
        <f aca="false">-CHOOSE(In_Sanction_Regime,$E57,$F57)*N(AND(CF$3&lt;=$E58,CF$4&gt;=$E58))</f>
        <v>-0</v>
      </c>
      <c r="CG58" s="47" t="n">
        <f aca="false">-CHOOSE(In_Sanction_Regime,$E57,$F57)*N(AND(CG$3&lt;=$E58,CG$4&gt;=$E58))</f>
        <v>-0</v>
      </c>
      <c r="CH58" s="47" t="n">
        <f aca="false">-CHOOSE(In_Sanction_Regime,$E57,$F57)*N(AND(CH$3&lt;=$E58,CH$4&gt;=$E58))</f>
        <v>-0</v>
      </c>
      <c r="CI58" s="47" t="n">
        <f aca="false">-CHOOSE(In_Sanction_Regime,$E57,$F57)*N(AND(CI$3&lt;=$E58,CI$4&gt;=$E58))</f>
        <v>-0</v>
      </c>
      <c r="CJ58" s="47" t="n">
        <f aca="false">-CHOOSE(In_Sanction_Regime,$E57,$F57)*N(AND(CJ$3&lt;=$E58,CJ$4&gt;=$E58))</f>
        <v>-0</v>
      </c>
      <c r="CK58" s="47" t="n">
        <f aca="false">-CHOOSE(In_Sanction_Regime,$E57,$F57)*N(AND(CK$3&lt;=$E58,CK$4&gt;=$E58))</f>
        <v>-0</v>
      </c>
      <c r="CL58" s="47" t="n">
        <f aca="false">-CHOOSE(In_Sanction_Regime,$E57,$F57)*N(AND(CL$3&lt;=$E58,CL$4&gt;=$E58))</f>
        <v>-0</v>
      </c>
      <c r="CM58" s="47" t="n">
        <f aca="false">-CHOOSE(In_Sanction_Regime,$E57,$F57)*N(AND(CM$3&lt;=$E58,CM$4&gt;=$E58))</f>
        <v>-0</v>
      </c>
      <c r="CN58" s="47" t="n">
        <f aca="false">-CHOOSE(In_Sanction_Regime,$E57,$F57)*N(AND(CN$3&lt;=$E58,CN$4&gt;=$E58))</f>
        <v>-0</v>
      </c>
      <c r="CO58" s="47" t="n">
        <f aca="false">-CHOOSE(In_Sanction_Regime,$E57,$F57)*N(AND(CO$3&lt;=$E58,CO$4&gt;=$E58))</f>
        <v>-0</v>
      </c>
      <c r="CP58" s="47" t="n">
        <f aca="false">-CHOOSE(In_Sanction_Regime,$E57,$F57)*N(AND(CP$3&lt;=$E58,CP$4&gt;=$E58))</f>
        <v>-0</v>
      </c>
      <c r="CQ58" s="47" t="n">
        <f aca="false">-CHOOSE(In_Sanction_Regime,$E57,$F57)*N(AND(CQ$3&lt;=$E58,CQ$4&gt;=$E58))</f>
        <v>-0</v>
      </c>
      <c r="CR58" s="47" t="n">
        <f aca="false">-CHOOSE(In_Sanction_Regime,$E57,$F57)*N(AND(CR$3&lt;=$E58,CR$4&gt;=$E58))</f>
        <v>-0</v>
      </c>
      <c r="CS58" s="47" t="n">
        <f aca="false">-CHOOSE(In_Sanction_Regime,$E57,$F57)*N(AND(CS$3&lt;=$E58,CS$4&gt;=$E58))</f>
        <v>-0</v>
      </c>
      <c r="CT58" s="47" t="n">
        <f aca="false">-CHOOSE(In_Sanction_Regime,$E57,$F57)*N(AND(CT$3&lt;=$E58,CT$4&gt;=$E58))</f>
        <v>-0</v>
      </c>
      <c r="CU58" s="47" t="n">
        <f aca="false">-CHOOSE(In_Sanction_Regime,$E57,$F57)*N(AND(CU$3&lt;=$E58,CU$4&gt;=$E58))</f>
        <v>-0</v>
      </c>
      <c r="CV58" s="47" t="n">
        <f aca="false">-CHOOSE(In_Sanction_Regime,$E57,$F57)*N(AND(CV$3&lt;=$E58,CV$4&gt;=$E58))</f>
        <v>-0</v>
      </c>
      <c r="CW58" s="47" t="n">
        <f aca="false">-CHOOSE(In_Sanction_Regime,$E57,$F57)*N(AND(CW$3&lt;=$E58,CW$4&gt;=$E58))</f>
        <v>-0</v>
      </c>
      <c r="CX58" s="47" t="n">
        <f aca="false">-CHOOSE(In_Sanction_Regime,$E57,$F57)*N(AND(CX$3&lt;=$E58,CX$4&gt;=$E58))</f>
        <v>-0</v>
      </c>
      <c r="CY58" s="47" t="n">
        <f aca="false">-CHOOSE(In_Sanction_Regime,$E57,$F57)*N(AND(CY$3&lt;=$E58,CY$4&gt;=$E58))</f>
        <v>-0</v>
      </c>
      <c r="CZ58" s="47" t="n">
        <f aca="false">-CHOOSE(In_Sanction_Regime,$E57,$F57)*N(AND(CZ$3&lt;=$E58,CZ$4&gt;=$E58))</f>
        <v>-0</v>
      </c>
      <c r="DA58" s="47" t="n">
        <f aca="false">-CHOOSE(In_Sanction_Regime,$E57,$F57)*N(AND(DA$3&lt;=$E58,DA$4&gt;=$E58))</f>
        <v>-0</v>
      </c>
      <c r="DB58" s="47" t="n">
        <f aca="false">-CHOOSE(In_Sanction_Regime,$E57,$F57)*N(AND(DB$3&lt;=$E58,DB$4&gt;=$E58))</f>
        <v>-0</v>
      </c>
      <c r="DC58" s="47" t="n">
        <f aca="false">-CHOOSE(In_Sanction_Regime,$E57,$F57)*N(AND(DC$3&lt;=$E58,DC$4&gt;=$E58))</f>
        <v>-0</v>
      </c>
      <c r="DD58" s="47" t="n">
        <f aca="false">-CHOOSE(In_Sanction_Regime,$E57,$F57)*N(AND(DD$3&lt;=$E58,DD$4&gt;=$E58))</f>
        <v>-0</v>
      </c>
      <c r="DE58" s="47" t="n">
        <f aca="false">-CHOOSE(In_Sanction_Regime,$E57,$F57)*N(AND(DE$3&lt;=$E58,DE$4&gt;=$E58))</f>
        <v>-0</v>
      </c>
      <c r="DF58" s="47" t="n">
        <f aca="false">-CHOOSE(In_Sanction_Regime,$E57,$F57)*N(AND(DF$3&lt;=$E58,DF$4&gt;=$E58))</f>
        <v>-0</v>
      </c>
      <c r="DG58" s="47" t="n">
        <f aca="false">-CHOOSE(In_Sanction_Regime,$E57,$F57)*N(AND(DG$3&lt;=$E58,DG$4&gt;=$E58))</f>
        <v>-0</v>
      </c>
      <c r="DH58" s="47" t="n">
        <f aca="false">-CHOOSE(In_Sanction_Regime,$E57,$F57)*N(AND(DH$3&lt;=$E58,DH$4&gt;=$E58))</f>
        <v>-0</v>
      </c>
      <c r="DI58" s="47" t="n">
        <f aca="false">-CHOOSE(In_Sanction_Regime,$E57,$F57)*N(AND(DI$3&lt;=$E58,DI$4&gt;=$E58))</f>
        <v>-0</v>
      </c>
      <c r="DJ58" s="47" t="n">
        <f aca="false">-CHOOSE(In_Sanction_Regime,$E57,$F57)*N(AND(DJ$3&lt;=$E58,DJ$4&gt;=$E58))</f>
        <v>-0</v>
      </c>
      <c r="DK58" s="47" t="n">
        <f aca="false">-CHOOSE(In_Sanction_Regime,$E57,$F57)*N(AND(DK$3&lt;=$E58,DK$4&gt;=$E58))</f>
        <v>-0</v>
      </c>
      <c r="DL58" s="47" t="n">
        <f aca="false">-CHOOSE(In_Sanction_Regime,$E57,$F57)*N(AND(DL$3&lt;=$E58,DL$4&gt;=$E58))</f>
        <v>-0</v>
      </c>
      <c r="DM58" s="47" t="n">
        <f aca="false">-CHOOSE(In_Sanction_Regime,$E57,$F57)*N(AND(DM$3&lt;=$E58,DM$4&gt;=$E58))</f>
        <v>-0</v>
      </c>
      <c r="DN58" s="47" t="n">
        <f aca="false">-CHOOSE(In_Sanction_Regime,$E57,$F57)*N(AND(DN$3&lt;=$E58,DN$4&gt;=$E58))</f>
        <v>-0</v>
      </c>
      <c r="DO58" s="47" t="n">
        <f aca="false">-CHOOSE(In_Sanction_Regime,$E57,$F57)*N(AND(DO$3&lt;=$E58,DO$4&gt;=$E58))</f>
        <v>-0</v>
      </c>
      <c r="DP58" s="47" t="n">
        <f aca="false">-CHOOSE(In_Sanction_Regime,$E57,$F57)*N(AND(DP$3&lt;=$E58,DP$4&gt;=$E58))</f>
        <v>-0</v>
      </c>
      <c r="DQ58" s="47" t="n">
        <f aca="false">-CHOOSE(In_Sanction_Regime,$E57,$F57)*N(AND(DQ$3&lt;=$E58,DQ$4&gt;=$E58))</f>
        <v>-0</v>
      </c>
      <c r="DR58" s="47" t="n">
        <f aca="false">-CHOOSE(In_Sanction_Regime,$E57,$F57)*N(AND(DR$3&lt;=$E58,DR$4&gt;=$E58))</f>
        <v>-0</v>
      </c>
      <c r="DS58" s="47" t="n">
        <f aca="false">-CHOOSE(In_Sanction_Regime,$E57,$F57)*N(AND(DS$3&lt;=$E58,DS$4&gt;=$E58))</f>
        <v>-0</v>
      </c>
      <c r="DT58" s="47" t="n">
        <f aca="false">-CHOOSE(In_Sanction_Regime,$E57,$F57)*N(AND(DT$3&lt;=$E58,DT$4&gt;=$E58))</f>
        <v>-0</v>
      </c>
      <c r="DU58" s="47" t="n">
        <f aca="false">-CHOOSE(In_Sanction_Regime,$E57,$F57)*N(AND(DU$3&lt;=$E58,DU$4&gt;=$E58))</f>
        <v>-0</v>
      </c>
      <c r="DV58" s="47" t="n">
        <f aca="false">-CHOOSE(In_Sanction_Regime,$E57,$F57)*N(AND(DV$3&lt;=$E58,DV$4&gt;=$E58))</f>
        <v>-0</v>
      </c>
      <c r="DW58" s="47" t="n">
        <f aca="false">-CHOOSE(In_Sanction_Regime,$E57,$F57)*N(AND(DW$3&lt;=$E58,DW$4&gt;=$E58))</f>
        <v>-0</v>
      </c>
      <c r="DX58" s="47" t="n">
        <f aca="false">-CHOOSE(In_Sanction_Regime,$E57,$F57)*N(AND(DX$3&lt;=$E58,DX$4&gt;=$E58))</f>
        <v>-0</v>
      </c>
      <c r="DY58" s="47" t="n">
        <f aca="false">-CHOOSE(In_Sanction_Regime,$E57,$F57)*N(AND(DY$3&lt;=$E58,DY$4&gt;=$E58))</f>
        <v>-0</v>
      </c>
      <c r="DZ58" s="47" t="n">
        <f aca="false">-CHOOSE(In_Sanction_Regime,$E57,$F57)*N(AND(DZ$3&lt;=$E58,DZ$4&gt;=$E58))</f>
        <v>-0</v>
      </c>
      <c r="EA58" s="47" t="n">
        <f aca="false">-CHOOSE(In_Sanction_Regime,$E57,$F57)*N(AND(EA$3&lt;=$E58,EA$4&gt;=$E58))</f>
        <v>-0</v>
      </c>
      <c r="EB58" s="47" t="n">
        <f aca="false">-CHOOSE(In_Sanction_Regime,$E57,$F57)*N(AND(EB$3&lt;=$E58,EB$4&gt;=$E58))</f>
        <v>-0</v>
      </c>
      <c r="EC58" s="47" t="n">
        <f aca="false">-CHOOSE(In_Sanction_Regime,$E57,$F57)*N(AND(EC$3&lt;=$E58,EC$4&gt;=$E58))</f>
        <v>-0</v>
      </c>
      <c r="ED58" s="47" t="n">
        <f aca="false">-CHOOSE(In_Sanction_Regime,$E57,$F57)*N(AND(ED$3&lt;=$E58,ED$4&gt;=$E58))</f>
        <v>-0</v>
      </c>
      <c r="EE58" s="47" t="n">
        <f aca="false">-CHOOSE(In_Sanction_Regime,$E57,$F57)*N(AND(EE$3&lt;=$E58,EE$4&gt;=$E58))</f>
        <v>-0</v>
      </c>
      <c r="EF58" s="47" t="n">
        <f aca="false">-CHOOSE(In_Sanction_Regime,$E57,$F57)*N(AND(EF$3&lt;=$E58,EF$4&gt;=$E58))</f>
        <v>-0</v>
      </c>
      <c r="EG58" s="47" t="n">
        <f aca="false">-CHOOSE(In_Sanction_Regime,$E57,$F57)*N(AND(EG$3&lt;=$E58,EG$4&gt;=$E58))</f>
        <v>-0</v>
      </c>
      <c r="EH58" s="47" t="n">
        <f aca="false">-CHOOSE(In_Sanction_Regime,$E57,$F57)*N(AND(EH$3&lt;=$E58,EH$4&gt;=$E58))</f>
        <v>-0</v>
      </c>
      <c r="EI58" s="47" t="n">
        <f aca="false">-CHOOSE(In_Sanction_Regime,$E57,$F57)*N(AND(EI$3&lt;=$E58,EI$4&gt;=$E58))</f>
        <v>-0</v>
      </c>
      <c r="EJ58" s="47" t="n">
        <f aca="false">-CHOOSE(In_Sanction_Regime,$E57,$F57)*N(AND(EJ$3&lt;=$E58,EJ$4&gt;=$E58))</f>
        <v>-0</v>
      </c>
      <c r="EK58" s="47" t="n">
        <f aca="false">-CHOOSE(In_Sanction_Regime,$E57,$F57)*N(AND(EK$3&lt;=$E58,EK$4&gt;=$E58))</f>
        <v>-0</v>
      </c>
      <c r="EL58" s="47" t="n">
        <f aca="false">-CHOOSE(In_Sanction_Regime,$E57,$F57)*N(AND(EL$3&lt;=$E58,EL$4&gt;=$E58))</f>
        <v>-0</v>
      </c>
      <c r="EM58" s="47" t="n">
        <f aca="false">-CHOOSE(In_Sanction_Regime,$E57,$F57)*N(AND(EM$3&lt;=$E58,EM$4&gt;=$E58))</f>
        <v>-0</v>
      </c>
      <c r="EN58" s="47" t="n">
        <f aca="false">-CHOOSE(In_Sanction_Regime,$E57,$F57)*N(AND(EN$3&lt;=$E58,EN$4&gt;=$E58))</f>
        <v>-0</v>
      </c>
      <c r="EO58" s="47" t="n">
        <f aca="false">-CHOOSE(In_Sanction_Regime,$E57,$F57)*N(AND(EO$3&lt;=$E58,EO$4&gt;=$E58))</f>
        <v>-0</v>
      </c>
    </row>
    <row r="59" customFormat="false" ht="15" hidden="false" customHeight="false" outlineLevel="0" collapsed="false">
      <c r="C59" s="25" t="s">
        <v>412</v>
      </c>
      <c r="D59" s="11" t="s">
        <v>33</v>
      </c>
      <c r="I59" s="56" t="n">
        <f aca="false">SUM(J59:EO59)</f>
        <v>-6597.56948020267</v>
      </c>
      <c r="J59" s="56" t="n">
        <f aca="false">J44+J45+J46+J48+J51+J55</f>
        <v>-4662.80993807469</v>
      </c>
      <c r="K59" s="56" t="n">
        <f aca="false">K44+K45+K46+K48+K51+K55</f>
        <v>-706.535577057768</v>
      </c>
      <c r="L59" s="56" t="n">
        <f aca="false">L44+L45+L46+L48+L51+L55</f>
        <v>-104.360496659404</v>
      </c>
      <c r="M59" s="56" t="n">
        <f aca="false">M44+M45+M46+M48+M51+M55</f>
        <v>-105.507315304013</v>
      </c>
      <c r="N59" s="56" t="n">
        <f aca="false">N44+N45+N46+N48+N51+N55</f>
        <v>-105.507315304013</v>
      </c>
      <c r="O59" s="56" t="n">
        <f aca="false">O44+O45+O46+O48+O51+O55</f>
        <v>-104.360496659404</v>
      </c>
      <c r="P59" s="56" t="n">
        <f aca="false">P44+P45+P46+P48+P51+P55</f>
        <v>-104.360496659404</v>
      </c>
      <c r="Q59" s="56" t="n">
        <f aca="false">Q44+Q45+Q46+Q48+Q51+Q55</f>
        <v>-105.507315304013</v>
      </c>
      <c r="R59" s="56" t="n">
        <f aca="false">R44+R45+R46+R48+R51+R55</f>
        <v>-33.5198348658285</v>
      </c>
      <c r="S59" s="56" t="n">
        <f aca="false">S44+S45+S46+S48+S51+S55</f>
        <v>-32.7911428035279</v>
      </c>
      <c r="T59" s="56" t="n">
        <f aca="false">T44+T45+T46+T48+T51+T55</f>
        <v>-33.1554888346782</v>
      </c>
      <c r="U59" s="56" t="n">
        <f aca="false">U44+U45+U46+U48+U51+U55</f>
        <v>-33.5198348658285</v>
      </c>
      <c r="V59" s="56" t="n">
        <f aca="false">V44+V45+V46+V48+V51+V55</f>
        <v>-33.5198348658285</v>
      </c>
      <c r="W59" s="56" t="n">
        <f aca="false">W44+W45+W46+W48+W51+W55</f>
        <v>-32.7911428035279</v>
      </c>
      <c r="X59" s="56" t="n">
        <f aca="false">X44+X45+X46+X48+X51+X55</f>
        <v>-33.1554888346782</v>
      </c>
      <c r="Y59" s="56" t="n">
        <f aca="false">Y44+Y45+Y46+Y48+Y51+Y55</f>
        <v>-33.5198348658285</v>
      </c>
      <c r="Z59" s="56" t="n">
        <f aca="false">Z44+Z45+Z46+Z48+Z51+Z55</f>
        <v>-33.5198348658285</v>
      </c>
      <c r="AA59" s="56" t="n">
        <f aca="false">AA44+AA45+AA46+AA48+AA51+AA55</f>
        <v>-32.7911428035279</v>
      </c>
      <c r="AB59" s="56" t="n">
        <f aca="false">AB44+AB45+AB46+AB48+AB51+AB55</f>
        <v>-33.1554888346782</v>
      </c>
      <c r="AC59" s="56" t="n">
        <f aca="false">AC44+AC45+AC46+AC48+AC51+AC55</f>
        <v>-33.5198348658285</v>
      </c>
      <c r="AD59" s="56" t="n">
        <f aca="false">AD44+AD45+AD46+AD48+AD51+AD55</f>
        <v>-33.5198348658285</v>
      </c>
      <c r="AE59" s="56" t="n">
        <f aca="false">AE44+AE45+AE46+AE48+AE51+AE55</f>
        <v>-33.1554888346782</v>
      </c>
      <c r="AF59" s="56" t="n">
        <f aca="false">AF44+AF45+AF46+AF48+AF51+AF55</f>
        <v>-33.1554888346782</v>
      </c>
      <c r="AG59" s="56" t="n">
        <f aca="false">AG44+AG45+AG46+AG48+AG51+AG55</f>
        <v>-33.5198348658285</v>
      </c>
      <c r="AH59" s="56" t="n">
        <f aca="false">AH44+AH45+AH46+AH48+AH51+AH55</f>
        <v>-33.5198348658285</v>
      </c>
      <c r="AI59" s="56" t="n">
        <f aca="false">AI44+AI45+AI46+AI48+AI51+AI55</f>
        <v>-32.7911428035279</v>
      </c>
      <c r="AJ59" s="56" t="n">
        <f aca="false">AJ44+AJ45+AJ46+AJ48+AJ51+AJ55</f>
        <v>-0</v>
      </c>
      <c r="AK59" s="56" t="n">
        <f aca="false">AK44+AK45+AK46+AK48+AK51+AK55</f>
        <v>-0</v>
      </c>
      <c r="AL59" s="56" t="n">
        <f aca="false">AL44+AL45+AL46+AL48+AL51+AL55</f>
        <v>-0</v>
      </c>
      <c r="AM59" s="56" t="n">
        <f aca="false">AM44+AM45+AM46+AM48+AM51+AM55</f>
        <v>-0</v>
      </c>
      <c r="AN59" s="56" t="n">
        <f aca="false">AN44+AN45+AN46+AN48+AN51+AN55</f>
        <v>-0</v>
      </c>
      <c r="AO59" s="56" t="n">
        <f aca="false">AO44+AO45+AO46+AO48+AO51+AO55</f>
        <v>-0</v>
      </c>
      <c r="AP59" s="56" t="n">
        <f aca="false">AP44+AP45+AP46+AP48+AP51+AP55</f>
        <v>-0</v>
      </c>
      <c r="AQ59" s="56" t="n">
        <f aca="false">AQ44+AQ45+AQ46+AQ48+AQ51+AQ55</f>
        <v>-0</v>
      </c>
      <c r="AR59" s="56" t="n">
        <f aca="false">AR44+AR45+AR46+AR48+AR51+AR55</f>
        <v>-0</v>
      </c>
      <c r="AS59" s="56" t="n">
        <f aca="false">AS44+AS45+AS46+AS48+AS51+AS55</f>
        <v>-0</v>
      </c>
      <c r="AT59" s="56" t="n">
        <f aca="false">AT44+AT45+AT46+AT48+AT51+AT55</f>
        <v>-0</v>
      </c>
      <c r="AU59" s="56" t="n">
        <f aca="false">AU44+AU45+AU46+AU48+AU51+AU55</f>
        <v>-0</v>
      </c>
      <c r="AV59" s="56" t="n">
        <f aca="false">AV44+AV45+AV46+AV48+AV51+AV55</f>
        <v>-0</v>
      </c>
      <c r="AW59" s="56" t="n">
        <f aca="false">AW44+AW45+AW46+AW48+AW51+AW55</f>
        <v>-0</v>
      </c>
      <c r="AX59" s="56" t="n">
        <f aca="false">AX44+AX45+AX46+AX48+AX51+AX55</f>
        <v>-0</v>
      </c>
      <c r="AY59" s="56" t="n">
        <f aca="false">AY44+AY45+AY46+AY48+AY51+AY55</f>
        <v>-0</v>
      </c>
      <c r="AZ59" s="56" t="n">
        <f aca="false">AZ44+AZ45+AZ46+AZ48+AZ51+AZ55</f>
        <v>-0</v>
      </c>
      <c r="BA59" s="56" t="n">
        <f aca="false">BA44+BA45+BA46+BA48+BA51+BA55</f>
        <v>-0</v>
      </c>
      <c r="BB59" s="56" t="n">
        <f aca="false">BB44+BB45+BB46+BB48+BB51+BB55</f>
        <v>-0</v>
      </c>
      <c r="BC59" s="56" t="n">
        <f aca="false">BC44+BC45+BC46+BC48+BC51+BC55</f>
        <v>-0</v>
      </c>
      <c r="BD59" s="56" t="n">
        <f aca="false">BD44+BD45+BD46+BD48+BD51+BD55</f>
        <v>-0</v>
      </c>
      <c r="BE59" s="56" t="n">
        <f aca="false">BE44+BE45+BE46+BE48+BE51+BE55</f>
        <v>-0</v>
      </c>
      <c r="BF59" s="56" t="n">
        <f aca="false">BF44+BF45+BF46+BF48+BF51+BF55</f>
        <v>-0</v>
      </c>
      <c r="BG59" s="56" t="n">
        <f aca="false">BG44+BG45+BG46+BG48+BG51+BG55</f>
        <v>-0</v>
      </c>
      <c r="BH59" s="56" t="n">
        <f aca="false">BH44+BH45+BH46+BH48+BH51+BH55</f>
        <v>-0</v>
      </c>
      <c r="BI59" s="56" t="n">
        <f aca="false">BI44+BI45+BI46+BI48+BI51+BI55</f>
        <v>-0</v>
      </c>
      <c r="BJ59" s="56" t="n">
        <f aca="false">BJ44+BJ45+BJ46+BJ48+BJ51+BJ55</f>
        <v>-0</v>
      </c>
      <c r="BK59" s="56" t="n">
        <f aca="false">BK44+BK45+BK46+BK48+BK51+BK55</f>
        <v>-0</v>
      </c>
      <c r="BL59" s="56" t="n">
        <f aca="false">BL44+BL45+BL46+BL48+BL51+BL55</f>
        <v>-0</v>
      </c>
      <c r="BM59" s="56" t="n">
        <f aca="false">BM44+BM45+BM46+BM48+BM51+BM55</f>
        <v>-0</v>
      </c>
      <c r="BN59" s="56" t="n">
        <f aca="false">BN44+BN45+BN46+BN48+BN51+BN55</f>
        <v>-0</v>
      </c>
      <c r="BO59" s="56" t="n">
        <f aca="false">BO44+BO45+BO46+BO48+BO51+BO55</f>
        <v>-0</v>
      </c>
      <c r="BP59" s="56" t="n">
        <f aca="false">BP44+BP45+BP46+BP48+BP51+BP55</f>
        <v>-0</v>
      </c>
      <c r="BQ59" s="56" t="n">
        <f aca="false">BQ44+BQ45+BQ46+BQ48+BQ51+BQ55</f>
        <v>-0</v>
      </c>
      <c r="BR59" s="56" t="n">
        <f aca="false">BR44+BR45+BR46+BR48+BR51+BR55</f>
        <v>-0</v>
      </c>
      <c r="BS59" s="56" t="n">
        <f aca="false">BS44+BS45+BS46+BS48+BS51+BS55</f>
        <v>-0</v>
      </c>
      <c r="BT59" s="56" t="n">
        <f aca="false">BT44+BT45+BT46+BT48+BT51+BT55</f>
        <v>-0</v>
      </c>
      <c r="BU59" s="56" t="n">
        <f aca="false">BU44+BU45+BU46+BU48+BU51+BU55</f>
        <v>-0</v>
      </c>
      <c r="BV59" s="56" t="n">
        <f aca="false">BV44+BV45+BV46+BV48+BV51+BV55</f>
        <v>-0</v>
      </c>
      <c r="BW59" s="56" t="n">
        <f aca="false">BW44+BW45+BW46+BW48+BW51+BW55</f>
        <v>-0</v>
      </c>
      <c r="BX59" s="56" t="n">
        <f aca="false">BX44+BX45+BX46+BX48+BX51+BX55</f>
        <v>-0</v>
      </c>
      <c r="BY59" s="56" t="n">
        <f aca="false">BY44+BY45+BY46+BY48+BY51+BY55</f>
        <v>-0</v>
      </c>
      <c r="BZ59" s="56" t="n">
        <f aca="false">BZ44+BZ45+BZ46+BZ48+BZ51+BZ55</f>
        <v>-0</v>
      </c>
      <c r="CA59" s="56" t="n">
        <f aca="false">CA44+CA45+CA46+CA48+CA51+CA55</f>
        <v>-0</v>
      </c>
      <c r="CB59" s="56" t="n">
        <f aca="false">CB44+CB45+CB46+CB48+CB51+CB55</f>
        <v>-0</v>
      </c>
      <c r="CC59" s="56" t="n">
        <f aca="false">CC44+CC45+CC46+CC48+CC51+CC55</f>
        <v>-0</v>
      </c>
      <c r="CD59" s="56" t="n">
        <f aca="false">CD44+CD45+CD46+CD48+CD51+CD55</f>
        <v>-0</v>
      </c>
      <c r="CE59" s="56" t="n">
        <f aca="false">CE44+CE45+CE46+CE48+CE51+CE55</f>
        <v>-0</v>
      </c>
      <c r="CF59" s="56" t="n">
        <f aca="false">CF44+CF45+CF46+CF48+CF51+CF55</f>
        <v>-0</v>
      </c>
      <c r="CG59" s="56" t="n">
        <f aca="false">CG44+CG45+CG46+CG48+CG51+CG55</f>
        <v>-0</v>
      </c>
      <c r="CH59" s="56" t="n">
        <f aca="false">CH44+CH45+CH46+CH48+CH51+CH55</f>
        <v>-0</v>
      </c>
      <c r="CI59" s="56" t="n">
        <f aca="false">CI44+CI45+CI46+CI48+CI51+CI55</f>
        <v>-0</v>
      </c>
      <c r="CJ59" s="56" t="n">
        <f aca="false">CJ44+CJ45+CJ46+CJ48+CJ51+CJ55</f>
        <v>-0</v>
      </c>
      <c r="CK59" s="56" t="n">
        <f aca="false">CK44+CK45+CK46+CK48+CK51+CK55</f>
        <v>-0</v>
      </c>
      <c r="CL59" s="56" t="n">
        <f aca="false">CL44+CL45+CL46+CL48+CL51+CL55</f>
        <v>-0</v>
      </c>
      <c r="CM59" s="56" t="n">
        <f aca="false">CM44+CM45+CM46+CM48+CM51+CM55</f>
        <v>-0</v>
      </c>
      <c r="CN59" s="56" t="n">
        <f aca="false">CN44+CN45+CN46+CN48+CN51+CN55</f>
        <v>-0</v>
      </c>
      <c r="CO59" s="56" t="n">
        <f aca="false">CO44+CO45+CO46+CO48+CO51+CO55</f>
        <v>-0</v>
      </c>
      <c r="CP59" s="56" t="n">
        <f aca="false">CP44+CP45+CP46+CP48+CP51+CP55</f>
        <v>-0</v>
      </c>
      <c r="CQ59" s="56" t="n">
        <f aca="false">CQ44+CQ45+CQ46+CQ48+CQ51+CQ55</f>
        <v>-0</v>
      </c>
      <c r="CR59" s="56" t="n">
        <f aca="false">CR44+CR45+CR46+CR48+CR51+CR55</f>
        <v>-0</v>
      </c>
      <c r="CS59" s="56" t="n">
        <f aca="false">CS44+CS45+CS46+CS48+CS51+CS55</f>
        <v>-0</v>
      </c>
      <c r="CT59" s="56" t="n">
        <f aca="false">CT44+CT45+CT46+CT48+CT51+CT55</f>
        <v>-0</v>
      </c>
      <c r="CU59" s="56" t="n">
        <f aca="false">CU44+CU45+CU46+CU48+CU51+CU55</f>
        <v>-0</v>
      </c>
      <c r="CV59" s="56" t="n">
        <f aca="false">CV44+CV45+CV46+CV48+CV51+CV55</f>
        <v>-0</v>
      </c>
      <c r="CW59" s="56" t="n">
        <f aca="false">CW44+CW45+CW46+CW48+CW51+CW55</f>
        <v>-0</v>
      </c>
      <c r="CX59" s="56" t="n">
        <f aca="false">CX44+CX45+CX46+CX48+CX51+CX55</f>
        <v>-0</v>
      </c>
      <c r="CY59" s="56" t="n">
        <f aca="false">CY44+CY45+CY46+CY48+CY51+CY55</f>
        <v>-0</v>
      </c>
      <c r="CZ59" s="56" t="n">
        <f aca="false">CZ44+CZ45+CZ46+CZ48+CZ51+CZ55</f>
        <v>-0</v>
      </c>
      <c r="DA59" s="56" t="n">
        <f aca="false">DA44+DA45+DA46+DA48+DA51+DA55</f>
        <v>-0</v>
      </c>
      <c r="DB59" s="56" t="n">
        <f aca="false">DB44+DB45+DB46+DB48+DB51+DB55</f>
        <v>-0</v>
      </c>
      <c r="DC59" s="56" t="n">
        <f aca="false">DC44+DC45+DC46+DC48+DC51+DC55</f>
        <v>-0</v>
      </c>
      <c r="DD59" s="56" t="n">
        <f aca="false">DD44+DD45+DD46+DD48+DD51+DD55</f>
        <v>-0</v>
      </c>
      <c r="DE59" s="56" t="n">
        <f aca="false">DE44+DE45+DE46+DE48+DE51+DE55</f>
        <v>-0</v>
      </c>
      <c r="DF59" s="56" t="n">
        <f aca="false">DF44+DF45+DF46+DF48+DF51+DF55</f>
        <v>-0</v>
      </c>
      <c r="DG59" s="56" t="n">
        <f aca="false">DG44+DG45+DG46+DG48+DG51+DG55</f>
        <v>-0</v>
      </c>
      <c r="DH59" s="56" t="n">
        <f aca="false">DH44+DH45+DH46+DH48+DH51+DH55</f>
        <v>-0</v>
      </c>
      <c r="DI59" s="56" t="n">
        <f aca="false">DI44+DI45+DI46+DI48+DI51+DI55</f>
        <v>-0</v>
      </c>
      <c r="DJ59" s="56" t="n">
        <f aca="false">DJ44+DJ45+DJ46+DJ48+DJ51+DJ55</f>
        <v>-0</v>
      </c>
      <c r="DK59" s="56" t="n">
        <f aca="false">DK44+DK45+DK46+DK48+DK51+DK55</f>
        <v>-0</v>
      </c>
      <c r="DL59" s="56" t="n">
        <f aca="false">DL44+DL45+DL46+DL48+DL51+DL55</f>
        <v>-0</v>
      </c>
      <c r="DM59" s="56" t="n">
        <f aca="false">DM44+DM45+DM46+DM48+DM51+DM55</f>
        <v>-0</v>
      </c>
      <c r="DN59" s="56" t="n">
        <f aca="false">DN44+DN45+DN46+DN48+DN51+DN55</f>
        <v>-0</v>
      </c>
      <c r="DO59" s="56" t="n">
        <f aca="false">DO44+DO45+DO46+DO48+DO51+DO55</f>
        <v>-0</v>
      </c>
      <c r="DP59" s="56" t="n">
        <f aca="false">DP44+DP45+DP46+DP48+DP51+DP55</f>
        <v>-0</v>
      </c>
      <c r="DQ59" s="56" t="n">
        <f aca="false">DQ44+DQ45+DQ46+DQ48+DQ51+DQ55</f>
        <v>-0</v>
      </c>
      <c r="DR59" s="56" t="n">
        <f aca="false">DR44+DR45+DR46+DR48+DR51+DR55</f>
        <v>-0</v>
      </c>
      <c r="DS59" s="56" t="n">
        <f aca="false">DS44+DS45+DS46+DS48+DS51+DS55</f>
        <v>-0</v>
      </c>
      <c r="DT59" s="56" t="n">
        <f aca="false">DT44+DT45+DT46+DT48+DT51+DT55</f>
        <v>-0</v>
      </c>
      <c r="DU59" s="56" t="n">
        <f aca="false">DU44+DU45+DU46+DU48+DU51+DU55</f>
        <v>-0</v>
      </c>
      <c r="DV59" s="56" t="n">
        <f aca="false">DV44+DV45+DV46+DV48+DV51+DV55</f>
        <v>-0</v>
      </c>
      <c r="DW59" s="56" t="n">
        <f aca="false">DW44+DW45+DW46+DW48+DW51+DW55</f>
        <v>-0</v>
      </c>
      <c r="DX59" s="56" t="n">
        <f aca="false">DX44+DX45+DX46+DX48+DX51+DX55</f>
        <v>-0</v>
      </c>
      <c r="DY59" s="56" t="n">
        <f aca="false">DY44+DY45+DY46+DY48+DY51+DY55</f>
        <v>-0</v>
      </c>
      <c r="DZ59" s="56" t="n">
        <f aca="false">DZ44+DZ45+DZ46+DZ48+DZ51+DZ55</f>
        <v>-0</v>
      </c>
      <c r="EA59" s="56" t="n">
        <f aca="false">EA44+EA45+EA46+EA48+EA51+EA55</f>
        <v>-0</v>
      </c>
      <c r="EB59" s="56" t="n">
        <f aca="false">EB44+EB45+EB46+EB48+EB51+EB55</f>
        <v>-0</v>
      </c>
      <c r="EC59" s="56" t="n">
        <f aca="false">EC44+EC45+EC46+EC48+EC51+EC55</f>
        <v>-0</v>
      </c>
      <c r="ED59" s="56" t="n">
        <f aca="false">ED44+ED45+ED46+ED48+ED51+ED55</f>
        <v>-0</v>
      </c>
      <c r="EE59" s="56" t="n">
        <f aca="false">EE44+EE45+EE46+EE48+EE51+EE55</f>
        <v>-0</v>
      </c>
      <c r="EF59" s="56" t="n">
        <f aca="false">EF44+EF45+EF46+EF48+EF51+EF55</f>
        <v>-0</v>
      </c>
      <c r="EG59" s="56" t="n">
        <f aca="false">EG44+EG45+EG46+EG48+EG51+EG55</f>
        <v>-0</v>
      </c>
      <c r="EH59" s="56" t="n">
        <f aca="false">EH44+EH45+EH46+EH48+EH51+EH55</f>
        <v>-0</v>
      </c>
      <c r="EI59" s="56" t="n">
        <f aca="false">EI44+EI45+EI46+EI48+EI51+EI55</f>
        <v>-0</v>
      </c>
      <c r="EJ59" s="56" t="n">
        <f aca="false">EJ44+EJ45+EJ46+EJ48+EJ51+EJ55</f>
        <v>-0</v>
      </c>
      <c r="EK59" s="56" t="n">
        <f aca="false">EK44+EK45+EK46+EK48+EK51+EK55</f>
        <v>-0</v>
      </c>
      <c r="EL59" s="56" t="n">
        <f aca="false">EL44+EL45+EL46+EL48+EL51+EL55</f>
        <v>-0</v>
      </c>
      <c r="EM59" s="56" t="n">
        <f aca="false">EM44+EM45+EM46+EM48+EM51+EM55</f>
        <v>-0</v>
      </c>
      <c r="EN59" s="56" t="n">
        <f aca="false">EN44+EN45+EN46+EN48+EN51+EN55</f>
        <v>-0</v>
      </c>
      <c r="EO59" s="56" t="n">
        <f aca="false">EO44+EO45+EO46+EO48+EO51+EO55</f>
        <v>-0</v>
      </c>
    </row>
    <row r="61" customFormat="false" ht="15" hidden="false" customHeight="false" outlineLevel="0" collapsed="false">
      <c r="A61" s="9" t="s">
        <v>13</v>
      </c>
      <c r="B61" s="9"/>
      <c r="C61" s="9" t="s">
        <v>413</v>
      </c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</row>
    <row r="62" customFormat="false" ht="15" hidden="false" customHeight="false" outlineLevel="0" collapsed="false">
      <c r="C62" s="0" t="s">
        <v>414</v>
      </c>
      <c r="D62" s="11" t="s">
        <v>19</v>
      </c>
      <c r="E62" s="47" t="n">
        <f aca="false">IF($E38=1,In_Turbine,In_Turbine_CN)</f>
        <v>500</v>
      </c>
    </row>
    <row r="63" customFormat="false" ht="15" hidden="false" customHeight="false" outlineLevel="0" collapsed="false">
      <c r="C63" s="0" t="s">
        <v>415</v>
      </c>
      <c r="D63" s="11" t="s">
        <v>33</v>
      </c>
      <c r="E63" s="47" t="n">
        <f aca="false">IF($E38=1,In_Substation,In_Substation_CN)</f>
        <v>10800</v>
      </c>
    </row>
    <row r="64" customFormat="false" ht="15" hidden="false" customHeight="false" outlineLevel="0" collapsed="false">
      <c r="C64" s="0" t="s">
        <v>416</v>
      </c>
      <c r="D64" s="11" t="s">
        <v>33</v>
      </c>
      <c r="E64" s="47" t="n">
        <f aca="false">(($E62+In_Other_Wind)*$F24+$E63)*(1+In_Capex_Contingency)+In_BESS_Capex*$F25</f>
        <v>63116.25</v>
      </c>
      <c r="I64" s="47" t="n">
        <f aca="false">SUM(J64:EO64)</f>
        <v>-63116.25</v>
      </c>
      <c r="J64" s="47" t="n">
        <f aca="false">-$E64*J12</f>
        <v>-0</v>
      </c>
      <c r="K64" s="47" t="n">
        <f aca="false">-$E64*K12</f>
        <v>-0</v>
      </c>
      <c r="L64" s="47" t="n">
        <f aca="false">-$E64*L12</f>
        <v>-0</v>
      </c>
      <c r="M64" s="47" t="n">
        <f aca="false">-$E64*M12</f>
        <v>-0</v>
      </c>
      <c r="N64" s="47" t="n">
        <f aca="false">-$E64*N12</f>
        <v>-0</v>
      </c>
      <c r="O64" s="47" t="n">
        <f aca="false">-$E64*O12</f>
        <v>-0</v>
      </c>
      <c r="P64" s="47" t="n">
        <f aca="false">-$E64*P12</f>
        <v>-0</v>
      </c>
      <c r="Q64" s="47" t="n">
        <f aca="false">-$E64*Q12</f>
        <v>-0</v>
      </c>
      <c r="R64" s="47" t="n">
        <f aca="false">-$E64*R12</f>
        <v>-7954.37671232877</v>
      </c>
      <c r="S64" s="47" t="n">
        <f aca="false">-$E64*S12</f>
        <v>-7781.45547945206</v>
      </c>
      <c r="T64" s="47" t="n">
        <f aca="false">-$E64*T12</f>
        <v>-7867.91609589041</v>
      </c>
      <c r="U64" s="47" t="n">
        <f aca="false">-$E64*U12</f>
        <v>-7954.37671232877</v>
      </c>
      <c r="V64" s="47" t="n">
        <f aca="false">-$E64*V12</f>
        <v>-7954.37671232877</v>
      </c>
      <c r="W64" s="47" t="n">
        <f aca="false">-$E64*W12</f>
        <v>-7781.45547945206</v>
      </c>
      <c r="X64" s="47" t="n">
        <f aca="false">-$E64*X12</f>
        <v>-7867.91609589041</v>
      </c>
      <c r="Y64" s="47" t="n">
        <f aca="false">-$E64*Y12</f>
        <v>-7954.37671232877</v>
      </c>
      <c r="Z64" s="47" t="n">
        <f aca="false">-$E64*Z12</f>
        <v>-0</v>
      </c>
      <c r="AA64" s="47" t="n">
        <f aca="false">-$E64*AA12</f>
        <v>-0</v>
      </c>
      <c r="AB64" s="47" t="n">
        <f aca="false">-$E64*AB12</f>
        <v>-0</v>
      </c>
      <c r="AC64" s="47" t="n">
        <f aca="false">-$E64*AC12</f>
        <v>-0</v>
      </c>
      <c r="AD64" s="47" t="n">
        <f aca="false">-$E64*AD12</f>
        <v>-0</v>
      </c>
      <c r="AE64" s="47" t="n">
        <f aca="false">-$E64*AE12</f>
        <v>-0</v>
      </c>
      <c r="AF64" s="47" t="n">
        <f aca="false">-$E64*AF12</f>
        <v>-0</v>
      </c>
      <c r="AG64" s="47" t="n">
        <f aca="false">-$E64*AG12</f>
        <v>-0</v>
      </c>
      <c r="AH64" s="47" t="n">
        <f aca="false">-$E64*AH12</f>
        <v>-0</v>
      </c>
      <c r="AI64" s="47" t="n">
        <f aca="false">-$E64*AI12</f>
        <v>-0</v>
      </c>
      <c r="AJ64" s="47" t="n">
        <f aca="false">-$E64*AJ12</f>
        <v>-0</v>
      </c>
      <c r="AK64" s="47" t="n">
        <f aca="false">-$E64*AK12</f>
        <v>-0</v>
      </c>
      <c r="AL64" s="47" t="n">
        <f aca="false">-$E64*AL12</f>
        <v>-0</v>
      </c>
      <c r="AM64" s="47" t="n">
        <f aca="false">-$E64*AM12</f>
        <v>-0</v>
      </c>
      <c r="AN64" s="47" t="n">
        <f aca="false">-$E64*AN12</f>
        <v>-0</v>
      </c>
      <c r="AO64" s="47" t="n">
        <f aca="false">-$E64*AO12</f>
        <v>-0</v>
      </c>
      <c r="AP64" s="47" t="n">
        <f aca="false">-$E64*AP12</f>
        <v>-0</v>
      </c>
      <c r="AQ64" s="47" t="n">
        <f aca="false">-$E64*AQ12</f>
        <v>-0</v>
      </c>
      <c r="AR64" s="47" t="n">
        <f aca="false">-$E64*AR12</f>
        <v>-0</v>
      </c>
      <c r="AS64" s="47" t="n">
        <f aca="false">-$E64*AS12</f>
        <v>-0</v>
      </c>
      <c r="AT64" s="47" t="n">
        <f aca="false">-$E64*AT12</f>
        <v>-0</v>
      </c>
      <c r="AU64" s="47" t="n">
        <f aca="false">-$E64*AU12</f>
        <v>-0</v>
      </c>
      <c r="AV64" s="47" t="n">
        <f aca="false">-$E64*AV12</f>
        <v>-0</v>
      </c>
      <c r="AW64" s="47" t="n">
        <f aca="false">-$E64*AW12</f>
        <v>-0</v>
      </c>
      <c r="AX64" s="47" t="n">
        <f aca="false">-$E64*AX12</f>
        <v>-0</v>
      </c>
      <c r="AY64" s="47" t="n">
        <f aca="false">-$E64*AY12</f>
        <v>-0</v>
      </c>
      <c r="AZ64" s="47" t="n">
        <f aca="false">-$E64*AZ12</f>
        <v>-0</v>
      </c>
      <c r="BA64" s="47" t="n">
        <f aca="false">-$E64*BA12</f>
        <v>-0</v>
      </c>
      <c r="BB64" s="47" t="n">
        <f aca="false">-$E64*BB12</f>
        <v>-0</v>
      </c>
      <c r="BC64" s="47" t="n">
        <f aca="false">-$E64*BC12</f>
        <v>-0</v>
      </c>
      <c r="BD64" s="47" t="n">
        <f aca="false">-$E64*BD12</f>
        <v>-0</v>
      </c>
      <c r="BE64" s="47" t="n">
        <f aca="false">-$E64*BE12</f>
        <v>-0</v>
      </c>
      <c r="BF64" s="47" t="n">
        <f aca="false">-$E64*BF12</f>
        <v>-0</v>
      </c>
      <c r="BG64" s="47" t="n">
        <f aca="false">-$E64*BG12</f>
        <v>-0</v>
      </c>
      <c r="BH64" s="47" t="n">
        <f aca="false">-$E64*BH12</f>
        <v>-0</v>
      </c>
      <c r="BI64" s="47" t="n">
        <f aca="false">-$E64*BI12</f>
        <v>-0</v>
      </c>
      <c r="BJ64" s="47" t="n">
        <f aca="false">-$E64*BJ12</f>
        <v>-0</v>
      </c>
      <c r="BK64" s="47" t="n">
        <f aca="false">-$E64*BK12</f>
        <v>-0</v>
      </c>
      <c r="BL64" s="47" t="n">
        <f aca="false">-$E64*BL12</f>
        <v>-0</v>
      </c>
      <c r="BM64" s="47" t="n">
        <f aca="false">-$E64*BM12</f>
        <v>-0</v>
      </c>
      <c r="BN64" s="47" t="n">
        <f aca="false">-$E64*BN12</f>
        <v>-0</v>
      </c>
      <c r="BO64" s="47" t="n">
        <f aca="false">-$E64*BO12</f>
        <v>-0</v>
      </c>
      <c r="BP64" s="47" t="n">
        <f aca="false">-$E64*BP12</f>
        <v>-0</v>
      </c>
      <c r="BQ64" s="47" t="n">
        <f aca="false">-$E64*BQ12</f>
        <v>-0</v>
      </c>
      <c r="BR64" s="47" t="n">
        <f aca="false">-$E64*BR12</f>
        <v>-0</v>
      </c>
      <c r="BS64" s="47" t="n">
        <f aca="false">-$E64*BS12</f>
        <v>-0</v>
      </c>
      <c r="BT64" s="47" t="n">
        <f aca="false">-$E64*BT12</f>
        <v>-0</v>
      </c>
      <c r="BU64" s="47" t="n">
        <f aca="false">-$E64*BU12</f>
        <v>-0</v>
      </c>
      <c r="BV64" s="47" t="n">
        <f aca="false">-$E64*BV12</f>
        <v>-0</v>
      </c>
      <c r="BW64" s="47" t="n">
        <f aca="false">-$E64*BW12</f>
        <v>-0</v>
      </c>
      <c r="BX64" s="47" t="n">
        <f aca="false">-$E64*BX12</f>
        <v>-0</v>
      </c>
      <c r="BY64" s="47" t="n">
        <f aca="false">-$E64*BY12</f>
        <v>-0</v>
      </c>
      <c r="BZ64" s="47" t="n">
        <f aca="false">-$E64*BZ12</f>
        <v>-0</v>
      </c>
      <c r="CA64" s="47" t="n">
        <f aca="false">-$E64*CA12</f>
        <v>-0</v>
      </c>
      <c r="CB64" s="47" t="n">
        <f aca="false">-$E64*CB12</f>
        <v>-0</v>
      </c>
      <c r="CC64" s="47" t="n">
        <f aca="false">-$E64*CC12</f>
        <v>-0</v>
      </c>
      <c r="CD64" s="47" t="n">
        <f aca="false">-$E64*CD12</f>
        <v>-0</v>
      </c>
      <c r="CE64" s="47" t="n">
        <f aca="false">-$E64*CE12</f>
        <v>-0</v>
      </c>
      <c r="CF64" s="47" t="n">
        <f aca="false">-$E64*CF12</f>
        <v>-0</v>
      </c>
      <c r="CG64" s="47" t="n">
        <f aca="false">-$E64*CG12</f>
        <v>-0</v>
      </c>
      <c r="CH64" s="47" t="n">
        <f aca="false">-$E64*CH12</f>
        <v>-0</v>
      </c>
      <c r="CI64" s="47" t="n">
        <f aca="false">-$E64*CI12</f>
        <v>-0</v>
      </c>
      <c r="CJ64" s="47" t="n">
        <f aca="false">-$E64*CJ12</f>
        <v>-0</v>
      </c>
      <c r="CK64" s="47" t="n">
        <f aca="false">-$E64*CK12</f>
        <v>-0</v>
      </c>
      <c r="CL64" s="47" t="n">
        <f aca="false">-$E64*CL12</f>
        <v>-0</v>
      </c>
      <c r="CM64" s="47" t="n">
        <f aca="false">-$E64*CM12</f>
        <v>-0</v>
      </c>
      <c r="CN64" s="47" t="n">
        <f aca="false">-$E64*CN12</f>
        <v>-0</v>
      </c>
      <c r="CO64" s="47" t="n">
        <f aca="false">-$E64*CO12</f>
        <v>-0</v>
      </c>
      <c r="CP64" s="47" t="n">
        <f aca="false">-$E64*CP12</f>
        <v>-0</v>
      </c>
      <c r="CQ64" s="47" t="n">
        <f aca="false">-$E64*CQ12</f>
        <v>-0</v>
      </c>
      <c r="CR64" s="47" t="n">
        <f aca="false">-$E64*CR12</f>
        <v>-0</v>
      </c>
      <c r="CS64" s="47" t="n">
        <f aca="false">-$E64*CS12</f>
        <v>-0</v>
      </c>
      <c r="CT64" s="47" t="n">
        <f aca="false">-$E64*CT12</f>
        <v>-0</v>
      </c>
      <c r="CU64" s="47" t="n">
        <f aca="false">-$E64*CU12</f>
        <v>-0</v>
      </c>
      <c r="CV64" s="47" t="n">
        <f aca="false">-$E64*CV12</f>
        <v>-0</v>
      </c>
      <c r="CW64" s="47" t="n">
        <f aca="false">-$E64*CW12</f>
        <v>-0</v>
      </c>
      <c r="CX64" s="47" t="n">
        <f aca="false">-$E64*CX12</f>
        <v>-0</v>
      </c>
      <c r="CY64" s="47" t="n">
        <f aca="false">-$E64*CY12</f>
        <v>-0</v>
      </c>
      <c r="CZ64" s="47" t="n">
        <f aca="false">-$E64*CZ12</f>
        <v>-0</v>
      </c>
      <c r="DA64" s="47" t="n">
        <f aca="false">-$E64*DA12</f>
        <v>-0</v>
      </c>
      <c r="DB64" s="47" t="n">
        <f aca="false">-$E64*DB12</f>
        <v>-0</v>
      </c>
      <c r="DC64" s="47" t="n">
        <f aca="false">-$E64*DC12</f>
        <v>-0</v>
      </c>
      <c r="DD64" s="47" t="n">
        <f aca="false">-$E64*DD12</f>
        <v>-0</v>
      </c>
      <c r="DE64" s="47" t="n">
        <f aca="false">-$E64*DE12</f>
        <v>-0</v>
      </c>
      <c r="DF64" s="47" t="n">
        <f aca="false">-$E64*DF12</f>
        <v>-0</v>
      </c>
      <c r="DG64" s="47" t="n">
        <f aca="false">-$E64*DG12</f>
        <v>-0</v>
      </c>
      <c r="DH64" s="47" t="n">
        <f aca="false">-$E64*DH12</f>
        <v>-0</v>
      </c>
      <c r="DI64" s="47" t="n">
        <f aca="false">-$E64*DI12</f>
        <v>-0</v>
      </c>
      <c r="DJ64" s="47" t="n">
        <f aca="false">-$E64*DJ12</f>
        <v>-0</v>
      </c>
      <c r="DK64" s="47" t="n">
        <f aca="false">-$E64*DK12</f>
        <v>-0</v>
      </c>
      <c r="DL64" s="47" t="n">
        <f aca="false">-$E64*DL12</f>
        <v>-0</v>
      </c>
      <c r="DM64" s="47" t="n">
        <f aca="false">-$E64*DM12</f>
        <v>-0</v>
      </c>
      <c r="DN64" s="47" t="n">
        <f aca="false">-$E64*DN12</f>
        <v>-0</v>
      </c>
      <c r="DO64" s="47" t="n">
        <f aca="false">-$E64*DO12</f>
        <v>-0</v>
      </c>
      <c r="DP64" s="47" t="n">
        <f aca="false">-$E64*DP12</f>
        <v>-0</v>
      </c>
      <c r="DQ64" s="47" t="n">
        <f aca="false">-$E64*DQ12</f>
        <v>-0</v>
      </c>
      <c r="DR64" s="47" t="n">
        <f aca="false">-$E64*DR12</f>
        <v>-0</v>
      </c>
      <c r="DS64" s="47" t="n">
        <f aca="false">-$E64*DS12</f>
        <v>-0</v>
      </c>
      <c r="DT64" s="47" t="n">
        <f aca="false">-$E64*DT12</f>
        <v>-0</v>
      </c>
      <c r="DU64" s="47" t="n">
        <f aca="false">-$E64*DU12</f>
        <v>-0</v>
      </c>
      <c r="DV64" s="47" t="n">
        <f aca="false">-$E64*DV12</f>
        <v>-0</v>
      </c>
      <c r="DW64" s="47" t="n">
        <f aca="false">-$E64*DW12</f>
        <v>-0</v>
      </c>
      <c r="DX64" s="47" t="n">
        <f aca="false">-$E64*DX12</f>
        <v>-0</v>
      </c>
      <c r="DY64" s="47" t="n">
        <f aca="false">-$E64*DY12</f>
        <v>-0</v>
      </c>
      <c r="DZ64" s="47" t="n">
        <f aca="false">-$E64*DZ12</f>
        <v>-0</v>
      </c>
      <c r="EA64" s="47" t="n">
        <f aca="false">-$E64*EA12</f>
        <v>-0</v>
      </c>
      <c r="EB64" s="47" t="n">
        <f aca="false">-$E64*EB12</f>
        <v>-0</v>
      </c>
      <c r="EC64" s="47" t="n">
        <f aca="false">-$E64*EC12</f>
        <v>-0</v>
      </c>
      <c r="ED64" s="47" t="n">
        <f aca="false">-$E64*ED12</f>
        <v>-0</v>
      </c>
      <c r="EE64" s="47" t="n">
        <f aca="false">-$E64*EE12</f>
        <v>-0</v>
      </c>
      <c r="EF64" s="47" t="n">
        <f aca="false">-$E64*EF12</f>
        <v>-0</v>
      </c>
      <c r="EG64" s="47" t="n">
        <f aca="false">-$E64*EG12</f>
        <v>-0</v>
      </c>
      <c r="EH64" s="47" t="n">
        <f aca="false">-$E64*EH12</f>
        <v>-0</v>
      </c>
      <c r="EI64" s="47" t="n">
        <f aca="false">-$E64*EI12</f>
        <v>-0</v>
      </c>
      <c r="EJ64" s="47" t="n">
        <f aca="false">-$E64*EJ12</f>
        <v>-0</v>
      </c>
      <c r="EK64" s="47" t="n">
        <f aca="false">-$E64*EK12</f>
        <v>-0</v>
      </c>
      <c r="EL64" s="47" t="n">
        <f aca="false">-$E64*EL12</f>
        <v>-0</v>
      </c>
      <c r="EM64" s="47" t="n">
        <f aca="false">-$E64*EM12</f>
        <v>-0</v>
      </c>
      <c r="EN64" s="47" t="n">
        <f aca="false">-$E64*EN12</f>
        <v>-0</v>
      </c>
      <c r="EO64" s="47" t="n">
        <f aca="false">-$E64*EO12</f>
        <v>-0</v>
      </c>
    </row>
    <row r="65" customFormat="false" ht="15" hidden="false" customHeight="false" outlineLevel="0" collapsed="false">
      <c r="C65" s="0" t="s">
        <v>417</v>
      </c>
      <c r="D65" s="11" t="s">
        <v>33</v>
      </c>
      <c r="E65" s="47" t="n">
        <f aca="false">$E31*In_MVA</f>
        <v>2500</v>
      </c>
      <c r="I65" s="47" t="n">
        <f aca="false">SUM(J65:EO65)</f>
        <v>-2500</v>
      </c>
      <c r="J65" s="47" t="n">
        <f aca="false">-$E65*J14</f>
        <v>-0</v>
      </c>
      <c r="K65" s="47" t="n">
        <f aca="false">-$E65*K14</f>
        <v>-0</v>
      </c>
      <c r="L65" s="47" t="n">
        <f aca="false">-$E65*L14</f>
        <v>-0</v>
      </c>
      <c r="M65" s="47" t="n">
        <f aca="false">-$E65*M14</f>
        <v>-0</v>
      </c>
      <c r="N65" s="47" t="n">
        <f aca="false">-$E65*N14</f>
        <v>-0</v>
      </c>
      <c r="O65" s="47" t="n">
        <f aca="false">-$E65*O14</f>
        <v>-0</v>
      </c>
      <c r="P65" s="47" t="n">
        <f aca="false">-$E65*P14</f>
        <v>-0</v>
      </c>
      <c r="Q65" s="47" t="n">
        <f aca="false">-$E65*Q14</f>
        <v>-0</v>
      </c>
      <c r="R65" s="47" t="n">
        <f aca="false">-$E65*R14</f>
        <v>-0</v>
      </c>
      <c r="S65" s="47" t="n">
        <f aca="false">-$E65*S14</f>
        <v>-0</v>
      </c>
      <c r="T65" s="47" t="n">
        <f aca="false">-$E65*T14</f>
        <v>-0</v>
      </c>
      <c r="U65" s="47" t="n">
        <f aca="false">-$E65*U14</f>
        <v>-0</v>
      </c>
      <c r="V65" s="47" t="n">
        <f aca="false">-$E65*V14</f>
        <v>-0</v>
      </c>
      <c r="W65" s="47" t="n">
        <f aca="false">-$E65*W14</f>
        <v>-0</v>
      </c>
      <c r="X65" s="47" t="n">
        <f aca="false">-$E65*X14</f>
        <v>-0</v>
      </c>
      <c r="Y65" s="47" t="n">
        <f aca="false">-$E65*Y14</f>
        <v>-2500</v>
      </c>
      <c r="Z65" s="47" t="n">
        <f aca="false">-$E65*Z14</f>
        <v>-0</v>
      </c>
      <c r="AA65" s="47" t="n">
        <f aca="false">-$E65*AA14</f>
        <v>-0</v>
      </c>
      <c r="AB65" s="47" t="n">
        <f aca="false">-$E65*AB14</f>
        <v>-0</v>
      </c>
      <c r="AC65" s="47" t="n">
        <f aca="false">-$E65*AC14</f>
        <v>-0</v>
      </c>
      <c r="AD65" s="47" t="n">
        <f aca="false">-$E65*AD14</f>
        <v>-0</v>
      </c>
      <c r="AE65" s="47" t="n">
        <f aca="false">-$E65*AE14</f>
        <v>-0</v>
      </c>
      <c r="AF65" s="47" t="n">
        <f aca="false">-$E65*AF14</f>
        <v>-0</v>
      </c>
      <c r="AG65" s="47" t="n">
        <f aca="false">-$E65*AG14</f>
        <v>-0</v>
      </c>
      <c r="AH65" s="47" t="n">
        <f aca="false">-$E65*AH14</f>
        <v>-0</v>
      </c>
      <c r="AI65" s="47" t="n">
        <f aca="false">-$E65*AI14</f>
        <v>-0</v>
      </c>
      <c r="AJ65" s="47" t="n">
        <f aca="false">-$E65*AJ14</f>
        <v>-0</v>
      </c>
      <c r="AK65" s="47" t="n">
        <f aca="false">-$E65*AK14</f>
        <v>-0</v>
      </c>
      <c r="AL65" s="47" t="n">
        <f aca="false">-$E65*AL14</f>
        <v>-0</v>
      </c>
      <c r="AM65" s="47" t="n">
        <f aca="false">-$E65*AM14</f>
        <v>-0</v>
      </c>
      <c r="AN65" s="47" t="n">
        <f aca="false">-$E65*AN14</f>
        <v>-0</v>
      </c>
      <c r="AO65" s="47" t="n">
        <f aca="false">-$E65*AO14</f>
        <v>-0</v>
      </c>
      <c r="AP65" s="47" t="n">
        <f aca="false">-$E65*AP14</f>
        <v>-0</v>
      </c>
      <c r="AQ65" s="47" t="n">
        <f aca="false">-$E65*AQ14</f>
        <v>-0</v>
      </c>
      <c r="AR65" s="47" t="n">
        <f aca="false">-$E65*AR14</f>
        <v>-0</v>
      </c>
      <c r="AS65" s="47" t="n">
        <f aca="false">-$E65*AS14</f>
        <v>-0</v>
      </c>
      <c r="AT65" s="47" t="n">
        <f aca="false">-$E65*AT14</f>
        <v>-0</v>
      </c>
      <c r="AU65" s="47" t="n">
        <f aca="false">-$E65*AU14</f>
        <v>-0</v>
      </c>
      <c r="AV65" s="47" t="n">
        <f aca="false">-$E65*AV14</f>
        <v>-0</v>
      </c>
      <c r="AW65" s="47" t="n">
        <f aca="false">-$E65*AW14</f>
        <v>-0</v>
      </c>
      <c r="AX65" s="47" t="n">
        <f aca="false">-$E65*AX14</f>
        <v>-0</v>
      </c>
      <c r="AY65" s="47" t="n">
        <f aca="false">-$E65*AY14</f>
        <v>-0</v>
      </c>
      <c r="AZ65" s="47" t="n">
        <f aca="false">-$E65*AZ14</f>
        <v>-0</v>
      </c>
      <c r="BA65" s="47" t="n">
        <f aca="false">-$E65*BA14</f>
        <v>-0</v>
      </c>
      <c r="BB65" s="47" t="n">
        <f aca="false">-$E65*BB14</f>
        <v>-0</v>
      </c>
      <c r="BC65" s="47" t="n">
        <f aca="false">-$E65*BC14</f>
        <v>-0</v>
      </c>
      <c r="BD65" s="47" t="n">
        <f aca="false">-$E65*BD14</f>
        <v>-0</v>
      </c>
      <c r="BE65" s="47" t="n">
        <f aca="false">-$E65*BE14</f>
        <v>-0</v>
      </c>
      <c r="BF65" s="47" t="n">
        <f aca="false">-$E65*BF14</f>
        <v>-0</v>
      </c>
      <c r="BG65" s="47" t="n">
        <f aca="false">-$E65*BG14</f>
        <v>-0</v>
      </c>
      <c r="BH65" s="47" t="n">
        <f aca="false">-$E65*BH14</f>
        <v>-0</v>
      </c>
      <c r="BI65" s="47" t="n">
        <f aca="false">-$E65*BI14</f>
        <v>-0</v>
      </c>
      <c r="BJ65" s="47" t="n">
        <f aca="false">-$E65*BJ14</f>
        <v>-0</v>
      </c>
      <c r="BK65" s="47" t="n">
        <f aca="false">-$E65*BK14</f>
        <v>-0</v>
      </c>
      <c r="BL65" s="47" t="n">
        <f aca="false">-$E65*BL14</f>
        <v>-0</v>
      </c>
      <c r="BM65" s="47" t="n">
        <f aca="false">-$E65*BM14</f>
        <v>-0</v>
      </c>
      <c r="BN65" s="47" t="n">
        <f aca="false">-$E65*BN14</f>
        <v>-0</v>
      </c>
      <c r="BO65" s="47" t="n">
        <f aca="false">-$E65*BO14</f>
        <v>-0</v>
      </c>
      <c r="BP65" s="47" t="n">
        <f aca="false">-$E65*BP14</f>
        <v>-0</v>
      </c>
      <c r="BQ65" s="47" t="n">
        <f aca="false">-$E65*BQ14</f>
        <v>-0</v>
      </c>
      <c r="BR65" s="47" t="n">
        <f aca="false">-$E65*BR14</f>
        <v>-0</v>
      </c>
      <c r="BS65" s="47" t="n">
        <f aca="false">-$E65*BS14</f>
        <v>-0</v>
      </c>
      <c r="BT65" s="47" t="n">
        <f aca="false">-$E65*BT14</f>
        <v>-0</v>
      </c>
      <c r="BU65" s="47" t="n">
        <f aca="false">-$E65*BU14</f>
        <v>-0</v>
      </c>
      <c r="BV65" s="47" t="n">
        <f aca="false">-$E65*BV14</f>
        <v>-0</v>
      </c>
      <c r="BW65" s="47" t="n">
        <f aca="false">-$E65*BW14</f>
        <v>-0</v>
      </c>
      <c r="BX65" s="47" t="n">
        <f aca="false">-$E65*BX14</f>
        <v>-0</v>
      </c>
      <c r="BY65" s="47" t="n">
        <f aca="false">-$E65*BY14</f>
        <v>-0</v>
      </c>
      <c r="BZ65" s="47" t="n">
        <f aca="false">-$E65*BZ14</f>
        <v>-0</v>
      </c>
      <c r="CA65" s="47" t="n">
        <f aca="false">-$E65*CA14</f>
        <v>-0</v>
      </c>
      <c r="CB65" s="47" t="n">
        <f aca="false">-$E65*CB14</f>
        <v>-0</v>
      </c>
      <c r="CC65" s="47" t="n">
        <f aca="false">-$E65*CC14</f>
        <v>-0</v>
      </c>
      <c r="CD65" s="47" t="n">
        <f aca="false">-$E65*CD14</f>
        <v>-0</v>
      </c>
      <c r="CE65" s="47" t="n">
        <f aca="false">-$E65*CE14</f>
        <v>-0</v>
      </c>
      <c r="CF65" s="47" t="n">
        <f aca="false">-$E65*CF14</f>
        <v>-0</v>
      </c>
      <c r="CG65" s="47" t="n">
        <f aca="false">-$E65*CG14</f>
        <v>-0</v>
      </c>
      <c r="CH65" s="47" t="n">
        <f aca="false">-$E65*CH14</f>
        <v>-0</v>
      </c>
      <c r="CI65" s="47" t="n">
        <f aca="false">-$E65*CI14</f>
        <v>-0</v>
      </c>
      <c r="CJ65" s="47" t="n">
        <f aca="false">-$E65*CJ14</f>
        <v>-0</v>
      </c>
      <c r="CK65" s="47" t="n">
        <f aca="false">-$E65*CK14</f>
        <v>-0</v>
      </c>
      <c r="CL65" s="47" t="n">
        <f aca="false">-$E65*CL14</f>
        <v>-0</v>
      </c>
      <c r="CM65" s="47" t="n">
        <f aca="false">-$E65*CM14</f>
        <v>-0</v>
      </c>
      <c r="CN65" s="47" t="n">
        <f aca="false">-$E65*CN14</f>
        <v>-0</v>
      </c>
      <c r="CO65" s="47" t="n">
        <f aca="false">-$E65*CO14</f>
        <v>-0</v>
      </c>
      <c r="CP65" s="47" t="n">
        <f aca="false">-$E65*CP14</f>
        <v>-0</v>
      </c>
      <c r="CQ65" s="47" t="n">
        <f aca="false">-$E65*CQ14</f>
        <v>-0</v>
      </c>
      <c r="CR65" s="47" t="n">
        <f aca="false">-$E65*CR14</f>
        <v>-0</v>
      </c>
      <c r="CS65" s="47" t="n">
        <f aca="false">-$E65*CS14</f>
        <v>-0</v>
      </c>
      <c r="CT65" s="47" t="n">
        <f aca="false">-$E65*CT14</f>
        <v>-0</v>
      </c>
      <c r="CU65" s="47" t="n">
        <f aca="false">-$E65*CU14</f>
        <v>-0</v>
      </c>
      <c r="CV65" s="47" t="n">
        <f aca="false">-$E65*CV14</f>
        <v>-0</v>
      </c>
      <c r="CW65" s="47" t="n">
        <f aca="false">-$E65*CW14</f>
        <v>-0</v>
      </c>
      <c r="CX65" s="47" t="n">
        <f aca="false">-$E65*CX14</f>
        <v>-0</v>
      </c>
      <c r="CY65" s="47" t="n">
        <f aca="false">-$E65*CY14</f>
        <v>-0</v>
      </c>
      <c r="CZ65" s="47" t="n">
        <f aca="false">-$E65*CZ14</f>
        <v>-0</v>
      </c>
      <c r="DA65" s="47" t="n">
        <f aca="false">-$E65*DA14</f>
        <v>-0</v>
      </c>
      <c r="DB65" s="47" t="n">
        <f aca="false">-$E65*DB14</f>
        <v>-0</v>
      </c>
      <c r="DC65" s="47" t="n">
        <f aca="false">-$E65*DC14</f>
        <v>-0</v>
      </c>
      <c r="DD65" s="47" t="n">
        <f aca="false">-$E65*DD14</f>
        <v>-0</v>
      </c>
      <c r="DE65" s="47" t="n">
        <f aca="false">-$E65*DE14</f>
        <v>-0</v>
      </c>
      <c r="DF65" s="47" t="n">
        <f aca="false">-$E65*DF14</f>
        <v>-0</v>
      </c>
      <c r="DG65" s="47" t="n">
        <f aca="false">-$E65*DG14</f>
        <v>-0</v>
      </c>
      <c r="DH65" s="47" t="n">
        <f aca="false">-$E65*DH14</f>
        <v>-0</v>
      </c>
      <c r="DI65" s="47" t="n">
        <f aca="false">-$E65*DI14</f>
        <v>-0</v>
      </c>
      <c r="DJ65" s="47" t="n">
        <f aca="false">-$E65*DJ14</f>
        <v>-0</v>
      </c>
      <c r="DK65" s="47" t="n">
        <f aca="false">-$E65*DK14</f>
        <v>-0</v>
      </c>
      <c r="DL65" s="47" t="n">
        <f aca="false">-$E65*DL14</f>
        <v>-0</v>
      </c>
      <c r="DM65" s="47" t="n">
        <f aca="false">-$E65*DM14</f>
        <v>-0</v>
      </c>
      <c r="DN65" s="47" t="n">
        <f aca="false">-$E65*DN14</f>
        <v>-0</v>
      </c>
      <c r="DO65" s="47" t="n">
        <f aca="false">-$E65*DO14</f>
        <v>-0</v>
      </c>
      <c r="DP65" s="47" t="n">
        <f aca="false">-$E65*DP14</f>
        <v>-0</v>
      </c>
      <c r="DQ65" s="47" t="n">
        <f aca="false">-$E65*DQ14</f>
        <v>-0</v>
      </c>
      <c r="DR65" s="47" t="n">
        <f aca="false">-$E65*DR14</f>
        <v>-0</v>
      </c>
      <c r="DS65" s="47" t="n">
        <f aca="false">-$E65*DS14</f>
        <v>-0</v>
      </c>
      <c r="DT65" s="47" t="n">
        <f aca="false">-$E65*DT14</f>
        <v>-0</v>
      </c>
      <c r="DU65" s="47" t="n">
        <f aca="false">-$E65*DU14</f>
        <v>-0</v>
      </c>
      <c r="DV65" s="47" t="n">
        <f aca="false">-$E65*DV14</f>
        <v>-0</v>
      </c>
      <c r="DW65" s="47" t="n">
        <f aca="false">-$E65*DW14</f>
        <v>-0</v>
      </c>
      <c r="DX65" s="47" t="n">
        <f aca="false">-$E65*DX14</f>
        <v>-0</v>
      </c>
      <c r="DY65" s="47" t="n">
        <f aca="false">-$E65*DY14</f>
        <v>-0</v>
      </c>
      <c r="DZ65" s="47" t="n">
        <f aca="false">-$E65*DZ14</f>
        <v>-0</v>
      </c>
      <c r="EA65" s="47" t="n">
        <f aca="false">-$E65*EA14</f>
        <v>-0</v>
      </c>
      <c r="EB65" s="47" t="n">
        <f aca="false">-$E65*EB14</f>
        <v>-0</v>
      </c>
      <c r="EC65" s="47" t="n">
        <f aca="false">-$E65*EC14</f>
        <v>-0</v>
      </c>
      <c r="ED65" s="47" t="n">
        <f aca="false">-$E65*ED14</f>
        <v>-0</v>
      </c>
      <c r="EE65" s="47" t="n">
        <f aca="false">-$E65*EE14</f>
        <v>-0</v>
      </c>
      <c r="EF65" s="47" t="n">
        <f aca="false">-$E65*EF14</f>
        <v>-0</v>
      </c>
      <c r="EG65" s="47" t="n">
        <f aca="false">-$E65*EG14</f>
        <v>-0</v>
      </c>
      <c r="EH65" s="47" t="n">
        <f aca="false">-$E65*EH14</f>
        <v>-0</v>
      </c>
      <c r="EI65" s="47" t="n">
        <f aca="false">-$E65*EI14</f>
        <v>-0</v>
      </c>
      <c r="EJ65" s="47" t="n">
        <f aca="false">-$E65*EJ14</f>
        <v>-0</v>
      </c>
      <c r="EK65" s="47" t="n">
        <f aca="false">-$E65*EK14</f>
        <v>-0</v>
      </c>
      <c r="EL65" s="47" t="n">
        <f aca="false">-$E65*EL14</f>
        <v>-0</v>
      </c>
      <c r="EM65" s="47" t="n">
        <f aca="false">-$E65*EM14</f>
        <v>-0</v>
      </c>
      <c r="EN65" s="47" t="n">
        <f aca="false">-$E65*EN14</f>
        <v>-0</v>
      </c>
      <c r="EO65" s="47" t="n">
        <f aca="false">-$E65*EO14</f>
        <v>-0</v>
      </c>
    </row>
    <row r="66" customFormat="false" ht="15" hidden="false" customHeight="false" outlineLevel="0" collapsed="false">
      <c r="C66" s="25" t="s">
        <v>418</v>
      </c>
      <c r="D66" s="11" t="s">
        <v>33</v>
      </c>
      <c r="E66" s="56" t="n">
        <f aca="false">SUMPRODUCT($J66:$EO66/$J21:$EO21)*$E21</f>
        <v>-77232.4978192406</v>
      </c>
      <c r="I66" s="56" t="n">
        <f aca="false">SUM(J66:EO66)</f>
        <v>-73771.0731506849</v>
      </c>
      <c r="J66" s="56" t="n">
        <f aca="false">J64+J54+J65</f>
        <v>-0</v>
      </c>
      <c r="K66" s="56" t="n">
        <f aca="false">K64+K54+K65</f>
        <v>-0</v>
      </c>
      <c r="L66" s="56" t="n">
        <f aca="false">L64+L54+L65</f>
        <v>-0</v>
      </c>
      <c r="M66" s="56" t="n">
        <f aca="false">M64+M54+M65</f>
        <v>-0</v>
      </c>
      <c r="N66" s="56" t="n">
        <f aca="false">N64+N54+N65</f>
        <v>-0</v>
      </c>
      <c r="O66" s="56" t="n">
        <f aca="false">O64+O54+O65</f>
        <v>-0</v>
      </c>
      <c r="P66" s="56" t="n">
        <f aca="false">P64+P54+P65</f>
        <v>-0</v>
      </c>
      <c r="Q66" s="56" t="n">
        <f aca="false">Q64+Q54+Q65</f>
        <v>-0</v>
      </c>
      <c r="R66" s="56" t="n">
        <f aca="false">R64+R54+R65</f>
        <v>-7954.37671232877</v>
      </c>
      <c r="S66" s="56" t="n">
        <f aca="false">S64+S54+S65</f>
        <v>-15936.278630137</v>
      </c>
      <c r="T66" s="56" t="n">
        <f aca="false">T64+T54+T65</f>
        <v>-7867.91609589041</v>
      </c>
      <c r="U66" s="56" t="n">
        <f aca="false">U64+U54+U65</f>
        <v>-7954.37671232877</v>
      </c>
      <c r="V66" s="56" t="n">
        <f aca="false">V64+V54+V65</f>
        <v>-7954.37671232877</v>
      </c>
      <c r="W66" s="56" t="n">
        <f aca="false">W64+W54+W65</f>
        <v>-7781.45547945206</v>
      </c>
      <c r="X66" s="56" t="n">
        <f aca="false">X64+X54+X65</f>
        <v>-7867.91609589041</v>
      </c>
      <c r="Y66" s="56" t="n">
        <f aca="false">Y64+Y54+Y65</f>
        <v>-10454.3767123288</v>
      </c>
      <c r="Z66" s="56" t="n">
        <f aca="false">Z64+Z54+Z65</f>
        <v>-0</v>
      </c>
      <c r="AA66" s="56" t="n">
        <f aca="false">AA64+AA54+AA65</f>
        <v>-0</v>
      </c>
      <c r="AB66" s="56" t="n">
        <f aca="false">AB64+AB54+AB65</f>
        <v>-0</v>
      </c>
      <c r="AC66" s="56" t="n">
        <f aca="false">AC64+AC54+AC65</f>
        <v>-0</v>
      </c>
      <c r="AD66" s="56" t="n">
        <f aca="false">AD64+AD54+AD65</f>
        <v>-0</v>
      </c>
      <c r="AE66" s="56" t="n">
        <f aca="false">AE64+AE54+AE65</f>
        <v>-0</v>
      </c>
      <c r="AF66" s="56" t="n">
        <f aca="false">AF64+AF54+AF65</f>
        <v>-0</v>
      </c>
      <c r="AG66" s="56" t="n">
        <f aca="false">AG64+AG54+AG65</f>
        <v>-0</v>
      </c>
      <c r="AH66" s="56" t="n">
        <f aca="false">AH64+AH54+AH65</f>
        <v>-0</v>
      </c>
      <c r="AI66" s="56" t="n">
        <f aca="false">AI64+AI54+AI65</f>
        <v>-0</v>
      </c>
      <c r="AJ66" s="56" t="n">
        <f aca="false">AJ64+AJ54+AJ65</f>
        <v>-0</v>
      </c>
      <c r="AK66" s="56" t="n">
        <f aca="false">AK64+AK54+AK65</f>
        <v>-0</v>
      </c>
      <c r="AL66" s="56" t="n">
        <f aca="false">AL64+AL54+AL65</f>
        <v>-0</v>
      </c>
      <c r="AM66" s="56" t="n">
        <f aca="false">AM64+AM54+AM65</f>
        <v>-0</v>
      </c>
      <c r="AN66" s="56" t="n">
        <f aca="false">AN64+AN54+AN65</f>
        <v>-0</v>
      </c>
      <c r="AO66" s="56" t="n">
        <f aca="false">AO64+AO54+AO65</f>
        <v>-0</v>
      </c>
      <c r="AP66" s="56" t="n">
        <f aca="false">AP64+AP54+AP65</f>
        <v>-0</v>
      </c>
      <c r="AQ66" s="56" t="n">
        <f aca="false">AQ64+AQ54+AQ65</f>
        <v>-0</v>
      </c>
      <c r="AR66" s="56" t="n">
        <f aca="false">AR64+AR54+AR65</f>
        <v>-0</v>
      </c>
      <c r="AS66" s="56" t="n">
        <f aca="false">AS64+AS54+AS65</f>
        <v>-0</v>
      </c>
      <c r="AT66" s="56" t="n">
        <f aca="false">AT64+AT54+AT65</f>
        <v>-0</v>
      </c>
      <c r="AU66" s="56" t="n">
        <f aca="false">AU64+AU54+AU65</f>
        <v>-0</v>
      </c>
      <c r="AV66" s="56" t="n">
        <f aca="false">AV64+AV54+AV65</f>
        <v>-0</v>
      </c>
      <c r="AW66" s="56" t="n">
        <f aca="false">AW64+AW54+AW65</f>
        <v>-0</v>
      </c>
      <c r="AX66" s="56" t="n">
        <f aca="false">AX64+AX54+AX65</f>
        <v>-0</v>
      </c>
      <c r="AY66" s="56" t="n">
        <f aca="false">AY64+AY54+AY65</f>
        <v>-0</v>
      </c>
      <c r="AZ66" s="56" t="n">
        <f aca="false">AZ64+AZ54+AZ65</f>
        <v>-0</v>
      </c>
      <c r="BA66" s="56" t="n">
        <f aca="false">BA64+BA54+BA65</f>
        <v>-0</v>
      </c>
      <c r="BB66" s="56" t="n">
        <f aca="false">BB64+BB54+BB65</f>
        <v>-0</v>
      </c>
      <c r="BC66" s="56" t="n">
        <f aca="false">BC64+BC54+BC65</f>
        <v>-0</v>
      </c>
      <c r="BD66" s="56" t="n">
        <f aca="false">BD64+BD54+BD65</f>
        <v>-0</v>
      </c>
      <c r="BE66" s="56" t="n">
        <f aca="false">BE64+BE54+BE65</f>
        <v>-0</v>
      </c>
      <c r="BF66" s="56" t="n">
        <f aca="false">BF64+BF54+BF65</f>
        <v>-0</v>
      </c>
      <c r="BG66" s="56" t="n">
        <f aca="false">BG64+BG54+BG65</f>
        <v>-0</v>
      </c>
      <c r="BH66" s="56" t="n">
        <f aca="false">BH64+BH54+BH65</f>
        <v>-0</v>
      </c>
      <c r="BI66" s="56" t="n">
        <f aca="false">BI64+BI54+BI65</f>
        <v>-0</v>
      </c>
      <c r="BJ66" s="56" t="n">
        <f aca="false">BJ64+BJ54+BJ65</f>
        <v>-0</v>
      </c>
      <c r="BK66" s="56" t="n">
        <f aca="false">BK64+BK54+BK65</f>
        <v>-0</v>
      </c>
      <c r="BL66" s="56" t="n">
        <f aca="false">BL64+BL54+BL65</f>
        <v>-0</v>
      </c>
      <c r="BM66" s="56" t="n">
        <f aca="false">BM64+BM54+BM65</f>
        <v>-0</v>
      </c>
      <c r="BN66" s="56" t="n">
        <f aca="false">BN64+BN54+BN65</f>
        <v>-0</v>
      </c>
      <c r="BO66" s="56" t="n">
        <f aca="false">BO64+BO54+BO65</f>
        <v>-0</v>
      </c>
      <c r="BP66" s="56" t="n">
        <f aca="false">BP64+BP54+BP65</f>
        <v>-0</v>
      </c>
      <c r="BQ66" s="56" t="n">
        <f aca="false">BQ64+BQ54+BQ65</f>
        <v>-0</v>
      </c>
      <c r="BR66" s="56" t="n">
        <f aca="false">BR64+BR54+BR65</f>
        <v>-0</v>
      </c>
      <c r="BS66" s="56" t="n">
        <f aca="false">BS64+BS54+BS65</f>
        <v>-0</v>
      </c>
      <c r="BT66" s="56" t="n">
        <f aca="false">BT64+BT54+BT65</f>
        <v>-0</v>
      </c>
      <c r="BU66" s="56" t="n">
        <f aca="false">BU64+BU54+BU65</f>
        <v>-0</v>
      </c>
      <c r="BV66" s="56" t="n">
        <f aca="false">BV64+BV54+BV65</f>
        <v>-0</v>
      </c>
      <c r="BW66" s="56" t="n">
        <f aca="false">BW64+BW54+BW65</f>
        <v>-0</v>
      </c>
      <c r="BX66" s="56" t="n">
        <f aca="false">BX64+BX54+BX65</f>
        <v>-0</v>
      </c>
      <c r="BY66" s="56" t="n">
        <f aca="false">BY64+BY54+BY65</f>
        <v>-0</v>
      </c>
      <c r="BZ66" s="56" t="n">
        <f aca="false">BZ64+BZ54+BZ65</f>
        <v>-0</v>
      </c>
      <c r="CA66" s="56" t="n">
        <f aca="false">CA64+CA54+CA65</f>
        <v>-0</v>
      </c>
      <c r="CB66" s="56" t="n">
        <f aca="false">CB64+CB54+CB65</f>
        <v>-0</v>
      </c>
      <c r="CC66" s="56" t="n">
        <f aca="false">CC64+CC54+CC65</f>
        <v>-0</v>
      </c>
      <c r="CD66" s="56" t="n">
        <f aca="false">CD64+CD54+CD65</f>
        <v>-0</v>
      </c>
      <c r="CE66" s="56" t="n">
        <f aca="false">CE64+CE54+CE65</f>
        <v>-0</v>
      </c>
      <c r="CF66" s="56" t="n">
        <f aca="false">CF64+CF54+CF65</f>
        <v>-0</v>
      </c>
      <c r="CG66" s="56" t="n">
        <f aca="false">CG64+CG54+CG65</f>
        <v>-0</v>
      </c>
      <c r="CH66" s="56" t="n">
        <f aca="false">CH64+CH54+CH65</f>
        <v>-0</v>
      </c>
      <c r="CI66" s="56" t="n">
        <f aca="false">CI64+CI54+CI65</f>
        <v>-0</v>
      </c>
      <c r="CJ66" s="56" t="n">
        <f aca="false">CJ64+CJ54+CJ65</f>
        <v>-0</v>
      </c>
      <c r="CK66" s="56" t="n">
        <f aca="false">CK64+CK54+CK65</f>
        <v>-0</v>
      </c>
      <c r="CL66" s="56" t="n">
        <f aca="false">CL64+CL54+CL65</f>
        <v>-0</v>
      </c>
      <c r="CM66" s="56" t="n">
        <f aca="false">CM64+CM54+CM65</f>
        <v>-0</v>
      </c>
      <c r="CN66" s="56" t="n">
        <f aca="false">CN64+CN54+CN65</f>
        <v>-0</v>
      </c>
      <c r="CO66" s="56" t="n">
        <f aca="false">CO64+CO54+CO65</f>
        <v>-0</v>
      </c>
      <c r="CP66" s="56" t="n">
        <f aca="false">CP64+CP54+CP65</f>
        <v>-0</v>
      </c>
      <c r="CQ66" s="56" t="n">
        <f aca="false">CQ64+CQ54+CQ65</f>
        <v>-0</v>
      </c>
      <c r="CR66" s="56" t="n">
        <f aca="false">CR64+CR54+CR65</f>
        <v>-0</v>
      </c>
      <c r="CS66" s="56" t="n">
        <f aca="false">CS64+CS54+CS65</f>
        <v>-0</v>
      </c>
      <c r="CT66" s="56" t="n">
        <f aca="false">CT64+CT54+CT65</f>
        <v>-0</v>
      </c>
      <c r="CU66" s="56" t="n">
        <f aca="false">CU64+CU54+CU65</f>
        <v>-0</v>
      </c>
      <c r="CV66" s="56" t="n">
        <f aca="false">CV64+CV54+CV65</f>
        <v>-0</v>
      </c>
      <c r="CW66" s="56" t="n">
        <f aca="false">CW64+CW54+CW65</f>
        <v>-0</v>
      </c>
      <c r="CX66" s="56" t="n">
        <f aca="false">CX64+CX54+CX65</f>
        <v>-0</v>
      </c>
      <c r="CY66" s="56" t="n">
        <f aca="false">CY64+CY54+CY65</f>
        <v>-0</v>
      </c>
      <c r="CZ66" s="56" t="n">
        <f aca="false">CZ64+CZ54+CZ65</f>
        <v>-0</v>
      </c>
      <c r="DA66" s="56" t="n">
        <f aca="false">DA64+DA54+DA65</f>
        <v>-0</v>
      </c>
      <c r="DB66" s="56" t="n">
        <f aca="false">DB64+DB54+DB65</f>
        <v>-0</v>
      </c>
      <c r="DC66" s="56" t="n">
        <f aca="false">DC64+DC54+DC65</f>
        <v>-0</v>
      </c>
      <c r="DD66" s="56" t="n">
        <f aca="false">DD64+DD54+DD65</f>
        <v>-0</v>
      </c>
      <c r="DE66" s="56" t="n">
        <f aca="false">DE64+DE54+DE65</f>
        <v>-0</v>
      </c>
      <c r="DF66" s="56" t="n">
        <f aca="false">DF64+DF54+DF65</f>
        <v>-0</v>
      </c>
      <c r="DG66" s="56" t="n">
        <f aca="false">DG64+DG54+DG65</f>
        <v>-0</v>
      </c>
      <c r="DH66" s="56" t="n">
        <f aca="false">DH64+DH54+DH65</f>
        <v>-0</v>
      </c>
      <c r="DI66" s="56" t="n">
        <f aca="false">DI64+DI54+DI65</f>
        <v>-0</v>
      </c>
      <c r="DJ66" s="56" t="n">
        <f aca="false">DJ64+DJ54+DJ65</f>
        <v>-0</v>
      </c>
      <c r="DK66" s="56" t="n">
        <f aca="false">DK64+DK54+DK65</f>
        <v>-0</v>
      </c>
      <c r="DL66" s="56" t="n">
        <f aca="false">DL64+DL54+DL65</f>
        <v>-0</v>
      </c>
      <c r="DM66" s="56" t="n">
        <f aca="false">DM64+DM54+DM65</f>
        <v>-0</v>
      </c>
      <c r="DN66" s="56" t="n">
        <f aca="false">DN64+DN54+DN65</f>
        <v>-0</v>
      </c>
      <c r="DO66" s="56" t="n">
        <f aca="false">DO64+DO54+DO65</f>
        <v>-0</v>
      </c>
      <c r="DP66" s="56" t="n">
        <f aca="false">DP64+DP54+DP65</f>
        <v>-0</v>
      </c>
      <c r="DQ66" s="56" t="n">
        <f aca="false">DQ64+DQ54+DQ65</f>
        <v>-0</v>
      </c>
      <c r="DR66" s="56" t="n">
        <f aca="false">DR64+DR54+DR65</f>
        <v>-0</v>
      </c>
      <c r="DS66" s="56" t="n">
        <f aca="false">DS64+DS54+DS65</f>
        <v>-0</v>
      </c>
      <c r="DT66" s="56" t="n">
        <f aca="false">DT64+DT54+DT65</f>
        <v>-0</v>
      </c>
      <c r="DU66" s="56" t="n">
        <f aca="false">DU64+DU54+DU65</f>
        <v>-0</v>
      </c>
      <c r="DV66" s="56" t="n">
        <f aca="false">DV64+DV54+DV65</f>
        <v>-0</v>
      </c>
      <c r="DW66" s="56" t="n">
        <f aca="false">DW64+DW54+DW65</f>
        <v>-0</v>
      </c>
      <c r="DX66" s="56" t="n">
        <f aca="false">DX64+DX54+DX65</f>
        <v>-0</v>
      </c>
      <c r="DY66" s="56" t="n">
        <f aca="false">DY64+DY54+DY65</f>
        <v>-0</v>
      </c>
      <c r="DZ66" s="56" t="n">
        <f aca="false">DZ64+DZ54+DZ65</f>
        <v>-0</v>
      </c>
      <c r="EA66" s="56" t="n">
        <f aca="false">EA64+EA54+EA65</f>
        <v>-0</v>
      </c>
      <c r="EB66" s="56" t="n">
        <f aca="false">EB64+EB54+EB65</f>
        <v>-0</v>
      </c>
      <c r="EC66" s="56" t="n">
        <f aca="false">EC64+EC54+EC65</f>
        <v>-0</v>
      </c>
      <c r="ED66" s="56" t="n">
        <f aca="false">ED64+ED54+ED65</f>
        <v>-0</v>
      </c>
      <c r="EE66" s="56" t="n">
        <f aca="false">EE64+EE54+EE65</f>
        <v>-0</v>
      </c>
      <c r="EF66" s="56" t="n">
        <f aca="false">EF64+EF54+EF65</f>
        <v>-0</v>
      </c>
      <c r="EG66" s="56" t="n">
        <f aca="false">EG64+EG54+EG65</f>
        <v>-0</v>
      </c>
      <c r="EH66" s="56" t="n">
        <f aca="false">EH64+EH54+EH65</f>
        <v>-0</v>
      </c>
      <c r="EI66" s="56" t="n">
        <f aca="false">EI64+EI54+EI65</f>
        <v>-0</v>
      </c>
      <c r="EJ66" s="56" t="n">
        <f aca="false">EJ64+EJ54+EJ65</f>
        <v>-0</v>
      </c>
      <c r="EK66" s="56" t="n">
        <f aca="false">EK64+EK54+EK65</f>
        <v>-0</v>
      </c>
      <c r="EL66" s="56" t="n">
        <f aca="false">EL64+EL54+EL65</f>
        <v>-0</v>
      </c>
      <c r="EM66" s="56" t="n">
        <f aca="false">EM64+EM54+EM65</f>
        <v>-0</v>
      </c>
      <c r="EN66" s="56" t="n">
        <f aca="false">EN64+EN54+EN65</f>
        <v>-0</v>
      </c>
      <c r="EO66" s="56" t="n">
        <f aca="false">EO64+EO54+EO65</f>
        <v>-0</v>
      </c>
    </row>
    <row r="68" customFormat="false" ht="15" hidden="false" customHeight="false" outlineLevel="0" collapsed="false">
      <c r="A68" s="9" t="s">
        <v>13</v>
      </c>
      <c r="B68" s="9"/>
      <c r="C68" s="9" t="s">
        <v>290</v>
      </c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</row>
    <row r="69" customFormat="false" ht="15" hidden="false" customHeight="false" outlineLevel="0" collapsed="false">
      <c r="C69" s="0" t="s">
        <v>419</v>
      </c>
      <c r="D69" s="11" t="s">
        <v>368</v>
      </c>
      <c r="J69" s="54" t="n">
        <f aca="false">(1+In_Opex_Esc)^(J$7-YEAR(In_COD))</f>
        <v>0.905950644799755</v>
      </c>
      <c r="K69" s="54" t="n">
        <f aca="false">(1+In_Opex_Esc)^(K$7-YEAR(In_COD))</f>
        <v>0.928599410919749</v>
      </c>
      <c r="L69" s="54" t="n">
        <f aca="false">(1+In_Opex_Esc)^(L$7-YEAR(In_COD))</f>
        <v>0.928599410919749</v>
      </c>
      <c r="M69" s="54" t="n">
        <f aca="false">(1+In_Opex_Esc)^(M$7-YEAR(In_COD))</f>
        <v>0.928599410919749</v>
      </c>
      <c r="N69" s="54" t="n">
        <f aca="false">(1+In_Opex_Esc)^(N$7-YEAR(In_COD))</f>
        <v>0.928599410919749</v>
      </c>
      <c r="O69" s="54" t="n">
        <f aca="false">(1+In_Opex_Esc)^(O$7-YEAR(In_COD))</f>
        <v>0.951814396192743</v>
      </c>
      <c r="P69" s="54" t="n">
        <f aca="false">(1+In_Opex_Esc)^(P$7-YEAR(In_COD))</f>
        <v>0.951814396192743</v>
      </c>
      <c r="Q69" s="54" t="n">
        <f aca="false">(1+In_Opex_Esc)^(Q$7-YEAR(In_COD))</f>
        <v>0.951814396192743</v>
      </c>
      <c r="R69" s="54" t="n">
        <f aca="false">(1+In_Opex_Esc)^(R$7-YEAR(In_COD))</f>
        <v>0.951814396192743</v>
      </c>
      <c r="S69" s="54" t="n">
        <f aca="false">(1+In_Opex_Esc)^(S$7-YEAR(In_COD))</f>
        <v>0.975609756097561</v>
      </c>
      <c r="T69" s="54" t="n">
        <f aca="false">(1+In_Opex_Esc)^(T$7-YEAR(In_COD))</f>
        <v>0.975609756097561</v>
      </c>
      <c r="U69" s="54" t="n">
        <f aca="false">(1+In_Opex_Esc)^(U$7-YEAR(In_COD))</f>
        <v>0.975609756097561</v>
      </c>
      <c r="V69" s="54" t="n">
        <f aca="false">(1+In_Opex_Esc)^(V$7-YEAR(In_COD))</f>
        <v>0.975609756097561</v>
      </c>
      <c r="W69" s="54" t="n">
        <f aca="false">(1+In_Opex_Esc)^(W$7-YEAR(In_COD))</f>
        <v>1</v>
      </c>
      <c r="X69" s="54" t="n">
        <f aca="false">(1+In_Opex_Esc)^(X$7-YEAR(In_COD))</f>
        <v>1</v>
      </c>
      <c r="Y69" s="54" t="n">
        <f aca="false">(1+In_Opex_Esc)^(Y$7-YEAR(In_COD))</f>
        <v>1</v>
      </c>
      <c r="Z69" s="54" t="n">
        <f aca="false">(1+In_Opex_Esc)^(Z$7-YEAR(In_COD))</f>
        <v>1</v>
      </c>
      <c r="AA69" s="54" t="n">
        <f aca="false">(1+In_Opex_Esc)^(AA$7-YEAR(In_COD))</f>
        <v>1.025</v>
      </c>
      <c r="AB69" s="54" t="n">
        <f aca="false">(1+In_Opex_Esc)^(AB$7-YEAR(In_COD))</f>
        <v>1.025</v>
      </c>
      <c r="AC69" s="54" t="n">
        <f aca="false">(1+In_Opex_Esc)^(AC$7-YEAR(In_COD))</f>
        <v>1.025</v>
      </c>
      <c r="AD69" s="54" t="n">
        <f aca="false">(1+In_Opex_Esc)^(AD$7-YEAR(In_COD))</f>
        <v>1.025</v>
      </c>
      <c r="AE69" s="54" t="n">
        <f aca="false">(1+In_Opex_Esc)^(AE$7-YEAR(In_COD))</f>
        <v>1.050625</v>
      </c>
      <c r="AF69" s="54" t="n">
        <f aca="false">(1+In_Opex_Esc)^(AF$7-YEAR(In_COD))</f>
        <v>1.050625</v>
      </c>
      <c r="AG69" s="54" t="n">
        <f aca="false">(1+In_Opex_Esc)^(AG$7-YEAR(In_COD))</f>
        <v>1.050625</v>
      </c>
      <c r="AH69" s="54" t="n">
        <f aca="false">(1+In_Opex_Esc)^(AH$7-YEAR(In_COD))</f>
        <v>1.050625</v>
      </c>
      <c r="AI69" s="54" t="n">
        <f aca="false">(1+In_Opex_Esc)^(AI$7-YEAR(In_COD))</f>
        <v>1.076890625</v>
      </c>
      <c r="AJ69" s="54" t="n">
        <f aca="false">(1+In_Opex_Esc)^(AJ$7-YEAR(In_COD))</f>
        <v>1.076890625</v>
      </c>
      <c r="AK69" s="54" t="n">
        <f aca="false">(1+In_Opex_Esc)^(AK$7-YEAR(In_COD))</f>
        <v>1.076890625</v>
      </c>
      <c r="AL69" s="54" t="n">
        <f aca="false">(1+In_Opex_Esc)^(AL$7-YEAR(In_COD))</f>
        <v>1.076890625</v>
      </c>
      <c r="AM69" s="54" t="n">
        <f aca="false">(1+In_Opex_Esc)^(AM$7-YEAR(In_COD))</f>
        <v>1.103812890625</v>
      </c>
      <c r="AN69" s="54" t="n">
        <f aca="false">(1+In_Opex_Esc)^(AN$7-YEAR(In_COD))</f>
        <v>1.103812890625</v>
      </c>
      <c r="AO69" s="54" t="n">
        <f aca="false">(1+In_Opex_Esc)^(AO$7-YEAR(In_COD))</f>
        <v>1.103812890625</v>
      </c>
      <c r="AP69" s="54" t="n">
        <f aca="false">(1+In_Opex_Esc)^(AP$7-YEAR(In_COD))</f>
        <v>1.103812890625</v>
      </c>
      <c r="AQ69" s="54" t="n">
        <f aca="false">(1+In_Opex_Esc)^(AQ$7-YEAR(In_COD))</f>
        <v>1.13140821289062</v>
      </c>
      <c r="AR69" s="54" t="n">
        <f aca="false">(1+In_Opex_Esc)^(AR$7-YEAR(In_COD))</f>
        <v>1.13140821289062</v>
      </c>
      <c r="AS69" s="54" t="n">
        <f aca="false">(1+In_Opex_Esc)^(AS$7-YEAR(In_COD))</f>
        <v>1.13140821289062</v>
      </c>
      <c r="AT69" s="54" t="n">
        <f aca="false">(1+In_Opex_Esc)^(AT$7-YEAR(In_COD))</f>
        <v>1.13140821289062</v>
      </c>
      <c r="AU69" s="54" t="n">
        <f aca="false">(1+In_Opex_Esc)^(AU$7-YEAR(In_COD))</f>
        <v>1.15969341821289</v>
      </c>
      <c r="AV69" s="54" t="n">
        <f aca="false">(1+In_Opex_Esc)^(AV$7-YEAR(In_COD))</f>
        <v>1.15969341821289</v>
      </c>
      <c r="AW69" s="54" t="n">
        <f aca="false">(1+In_Opex_Esc)^(AW$7-YEAR(In_COD))</f>
        <v>1.15969341821289</v>
      </c>
      <c r="AX69" s="54" t="n">
        <f aca="false">(1+In_Opex_Esc)^(AX$7-YEAR(In_COD))</f>
        <v>1.15969341821289</v>
      </c>
      <c r="AY69" s="54" t="n">
        <f aca="false">(1+In_Opex_Esc)^(AY$7-YEAR(In_COD))</f>
        <v>1.18868575366821</v>
      </c>
      <c r="AZ69" s="54" t="n">
        <f aca="false">(1+In_Opex_Esc)^(AZ$7-YEAR(In_COD))</f>
        <v>1.18868575366821</v>
      </c>
      <c r="BA69" s="54" t="n">
        <f aca="false">(1+In_Opex_Esc)^(BA$7-YEAR(In_COD))</f>
        <v>1.18868575366821</v>
      </c>
      <c r="BB69" s="54" t="n">
        <f aca="false">(1+In_Opex_Esc)^(BB$7-YEAR(In_COD))</f>
        <v>1.18868575366821</v>
      </c>
      <c r="BC69" s="54" t="n">
        <f aca="false">(1+In_Opex_Esc)^(BC$7-YEAR(In_COD))</f>
        <v>1.21840289750992</v>
      </c>
      <c r="BD69" s="54" t="n">
        <f aca="false">(1+In_Opex_Esc)^(BD$7-YEAR(In_COD))</f>
        <v>1.21840289750992</v>
      </c>
      <c r="BE69" s="54" t="n">
        <f aca="false">(1+In_Opex_Esc)^(BE$7-YEAR(In_COD))</f>
        <v>1.21840289750992</v>
      </c>
      <c r="BF69" s="54" t="n">
        <f aca="false">(1+In_Opex_Esc)^(BF$7-YEAR(In_COD))</f>
        <v>1.21840289750992</v>
      </c>
      <c r="BG69" s="54" t="n">
        <f aca="false">(1+In_Opex_Esc)^(BG$7-YEAR(In_COD))</f>
        <v>1.24886296994767</v>
      </c>
      <c r="BH69" s="54" t="n">
        <f aca="false">(1+In_Opex_Esc)^(BH$7-YEAR(In_COD))</f>
        <v>1.24886296994767</v>
      </c>
      <c r="BI69" s="54" t="n">
        <f aca="false">(1+In_Opex_Esc)^(BI$7-YEAR(In_COD))</f>
        <v>1.24886296994767</v>
      </c>
      <c r="BJ69" s="54" t="n">
        <f aca="false">(1+In_Opex_Esc)^(BJ$7-YEAR(In_COD))</f>
        <v>1.24886296994767</v>
      </c>
      <c r="BK69" s="54" t="n">
        <f aca="false">(1+In_Opex_Esc)^(BK$7-YEAR(In_COD))</f>
        <v>1.28008454419636</v>
      </c>
      <c r="BL69" s="54" t="n">
        <f aca="false">(1+In_Opex_Esc)^(BL$7-YEAR(In_COD))</f>
        <v>1.28008454419636</v>
      </c>
      <c r="BM69" s="54" t="n">
        <f aca="false">(1+In_Opex_Esc)^(BM$7-YEAR(In_COD))</f>
        <v>1.28008454419636</v>
      </c>
      <c r="BN69" s="54" t="n">
        <f aca="false">(1+In_Opex_Esc)^(BN$7-YEAR(In_COD))</f>
        <v>1.28008454419636</v>
      </c>
      <c r="BO69" s="54" t="n">
        <f aca="false">(1+In_Opex_Esc)^(BO$7-YEAR(In_COD))</f>
        <v>1.31208665780127</v>
      </c>
      <c r="BP69" s="54" t="n">
        <f aca="false">(1+In_Opex_Esc)^(BP$7-YEAR(In_COD))</f>
        <v>1.31208665780127</v>
      </c>
      <c r="BQ69" s="54" t="n">
        <f aca="false">(1+In_Opex_Esc)^(BQ$7-YEAR(In_COD))</f>
        <v>1.31208665780127</v>
      </c>
      <c r="BR69" s="54" t="n">
        <f aca="false">(1+In_Opex_Esc)^(BR$7-YEAR(In_COD))</f>
        <v>1.31208665780127</v>
      </c>
      <c r="BS69" s="54" t="n">
        <f aca="false">(1+In_Opex_Esc)^(BS$7-YEAR(In_COD))</f>
        <v>1.3448888242463</v>
      </c>
      <c r="BT69" s="54" t="n">
        <f aca="false">(1+In_Opex_Esc)^(BT$7-YEAR(In_COD))</f>
        <v>1.3448888242463</v>
      </c>
      <c r="BU69" s="54" t="n">
        <f aca="false">(1+In_Opex_Esc)^(BU$7-YEAR(In_COD))</f>
        <v>1.3448888242463</v>
      </c>
      <c r="BV69" s="54" t="n">
        <f aca="false">(1+In_Opex_Esc)^(BV$7-YEAR(In_COD))</f>
        <v>1.3448888242463</v>
      </c>
      <c r="BW69" s="54" t="n">
        <f aca="false">(1+In_Opex_Esc)^(BW$7-YEAR(In_COD))</f>
        <v>1.37851104485245</v>
      </c>
      <c r="BX69" s="54" t="n">
        <f aca="false">(1+In_Opex_Esc)^(BX$7-YEAR(In_COD))</f>
        <v>1.37851104485245</v>
      </c>
      <c r="BY69" s="54" t="n">
        <f aca="false">(1+In_Opex_Esc)^(BY$7-YEAR(In_COD))</f>
        <v>1.37851104485245</v>
      </c>
      <c r="BZ69" s="54" t="n">
        <f aca="false">(1+In_Opex_Esc)^(BZ$7-YEAR(In_COD))</f>
        <v>1.37851104485245</v>
      </c>
      <c r="CA69" s="54" t="n">
        <f aca="false">(1+In_Opex_Esc)^(CA$7-YEAR(In_COD))</f>
        <v>1.41297382097377</v>
      </c>
      <c r="CB69" s="54" t="n">
        <f aca="false">(1+In_Opex_Esc)^(CB$7-YEAR(In_COD))</f>
        <v>1.41297382097377</v>
      </c>
      <c r="CC69" s="54" t="n">
        <f aca="false">(1+In_Opex_Esc)^(CC$7-YEAR(In_COD))</f>
        <v>1.41297382097377</v>
      </c>
      <c r="CD69" s="54" t="n">
        <f aca="false">(1+In_Opex_Esc)^(CD$7-YEAR(In_COD))</f>
        <v>1.41297382097377</v>
      </c>
      <c r="CE69" s="54" t="n">
        <f aca="false">(1+In_Opex_Esc)^(CE$7-YEAR(In_COD))</f>
        <v>1.44829816649811</v>
      </c>
      <c r="CF69" s="54" t="n">
        <f aca="false">(1+In_Opex_Esc)^(CF$7-YEAR(In_COD))</f>
        <v>1.44829816649811</v>
      </c>
      <c r="CG69" s="54" t="n">
        <f aca="false">(1+In_Opex_Esc)^(CG$7-YEAR(In_COD))</f>
        <v>1.44829816649811</v>
      </c>
      <c r="CH69" s="54" t="n">
        <f aca="false">(1+In_Opex_Esc)^(CH$7-YEAR(In_COD))</f>
        <v>1.44829816649811</v>
      </c>
      <c r="CI69" s="54" t="n">
        <f aca="false">(1+In_Opex_Esc)^(CI$7-YEAR(In_COD))</f>
        <v>1.48450562066056</v>
      </c>
      <c r="CJ69" s="54" t="n">
        <f aca="false">(1+In_Opex_Esc)^(CJ$7-YEAR(In_COD))</f>
        <v>1.48450562066056</v>
      </c>
      <c r="CK69" s="54" t="n">
        <f aca="false">(1+In_Opex_Esc)^(CK$7-YEAR(In_COD))</f>
        <v>1.48450562066056</v>
      </c>
      <c r="CL69" s="54" t="n">
        <f aca="false">(1+In_Opex_Esc)^(CL$7-YEAR(In_COD))</f>
        <v>1.48450562066056</v>
      </c>
      <c r="CM69" s="54" t="n">
        <f aca="false">(1+In_Opex_Esc)^(CM$7-YEAR(In_COD))</f>
        <v>1.52161826117708</v>
      </c>
      <c r="CN69" s="54" t="n">
        <f aca="false">(1+In_Opex_Esc)^(CN$7-YEAR(In_COD))</f>
        <v>1.52161826117708</v>
      </c>
      <c r="CO69" s="54" t="n">
        <f aca="false">(1+In_Opex_Esc)^(CO$7-YEAR(In_COD))</f>
        <v>1.52161826117708</v>
      </c>
      <c r="CP69" s="54" t="n">
        <f aca="false">(1+In_Opex_Esc)^(CP$7-YEAR(In_COD))</f>
        <v>1.52161826117708</v>
      </c>
      <c r="CQ69" s="54" t="n">
        <f aca="false">(1+In_Opex_Esc)^(CQ$7-YEAR(In_COD))</f>
        <v>1.5596587177065</v>
      </c>
      <c r="CR69" s="54" t="n">
        <f aca="false">(1+In_Opex_Esc)^(CR$7-YEAR(In_COD))</f>
        <v>1.5596587177065</v>
      </c>
      <c r="CS69" s="54" t="n">
        <f aca="false">(1+In_Opex_Esc)^(CS$7-YEAR(In_COD))</f>
        <v>1.5596587177065</v>
      </c>
      <c r="CT69" s="54" t="n">
        <f aca="false">(1+In_Opex_Esc)^(CT$7-YEAR(In_COD))</f>
        <v>1.5596587177065</v>
      </c>
      <c r="CU69" s="54" t="n">
        <f aca="false">(1+In_Opex_Esc)^(CU$7-YEAR(In_COD))</f>
        <v>1.59865018564917</v>
      </c>
      <c r="CV69" s="54" t="n">
        <f aca="false">(1+In_Opex_Esc)^(CV$7-YEAR(In_COD))</f>
        <v>1.59865018564917</v>
      </c>
      <c r="CW69" s="54" t="n">
        <f aca="false">(1+In_Opex_Esc)^(CW$7-YEAR(In_COD))</f>
        <v>1.59865018564917</v>
      </c>
      <c r="CX69" s="54" t="n">
        <f aca="false">(1+In_Opex_Esc)^(CX$7-YEAR(In_COD))</f>
        <v>1.59865018564917</v>
      </c>
      <c r="CY69" s="54" t="n">
        <f aca="false">(1+In_Opex_Esc)^(CY$7-YEAR(In_COD))</f>
        <v>1.63861644029039</v>
      </c>
      <c r="CZ69" s="54" t="n">
        <f aca="false">(1+In_Opex_Esc)^(CZ$7-YEAR(In_COD))</f>
        <v>1.63861644029039</v>
      </c>
      <c r="DA69" s="54" t="n">
        <f aca="false">(1+In_Opex_Esc)^(DA$7-YEAR(In_COD))</f>
        <v>1.63861644029039</v>
      </c>
      <c r="DB69" s="54" t="n">
        <f aca="false">(1+In_Opex_Esc)^(DB$7-YEAR(In_COD))</f>
        <v>1.63861644029039</v>
      </c>
      <c r="DC69" s="54" t="n">
        <f aca="false">(1+In_Opex_Esc)^(DC$7-YEAR(In_COD))</f>
        <v>1.67958185129765</v>
      </c>
      <c r="DD69" s="54" t="n">
        <f aca="false">(1+In_Opex_Esc)^(DD$7-YEAR(In_COD))</f>
        <v>1.67958185129765</v>
      </c>
      <c r="DE69" s="54" t="n">
        <f aca="false">(1+In_Opex_Esc)^(DE$7-YEAR(In_COD))</f>
        <v>1.67958185129765</v>
      </c>
      <c r="DF69" s="54" t="n">
        <f aca="false">(1+In_Opex_Esc)^(DF$7-YEAR(In_COD))</f>
        <v>1.67958185129765</v>
      </c>
      <c r="DG69" s="54" t="n">
        <f aca="false">(1+In_Opex_Esc)^(DG$7-YEAR(In_COD))</f>
        <v>1.7215713975801</v>
      </c>
      <c r="DH69" s="54" t="n">
        <f aca="false">(1+In_Opex_Esc)^(DH$7-YEAR(In_COD))</f>
        <v>1.7215713975801</v>
      </c>
      <c r="DI69" s="54" t="n">
        <f aca="false">(1+In_Opex_Esc)^(DI$7-YEAR(In_COD))</f>
        <v>1.7215713975801</v>
      </c>
      <c r="DJ69" s="54" t="n">
        <f aca="false">(1+In_Opex_Esc)^(DJ$7-YEAR(In_COD))</f>
        <v>1.7215713975801</v>
      </c>
      <c r="DK69" s="54" t="n">
        <f aca="false">(1+In_Opex_Esc)^(DK$7-YEAR(In_COD))</f>
        <v>1.7646106825196</v>
      </c>
      <c r="DL69" s="54" t="n">
        <f aca="false">(1+In_Opex_Esc)^(DL$7-YEAR(In_COD))</f>
        <v>1.7646106825196</v>
      </c>
      <c r="DM69" s="54" t="n">
        <f aca="false">(1+In_Opex_Esc)^(DM$7-YEAR(In_COD))</f>
        <v>1.7646106825196</v>
      </c>
      <c r="DN69" s="54" t="n">
        <f aca="false">(1+In_Opex_Esc)^(DN$7-YEAR(In_COD))</f>
        <v>1.7646106825196</v>
      </c>
      <c r="DO69" s="54" t="n">
        <f aca="false">(1+In_Opex_Esc)^(DO$7-YEAR(In_COD))</f>
        <v>1.80872594958259</v>
      </c>
      <c r="DP69" s="54" t="n">
        <f aca="false">(1+In_Opex_Esc)^(DP$7-YEAR(In_COD))</f>
        <v>1.80872594958259</v>
      </c>
      <c r="DQ69" s="54" t="n">
        <f aca="false">(1+In_Opex_Esc)^(DQ$7-YEAR(In_COD))</f>
        <v>1.80872594958259</v>
      </c>
      <c r="DR69" s="54" t="n">
        <f aca="false">(1+In_Opex_Esc)^(DR$7-YEAR(In_COD))</f>
        <v>1.80872594958259</v>
      </c>
      <c r="DS69" s="54" t="n">
        <f aca="false">(1+In_Opex_Esc)^(DS$7-YEAR(In_COD))</f>
        <v>1.85394409832215</v>
      </c>
      <c r="DT69" s="54" t="n">
        <f aca="false">(1+In_Opex_Esc)^(DT$7-YEAR(In_COD))</f>
        <v>1.85394409832215</v>
      </c>
      <c r="DU69" s="54" t="n">
        <f aca="false">(1+In_Opex_Esc)^(DU$7-YEAR(In_COD))</f>
        <v>1.85394409832215</v>
      </c>
      <c r="DV69" s="54" t="n">
        <f aca="false">(1+In_Opex_Esc)^(DV$7-YEAR(In_COD))</f>
        <v>1.85394409832215</v>
      </c>
      <c r="DW69" s="54" t="n">
        <f aca="false">(1+In_Opex_Esc)^(DW$7-YEAR(In_COD))</f>
        <v>1.90029270078021</v>
      </c>
      <c r="DX69" s="54" t="n">
        <f aca="false">(1+In_Opex_Esc)^(DX$7-YEAR(In_COD))</f>
        <v>1.90029270078021</v>
      </c>
      <c r="DY69" s="54" t="n">
        <f aca="false">(1+In_Opex_Esc)^(DY$7-YEAR(In_COD))</f>
        <v>1.90029270078021</v>
      </c>
      <c r="DZ69" s="54" t="n">
        <f aca="false">(1+In_Opex_Esc)^(DZ$7-YEAR(In_COD))</f>
        <v>1.90029270078021</v>
      </c>
      <c r="EA69" s="54" t="n">
        <f aca="false">(1+In_Opex_Esc)^(EA$7-YEAR(In_COD))</f>
        <v>1.94780001829971</v>
      </c>
      <c r="EB69" s="54" t="n">
        <f aca="false">(1+In_Opex_Esc)^(EB$7-YEAR(In_COD))</f>
        <v>1.94780001829971</v>
      </c>
      <c r="EC69" s="54" t="n">
        <f aca="false">(1+In_Opex_Esc)^(EC$7-YEAR(In_COD))</f>
        <v>1.94780001829971</v>
      </c>
      <c r="ED69" s="54" t="n">
        <f aca="false">(1+In_Opex_Esc)^(ED$7-YEAR(In_COD))</f>
        <v>1.94780001829971</v>
      </c>
      <c r="EE69" s="54" t="n">
        <f aca="false">(1+In_Opex_Esc)^(EE$7-YEAR(In_COD))</f>
        <v>1.9964950187572</v>
      </c>
      <c r="EF69" s="54" t="n">
        <f aca="false">(1+In_Opex_Esc)^(EF$7-YEAR(In_COD))</f>
        <v>1.9964950187572</v>
      </c>
      <c r="EG69" s="54" t="n">
        <f aca="false">(1+In_Opex_Esc)^(EG$7-YEAR(In_COD))</f>
        <v>1.9964950187572</v>
      </c>
      <c r="EH69" s="54" t="n">
        <f aca="false">(1+In_Opex_Esc)^(EH$7-YEAR(In_COD))</f>
        <v>1.9964950187572</v>
      </c>
      <c r="EI69" s="54" t="n">
        <f aca="false">(1+In_Opex_Esc)^(EI$7-YEAR(In_COD))</f>
        <v>2.04640739422613</v>
      </c>
      <c r="EJ69" s="54" t="n">
        <f aca="false">(1+In_Opex_Esc)^(EJ$7-YEAR(In_COD))</f>
        <v>2.04640739422613</v>
      </c>
      <c r="EK69" s="54" t="n">
        <f aca="false">(1+In_Opex_Esc)^(EK$7-YEAR(In_COD))</f>
        <v>2.04640739422613</v>
      </c>
      <c r="EL69" s="54" t="n">
        <f aca="false">(1+In_Opex_Esc)^(EL$7-YEAR(In_COD))</f>
        <v>2.04640739422613</v>
      </c>
      <c r="EM69" s="54" t="n">
        <f aca="false">(1+In_Opex_Esc)^(EM$7-YEAR(In_COD))</f>
        <v>2.09756757908179</v>
      </c>
      <c r="EN69" s="54" t="n">
        <f aca="false">(1+In_Opex_Esc)^(EN$7-YEAR(In_COD))</f>
        <v>2.09756757908179</v>
      </c>
      <c r="EO69" s="54" t="n">
        <f aca="false">(1+In_Opex_Esc)^(EO$7-YEAR(In_COD))</f>
        <v>2.09756757908179</v>
      </c>
    </row>
    <row r="70" customFormat="false" ht="15" hidden="false" customHeight="false" outlineLevel="0" collapsed="false">
      <c r="C70" s="0" t="s">
        <v>420</v>
      </c>
      <c r="D70" s="11" t="s">
        <v>24</v>
      </c>
      <c r="J70" s="32" t="n">
        <f aca="false">In_PPA_Price*(1+In_PPA_Esc)^(J$7-YEAR(In_COD))</f>
        <v>86.4882310034535</v>
      </c>
      <c r="K70" s="32" t="n">
        <f aca="false">In_PPA_Price*(1+In_PPA_Esc)^(K$7-YEAR(In_COD))</f>
        <v>87.353113313488</v>
      </c>
      <c r="L70" s="32" t="n">
        <f aca="false">In_PPA_Price*(1+In_PPA_Esc)^(L$7-YEAR(In_COD))</f>
        <v>87.353113313488</v>
      </c>
      <c r="M70" s="32" t="n">
        <f aca="false">In_PPA_Price*(1+In_PPA_Esc)^(M$7-YEAR(In_COD))</f>
        <v>87.353113313488</v>
      </c>
      <c r="N70" s="32" t="n">
        <f aca="false">In_PPA_Price*(1+In_PPA_Esc)^(N$7-YEAR(In_COD))</f>
        <v>87.353113313488</v>
      </c>
      <c r="O70" s="32" t="n">
        <f aca="false">In_PPA_Price*(1+In_PPA_Esc)^(O$7-YEAR(In_COD))</f>
        <v>88.2266444466229</v>
      </c>
      <c r="P70" s="32" t="n">
        <f aca="false">In_PPA_Price*(1+In_PPA_Esc)^(P$7-YEAR(In_COD))</f>
        <v>88.2266444466229</v>
      </c>
      <c r="Q70" s="32" t="n">
        <f aca="false">In_PPA_Price*(1+In_PPA_Esc)^(Q$7-YEAR(In_COD))</f>
        <v>88.2266444466229</v>
      </c>
      <c r="R70" s="32" t="n">
        <f aca="false">In_PPA_Price*(1+In_PPA_Esc)^(R$7-YEAR(In_COD))</f>
        <v>88.2266444466229</v>
      </c>
      <c r="S70" s="32" t="n">
        <f aca="false">In_PPA_Price*(1+In_PPA_Esc)^(S$7-YEAR(In_COD))</f>
        <v>89.1089108910891</v>
      </c>
      <c r="T70" s="32" t="n">
        <f aca="false">In_PPA_Price*(1+In_PPA_Esc)^(T$7-YEAR(In_COD))</f>
        <v>89.1089108910891</v>
      </c>
      <c r="U70" s="32" t="n">
        <f aca="false">In_PPA_Price*(1+In_PPA_Esc)^(U$7-YEAR(In_COD))</f>
        <v>89.1089108910891</v>
      </c>
      <c r="V70" s="32" t="n">
        <f aca="false">In_PPA_Price*(1+In_PPA_Esc)^(V$7-YEAR(In_COD))</f>
        <v>89.1089108910891</v>
      </c>
      <c r="W70" s="32" t="n">
        <f aca="false">In_PPA_Price*(1+In_PPA_Esc)^(W$7-YEAR(In_COD))</f>
        <v>90</v>
      </c>
      <c r="X70" s="32" t="n">
        <f aca="false">In_PPA_Price*(1+In_PPA_Esc)^(X$7-YEAR(In_COD))</f>
        <v>90</v>
      </c>
      <c r="Y70" s="32" t="n">
        <f aca="false">In_PPA_Price*(1+In_PPA_Esc)^(Y$7-YEAR(In_COD))</f>
        <v>90</v>
      </c>
      <c r="Z70" s="32" t="n">
        <f aca="false">In_PPA_Price*(1+In_PPA_Esc)^(Z$7-YEAR(In_COD))</f>
        <v>90</v>
      </c>
      <c r="AA70" s="32" t="n">
        <f aca="false">In_PPA_Price*(1+In_PPA_Esc)^(AA$7-YEAR(In_COD))</f>
        <v>90.9</v>
      </c>
      <c r="AB70" s="32" t="n">
        <f aca="false">In_PPA_Price*(1+In_PPA_Esc)^(AB$7-YEAR(In_COD))</f>
        <v>90.9</v>
      </c>
      <c r="AC70" s="32" t="n">
        <f aca="false">In_PPA_Price*(1+In_PPA_Esc)^(AC$7-YEAR(In_COD))</f>
        <v>90.9</v>
      </c>
      <c r="AD70" s="32" t="n">
        <f aca="false">In_PPA_Price*(1+In_PPA_Esc)^(AD$7-YEAR(In_COD))</f>
        <v>90.9</v>
      </c>
      <c r="AE70" s="32" t="n">
        <f aca="false">In_PPA_Price*(1+In_PPA_Esc)^(AE$7-YEAR(In_COD))</f>
        <v>91.809</v>
      </c>
      <c r="AF70" s="32" t="n">
        <f aca="false">In_PPA_Price*(1+In_PPA_Esc)^(AF$7-YEAR(In_COD))</f>
        <v>91.809</v>
      </c>
      <c r="AG70" s="32" t="n">
        <f aca="false">In_PPA_Price*(1+In_PPA_Esc)^(AG$7-YEAR(In_COD))</f>
        <v>91.809</v>
      </c>
      <c r="AH70" s="32" t="n">
        <f aca="false">In_PPA_Price*(1+In_PPA_Esc)^(AH$7-YEAR(In_COD))</f>
        <v>91.809</v>
      </c>
      <c r="AI70" s="32" t="n">
        <f aca="false">In_PPA_Price*(1+In_PPA_Esc)^(AI$7-YEAR(In_COD))</f>
        <v>92.72709</v>
      </c>
      <c r="AJ70" s="32" t="n">
        <f aca="false">In_PPA_Price*(1+In_PPA_Esc)^(AJ$7-YEAR(In_COD))</f>
        <v>92.72709</v>
      </c>
      <c r="AK70" s="32" t="n">
        <f aca="false">In_PPA_Price*(1+In_PPA_Esc)^(AK$7-YEAR(In_COD))</f>
        <v>92.72709</v>
      </c>
      <c r="AL70" s="32" t="n">
        <f aca="false">In_PPA_Price*(1+In_PPA_Esc)^(AL$7-YEAR(In_COD))</f>
        <v>92.72709</v>
      </c>
      <c r="AM70" s="32" t="n">
        <f aca="false">In_PPA_Price*(1+In_PPA_Esc)^(AM$7-YEAR(In_COD))</f>
        <v>93.6543609</v>
      </c>
      <c r="AN70" s="32" t="n">
        <f aca="false">In_PPA_Price*(1+In_PPA_Esc)^(AN$7-YEAR(In_COD))</f>
        <v>93.6543609</v>
      </c>
      <c r="AO70" s="32" t="n">
        <f aca="false">In_PPA_Price*(1+In_PPA_Esc)^(AO$7-YEAR(In_COD))</f>
        <v>93.6543609</v>
      </c>
      <c r="AP70" s="32" t="n">
        <f aca="false">In_PPA_Price*(1+In_PPA_Esc)^(AP$7-YEAR(In_COD))</f>
        <v>93.6543609</v>
      </c>
      <c r="AQ70" s="32" t="n">
        <f aca="false">In_PPA_Price*(1+In_PPA_Esc)^(AQ$7-YEAR(In_COD))</f>
        <v>94.590904509</v>
      </c>
      <c r="AR70" s="32" t="n">
        <f aca="false">In_PPA_Price*(1+In_PPA_Esc)^(AR$7-YEAR(In_COD))</f>
        <v>94.590904509</v>
      </c>
      <c r="AS70" s="32" t="n">
        <f aca="false">In_PPA_Price*(1+In_PPA_Esc)^(AS$7-YEAR(In_COD))</f>
        <v>94.590904509</v>
      </c>
      <c r="AT70" s="32" t="n">
        <f aca="false">In_PPA_Price*(1+In_PPA_Esc)^(AT$7-YEAR(In_COD))</f>
        <v>94.590904509</v>
      </c>
      <c r="AU70" s="32" t="n">
        <f aca="false">In_PPA_Price*(1+In_PPA_Esc)^(AU$7-YEAR(In_COD))</f>
        <v>95.53681355409</v>
      </c>
      <c r="AV70" s="32" t="n">
        <f aca="false">In_PPA_Price*(1+In_PPA_Esc)^(AV$7-YEAR(In_COD))</f>
        <v>95.53681355409</v>
      </c>
      <c r="AW70" s="32" t="n">
        <f aca="false">In_PPA_Price*(1+In_PPA_Esc)^(AW$7-YEAR(In_COD))</f>
        <v>95.53681355409</v>
      </c>
      <c r="AX70" s="32" t="n">
        <f aca="false">In_PPA_Price*(1+In_PPA_Esc)^(AX$7-YEAR(In_COD))</f>
        <v>95.53681355409</v>
      </c>
      <c r="AY70" s="32" t="n">
        <f aca="false">In_PPA_Price*(1+In_PPA_Esc)^(AY$7-YEAR(In_COD))</f>
        <v>96.4921816896309</v>
      </c>
      <c r="AZ70" s="32" t="n">
        <f aca="false">In_PPA_Price*(1+In_PPA_Esc)^(AZ$7-YEAR(In_COD))</f>
        <v>96.4921816896309</v>
      </c>
      <c r="BA70" s="32" t="n">
        <f aca="false">In_PPA_Price*(1+In_PPA_Esc)^(BA$7-YEAR(In_COD))</f>
        <v>96.4921816896309</v>
      </c>
      <c r="BB70" s="32" t="n">
        <f aca="false">In_PPA_Price*(1+In_PPA_Esc)^(BB$7-YEAR(In_COD))</f>
        <v>96.4921816896309</v>
      </c>
      <c r="BC70" s="32" t="n">
        <f aca="false">In_PPA_Price*(1+In_PPA_Esc)^(BC$7-YEAR(In_COD))</f>
        <v>97.4571035065272</v>
      </c>
      <c r="BD70" s="32" t="n">
        <f aca="false">In_PPA_Price*(1+In_PPA_Esc)^(BD$7-YEAR(In_COD))</f>
        <v>97.4571035065272</v>
      </c>
      <c r="BE70" s="32" t="n">
        <f aca="false">In_PPA_Price*(1+In_PPA_Esc)^(BE$7-YEAR(In_COD))</f>
        <v>97.4571035065272</v>
      </c>
      <c r="BF70" s="32" t="n">
        <f aca="false">In_PPA_Price*(1+In_PPA_Esc)^(BF$7-YEAR(In_COD))</f>
        <v>97.4571035065272</v>
      </c>
      <c r="BG70" s="32" t="n">
        <f aca="false">In_PPA_Price*(1+In_PPA_Esc)^(BG$7-YEAR(In_COD))</f>
        <v>98.4316745415925</v>
      </c>
      <c r="BH70" s="32" t="n">
        <f aca="false">In_PPA_Price*(1+In_PPA_Esc)^(BH$7-YEAR(In_COD))</f>
        <v>98.4316745415925</v>
      </c>
      <c r="BI70" s="32" t="n">
        <f aca="false">In_PPA_Price*(1+In_PPA_Esc)^(BI$7-YEAR(In_COD))</f>
        <v>98.4316745415925</v>
      </c>
      <c r="BJ70" s="32" t="n">
        <f aca="false">In_PPA_Price*(1+In_PPA_Esc)^(BJ$7-YEAR(In_COD))</f>
        <v>98.4316745415925</v>
      </c>
      <c r="BK70" s="32" t="n">
        <f aca="false">In_PPA_Price*(1+In_PPA_Esc)^(BK$7-YEAR(In_COD))</f>
        <v>99.4159912870084</v>
      </c>
      <c r="BL70" s="32" t="n">
        <f aca="false">In_PPA_Price*(1+In_PPA_Esc)^(BL$7-YEAR(In_COD))</f>
        <v>99.4159912870084</v>
      </c>
      <c r="BM70" s="32" t="n">
        <f aca="false">In_PPA_Price*(1+In_PPA_Esc)^(BM$7-YEAR(In_COD))</f>
        <v>99.4159912870084</v>
      </c>
      <c r="BN70" s="32" t="n">
        <f aca="false">In_PPA_Price*(1+In_PPA_Esc)^(BN$7-YEAR(In_COD))</f>
        <v>99.4159912870084</v>
      </c>
      <c r="BO70" s="32" t="n">
        <f aca="false">In_PPA_Price*(1+In_PPA_Esc)^(BO$7-YEAR(In_COD))</f>
        <v>100.410151199878</v>
      </c>
      <c r="BP70" s="32" t="n">
        <f aca="false">In_PPA_Price*(1+In_PPA_Esc)^(BP$7-YEAR(In_COD))</f>
        <v>100.410151199878</v>
      </c>
      <c r="BQ70" s="32" t="n">
        <f aca="false">In_PPA_Price*(1+In_PPA_Esc)^(BQ$7-YEAR(In_COD))</f>
        <v>100.410151199878</v>
      </c>
      <c r="BR70" s="32" t="n">
        <f aca="false">In_PPA_Price*(1+In_PPA_Esc)^(BR$7-YEAR(In_COD))</f>
        <v>100.410151199878</v>
      </c>
      <c r="BS70" s="32" t="n">
        <f aca="false">In_PPA_Price*(1+In_PPA_Esc)^(BS$7-YEAR(In_COD))</f>
        <v>101.414252711877</v>
      </c>
      <c r="BT70" s="32" t="n">
        <f aca="false">In_PPA_Price*(1+In_PPA_Esc)^(BT$7-YEAR(In_COD))</f>
        <v>101.414252711877</v>
      </c>
      <c r="BU70" s="32" t="n">
        <f aca="false">In_PPA_Price*(1+In_PPA_Esc)^(BU$7-YEAR(In_COD))</f>
        <v>101.414252711877</v>
      </c>
      <c r="BV70" s="32" t="n">
        <f aca="false">In_PPA_Price*(1+In_PPA_Esc)^(BV$7-YEAR(In_COD))</f>
        <v>101.414252711877</v>
      </c>
      <c r="BW70" s="32" t="n">
        <f aca="false">In_PPA_Price*(1+In_PPA_Esc)^(BW$7-YEAR(In_COD))</f>
        <v>102.428395238996</v>
      </c>
      <c r="BX70" s="32" t="n">
        <f aca="false">In_PPA_Price*(1+In_PPA_Esc)^(BX$7-YEAR(In_COD))</f>
        <v>102.428395238996</v>
      </c>
      <c r="BY70" s="32" t="n">
        <f aca="false">In_PPA_Price*(1+In_PPA_Esc)^(BY$7-YEAR(In_COD))</f>
        <v>102.428395238996</v>
      </c>
      <c r="BZ70" s="32" t="n">
        <f aca="false">In_PPA_Price*(1+In_PPA_Esc)^(BZ$7-YEAR(In_COD))</f>
        <v>102.428395238996</v>
      </c>
      <c r="CA70" s="32" t="n">
        <f aca="false">In_PPA_Price*(1+In_PPA_Esc)^(CA$7-YEAR(In_COD))</f>
        <v>103.452679191386</v>
      </c>
      <c r="CB70" s="32" t="n">
        <f aca="false">In_PPA_Price*(1+In_PPA_Esc)^(CB$7-YEAR(In_COD))</f>
        <v>103.452679191386</v>
      </c>
      <c r="CC70" s="32" t="n">
        <f aca="false">In_PPA_Price*(1+In_PPA_Esc)^(CC$7-YEAR(In_COD))</f>
        <v>103.452679191386</v>
      </c>
      <c r="CD70" s="32" t="n">
        <f aca="false">In_PPA_Price*(1+In_PPA_Esc)^(CD$7-YEAR(In_COD))</f>
        <v>103.452679191386</v>
      </c>
      <c r="CE70" s="32" t="n">
        <f aca="false">In_PPA_Price*(1+In_PPA_Esc)^(CE$7-YEAR(In_COD))</f>
        <v>104.4872059833</v>
      </c>
      <c r="CF70" s="32" t="n">
        <f aca="false">In_PPA_Price*(1+In_PPA_Esc)^(CF$7-YEAR(In_COD))</f>
        <v>104.4872059833</v>
      </c>
      <c r="CG70" s="32" t="n">
        <f aca="false">In_PPA_Price*(1+In_PPA_Esc)^(CG$7-YEAR(In_COD))</f>
        <v>104.4872059833</v>
      </c>
      <c r="CH70" s="32" t="n">
        <f aca="false">In_PPA_Price*(1+In_PPA_Esc)^(CH$7-YEAR(In_COD))</f>
        <v>104.4872059833</v>
      </c>
      <c r="CI70" s="32" t="n">
        <f aca="false">In_PPA_Price*(1+In_PPA_Esc)^(CI$7-YEAR(In_COD))</f>
        <v>105.532078043133</v>
      </c>
      <c r="CJ70" s="32" t="n">
        <f aca="false">In_PPA_Price*(1+In_PPA_Esc)^(CJ$7-YEAR(In_COD))</f>
        <v>105.532078043133</v>
      </c>
      <c r="CK70" s="32" t="n">
        <f aca="false">In_PPA_Price*(1+In_PPA_Esc)^(CK$7-YEAR(In_COD))</f>
        <v>105.532078043133</v>
      </c>
      <c r="CL70" s="32" t="n">
        <f aca="false">In_PPA_Price*(1+In_PPA_Esc)^(CL$7-YEAR(In_COD))</f>
        <v>105.532078043133</v>
      </c>
      <c r="CM70" s="32" t="n">
        <f aca="false">In_PPA_Price*(1+In_PPA_Esc)^(CM$7-YEAR(In_COD))</f>
        <v>106.587398823564</v>
      </c>
      <c r="CN70" s="32" t="n">
        <f aca="false">In_PPA_Price*(1+In_PPA_Esc)^(CN$7-YEAR(In_COD))</f>
        <v>106.587398823564</v>
      </c>
      <c r="CO70" s="32" t="n">
        <f aca="false">In_PPA_Price*(1+In_PPA_Esc)^(CO$7-YEAR(In_COD))</f>
        <v>106.587398823564</v>
      </c>
      <c r="CP70" s="32" t="n">
        <f aca="false">In_PPA_Price*(1+In_PPA_Esc)^(CP$7-YEAR(In_COD))</f>
        <v>106.587398823564</v>
      </c>
      <c r="CQ70" s="32" t="n">
        <f aca="false">In_PPA_Price*(1+In_PPA_Esc)^(CQ$7-YEAR(In_COD))</f>
        <v>107.6532728118</v>
      </c>
      <c r="CR70" s="32" t="n">
        <f aca="false">In_PPA_Price*(1+In_PPA_Esc)^(CR$7-YEAR(In_COD))</f>
        <v>107.6532728118</v>
      </c>
      <c r="CS70" s="32" t="n">
        <f aca="false">In_PPA_Price*(1+In_PPA_Esc)^(CS$7-YEAR(In_COD))</f>
        <v>107.6532728118</v>
      </c>
      <c r="CT70" s="32" t="n">
        <f aca="false">In_PPA_Price*(1+In_PPA_Esc)^(CT$7-YEAR(In_COD))</f>
        <v>107.6532728118</v>
      </c>
      <c r="CU70" s="32" t="n">
        <f aca="false">In_PPA_Price*(1+In_PPA_Esc)^(CU$7-YEAR(In_COD))</f>
        <v>108.729805539918</v>
      </c>
      <c r="CV70" s="32" t="n">
        <f aca="false">In_PPA_Price*(1+In_PPA_Esc)^(CV$7-YEAR(In_COD))</f>
        <v>108.729805539918</v>
      </c>
      <c r="CW70" s="32" t="n">
        <f aca="false">In_PPA_Price*(1+In_PPA_Esc)^(CW$7-YEAR(In_COD))</f>
        <v>108.729805539918</v>
      </c>
      <c r="CX70" s="32" t="n">
        <f aca="false">In_PPA_Price*(1+In_PPA_Esc)^(CX$7-YEAR(In_COD))</f>
        <v>108.729805539918</v>
      </c>
      <c r="CY70" s="32" t="n">
        <f aca="false">In_PPA_Price*(1+In_PPA_Esc)^(CY$7-YEAR(In_COD))</f>
        <v>109.817103595317</v>
      </c>
      <c r="CZ70" s="32" t="n">
        <f aca="false">In_PPA_Price*(1+In_PPA_Esc)^(CZ$7-YEAR(In_COD))</f>
        <v>109.817103595317</v>
      </c>
      <c r="DA70" s="32" t="n">
        <f aca="false">In_PPA_Price*(1+In_PPA_Esc)^(DA$7-YEAR(In_COD))</f>
        <v>109.817103595317</v>
      </c>
      <c r="DB70" s="32" t="n">
        <f aca="false">In_PPA_Price*(1+In_PPA_Esc)^(DB$7-YEAR(In_COD))</f>
        <v>109.817103595317</v>
      </c>
      <c r="DC70" s="32" t="n">
        <f aca="false">In_PPA_Price*(1+In_PPA_Esc)^(DC$7-YEAR(In_COD))</f>
        <v>110.91527463127</v>
      </c>
      <c r="DD70" s="32" t="n">
        <f aca="false">In_PPA_Price*(1+In_PPA_Esc)^(DD$7-YEAR(In_COD))</f>
        <v>110.91527463127</v>
      </c>
      <c r="DE70" s="32" t="n">
        <f aca="false">In_PPA_Price*(1+In_PPA_Esc)^(DE$7-YEAR(In_COD))</f>
        <v>110.91527463127</v>
      </c>
      <c r="DF70" s="32" t="n">
        <f aca="false">In_PPA_Price*(1+In_PPA_Esc)^(DF$7-YEAR(In_COD))</f>
        <v>110.91527463127</v>
      </c>
      <c r="DG70" s="32" t="n">
        <f aca="false">In_PPA_Price*(1+In_PPA_Esc)^(DG$7-YEAR(In_COD))</f>
        <v>112.024427377583</v>
      </c>
      <c r="DH70" s="32" t="n">
        <f aca="false">In_PPA_Price*(1+In_PPA_Esc)^(DH$7-YEAR(In_COD))</f>
        <v>112.024427377583</v>
      </c>
      <c r="DI70" s="32" t="n">
        <f aca="false">In_PPA_Price*(1+In_PPA_Esc)^(DI$7-YEAR(In_COD))</f>
        <v>112.024427377583</v>
      </c>
      <c r="DJ70" s="32" t="n">
        <f aca="false">In_PPA_Price*(1+In_PPA_Esc)^(DJ$7-YEAR(In_COD))</f>
        <v>112.024427377583</v>
      </c>
      <c r="DK70" s="32" t="n">
        <f aca="false">In_PPA_Price*(1+In_PPA_Esc)^(DK$7-YEAR(In_COD))</f>
        <v>113.144671651359</v>
      </c>
      <c r="DL70" s="32" t="n">
        <f aca="false">In_PPA_Price*(1+In_PPA_Esc)^(DL$7-YEAR(In_COD))</f>
        <v>113.144671651359</v>
      </c>
      <c r="DM70" s="32" t="n">
        <f aca="false">In_PPA_Price*(1+In_PPA_Esc)^(DM$7-YEAR(In_COD))</f>
        <v>113.144671651359</v>
      </c>
      <c r="DN70" s="32" t="n">
        <f aca="false">In_PPA_Price*(1+In_PPA_Esc)^(DN$7-YEAR(In_COD))</f>
        <v>113.144671651359</v>
      </c>
      <c r="DO70" s="32" t="n">
        <f aca="false">In_PPA_Price*(1+In_PPA_Esc)^(DO$7-YEAR(In_COD))</f>
        <v>114.276118367872</v>
      </c>
      <c r="DP70" s="32" t="n">
        <f aca="false">In_PPA_Price*(1+In_PPA_Esc)^(DP$7-YEAR(In_COD))</f>
        <v>114.276118367872</v>
      </c>
      <c r="DQ70" s="32" t="n">
        <f aca="false">In_PPA_Price*(1+In_PPA_Esc)^(DQ$7-YEAR(In_COD))</f>
        <v>114.276118367872</v>
      </c>
      <c r="DR70" s="32" t="n">
        <f aca="false">In_PPA_Price*(1+In_PPA_Esc)^(DR$7-YEAR(In_COD))</f>
        <v>114.276118367872</v>
      </c>
      <c r="DS70" s="32" t="n">
        <f aca="false">In_PPA_Price*(1+In_PPA_Esc)^(DS$7-YEAR(In_COD))</f>
        <v>115.418879551551</v>
      </c>
      <c r="DT70" s="32" t="n">
        <f aca="false">In_PPA_Price*(1+In_PPA_Esc)^(DT$7-YEAR(In_COD))</f>
        <v>115.418879551551</v>
      </c>
      <c r="DU70" s="32" t="n">
        <f aca="false">In_PPA_Price*(1+In_PPA_Esc)^(DU$7-YEAR(In_COD))</f>
        <v>115.418879551551</v>
      </c>
      <c r="DV70" s="32" t="n">
        <f aca="false">In_PPA_Price*(1+In_PPA_Esc)^(DV$7-YEAR(In_COD))</f>
        <v>115.418879551551</v>
      </c>
      <c r="DW70" s="32" t="n">
        <f aca="false">In_PPA_Price*(1+In_PPA_Esc)^(DW$7-YEAR(In_COD))</f>
        <v>116.573068347067</v>
      </c>
      <c r="DX70" s="32" t="n">
        <f aca="false">In_PPA_Price*(1+In_PPA_Esc)^(DX$7-YEAR(In_COD))</f>
        <v>116.573068347067</v>
      </c>
      <c r="DY70" s="32" t="n">
        <f aca="false">In_PPA_Price*(1+In_PPA_Esc)^(DY$7-YEAR(In_COD))</f>
        <v>116.573068347067</v>
      </c>
      <c r="DZ70" s="32" t="n">
        <f aca="false">In_PPA_Price*(1+In_PPA_Esc)^(DZ$7-YEAR(In_COD))</f>
        <v>116.573068347067</v>
      </c>
      <c r="EA70" s="32" t="n">
        <f aca="false">In_PPA_Price*(1+In_PPA_Esc)^(EA$7-YEAR(In_COD))</f>
        <v>117.738799030537</v>
      </c>
      <c r="EB70" s="32" t="n">
        <f aca="false">In_PPA_Price*(1+In_PPA_Esc)^(EB$7-YEAR(In_COD))</f>
        <v>117.738799030537</v>
      </c>
      <c r="EC70" s="32" t="n">
        <f aca="false">In_PPA_Price*(1+In_PPA_Esc)^(EC$7-YEAR(In_COD))</f>
        <v>117.738799030537</v>
      </c>
      <c r="ED70" s="32" t="n">
        <f aca="false">In_PPA_Price*(1+In_PPA_Esc)^(ED$7-YEAR(In_COD))</f>
        <v>117.738799030537</v>
      </c>
      <c r="EE70" s="32" t="n">
        <f aca="false">In_PPA_Price*(1+In_PPA_Esc)^(EE$7-YEAR(In_COD))</f>
        <v>118.916187020843</v>
      </c>
      <c r="EF70" s="32" t="n">
        <f aca="false">In_PPA_Price*(1+In_PPA_Esc)^(EF$7-YEAR(In_COD))</f>
        <v>118.916187020843</v>
      </c>
      <c r="EG70" s="32" t="n">
        <f aca="false">In_PPA_Price*(1+In_PPA_Esc)^(EG$7-YEAR(In_COD))</f>
        <v>118.916187020843</v>
      </c>
      <c r="EH70" s="32" t="n">
        <f aca="false">In_PPA_Price*(1+In_PPA_Esc)^(EH$7-YEAR(In_COD))</f>
        <v>118.916187020843</v>
      </c>
      <c r="EI70" s="32" t="n">
        <f aca="false">In_PPA_Price*(1+In_PPA_Esc)^(EI$7-YEAR(In_COD))</f>
        <v>120.105348891051</v>
      </c>
      <c r="EJ70" s="32" t="n">
        <f aca="false">In_PPA_Price*(1+In_PPA_Esc)^(EJ$7-YEAR(In_COD))</f>
        <v>120.105348891051</v>
      </c>
      <c r="EK70" s="32" t="n">
        <f aca="false">In_PPA_Price*(1+In_PPA_Esc)^(EK$7-YEAR(In_COD))</f>
        <v>120.105348891051</v>
      </c>
      <c r="EL70" s="32" t="n">
        <f aca="false">In_PPA_Price*(1+In_PPA_Esc)^(EL$7-YEAR(In_COD))</f>
        <v>120.105348891051</v>
      </c>
      <c r="EM70" s="32" t="n">
        <f aca="false">In_PPA_Price*(1+In_PPA_Esc)^(EM$7-YEAR(In_COD))</f>
        <v>121.306402379962</v>
      </c>
      <c r="EN70" s="32" t="n">
        <f aca="false">In_PPA_Price*(1+In_PPA_Esc)^(EN$7-YEAR(In_COD))</f>
        <v>121.306402379962</v>
      </c>
      <c r="EO70" s="32" t="n">
        <f aca="false">In_PPA_Price*(1+In_PPA_Esc)^(EO$7-YEAR(In_COD))</f>
        <v>121.306402379962</v>
      </c>
    </row>
    <row r="71" customFormat="false" ht="15" hidden="false" customHeight="false" outlineLevel="0" collapsed="false">
      <c r="C71" s="0" t="s">
        <v>421</v>
      </c>
      <c r="D71" s="11" t="s">
        <v>70</v>
      </c>
      <c r="E71" s="47" t="n">
        <f aca="false">SUMIF($J$7:$EO$7,YEAR(In_COD)+1,$J71:$EO71)</f>
        <v>131891.49288</v>
      </c>
      <c r="I71" s="47" t="n">
        <f aca="false">SUM(J71:EO71)</f>
        <v>3794983.6793788</v>
      </c>
      <c r="J71" s="47" t="n">
        <f aca="false">$F24*In_P50_Hours*(1-In_Curtailment)*(1-$E27)*(1-In_Degradation)^(J20-1)*J15*J$6</f>
        <v>0</v>
      </c>
      <c r="K71" s="47" t="n">
        <f aca="false">$F24*In_P50_Hours*(1-In_Curtailment)*(1-$E27)*(1-In_Degradation)^(K20-1)*K15*K$6</f>
        <v>0</v>
      </c>
      <c r="L71" s="47" t="n">
        <f aca="false">$F24*In_P50_Hours*(1-In_Curtailment)*(1-$E27)*(1-In_Degradation)^(L20-1)*L15*L$6</f>
        <v>0</v>
      </c>
      <c r="M71" s="47" t="n">
        <f aca="false">$F24*In_P50_Hours*(1-In_Curtailment)*(1-$E27)*(1-In_Degradation)^(M20-1)*M15*M$6</f>
        <v>0</v>
      </c>
      <c r="N71" s="47" t="n">
        <f aca="false">$F24*In_P50_Hours*(1-In_Curtailment)*(1-$E27)*(1-In_Degradation)^(N20-1)*N15*N$6</f>
        <v>0</v>
      </c>
      <c r="O71" s="47" t="n">
        <f aca="false">$F24*In_P50_Hours*(1-In_Curtailment)*(1-$E27)*(1-In_Degradation)^(O20-1)*O15*O$6</f>
        <v>0</v>
      </c>
      <c r="P71" s="47" t="n">
        <f aca="false">$F24*In_P50_Hours*(1-In_Curtailment)*(1-$E27)*(1-In_Degradation)^(P20-1)*P15*P$6</f>
        <v>0</v>
      </c>
      <c r="Q71" s="47" t="n">
        <f aca="false">$F24*In_P50_Hours*(1-In_Curtailment)*(1-$E27)*(1-In_Degradation)^(Q20-1)*Q15*Q$6</f>
        <v>0</v>
      </c>
      <c r="R71" s="47" t="n">
        <f aca="false">$F24*In_P50_Hours*(1-In_Curtailment)*(1-$E27)*(1-In_Degradation)^(R20-1)*R15*R$6</f>
        <v>0</v>
      </c>
      <c r="S71" s="47" t="n">
        <f aca="false">$F24*In_P50_Hours*(1-In_Curtailment)*(1-$E27)*(1-In_Degradation)^(S20-1)*S15*S$6</f>
        <v>0</v>
      </c>
      <c r="T71" s="47" t="n">
        <f aca="false">$F24*In_P50_Hours*(1-In_Curtailment)*(1-$E27)*(1-In_Degradation)^(T20-1)*T15*T$6</f>
        <v>0</v>
      </c>
      <c r="U71" s="47" t="n">
        <f aca="false">$F24*In_P50_Hours*(1-In_Curtailment)*(1-$E27)*(1-In_Degradation)^(U20-1)*U15*U$6</f>
        <v>0</v>
      </c>
      <c r="V71" s="47" t="n">
        <f aca="false">$F24*In_P50_Hours*(1-In_Curtailment)*(1-$E27)*(1-In_Degradation)^(V20-1)*V15*V$6</f>
        <v>0</v>
      </c>
      <c r="W71" s="47" t="n">
        <f aca="false">$F24*In_P50_Hours*(1-In_Curtailment)*(1-$E27)*(1-In_Degradation)^(W20-1)*W15*W$6</f>
        <v>0</v>
      </c>
      <c r="X71" s="47" t="n">
        <f aca="false">$F24*In_P50_Hours*(1-In_Curtailment)*(1-$E27)*(1-In_Degradation)^(X20-1)*X15*X$6</f>
        <v>0</v>
      </c>
      <c r="Y71" s="47" t="n">
        <f aca="false">$F24*In_P50_Hours*(1-In_Curtailment)*(1-$E27)*(1-In_Degradation)^(Y20-1)*Y15*Y$6</f>
        <v>0</v>
      </c>
      <c r="Z71" s="47" t="n">
        <f aca="false">$F24*In_P50_Hours*(1-In_Curtailment)*(1-$E27)*(1-In_Degradation)^(Z20-1)*Z15*Z$6</f>
        <v>33269.04</v>
      </c>
      <c r="AA71" s="47" t="n">
        <f aca="false">$F24*In_P50_Hours*(1-In_Curtailment)*(1-$E27)*(1-In_Degradation)^(AA20-1)*AA15*AA$6</f>
        <v>32545.8</v>
      </c>
      <c r="AB71" s="47" t="n">
        <f aca="false">$F24*In_P50_Hours*(1-In_Curtailment)*(1-$E27)*(1-In_Degradation)^(AB20-1)*AB15*AB$6</f>
        <v>32907.42</v>
      </c>
      <c r="AC71" s="47" t="n">
        <f aca="false">$F24*In_P50_Hours*(1-In_Curtailment)*(1-$E27)*(1-In_Degradation)^(AC20-1)*AC15*AC$6</f>
        <v>33269.04</v>
      </c>
      <c r="AD71" s="47" t="n">
        <f aca="false">$F24*In_P50_Hours*(1-In_Curtailment)*(1-$E27)*(1-In_Degradation)^(AD20-1)*AD15*AD$6</f>
        <v>33169.23288</v>
      </c>
      <c r="AE71" s="47" t="n">
        <f aca="false">$F24*In_P50_Hours*(1-In_Curtailment)*(1-$E27)*(1-In_Degradation)^(AE20-1)*AE15*AE$6</f>
        <v>32808.69774</v>
      </c>
      <c r="AF71" s="47" t="n">
        <f aca="false">$F24*In_P50_Hours*(1-In_Curtailment)*(1-$E27)*(1-In_Degradation)^(AF20-1)*AF15*AF$6</f>
        <v>32808.69774</v>
      </c>
      <c r="AG71" s="47" t="n">
        <f aca="false">$F24*In_P50_Hours*(1-In_Curtailment)*(1-$E27)*(1-In_Degradation)^(AG20-1)*AG15*AG$6</f>
        <v>33169.23288</v>
      </c>
      <c r="AH71" s="47" t="n">
        <f aca="false">$F24*In_P50_Hours*(1-In_Curtailment)*(1-$E27)*(1-In_Degradation)^(AH20-1)*AH15*AH$6</f>
        <v>33069.72518136</v>
      </c>
      <c r="AI71" s="47" t="n">
        <f aca="false">$F24*In_P50_Hours*(1-In_Curtailment)*(1-$E27)*(1-In_Degradation)^(AI20-1)*AI15*AI$6</f>
        <v>32350.8181122</v>
      </c>
      <c r="AJ71" s="47" t="n">
        <f aca="false">$F24*In_P50_Hours*(1-In_Curtailment)*(1-$E27)*(1-In_Degradation)^(AJ20-1)*AJ15*AJ$6</f>
        <v>32710.27164678</v>
      </c>
      <c r="AK71" s="47" t="n">
        <f aca="false">$F24*In_P50_Hours*(1-In_Curtailment)*(1-$E27)*(1-In_Degradation)^(AK20-1)*AK15*AK$6</f>
        <v>33069.72518136</v>
      </c>
      <c r="AL71" s="47" t="n">
        <f aca="false">$F24*In_P50_Hours*(1-In_Curtailment)*(1-$E27)*(1-In_Degradation)^(AL20-1)*AL15*AL$6</f>
        <v>32970.5160058159</v>
      </c>
      <c r="AM71" s="47" t="n">
        <f aca="false">$F24*In_P50_Hours*(1-In_Curtailment)*(1-$E27)*(1-In_Degradation)^(AM20-1)*AM15*AM$6</f>
        <v>32253.7656578634</v>
      </c>
      <c r="AN71" s="47" t="n">
        <f aca="false">$F24*In_P50_Hours*(1-In_Curtailment)*(1-$E27)*(1-In_Degradation)^(AN20-1)*AN15*AN$6</f>
        <v>32612.1408318397</v>
      </c>
      <c r="AO71" s="47" t="n">
        <f aca="false">$F24*In_P50_Hours*(1-In_Curtailment)*(1-$E27)*(1-In_Degradation)^(AO20-1)*AO15*AO$6</f>
        <v>32970.5160058159</v>
      </c>
      <c r="AP71" s="47" t="n">
        <f aca="false">$F24*In_P50_Hours*(1-In_Curtailment)*(1-$E27)*(1-In_Degradation)^(AP20-1)*AP15*AP$6</f>
        <v>32871.6044577985</v>
      </c>
      <c r="AQ71" s="47" t="n">
        <f aca="false">$F24*In_P50_Hours*(1-In_Curtailment)*(1-$E27)*(1-In_Degradation)^(AQ20-1)*AQ15*AQ$6</f>
        <v>32157.0043608898</v>
      </c>
      <c r="AR71" s="47" t="n">
        <f aca="false">$F24*In_P50_Hours*(1-In_Curtailment)*(1-$E27)*(1-In_Degradation)^(AR20-1)*AR15*AR$6</f>
        <v>32514.3044093442</v>
      </c>
      <c r="AS71" s="47" t="n">
        <f aca="false">$F24*In_P50_Hours*(1-In_Curtailment)*(1-$E27)*(1-In_Degradation)^(AS20-1)*AS15*AS$6</f>
        <v>32871.6044577985</v>
      </c>
      <c r="AT71" s="47" t="n">
        <f aca="false">$F24*In_P50_Hours*(1-In_Curtailment)*(1-$E27)*(1-In_Degradation)^(AT20-1)*AT15*AT$6</f>
        <v>32772.9896444251</v>
      </c>
      <c r="AU71" s="47" t="n">
        <f aca="false">$F24*In_P50_Hours*(1-In_Curtailment)*(1-$E27)*(1-In_Degradation)^(AU20-1)*AU15*AU$6</f>
        <v>32416.7614961161</v>
      </c>
      <c r="AV71" s="47" t="n">
        <f aca="false">$F24*In_P50_Hours*(1-In_Curtailment)*(1-$E27)*(1-In_Degradation)^(AV20-1)*AV15*AV$6</f>
        <v>32416.7614961161</v>
      </c>
      <c r="AW71" s="47" t="n">
        <f aca="false">$F24*In_P50_Hours*(1-In_Curtailment)*(1-$E27)*(1-In_Degradation)^(AW20-1)*AW15*AW$6</f>
        <v>32772.9896444251</v>
      </c>
      <c r="AX71" s="47" t="n">
        <f aca="false">$F24*In_P50_Hours*(1-In_Curtailment)*(1-$E27)*(1-In_Degradation)^(AX20-1)*AX15*AX$6</f>
        <v>32674.6706754918</v>
      </c>
      <c r="AY71" s="47" t="n">
        <f aca="false">$F24*In_P50_Hours*(1-In_Curtailment)*(1-$E27)*(1-In_Degradation)^(AY20-1)*AY15*AY$6</f>
        <v>31964.3517477637</v>
      </c>
      <c r="AZ71" s="47" t="n">
        <f aca="false">$F24*In_P50_Hours*(1-In_Curtailment)*(1-$E27)*(1-In_Degradation)^(AZ20-1)*AZ15*AZ$6</f>
        <v>32319.5112116278</v>
      </c>
      <c r="BA71" s="47" t="n">
        <f aca="false">$F24*In_P50_Hours*(1-In_Curtailment)*(1-$E27)*(1-In_Degradation)^(BA20-1)*BA15*BA$6</f>
        <v>32674.6706754918</v>
      </c>
      <c r="BB71" s="47" t="n">
        <f aca="false">$F24*In_P50_Hours*(1-In_Curtailment)*(1-$E27)*(1-In_Degradation)^(BB20-1)*BB15*BB$6</f>
        <v>32576.6466634653</v>
      </c>
      <c r="BC71" s="47" t="n">
        <f aca="false">$F24*In_P50_Hours*(1-In_Curtailment)*(1-$E27)*(1-In_Degradation)^(BC20-1)*BC15*BC$6</f>
        <v>31868.4586925204</v>
      </c>
      <c r="BD71" s="47" t="n">
        <f aca="false">$F24*In_P50_Hours*(1-In_Curtailment)*(1-$E27)*(1-In_Degradation)^(BD20-1)*BD15*BD$6</f>
        <v>32222.5526779929</v>
      </c>
      <c r="BE71" s="47" t="n">
        <f aca="false">$F24*In_P50_Hours*(1-In_Curtailment)*(1-$E27)*(1-In_Degradation)^(BE20-1)*BE15*BE$6</f>
        <v>32576.6466634653</v>
      </c>
      <c r="BF71" s="47" t="n">
        <f aca="false">$F24*In_P50_Hours*(1-In_Curtailment)*(1-$E27)*(1-In_Degradation)^(BF20-1)*BF15*BF$6</f>
        <v>32478.9167234749</v>
      </c>
      <c r="BG71" s="47" t="n">
        <f aca="false">$F24*In_P50_Hours*(1-In_Curtailment)*(1-$E27)*(1-In_Degradation)^(BG20-1)*BG15*BG$6</f>
        <v>31772.8533164429</v>
      </c>
      <c r="BH71" s="47" t="n">
        <f aca="false">$F24*In_P50_Hours*(1-In_Curtailment)*(1-$E27)*(1-In_Degradation)^(BH20-1)*BH15*BH$6</f>
        <v>32125.8850199589</v>
      </c>
      <c r="BI71" s="47" t="n">
        <f aca="false">$F24*In_P50_Hours*(1-In_Curtailment)*(1-$E27)*(1-In_Degradation)^(BI20-1)*BI15*BI$6</f>
        <v>32478.9167234749</v>
      </c>
      <c r="BJ71" s="47" t="n">
        <f aca="false">$F24*In_P50_Hours*(1-In_Curtailment)*(1-$E27)*(1-In_Degradation)^(BJ20-1)*BJ15*BJ$6</f>
        <v>32381.4799733045</v>
      </c>
      <c r="BK71" s="47" t="n">
        <f aca="false">$F24*In_P50_Hours*(1-In_Curtailment)*(1-$E27)*(1-In_Degradation)^(BK20-1)*BK15*BK$6</f>
        <v>32029.507364899</v>
      </c>
      <c r="BL71" s="47" t="n">
        <f aca="false">$F24*In_P50_Hours*(1-In_Curtailment)*(1-$E27)*(1-In_Degradation)^(BL20-1)*BL15*BL$6</f>
        <v>32029.507364899</v>
      </c>
      <c r="BM71" s="47" t="n">
        <f aca="false">$F24*In_P50_Hours*(1-In_Curtailment)*(1-$E27)*(1-In_Degradation)^(BM20-1)*BM15*BM$6</f>
        <v>32381.4799733045</v>
      </c>
      <c r="BN71" s="47" t="n">
        <f aca="false">$F24*In_P50_Hours*(1-In_Curtailment)*(1-$E27)*(1-In_Degradation)^(BN20-1)*BN15*BN$6</f>
        <v>32284.3355333846</v>
      </c>
      <c r="BO71" s="47" t="n">
        <f aca="false">$F24*In_P50_Hours*(1-In_Curtailment)*(1-$E27)*(1-In_Degradation)^(BO20-1)*BO15*BO$6</f>
        <v>31582.5021522241</v>
      </c>
      <c r="BP71" s="47" t="n">
        <f aca="false">$F24*In_P50_Hours*(1-In_Curtailment)*(1-$E27)*(1-In_Degradation)^(BP20-1)*BP15*BP$6</f>
        <v>31933.4188428043</v>
      </c>
      <c r="BQ71" s="47" t="n">
        <f aca="false">$F24*In_P50_Hours*(1-In_Curtailment)*(1-$E27)*(1-In_Degradation)^(BQ20-1)*BQ15*BQ$6</f>
        <v>32284.3355333846</v>
      </c>
      <c r="BR71" s="47" t="n">
        <f aca="false">$F24*In_P50_Hours*(1-In_Curtailment)*(1-$E27)*(1-In_Degradation)^(BR20-1)*BR15*BR$6</f>
        <v>32187.4825267845</v>
      </c>
      <c r="BS71" s="47" t="n">
        <f aca="false">$F24*In_P50_Hours*(1-In_Curtailment)*(1-$E27)*(1-In_Degradation)^(BS20-1)*BS15*BS$6</f>
        <v>31487.7546457674</v>
      </c>
      <c r="BT71" s="47" t="n">
        <f aca="false">$F24*In_P50_Hours*(1-In_Curtailment)*(1-$E27)*(1-In_Degradation)^(BT20-1)*BT15*BT$6</f>
        <v>31837.6185862759</v>
      </c>
      <c r="BU71" s="47" t="n">
        <f aca="false">$F24*In_P50_Hours*(1-In_Curtailment)*(1-$E27)*(1-In_Degradation)^(BU20-1)*BU15*BU$6</f>
        <v>32187.4825267845</v>
      </c>
      <c r="BV71" s="47" t="n">
        <f aca="false">$F24*In_P50_Hours*(1-In_Curtailment)*(1-$E27)*(1-In_Degradation)^(BV20-1)*BV15*BV$6</f>
        <v>32090.9200792041</v>
      </c>
      <c r="BW71" s="47" t="n">
        <f aca="false">$F24*In_P50_Hours*(1-In_Curtailment)*(1-$E27)*(1-In_Degradation)^(BW20-1)*BW15*BW$6</f>
        <v>31393.2913818301</v>
      </c>
      <c r="BX71" s="47" t="n">
        <f aca="false">$F24*In_P50_Hours*(1-In_Curtailment)*(1-$E27)*(1-In_Degradation)^(BX20-1)*BX15*BX$6</f>
        <v>31742.1057305171</v>
      </c>
      <c r="BY71" s="47" t="n">
        <f aca="false">$F24*In_P50_Hours*(1-In_Curtailment)*(1-$E27)*(1-In_Degradation)^(BY20-1)*BY15*BY$6</f>
        <v>32090.9200792041</v>
      </c>
      <c r="BZ71" s="47" t="n">
        <f aca="false">$F24*In_P50_Hours*(1-In_Curtailment)*(1-$E27)*(1-In_Degradation)^(BZ20-1)*BZ15*BZ$6</f>
        <v>31994.6473189665</v>
      </c>
      <c r="CA71" s="47" t="n">
        <f aca="false">$F24*In_P50_Hours*(1-In_Curtailment)*(1-$E27)*(1-In_Degradation)^(CA20-1)*CA15*CA$6</f>
        <v>31646.8794133255</v>
      </c>
      <c r="CB71" s="47" t="n">
        <f aca="false">$F24*In_P50_Hours*(1-In_Curtailment)*(1-$E27)*(1-In_Degradation)^(CB20-1)*CB15*CB$6</f>
        <v>31646.8794133255</v>
      </c>
      <c r="CC71" s="47" t="n">
        <f aca="false">$F24*In_P50_Hours*(1-In_Curtailment)*(1-$E27)*(1-In_Degradation)^(CC20-1)*CC15*CC$6</f>
        <v>31994.6473189665</v>
      </c>
      <c r="CD71" s="47" t="n">
        <f aca="false">$F24*In_P50_Hours*(1-In_Curtailment)*(1-$E27)*(1-In_Degradation)^(CD20-1)*CD15*CD$6</f>
        <v>31898.6633770096</v>
      </c>
      <c r="CE71" s="47" t="n">
        <f aca="false">$F24*In_P50_Hours*(1-In_Curtailment)*(1-$E27)*(1-In_Degradation)^(CE20-1)*CE15*CE$6</f>
        <v>31205.2141731616</v>
      </c>
      <c r="CF71" s="47" t="n">
        <f aca="false">$F24*In_P50_Hours*(1-In_Curtailment)*(1-$E27)*(1-In_Degradation)^(CF20-1)*CF15*CF$6</f>
        <v>31551.9387750856</v>
      </c>
      <c r="CG71" s="47" t="n">
        <f aca="false">$F24*In_P50_Hours*(1-In_Curtailment)*(1-$E27)*(1-In_Degradation)^(CG20-1)*CG15*CG$6</f>
        <v>31898.6633770096</v>
      </c>
      <c r="CH71" s="47" t="n">
        <f aca="false">$F24*In_P50_Hours*(1-In_Curtailment)*(1-$E27)*(1-In_Degradation)^(CH20-1)*CH15*CH$6</f>
        <v>31802.9673868786</v>
      </c>
      <c r="CI71" s="47" t="n">
        <f aca="false">$F24*In_P50_Hours*(1-In_Curtailment)*(1-$E27)*(1-In_Degradation)^(CI20-1)*CI15*CI$6</f>
        <v>31111.5985306421</v>
      </c>
      <c r="CJ71" s="47" t="n">
        <f aca="false">$F24*In_P50_Hours*(1-In_Curtailment)*(1-$E27)*(1-In_Degradation)^(CJ20-1)*CJ15*CJ$6</f>
        <v>31457.2829587603</v>
      </c>
      <c r="CK71" s="47" t="n">
        <f aca="false">$F24*In_P50_Hours*(1-In_Curtailment)*(1-$E27)*(1-In_Degradation)^(CK20-1)*CK15*CK$6</f>
        <v>31802.9673868786</v>
      </c>
      <c r="CL71" s="47" t="n">
        <f aca="false">$F24*In_P50_Hours*(1-In_Curtailment)*(1-$E27)*(1-In_Degradation)^(CL20-1)*CL15*CL$6</f>
        <v>31707.5584847179</v>
      </c>
      <c r="CM71" s="47" t="n">
        <f aca="false">$F24*In_P50_Hours*(1-In_Curtailment)*(1-$E27)*(1-In_Degradation)^(CM20-1)*CM15*CM$6</f>
        <v>31018.2637350501</v>
      </c>
      <c r="CN71" s="47" t="n">
        <f aca="false">$F24*In_P50_Hours*(1-In_Curtailment)*(1-$E27)*(1-In_Degradation)^(CN20-1)*CN15*CN$6</f>
        <v>31362.911109884</v>
      </c>
      <c r="CO71" s="47" t="n">
        <f aca="false">$F24*In_P50_Hours*(1-In_Curtailment)*(1-$E27)*(1-In_Degradation)^(CO20-1)*CO15*CO$6</f>
        <v>31707.5584847179</v>
      </c>
      <c r="CP71" s="47" t="n">
        <f aca="false">$F24*In_P50_Hours*(1-In_Curtailment)*(1-$E27)*(1-In_Degradation)^(CP20-1)*CP15*CP$6</f>
        <v>31612.4358092638</v>
      </c>
      <c r="CQ71" s="47" t="n">
        <f aca="false">$F24*In_P50_Hours*(1-In_Curtailment)*(1-$E27)*(1-In_Degradation)^(CQ20-1)*CQ15*CQ$6</f>
        <v>31268.8223765544</v>
      </c>
      <c r="CR71" s="47" t="n">
        <f aca="false">$F24*In_P50_Hours*(1-In_Curtailment)*(1-$E27)*(1-In_Degradation)^(CR20-1)*CR15*CR$6</f>
        <v>31268.8223765544</v>
      </c>
      <c r="CS71" s="47" t="n">
        <f aca="false">$F24*In_P50_Hours*(1-In_Curtailment)*(1-$E27)*(1-In_Degradation)^(CS20-1)*CS15*CS$6</f>
        <v>31612.4358092638</v>
      </c>
      <c r="CT71" s="47" t="n">
        <f aca="false">$F24*In_P50_Hours*(1-In_Curtailment)*(1-$E27)*(1-In_Degradation)^(CT20-1)*CT15*CT$6</f>
        <v>31517.598501836</v>
      </c>
      <c r="CU71" s="47" t="n">
        <f aca="false">$F24*In_P50_Hours*(1-In_Curtailment)*(1-$E27)*(1-In_Degradation)^(CU20-1)*CU15*CU$6</f>
        <v>30832.4333170135</v>
      </c>
      <c r="CV71" s="47" t="n">
        <f aca="false">$F24*In_P50_Hours*(1-In_Curtailment)*(1-$E27)*(1-In_Degradation)^(CV20-1)*CV15*CV$6</f>
        <v>31175.0159094247</v>
      </c>
      <c r="CW71" s="47" t="n">
        <f aca="false">$F24*In_P50_Hours*(1-In_Curtailment)*(1-$E27)*(1-In_Degradation)^(CW20-1)*CW15*CW$6</f>
        <v>31517.598501836</v>
      </c>
      <c r="CX71" s="47" t="n">
        <f aca="false">$F24*In_P50_Hours*(1-In_Curtailment)*(1-$E27)*(1-In_Degradation)^(CX20-1)*CX15*CX$6</f>
        <v>31423.0457063305</v>
      </c>
      <c r="CY71" s="47" t="n">
        <f aca="false">$F24*In_P50_Hours*(1-In_Curtailment)*(1-$E27)*(1-In_Degradation)^(CY20-1)*CY15*CY$6</f>
        <v>30739.9360170624</v>
      </c>
      <c r="CZ71" s="47" t="n">
        <f aca="false">$F24*In_P50_Hours*(1-In_Curtailment)*(1-$E27)*(1-In_Degradation)^(CZ20-1)*CZ15*CZ$6</f>
        <v>31081.4908616964</v>
      </c>
      <c r="DA71" s="47" t="n">
        <f aca="false">$F24*In_P50_Hours*(1-In_Curtailment)*(1-$E27)*(1-In_Degradation)^(DA20-1)*DA15*DA$6</f>
        <v>31423.0457063305</v>
      </c>
      <c r="DB71" s="47" t="n">
        <f aca="false">$F24*In_P50_Hours*(1-In_Curtailment)*(1-$E27)*(1-In_Degradation)^(DB20-1)*DB15*DB$6</f>
        <v>31328.7765692115</v>
      </c>
      <c r="DC71" s="47" t="n">
        <f aca="false">$F24*In_P50_Hours*(1-In_Curtailment)*(1-$E27)*(1-In_Degradation)^(DC20-1)*DC15*DC$6</f>
        <v>30647.7162090112</v>
      </c>
      <c r="DD71" s="47" t="n">
        <f aca="false">$F24*In_P50_Hours*(1-In_Curtailment)*(1-$E27)*(1-In_Degradation)^(DD20-1)*DD15*DD$6</f>
        <v>30988.2463891114</v>
      </c>
      <c r="DE71" s="47" t="n">
        <f aca="false">$F24*In_P50_Hours*(1-In_Curtailment)*(1-$E27)*(1-In_Degradation)^(DE20-1)*DE15*DE$6</f>
        <v>31328.7765692115</v>
      </c>
      <c r="DF71" s="47" t="n">
        <f aca="false">$F24*In_P50_Hours*(1-In_Curtailment)*(1-$E27)*(1-In_Degradation)^(DF20-1)*DF15*DF$6</f>
        <v>31234.7902395038</v>
      </c>
      <c r="DG71" s="47" t="n">
        <f aca="false">$F24*In_P50_Hours*(1-In_Curtailment)*(1-$E27)*(1-In_Degradation)^(DG20-1)*DG15*DG$6</f>
        <v>30895.281649944</v>
      </c>
      <c r="DH71" s="47" t="n">
        <f aca="false">$F24*In_P50_Hours*(1-In_Curtailment)*(1-$E27)*(1-In_Degradation)^(DH20-1)*DH15*DH$6</f>
        <v>30895.281649944</v>
      </c>
      <c r="DI71" s="47" t="n">
        <f aca="false">$F24*In_P50_Hours*(1-In_Curtailment)*(1-$E27)*(1-In_Degradation)^(DI20-1)*DI15*DI$6</f>
        <v>31234.7902395038</v>
      </c>
      <c r="DJ71" s="47" t="n">
        <f aca="false">$F24*In_P50_Hours*(1-In_Curtailment)*(1-$E27)*(1-In_Degradation)^(DJ20-1)*DJ15*DJ$6</f>
        <v>31141.0858687853</v>
      </c>
      <c r="DK71" s="47" t="n">
        <f aca="false">$F24*In_P50_Hours*(1-In_Curtailment)*(1-$E27)*(1-In_Degradation)^(DK20-1)*DK15*DK$6</f>
        <v>30464.105741203</v>
      </c>
      <c r="DL71" s="47" t="n">
        <f aca="false">$F24*In_P50_Hours*(1-In_Curtailment)*(1-$E27)*(1-In_Degradation)^(DL20-1)*DL15*DL$6</f>
        <v>30802.5958049942</v>
      </c>
      <c r="DM71" s="47" t="n">
        <f aca="false">$F24*In_P50_Hours*(1-In_Curtailment)*(1-$E27)*(1-In_Degradation)^(DM20-1)*DM15*DM$6</f>
        <v>31141.0858687853</v>
      </c>
      <c r="DN71" s="47" t="n">
        <f aca="false">$F24*In_P50_Hours*(1-In_Curtailment)*(1-$E27)*(1-In_Degradation)^(DN20-1)*DN15*DN$6</f>
        <v>31047.662611179</v>
      </c>
      <c r="DO71" s="47" t="n">
        <f aca="false">$F24*In_P50_Hours*(1-In_Curtailment)*(1-$E27)*(1-In_Degradation)^(DO20-1)*DO15*DO$6</f>
        <v>30372.7134239794</v>
      </c>
      <c r="DP71" s="47" t="n">
        <f aca="false">$F24*In_P50_Hours*(1-In_Curtailment)*(1-$E27)*(1-In_Degradation)^(DP20-1)*DP15*DP$6</f>
        <v>30710.1880175792</v>
      </c>
      <c r="DQ71" s="47" t="n">
        <f aca="false">$F24*In_P50_Hours*(1-In_Curtailment)*(1-$E27)*(1-In_Degradation)^(DQ20-1)*DQ15*DQ$6</f>
        <v>31047.662611179</v>
      </c>
      <c r="DR71" s="47" t="n">
        <f aca="false">$F24*In_P50_Hours*(1-In_Curtailment)*(1-$E27)*(1-In_Degradation)^(DR20-1)*DR15*DR$6</f>
        <v>30954.5196233454</v>
      </c>
      <c r="DS71" s="47" t="n">
        <f aca="false">$F24*In_P50_Hours*(1-In_Curtailment)*(1-$E27)*(1-In_Degradation)^(DS20-1)*DS15*DS$6</f>
        <v>30281.5952837075</v>
      </c>
      <c r="DT71" s="47" t="n">
        <f aca="false">$F24*In_P50_Hours*(1-In_Curtailment)*(1-$E27)*(1-In_Degradation)^(DT20-1)*DT15*DT$6</f>
        <v>30618.0574535265</v>
      </c>
      <c r="DU71" s="47" t="n">
        <f aca="false">$F24*In_P50_Hours*(1-In_Curtailment)*(1-$E27)*(1-In_Degradation)^(DU20-1)*DU15*DU$6</f>
        <v>30954.5196233454</v>
      </c>
      <c r="DV71" s="47" t="n">
        <f aca="false">$F24*In_P50_Hours*(1-In_Curtailment)*(1-$E27)*(1-In_Degradation)^(DV20-1)*DV15*DV$6</f>
        <v>30861.6560644754</v>
      </c>
      <c r="DW71" s="47" t="n">
        <f aca="false">$F24*In_P50_Hours*(1-In_Curtailment)*(1-$E27)*(1-In_Degradation)^(DW20-1)*DW15*DW$6</f>
        <v>30526.2032811659</v>
      </c>
      <c r="DX71" s="47" t="n">
        <f aca="false">$F24*In_P50_Hours*(1-In_Curtailment)*(1-$E27)*(1-In_Degradation)^(DX20-1)*DX15*DX$6</f>
        <v>30526.2032811659</v>
      </c>
      <c r="DY71" s="47" t="n">
        <f aca="false">$F24*In_P50_Hours*(1-In_Curtailment)*(1-$E27)*(1-In_Degradation)^(DY20-1)*DY15*DY$6</f>
        <v>30861.6560644754</v>
      </c>
      <c r="DZ71" s="47" t="n">
        <f aca="false">$F24*In_P50_Hours*(1-In_Curtailment)*(1-$E27)*(1-In_Degradation)^(DZ20-1)*DZ15*DZ$6</f>
        <v>30769.071096282</v>
      </c>
      <c r="EA71" s="47" t="n">
        <f aca="false">$F24*In_P50_Hours*(1-In_Curtailment)*(1-$E27)*(1-In_Degradation)^(EA20-1)*EA15*EA$6</f>
        <v>30100.1782463628</v>
      </c>
      <c r="EB71" s="47" t="n">
        <f aca="false">$F24*In_P50_Hours*(1-In_Curtailment)*(1-$E27)*(1-In_Degradation)^(EB20-1)*EB15*EB$6</f>
        <v>30434.6246713224</v>
      </c>
      <c r="EC71" s="47" t="n">
        <f aca="false">$F24*In_P50_Hours*(1-In_Curtailment)*(1-$E27)*(1-In_Degradation)^(EC20-1)*EC15*EC$6</f>
        <v>30769.071096282</v>
      </c>
      <c r="ED71" s="47" t="n">
        <f aca="false">$F24*In_P50_Hours*(1-In_Curtailment)*(1-$E27)*(1-In_Degradation)^(ED20-1)*ED15*ED$6</f>
        <v>30676.7638829931</v>
      </c>
      <c r="EE71" s="47" t="n">
        <f aca="false">$F24*In_P50_Hours*(1-In_Curtailment)*(1-$E27)*(1-In_Degradation)^(EE20-1)*EE15*EE$6</f>
        <v>30009.8777116237</v>
      </c>
      <c r="EF71" s="47" t="n">
        <f aca="false">$F24*In_P50_Hours*(1-In_Curtailment)*(1-$E27)*(1-In_Degradation)^(EF20-1)*EF15*EF$6</f>
        <v>30343.3207973084</v>
      </c>
      <c r="EG71" s="47" t="n">
        <f aca="false">$F24*In_P50_Hours*(1-In_Curtailment)*(1-$E27)*(1-In_Degradation)^(EG20-1)*EG15*EG$6</f>
        <v>30676.7638829931</v>
      </c>
      <c r="EH71" s="47" t="n">
        <f aca="false">$F24*In_P50_Hours*(1-In_Curtailment)*(1-$E27)*(1-In_Degradation)^(EH20-1)*EH15*EH$6</f>
        <v>30584.7335913441</v>
      </c>
      <c r="EI71" s="47" t="n">
        <f aca="false">$F24*In_P50_Hours*(1-In_Curtailment)*(1-$E27)*(1-In_Degradation)^(EI20-1)*EI15*EI$6</f>
        <v>29919.8480784888</v>
      </c>
      <c r="EJ71" s="47" t="n">
        <f aca="false">$F24*In_P50_Hours*(1-In_Curtailment)*(1-$E27)*(1-In_Degradation)^(EJ20-1)*EJ15*EJ$6</f>
        <v>30252.2908349165</v>
      </c>
      <c r="EK71" s="47" t="n">
        <f aca="false">$F24*In_P50_Hours*(1-In_Curtailment)*(1-$E27)*(1-In_Degradation)^(EK20-1)*EK15*EK$6</f>
        <v>30584.7335913441</v>
      </c>
      <c r="EL71" s="47" t="n">
        <f aca="false">$F24*In_P50_Hours*(1-In_Curtailment)*(1-$E27)*(1-In_Degradation)^(EL20-1)*EL15*EL$6</f>
        <v>30492.9793905701</v>
      </c>
      <c r="EM71" s="47" t="n">
        <f aca="false">$F24*In_P50_Hours*(1-In_Curtailment)*(1-$E27)*(1-In_Degradation)^(EM20-1)*EM15*EM$6</f>
        <v>30161.5339624117</v>
      </c>
      <c r="EN71" s="47" t="n">
        <f aca="false">$F24*In_P50_Hours*(1-In_Curtailment)*(1-$E27)*(1-In_Degradation)^(EN20-1)*EN15*EN$6</f>
        <v>30161.5339624117</v>
      </c>
      <c r="EO71" s="47" t="n">
        <f aca="false">$F24*In_P50_Hours*(1-In_Curtailment)*(1-$E27)*(1-In_Degradation)^(EO20-1)*EO15*EO$6</f>
        <v>30492.9793905701</v>
      </c>
    </row>
    <row r="72" customFormat="false" ht="15" hidden="false" customHeight="false" outlineLevel="0" collapsed="false">
      <c r="C72" s="0" t="s">
        <v>422</v>
      </c>
      <c r="D72" s="11" t="s">
        <v>33</v>
      </c>
      <c r="E72" s="47" t="n">
        <f aca="false">SUMIF($J$7:$EO$7,YEAR(In_COD)+1,$J72:$EO72)</f>
        <v>11988.936702792</v>
      </c>
      <c r="I72" s="47" t="n">
        <f aca="false">SUM(J72:EO72)</f>
        <v>398096.796528086</v>
      </c>
      <c r="J72" s="47" t="n">
        <f aca="false">J71*J70/Thousand</f>
        <v>0</v>
      </c>
      <c r="K72" s="47" t="n">
        <f aca="false">K71*K70/Thousand</f>
        <v>0</v>
      </c>
      <c r="L72" s="47" t="n">
        <f aca="false">L71*L70/Thousand</f>
        <v>0</v>
      </c>
      <c r="M72" s="47" t="n">
        <f aca="false">M71*M70/Thousand</f>
        <v>0</v>
      </c>
      <c r="N72" s="47" t="n">
        <f aca="false">N71*N70/Thousand</f>
        <v>0</v>
      </c>
      <c r="O72" s="47" t="n">
        <f aca="false">O71*O70/Thousand</f>
        <v>0</v>
      </c>
      <c r="P72" s="47" t="n">
        <f aca="false">P71*P70/Thousand</f>
        <v>0</v>
      </c>
      <c r="Q72" s="47" t="n">
        <f aca="false">Q71*Q70/Thousand</f>
        <v>0</v>
      </c>
      <c r="R72" s="47" t="n">
        <f aca="false">R71*R70/Thousand</f>
        <v>0</v>
      </c>
      <c r="S72" s="47" t="n">
        <f aca="false">S71*S70/Thousand</f>
        <v>0</v>
      </c>
      <c r="T72" s="47" t="n">
        <f aca="false">T71*T70/Thousand</f>
        <v>0</v>
      </c>
      <c r="U72" s="47" t="n">
        <f aca="false">U71*U70/Thousand</f>
        <v>0</v>
      </c>
      <c r="V72" s="47" t="n">
        <f aca="false">V71*V70/Thousand</f>
        <v>0</v>
      </c>
      <c r="W72" s="47" t="n">
        <f aca="false">W71*W70/Thousand</f>
        <v>0</v>
      </c>
      <c r="X72" s="47" t="n">
        <f aca="false">X71*X70/Thousand</f>
        <v>0</v>
      </c>
      <c r="Y72" s="47" t="n">
        <f aca="false">Y71*Y70/Thousand</f>
        <v>0</v>
      </c>
      <c r="Z72" s="47" t="n">
        <f aca="false">Z71*Z70/Thousand</f>
        <v>2994.2136</v>
      </c>
      <c r="AA72" s="47" t="n">
        <f aca="false">AA71*AA70/Thousand</f>
        <v>2958.41322</v>
      </c>
      <c r="AB72" s="47" t="n">
        <f aca="false">AB71*AB70/Thousand</f>
        <v>2991.284478</v>
      </c>
      <c r="AC72" s="47" t="n">
        <f aca="false">AC71*AC70/Thousand</f>
        <v>3024.155736</v>
      </c>
      <c r="AD72" s="47" t="n">
        <f aca="false">AD71*AD70/Thousand</f>
        <v>3015.083268792</v>
      </c>
      <c r="AE72" s="47" t="n">
        <f aca="false">AE71*AE70/Thousand</f>
        <v>3012.13373081166</v>
      </c>
      <c r="AF72" s="47" t="n">
        <f aca="false">AF71*AF70/Thousand</f>
        <v>3012.13373081166</v>
      </c>
      <c r="AG72" s="47" t="n">
        <f aca="false">AG71*AG70/Thousand</f>
        <v>3045.23410147992</v>
      </c>
      <c r="AH72" s="47" t="n">
        <f aca="false">AH71*AH70/Thousand</f>
        <v>3036.09839917548</v>
      </c>
      <c r="AI72" s="47" t="n">
        <f aca="false">AI71*AI70/Thousand</f>
        <v>2999.7972226636</v>
      </c>
      <c r="AJ72" s="47" t="n">
        <f aca="false">AJ71*AJ70/Thousand</f>
        <v>3033.12830291542</v>
      </c>
      <c r="AK72" s="47" t="n">
        <f aca="false">AK71*AK70/Thousand</f>
        <v>3066.45938316724</v>
      </c>
      <c r="AL72" s="47" t="n">
        <f aca="false">AL71*AL70/Thousand</f>
        <v>3057.26000501774</v>
      </c>
      <c r="AM72" s="47" t="n">
        <f aca="false">AM71*AM70/Thousand</f>
        <v>3020.70580930557</v>
      </c>
      <c r="AN72" s="47" t="n">
        <f aca="false">AN71*AN70/Thousand</f>
        <v>3054.26920718674</v>
      </c>
      <c r="AO72" s="47" t="n">
        <f aca="false">AO71*AO70/Thousand</f>
        <v>3087.83260506791</v>
      </c>
      <c r="AP72" s="47" t="n">
        <f aca="false">AP71*AP70/Thousand</f>
        <v>3078.56910725271</v>
      </c>
      <c r="AQ72" s="47" t="n">
        <f aca="false">AQ71*AQ70/Thousand</f>
        <v>3041.76012879643</v>
      </c>
      <c r="AR72" s="47" t="n">
        <f aca="false">AR71*AR70/Thousand</f>
        <v>3075.55746356083</v>
      </c>
      <c r="AS72" s="47" t="n">
        <f aca="false">AS71*AS70/Thousand</f>
        <v>3109.35479832524</v>
      </c>
      <c r="AT72" s="47" t="n">
        <f aca="false">AT71*AT70/Thousand</f>
        <v>3100.02673393026</v>
      </c>
      <c r="AU72" s="47" t="n">
        <f aca="false">AU71*AU70/Thousand</f>
        <v>3096.99409908185</v>
      </c>
      <c r="AV72" s="47" t="n">
        <f aca="false">AV71*AV70/Thousand</f>
        <v>3096.99409908185</v>
      </c>
      <c r="AW72" s="47" t="n">
        <f aca="false">AW71*AW70/Thousand</f>
        <v>3131.02700126956</v>
      </c>
      <c r="AX72" s="47" t="n">
        <f aca="false">AX71*AX70/Thousand</f>
        <v>3121.63392026575</v>
      </c>
      <c r="AY72" s="47" t="n">
        <f aca="false">AY71*AY70/Thousand</f>
        <v>3084.31003643649</v>
      </c>
      <c r="AZ72" s="47" t="n">
        <f aca="false">AZ71*AZ70/Thousand</f>
        <v>3118.58014795245</v>
      </c>
      <c r="BA72" s="47" t="n">
        <f aca="false">BA71*BA70/Thousand</f>
        <v>3152.85025946841</v>
      </c>
      <c r="BB72" s="47" t="n">
        <f aca="false">BB71*BB70/Thousand</f>
        <v>3143.39170869001</v>
      </c>
      <c r="BC72" s="47" t="n">
        <f aca="false">BC71*BC70/Thousand</f>
        <v>3105.80767739045</v>
      </c>
      <c r="BD72" s="47" t="n">
        <f aca="false">BD71*BD70/Thousand</f>
        <v>3140.31665158368</v>
      </c>
      <c r="BE72" s="47" t="n">
        <f aca="false">BE71*BE70/Thousand</f>
        <v>3174.82562577691</v>
      </c>
      <c r="BF72" s="47" t="n">
        <f aca="false">BF71*BF70/Thousand</f>
        <v>3165.30114889958</v>
      </c>
      <c r="BG72" s="47" t="n">
        <f aca="false">BG71*BG70/Thousand</f>
        <v>3127.45515690186</v>
      </c>
      <c r="BH72" s="47" t="n">
        <f aca="false">BH71*BH70/Thousand</f>
        <v>3162.20465864522</v>
      </c>
      <c r="BI72" s="47" t="n">
        <f aca="false">BI71*BI70/Thousand</f>
        <v>3196.95416038857</v>
      </c>
      <c r="BJ72" s="47" t="n">
        <f aca="false">BJ71*BJ70/Thousand</f>
        <v>3187.36329790741</v>
      </c>
      <c r="BK72" s="47" t="n">
        <f aca="false">BK71*BK70/Thousand</f>
        <v>3184.24522511597</v>
      </c>
      <c r="BL72" s="47" t="n">
        <f aca="false">BL71*BL70/Thousand</f>
        <v>3184.24522511597</v>
      </c>
      <c r="BM72" s="47" t="n">
        <f aca="false">BM71*BM70/Thousand</f>
        <v>3219.23693088648</v>
      </c>
      <c r="BN72" s="47" t="n">
        <f aca="false">BN71*BN70/Thousand</f>
        <v>3209.57922009382</v>
      </c>
      <c r="BO72" s="47" t="n">
        <f aca="false">BO71*BO70/Thousand</f>
        <v>3171.20381637531</v>
      </c>
      <c r="BP72" s="47" t="n">
        <f aca="false">BP71*BP70/Thousand</f>
        <v>3206.43941433503</v>
      </c>
      <c r="BQ72" s="47" t="n">
        <f aca="false">BQ71*BQ70/Thousand</f>
        <v>3241.67501229476</v>
      </c>
      <c r="BR72" s="47" t="n">
        <f aca="false">BR71*BR70/Thousand</f>
        <v>3231.94998725787</v>
      </c>
      <c r="BS72" s="47" t="n">
        <f aca="false">BS71*BS70/Thousand</f>
        <v>3193.30710697544</v>
      </c>
      <c r="BT72" s="47" t="n">
        <f aca="false">BT71*BT70/Thousand</f>
        <v>3228.78829705295</v>
      </c>
      <c r="BU72" s="47" t="n">
        <f aca="false">BU71*BU70/Thousand</f>
        <v>3264.26948713045</v>
      </c>
      <c r="BV72" s="47" t="n">
        <f aca="false">BV71*BV70/Thousand</f>
        <v>3254.47667866906</v>
      </c>
      <c r="BW72" s="47" t="n">
        <f aca="false">BW71*BW70/Thousand</f>
        <v>3215.56445751106</v>
      </c>
      <c r="BX72" s="47" t="n">
        <f aca="false">BX71*BX70/Thousand</f>
        <v>3251.29295148341</v>
      </c>
      <c r="BY72" s="47" t="n">
        <f aca="false">BY71*BY70/Thousand</f>
        <v>3287.02144545575</v>
      </c>
      <c r="BZ72" s="47" t="n">
        <f aca="false">BZ71*BZ70/Thousand</f>
        <v>3277.16038111938</v>
      </c>
      <c r="CA72" s="47" t="n">
        <f aca="false">CA71*CA70/Thousand</f>
        <v>3273.95446335525</v>
      </c>
      <c r="CB72" s="47" t="n">
        <f aca="false">CB71*CB70/Thousand</f>
        <v>3273.95446335525</v>
      </c>
      <c r="CC72" s="47" t="n">
        <f aca="false">CC71*CC70/Thousand</f>
        <v>3309.93198493058</v>
      </c>
      <c r="CD72" s="47" t="n">
        <f aca="false">CD71*CD70/Thousand</f>
        <v>3300.00218897579</v>
      </c>
      <c r="CE72" s="47" t="n">
        <f aca="false">CE71*CE70/Thousand</f>
        <v>3260.54564106412</v>
      </c>
      <c r="CF72" s="47" t="n">
        <f aca="false">CF71*CF70/Thousand</f>
        <v>3296.77392596483</v>
      </c>
      <c r="CG72" s="47" t="n">
        <f aca="false">CG71*CG70/Thousand</f>
        <v>3333.00221086555</v>
      </c>
      <c r="CH72" s="47" t="n">
        <f aca="false">CH71*CH70/Thousand</f>
        <v>3323.00320423295</v>
      </c>
      <c r="CI72" s="47" t="n">
        <f aca="false">CI71*CI70/Thousand</f>
        <v>3283.27164418234</v>
      </c>
      <c r="CJ72" s="47" t="n">
        <f aca="false">CJ71*CJ70/Thousand</f>
        <v>3319.75244022881</v>
      </c>
      <c r="CK72" s="47" t="n">
        <f aca="false">CK71*CK70/Thousand</f>
        <v>3356.23323627528</v>
      </c>
      <c r="CL72" s="47" t="n">
        <f aca="false">CL71*CL70/Thousand</f>
        <v>3346.16453656645</v>
      </c>
      <c r="CM72" s="47" t="n">
        <f aca="false">CM71*CM70/Thousand</f>
        <v>3306.15604754229</v>
      </c>
      <c r="CN72" s="47" t="n">
        <f aca="false">CN71*CN70/Thousand</f>
        <v>3342.8911147372</v>
      </c>
      <c r="CO72" s="47" t="n">
        <f aca="false">CO71*CO70/Thousand</f>
        <v>3379.62618193212</v>
      </c>
      <c r="CP72" s="47" t="n">
        <f aca="false">CP71*CP70/Thousand</f>
        <v>3369.48730338632</v>
      </c>
      <c r="CQ72" s="47" t="n">
        <f aca="false">CQ71*CQ70/Thousand</f>
        <v>3366.19106580692</v>
      </c>
      <c r="CR72" s="47" t="n">
        <f aca="false">CR71*CR70/Thousand</f>
        <v>3366.19106580692</v>
      </c>
      <c r="CS72" s="47" t="n">
        <f aca="false">CS71*CS70/Thousand</f>
        <v>3403.18217642018</v>
      </c>
      <c r="CT72" s="47" t="n">
        <f aca="false">CT71*CT70/Thousand</f>
        <v>3392.97262989092</v>
      </c>
      <c r="CU72" s="47" t="n">
        <f aca="false">CU71*CU70/Thousand</f>
        <v>3352.40447888136</v>
      </c>
      <c r="CV72" s="47" t="n">
        <f aca="false">CV71*CV70/Thousand</f>
        <v>3389.65341753559</v>
      </c>
      <c r="CW72" s="47" t="n">
        <f aca="false">CW71*CW70/Thousand</f>
        <v>3426.90235618983</v>
      </c>
      <c r="CX72" s="47" t="n">
        <f aca="false">CX71*CX70/Thousand</f>
        <v>3416.62164912126</v>
      </c>
      <c r="CY72" s="47" t="n">
        <f aca="false">CY71*CY70/Thousand</f>
        <v>3375.77073809916</v>
      </c>
      <c r="CZ72" s="47" t="n">
        <f aca="false">CZ71*CZ70/Thousand</f>
        <v>3413.27930185582</v>
      </c>
      <c r="DA72" s="47" t="n">
        <f aca="false">DA71*DA70/Thousand</f>
        <v>3450.78786561248</v>
      </c>
      <c r="DB72" s="47" t="n">
        <f aca="false">DB71*DB70/Thousand</f>
        <v>3440.43550201564</v>
      </c>
      <c r="DC72" s="47" t="n">
        <f aca="false">DC71*DC70/Thousand</f>
        <v>3399.29986014371</v>
      </c>
      <c r="DD72" s="47" t="n">
        <f aca="false">DD71*DD70/Thousand</f>
        <v>3437.06985858975</v>
      </c>
      <c r="DE72" s="47" t="n">
        <f aca="false">DE71*DE70/Thousand</f>
        <v>3474.83985703579</v>
      </c>
      <c r="DF72" s="47" t="n">
        <f aca="false">DF71*DF70/Thousand</f>
        <v>3464.41533746469</v>
      </c>
      <c r="DG72" s="47" t="n">
        <f aca="false">DG71*DG70/Thousand</f>
        <v>3461.02623550412</v>
      </c>
      <c r="DH72" s="47" t="n">
        <f aca="false">DH71*DH70/Thousand</f>
        <v>3461.02623550412</v>
      </c>
      <c r="DI72" s="47" t="n">
        <f aca="false">DI71*DI70/Thousand</f>
        <v>3499.05949083933</v>
      </c>
      <c r="DJ72" s="47" t="n">
        <f aca="false">DJ71*DJ70/Thousand</f>
        <v>3488.56231236681</v>
      </c>
      <c r="DK72" s="47" t="n">
        <f aca="false">DK71*DK70/Thousand</f>
        <v>3446.85124124069</v>
      </c>
      <c r="DL72" s="47" t="n">
        <f aca="false">DL71*DL70/Thousand</f>
        <v>3485.14958836559</v>
      </c>
      <c r="DM72" s="47" t="n">
        <f aca="false">DM71*DM70/Thousand</f>
        <v>3523.44793549048</v>
      </c>
      <c r="DN72" s="47" t="n">
        <f aca="false">DN71*DN70/Thousand</f>
        <v>3512.87759168401</v>
      </c>
      <c r="DO72" s="47" t="n">
        <f aca="false">DO71*DO70/Thousand</f>
        <v>3470.87579439214</v>
      </c>
      <c r="DP72" s="47" t="n">
        <f aca="false">DP71*DP70/Thousand</f>
        <v>3509.4410809965</v>
      </c>
      <c r="DQ72" s="47" t="n">
        <f aca="false">DQ71*DQ70/Thousand</f>
        <v>3548.00636760085</v>
      </c>
      <c r="DR72" s="47" t="n">
        <f aca="false">DR71*DR70/Thousand</f>
        <v>3537.36234849805</v>
      </c>
      <c r="DS72" s="47" t="n">
        <f aca="false">DS71*DS70/Thousand</f>
        <v>3495.06779867905</v>
      </c>
      <c r="DT72" s="47" t="n">
        <f aca="false">DT71*DT70/Thousand</f>
        <v>3533.90188533104</v>
      </c>
      <c r="DU72" s="47" t="n">
        <f aca="false">DU71*DU70/Thousand</f>
        <v>3572.73597198303</v>
      </c>
      <c r="DV72" s="47" t="n">
        <f aca="false">DV71*DV70/Thousand</f>
        <v>3562.01776406708</v>
      </c>
      <c r="DW72" s="47" t="n">
        <f aca="false">DW71*DW70/Thousand</f>
        <v>3558.5331814718</v>
      </c>
      <c r="DX72" s="47" t="n">
        <f aca="false">DX71*DX70/Thousand</f>
        <v>3558.5331814718</v>
      </c>
      <c r="DY72" s="47" t="n">
        <f aca="false">DY71*DY70/Thousand</f>
        <v>3597.63794170775</v>
      </c>
      <c r="DZ72" s="47" t="n">
        <f aca="false">DZ71*DZ70/Thousand</f>
        <v>3586.84502788263</v>
      </c>
      <c r="EA72" s="47" t="n">
        <f aca="false">EA71*EA70/Thousand</f>
        <v>3543.95883733186</v>
      </c>
      <c r="EB72" s="47" t="n">
        <f aca="false">EB71*EB70/Thousand</f>
        <v>3583.33615774666</v>
      </c>
      <c r="EC72" s="47" t="n">
        <f aca="false">EC71*EC70/Thousand</f>
        <v>3622.71347816146</v>
      </c>
      <c r="ED72" s="47" t="n">
        <f aca="false">ED71*ED70/Thousand</f>
        <v>3611.84533772697</v>
      </c>
      <c r="EE72" s="47" t="n">
        <f aca="false">EE71*EE70/Thousand</f>
        <v>3568.66023042806</v>
      </c>
      <c r="EF72" s="47" t="n">
        <f aca="false">EF71*EF70/Thousand</f>
        <v>3608.31201076615</v>
      </c>
      <c r="EG72" s="47" t="n">
        <f aca="false">EG71*EG70/Thousand</f>
        <v>3647.96379110424</v>
      </c>
      <c r="EH72" s="47" t="n">
        <f aca="false">EH71*EH70/Thousand</f>
        <v>3637.01989973093</v>
      </c>
      <c r="EI72" s="47" t="n">
        <f aca="false">EI71*EI70/Thousand</f>
        <v>3593.53379223414</v>
      </c>
      <c r="EJ72" s="47" t="n">
        <f aca="false">EJ71*EJ70/Thousand</f>
        <v>3633.46194548119</v>
      </c>
      <c r="EK72" s="47" t="n">
        <f aca="false">EK71*EK70/Thousand</f>
        <v>3673.39009872824</v>
      </c>
      <c r="EL72" s="47" t="n">
        <f aca="false">EL71*EL70/Thousand</f>
        <v>3662.36992843205</v>
      </c>
      <c r="EM72" s="47" t="n">
        <f aca="false">EM71*EM70/Thousand</f>
        <v>3658.78717524119</v>
      </c>
      <c r="EN72" s="47" t="n">
        <f aca="false">EN71*EN70/Thousand</f>
        <v>3658.78717524119</v>
      </c>
      <c r="EO72" s="47" t="n">
        <f aca="false">EO71*EO70/Thousand</f>
        <v>3698.99362771637</v>
      </c>
    </row>
    <row r="73" customFormat="false" ht="15" hidden="false" customHeight="false" outlineLevel="0" collapsed="false">
      <c r="C73" s="0" t="s">
        <v>423</v>
      </c>
      <c r="D73" s="11" t="s">
        <v>33</v>
      </c>
      <c r="I73" s="47" t="n">
        <f aca="false">SUM(J73:EO73)</f>
        <v>-28132.3883354309</v>
      </c>
      <c r="J73" s="47" t="n">
        <f aca="false">-In_Var_Opex*J71*J69/Thousand</f>
        <v>-0</v>
      </c>
      <c r="K73" s="47" t="n">
        <f aca="false">-In_Var_Opex*K71*K69/Thousand</f>
        <v>-0</v>
      </c>
      <c r="L73" s="47" t="n">
        <f aca="false">-In_Var_Opex*L71*L69/Thousand</f>
        <v>-0</v>
      </c>
      <c r="M73" s="47" t="n">
        <f aca="false">-In_Var_Opex*M71*M69/Thousand</f>
        <v>-0</v>
      </c>
      <c r="N73" s="47" t="n">
        <f aca="false">-In_Var_Opex*N71*N69/Thousand</f>
        <v>-0</v>
      </c>
      <c r="O73" s="47" t="n">
        <f aca="false">-In_Var_Opex*O71*O69/Thousand</f>
        <v>-0</v>
      </c>
      <c r="P73" s="47" t="n">
        <f aca="false">-In_Var_Opex*P71*P69/Thousand</f>
        <v>-0</v>
      </c>
      <c r="Q73" s="47" t="n">
        <f aca="false">-In_Var_Opex*Q71*Q69/Thousand</f>
        <v>-0</v>
      </c>
      <c r="R73" s="47" t="n">
        <f aca="false">-In_Var_Opex*R71*R69/Thousand</f>
        <v>-0</v>
      </c>
      <c r="S73" s="47" t="n">
        <f aca="false">-In_Var_Opex*S71*S69/Thousand</f>
        <v>-0</v>
      </c>
      <c r="T73" s="47" t="n">
        <f aca="false">-In_Var_Opex*T71*T69/Thousand</f>
        <v>-0</v>
      </c>
      <c r="U73" s="47" t="n">
        <f aca="false">-In_Var_Opex*U71*U69/Thousand</f>
        <v>-0</v>
      </c>
      <c r="V73" s="47" t="n">
        <f aca="false">-In_Var_Opex*V71*V69/Thousand</f>
        <v>-0</v>
      </c>
      <c r="W73" s="47" t="n">
        <f aca="false">-In_Var_Opex*W71*W69/Thousand</f>
        <v>-0</v>
      </c>
      <c r="X73" s="47" t="n">
        <f aca="false">-In_Var_Opex*X71*X69/Thousand</f>
        <v>-0</v>
      </c>
      <c r="Y73" s="47" t="n">
        <f aca="false">-In_Var_Opex*Y71*Y69/Thousand</f>
        <v>-0</v>
      </c>
      <c r="Z73" s="47" t="n">
        <f aca="false">-In_Var_Opex*Z71*Z69/Thousand</f>
        <v>-166.3452</v>
      </c>
      <c r="AA73" s="47" t="n">
        <f aca="false">-In_Var_Opex*AA71*AA69/Thousand</f>
        <v>-166.797225</v>
      </c>
      <c r="AB73" s="47" t="n">
        <f aca="false">-In_Var_Opex*AB71*AB69/Thousand</f>
        <v>-168.6505275</v>
      </c>
      <c r="AC73" s="47" t="n">
        <f aca="false">-In_Var_Opex*AC71*AC69/Thousand</f>
        <v>-170.50383</v>
      </c>
      <c r="AD73" s="47" t="n">
        <f aca="false">-In_Var_Opex*AD71*AD69/Thousand</f>
        <v>-169.99231851</v>
      </c>
      <c r="AE73" s="47" t="n">
        <f aca="false">-In_Var_Opex*AE71*AE69/Thousand</f>
        <v>-172.348190315438</v>
      </c>
      <c r="AF73" s="47" t="n">
        <f aca="false">-In_Var_Opex*AF71*AF69/Thousand</f>
        <v>-172.348190315438</v>
      </c>
      <c r="AG73" s="47" t="n">
        <f aca="false">-In_Var_Opex*AG71*AG69/Thousand</f>
        <v>-174.24212647275</v>
      </c>
      <c r="AH73" s="47" t="n">
        <f aca="false">-In_Var_Opex*AH71*AH69/Thousand</f>
        <v>-173.719400093332</v>
      </c>
      <c r="AI73" s="47" t="n">
        <f aca="false">-In_Var_Opex*AI71*AI69/Thousand</f>
        <v>-174.191463680542</v>
      </c>
      <c r="AJ73" s="47" t="n">
        <f aca="false">-In_Var_Opex*AJ71*AJ69/Thousand</f>
        <v>-176.126924388103</v>
      </c>
      <c r="AK73" s="47" t="n">
        <f aca="false">-In_Var_Opex*AK71*AK69/Thousand</f>
        <v>-178.062385095665</v>
      </c>
      <c r="AL73" s="47" t="n">
        <f aca="false">-In_Var_Opex*AL71*AL69/Thousand</f>
        <v>-177.528197940378</v>
      </c>
      <c r="AM73" s="47" t="n">
        <f aca="false">-In_Var_Opex*AM71*AM69/Thousand</f>
        <v>-178.010611521738</v>
      </c>
      <c r="AN73" s="47" t="n">
        <f aca="false">-In_Var_Opex*AN71*AN69/Thousand</f>
        <v>-179.988507205313</v>
      </c>
      <c r="AO73" s="47" t="n">
        <f aca="false">-In_Var_Opex*AO71*AO69/Thousand</f>
        <v>-181.966402888888</v>
      </c>
      <c r="AP73" s="47" t="n">
        <f aca="false">-In_Var_Opex*AP71*AP69/Thousand</f>
        <v>-181.420503680221</v>
      </c>
      <c r="AQ73" s="47" t="n">
        <f aca="false">-In_Var_Opex*AQ71*AQ69/Thousand</f>
        <v>-181.913494179352</v>
      </c>
      <c r="AR73" s="47" t="n">
        <f aca="false">-In_Var_Opex*AR71*AR69/Thousand</f>
        <v>-183.934755225789</v>
      </c>
      <c r="AS73" s="47" t="n">
        <f aca="false">-In_Var_Opex*AS71*AS69/Thousand</f>
        <v>-185.956016272226</v>
      </c>
      <c r="AT73" s="47" t="n">
        <f aca="false">-In_Var_Opex*AT71*AT69/Thousand</f>
        <v>-185.39814822341</v>
      </c>
      <c r="AU73" s="47" t="n">
        <f aca="false">-In_Var_Opex*AU71*AU69/Thousand</f>
        <v>-187.967524734115</v>
      </c>
      <c r="AV73" s="47" t="n">
        <f aca="false">-In_Var_Opex*AV71*AV69/Thousand</f>
        <v>-187.967524734115</v>
      </c>
      <c r="AW73" s="47" t="n">
        <f aca="false">-In_Var_Opex*AW71*AW69/Thousand</f>
        <v>-190.033101928995</v>
      </c>
      <c r="AX73" s="47" t="n">
        <f aca="false">-In_Var_Opex*AX71*AX69/Thousand</f>
        <v>-189.463002623208</v>
      </c>
      <c r="AY73" s="47" t="n">
        <f aca="false">-In_Var_Opex*AY71*AY69/Thousand</f>
        <v>-189.977847739032</v>
      </c>
      <c r="AZ73" s="47" t="n">
        <f aca="false">-In_Var_Opex*AZ71*AZ69/Thousand</f>
        <v>-192.08871271391</v>
      </c>
      <c r="BA73" s="47" t="n">
        <f aca="false">-In_Var_Opex*BA71*BA69/Thousand</f>
        <v>-194.199577688788</v>
      </c>
      <c r="BB73" s="47" t="n">
        <f aca="false">-In_Var_Opex*BB71*BB69/Thousand</f>
        <v>-193.616978955722</v>
      </c>
      <c r="BC73" s="47" t="n">
        <f aca="false">-In_Var_Opex*BC71*BC69/Thousand</f>
        <v>-194.14311205071</v>
      </c>
      <c r="BD73" s="47" t="n">
        <f aca="false">-In_Var_Opex*BD71*BD69/Thousand</f>
        <v>-196.300257740162</v>
      </c>
      <c r="BE73" s="47" t="n">
        <f aca="false">-In_Var_Opex*BE71*BE69/Thousand</f>
        <v>-198.457403429615</v>
      </c>
      <c r="BF73" s="47" t="n">
        <f aca="false">-In_Var_Opex*BF71*BF69/Thousand</f>
        <v>-197.862031219326</v>
      </c>
      <c r="BG73" s="47" t="n">
        <f aca="false">-In_Var_Opex*BG71*BG69/Thousand</f>
        <v>-198.399699782422</v>
      </c>
      <c r="BH73" s="47" t="n">
        <f aca="false">-In_Var_Opex*BH71*BH69/Thousand</f>
        <v>-200.604140891115</v>
      </c>
      <c r="BI73" s="47" t="n">
        <f aca="false">-In_Var_Opex*BI71*BI69/Thousand</f>
        <v>-202.808581999809</v>
      </c>
      <c r="BJ73" s="47" t="n">
        <f aca="false">-In_Var_Opex*BJ71*BJ69/Thousand</f>
        <v>-202.20015625381</v>
      </c>
      <c r="BK73" s="47" t="n">
        <f aca="false">-In_Var_Opex*BK71*BK69/Thousand</f>
        <v>-205.002386680153</v>
      </c>
      <c r="BL73" s="47" t="n">
        <f aca="false">-In_Var_Opex*BL71*BL69/Thousand</f>
        <v>-205.002386680153</v>
      </c>
      <c r="BM73" s="47" t="n">
        <f aca="false">-In_Var_Opex*BM71*BM69/Thousand</f>
        <v>-207.255160160155</v>
      </c>
      <c r="BN73" s="47" t="n">
        <f aca="false">-In_Var_Opex*BN71*BN69/Thousand</f>
        <v>-206.633394679674</v>
      </c>
      <c r="BO73" s="47" t="n">
        <f aca="false">-In_Var_Opex*BO71*BO69/Thousand</f>
        <v>-207.194898469565</v>
      </c>
      <c r="BP73" s="47" t="n">
        <f aca="false">-In_Var_Opex*BP71*BP69/Thousand</f>
        <v>-209.497064008115</v>
      </c>
      <c r="BQ73" s="47" t="n">
        <f aca="false">-In_Var_Opex*BQ71*BQ69/Thousand</f>
        <v>-211.799229546666</v>
      </c>
      <c r="BR73" s="47" t="n">
        <f aca="false">-In_Var_Opex*BR71*BR69/Thousand</f>
        <v>-211.163831858026</v>
      </c>
      <c r="BS73" s="47" t="n">
        <f aca="false">-In_Var_Opex*BS71*BS69/Thousand</f>
        <v>-211.73764661851</v>
      </c>
      <c r="BT73" s="47" t="n">
        <f aca="false">-In_Var_Opex*BT71*BT69/Thousand</f>
        <v>-214.090287136493</v>
      </c>
      <c r="BU73" s="47" t="n">
        <f aca="false">-In_Var_Opex*BU71*BU69/Thousand</f>
        <v>-216.442927654477</v>
      </c>
      <c r="BV73" s="47" t="n">
        <f aca="false">-In_Var_Opex*BV71*BV69/Thousand</f>
        <v>-215.793598871513</v>
      </c>
      <c r="BW73" s="47" t="n">
        <f aca="false">-In_Var_Opex*BW71*BW69/Thousand</f>
        <v>-216.379994520621</v>
      </c>
      <c r="BX73" s="47" t="n">
        <f aca="false">-In_Var_Opex*BX71*BX69/Thousand</f>
        <v>-218.784216681961</v>
      </c>
      <c r="BY73" s="47" t="n">
        <f aca="false">-In_Var_Opex*BY71*BY69/Thousand</f>
        <v>-221.188438843301</v>
      </c>
      <c r="BZ73" s="47" t="n">
        <f aca="false">-In_Var_Opex*BZ71*BZ69/Thousand</f>
        <v>-220.524873526771</v>
      </c>
      <c r="CA73" s="47" t="n">
        <f aca="false">-In_Var_Opex*CA71*CA69/Thousand</f>
        <v>-223.581060632713</v>
      </c>
      <c r="CB73" s="47" t="n">
        <f aca="false">-In_Var_Opex*CB71*CB69/Thousand</f>
        <v>-223.581060632713</v>
      </c>
      <c r="CC73" s="47" t="n">
        <f aca="false">-In_Var_Opex*CC71*CC69/Thousand</f>
        <v>-226.037995364941</v>
      </c>
      <c r="CD73" s="47" t="n">
        <f aca="false">-In_Var_Opex*CD71*CD69/Thousand</f>
        <v>-225.359881378846</v>
      </c>
      <c r="CE73" s="47" t="n">
        <f aca="false">-In_Var_Opex*CE71*CE69/Thousand</f>
        <v>-225.972272360853</v>
      </c>
      <c r="CF73" s="47" t="n">
        <f aca="false">-In_Var_Opex*CF71*CF69/Thousand</f>
        <v>-228.483075387085</v>
      </c>
      <c r="CG73" s="47" t="n">
        <f aca="false">-In_Var_Opex*CG71*CG69/Thousand</f>
        <v>-230.993878413317</v>
      </c>
      <c r="CH73" s="47" t="n">
        <f aca="false">-In_Var_Opex*CH71*CH69/Thousand</f>
        <v>-230.300896778077</v>
      </c>
      <c r="CI73" s="47" t="n">
        <f aca="false">-In_Var_Opex*CI71*CI69/Thousand</f>
        <v>-230.926714432365</v>
      </c>
      <c r="CJ73" s="47" t="n">
        <f aca="false">-In_Var_Opex*CJ71*CJ69/Thousand</f>
        <v>-233.492566814947</v>
      </c>
      <c r="CK73" s="47" t="n">
        <f aca="false">-In_Var_Opex*CK71*CK69/Thousand</f>
        <v>-236.058419197529</v>
      </c>
      <c r="CL73" s="47" t="n">
        <f aca="false">-In_Var_Opex*CL71*CL69/Thousand</f>
        <v>-235.350243939936</v>
      </c>
      <c r="CM73" s="47" t="n">
        <f aca="false">-In_Var_Opex*CM71*CM69/Thousand</f>
        <v>-235.989782646295</v>
      </c>
      <c r="CN73" s="47" t="n">
        <f aca="false">-In_Var_Opex*CN71*CN69/Thousand</f>
        <v>-238.611891342365</v>
      </c>
      <c r="CO73" s="47" t="n">
        <f aca="false">-In_Var_Opex*CO71*CO69/Thousand</f>
        <v>-241.234000038435</v>
      </c>
      <c r="CP73" s="47" t="n">
        <f aca="false">-In_Var_Opex*CP71*CP69/Thousand</f>
        <v>-240.510298038319</v>
      </c>
      <c r="CQ73" s="47" t="n">
        <f aca="false">-In_Var_Opex*CQ71*CQ69/Thousand</f>
        <v>-243.843457060046</v>
      </c>
      <c r="CR73" s="47" t="n">
        <f aca="false">-In_Var_Opex*CR71*CR69/Thousand</f>
        <v>-243.843457060046</v>
      </c>
      <c r="CS73" s="47" t="n">
        <f aca="false">-In_Var_Opex*CS71*CS69/Thousand</f>
        <v>-246.523055489277</v>
      </c>
      <c r="CT73" s="47" t="n">
        <f aca="false">-In_Var_Opex*CT71*CT69/Thousand</f>
        <v>-245.783486322809</v>
      </c>
      <c r="CU73" s="47" t="n">
        <f aca="false">-In_Var_Opex*CU71*CU69/Thousand</f>
        <v>-246.451376231295</v>
      </c>
      <c r="CV73" s="47" t="n">
        <f aca="false">-In_Var_Opex*CV71*CV69/Thousand</f>
        <v>-249.189724856088</v>
      </c>
      <c r="CW73" s="47" t="n">
        <f aca="false">-In_Var_Opex*CW71*CW69/Thousand</f>
        <v>-251.92807348088</v>
      </c>
      <c r="CX73" s="47" t="n">
        <f aca="false">-In_Var_Opex*CX71*CX69/Thousand</f>
        <v>-251.172289260437</v>
      </c>
      <c r="CY73" s="47" t="n">
        <f aca="false">-In_Var_Opex*CY71*CY69/Thousand</f>
        <v>-251.854822655166</v>
      </c>
      <c r="CZ73" s="47" t="n">
        <f aca="false">-In_Var_Opex*CZ71*CZ69/Thousand</f>
        <v>-254.653209573557</v>
      </c>
      <c r="DA73" s="47" t="n">
        <f aca="false">-In_Var_Opex*DA71*DA69/Thousand</f>
        <v>-257.451596491948</v>
      </c>
      <c r="DB73" s="47" t="n">
        <f aca="false">-In_Var_Opex*DB71*DB69/Thousand</f>
        <v>-256.679241702472</v>
      </c>
      <c r="DC73" s="47" t="n">
        <f aca="false">-In_Var_Opex*DC71*DC69/Thousand</f>
        <v>-257.376739641881</v>
      </c>
      <c r="DD73" s="47" t="n">
        <f aca="false">-In_Var_Opex*DD71*DD69/Thousand</f>
        <v>-260.236481193457</v>
      </c>
      <c r="DE73" s="47" t="n">
        <f aca="false">-In_Var_Opex*DE71*DE69/Thousand</f>
        <v>-263.096222745034</v>
      </c>
      <c r="DF73" s="47" t="n">
        <f aca="false">-In_Var_Opex*DF71*DF69/Thousand</f>
        <v>-262.306934076799</v>
      </c>
      <c r="DG73" s="47" t="n">
        <f aca="false">-In_Var_Opex*DG71*DG69/Thousand</f>
        <v>-265.942166043624</v>
      </c>
      <c r="DH73" s="47" t="n">
        <f aca="false">-In_Var_Opex*DH71*DH69/Thousand</f>
        <v>-265.942166043624</v>
      </c>
      <c r="DI73" s="47" t="n">
        <f aca="false">-In_Var_Opex*DI71*DI69/Thousand</f>
        <v>-268.864607428719</v>
      </c>
      <c r="DJ73" s="47" t="n">
        <f aca="false">-In_Var_Opex*DJ71*DJ69/Thousand</f>
        <v>-268.058013606433</v>
      </c>
      <c r="DK73" s="47" t="n">
        <f aca="false">-In_Var_Opex*DK71*DK69/Thousand</f>
        <v>-268.786432121667</v>
      </c>
      <c r="DL73" s="47" t="n">
        <f aca="false">-In_Var_Opex*DL71*DL69/Thousand</f>
        <v>-271.77294803413</v>
      </c>
      <c r="DM73" s="47" t="n">
        <f aca="false">-In_Var_Opex*DM71*DM69/Thousand</f>
        <v>-274.759463946593</v>
      </c>
      <c r="DN73" s="47" t="n">
        <f aca="false">-In_Var_Opex*DN71*DN69/Thousand</f>
        <v>-273.935185554754</v>
      </c>
      <c r="DO73" s="47" t="n">
        <f aca="false">-In_Var_Opex*DO71*DO69/Thousand</f>
        <v>-274.679574645935</v>
      </c>
      <c r="DP73" s="47" t="n">
        <f aca="false">-In_Var_Opex*DP71*DP69/Thousand</f>
        <v>-277.731569919779</v>
      </c>
      <c r="DQ73" s="47" t="n">
        <f aca="false">-In_Var_Opex*DQ71*DQ69/Thousand</f>
        <v>-280.783565193622</v>
      </c>
      <c r="DR73" s="47" t="n">
        <f aca="false">-In_Var_Opex*DR71*DR69/Thousand</f>
        <v>-279.941214498041</v>
      </c>
      <c r="DS73" s="47" t="n">
        <f aca="false">-In_Var_Opex*DS71*DS69/Thousand</f>
        <v>-280.701924320047</v>
      </c>
      <c r="DT73" s="47" t="n">
        <f aca="false">-In_Var_Opex*DT71*DT69/Thousand</f>
        <v>-283.82083459027</v>
      </c>
      <c r="DU73" s="47" t="n">
        <f aca="false">-In_Var_Opex*DU71*DU69/Thousand</f>
        <v>-286.939744860493</v>
      </c>
      <c r="DV73" s="47" t="n">
        <f aca="false">-In_Var_Opex*DV71*DV69/Thousand</f>
        <v>-286.078925625911</v>
      </c>
      <c r="DW73" s="47" t="n">
        <f aca="false">-In_Var_Opex*DW71*DW69/Thousand</f>
        <v>-290.043606388661</v>
      </c>
      <c r="DX73" s="47" t="n">
        <f aca="false">-In_Var_Opex*DX71*DX69/Thousand</f>
        <v>-290.043606388661</v>
      </c>
      <c r="DY73" s="47" t="n">
        <f aca="false">-In_Var_Opex*DY71*DY69/Thousand</f>
        <v>-293.230898766559</v>
      </c>
      <c r="DZ73" s="47" t="n">
        <f aca="false">-In_Var_Opex*DZ71*DZ69/Thousand</f>
        <v>-292.351206070259</v>
      </c>
      <c r="EA73" s="47" t="n">
        <f aca="false">-In_Var_Opex*EA71*EA69/Thousand</f>
        <v>-293.14563869545</v>
      </c>
      <c r="EB73" s="47" t="n">
        <f aca="false">-In_Var_Opex*EB71*EB69/Thousand</f>
        <v>-296.402812458733</v>
      </c>
      <c r="EC73" s="47" t="n">
        <f aca="false">-In_Var_Opex*EC71*EC69/Thousand</f>
        <v>-299.659986222016</v>
      </c>
      <c r="ED73" s="47" t="n">
        <f aca="false">-In_Var_Opex*ED71*ED69/Thousand</f>
        <v>-298.76100626335</v>
      </c>
      <c r="EE73" s="47" t="n">
        <f aca="false">-In_Var_Opex*EE71*EE69/Thousand</f>
        <v>-299.572856823848</v>
      </c>
      <c r="EF73" s="47" t="n">
        <f aca="false">-In_Var_Opex*EF71*EF69/Thousand</f>
        <v>-302.90144412189</v>
      </c>
      <c r="EG73" s="47" t="n">
        <f aca="false">-In_Var_Opex*EG71*EG69/Thousand</f>
        <v>-306.230031419933</v>
      </c>
      <c r="EH73" s="47" t="n">
        <f aca="false">-In_Var_Opex*EH71*EH69/Thousand</f>
        <v>-305.311341325673</v>
      </c>
      <c r="EI73" s="47" t="n">
        <f aca="false">-In_Var_Opex*EI71*EI69/Thousand</f>
        <v>-306.140991709711</v>
      </c>
      <c r="EJ73" s="47" t="n">
        <f aca="false">-In_Var_Opex*EJ71*EJ69/Thousand</f>
        <v>-309.542558284263</v>
      </c>
      <c r="EK73" s="47" t="n">
        <f aca="false">-In_Var_Opex*EK71*EK69/Thousand</f>
        <v>-312.944124858815</v>
      </c>
      <c r="EL73" s="47" t="n">
        <f aca="false">-In_Var_Opex*EL71*EL69/Thousand</f>
        <v>-312.005292484239</v>
      </c>
      <c r="EM73" s="47" t="n">
        <f aca="false">-In_Var_Opex*EM71*EM69/Thousand</f>
        <v>-316.329278874645</v>
      </c>
      <c r="EN73" s="47" t="n">
        <f aca="false">-In_Var_Opex*EN71*EN69/Thousand</f>
        <v>-316.329278874645</v>
      </c>
      <c r="EO73" s="47" t="n">
        <f aca="false">-In_Var_Opex*EO71*EO69/Thousand</f>
        <v>-319.805424796345</v>
      </c>
    </row>
    <row r="74" customFormat="false" ht="15" hidden="false" customHeight="false" outlineLevel="0" collapsed="false">
      <c r="C74" s="0" t="s">
        <v>424</v>
      </c>
      <c r="D74" s="11" t="s">
        <v>33</v>
      </c>
      <c r="I74" s="47" t="n">
        <f aca="false">SUM(J74:EO74)</f>
        <v>-60869.5202640337</v>
      </c>
      <c r="J74" s="47" t="n">
        <f aca="false">-(In_Fixed_Opex*$F24+In_Admin)*J69*J15*J$6</f>
        <v>-0</v>
      </c>
      <c r="K74" s="47" t="n">
        <f aca="false">-(In_Fixed_Opex*$F24+In_Admin)*K69*K15*K$6</f>
        <v>-0</v>
      </c>
      <c r="L74" s="47" t="n">
        <f aca="false">-(In_Fixed_Opex*$F24+In_Admin)*L69*L15*L$6</f>
        <v>-0</v>
      </c>
      <c r="M74" s="47" t="n">
        <f aca="false">-(In_Fixed_Opex*$F24+In_Admin)*M69*M15*M$6</f>
        <v>-0</v>
      </c>
      <c r="N74" s="47" t="n">
        <f aca="false">-(In_Fixed_Opex*$F24+In_Admin)*N69*N15*N$6</f>
        <v>-0</v>
      </c>
      <c r="O74" s="47" t="n">
        <f aca="false">-(In_Fixed_Opex*$F24+In_Admin)*O69*O15*O$6</f>
        <v>-0</v>
      </c>
      <c r="P74" s="47" t="n">
        <f aca="false">-(In_Fixed_Opex*$F24+In_Admin)*P69*P15*P$6</f>
        <v>-0</v>
      </c>
      <c r="Q74" s="47" t="n">
        <f aca="false">-(In_Fixed_Opex*$F24+In_Admin)*Q69*Q15*Q$6</f>
        <v>-0</v>
      </c>
      <c r="R74" s="47" t="n">
        <f aca="false">-(In_Fixed_Opex*$F24+In_Admin)*R69*R15*R$6</f>
        <v>-0</v>
      </c>
      <c r="S74" s="47" t="n">
        <f aca="false">-(In_Fixed_Opex*$F24+In_Admin)*S69*S15*S$6</f>
        <v>-0</v>
      </c>
      <c r="T74" s="47" t="n">
        <f aca="false">-(In_Fixed_Opex*$F24+In_Admin)*T69*T15*T$6</f>
        <v>-0</v>
      </c>
      <c r="U74" s="47" t="n">
        <f aca="false">-(In_Fixed_Opex*$F24+In_Admin)*U69*U15*U$6</f>
        <v>-0</v>
      </c>
      <c r="V74" s="47" t="n">
        <f aca="false">-(In_Fixed_Opex*$F24+In_Admin)*V69*V15*V$6</f>
        <v>-0</v>
      </c>
      <c r="W74" s="47" t="n">
        <f aca="false">-(In_Fixed_Opex*$F24+In_Admin)*W69*W15*W$6</f>
        <v>-0</v>
      </c>
      <c r="X74" s="47" t="n">
        <f aca="false">-(In_Fixed_Opex*$F24+In_Admin)*X69*X15*X$6</f>
        <v>-0</v>
      </c>
      <c r="Y74" s="47" t="n">
        <f aca="false">-(In_Fixed_Opex*$F24+In_Admin)*Y69*Y15*Y$6</f>
        <v>-0</v>
      </c>
      <c r="Z74" s="47" t="n">
        <f aca="false">-(In_Fixed_Opex*$F24+In_Admin)*Z69*Z15*Z$6</f>
        <v>-342.794520547945</v>
      </c>
      <c r="AA74" s="47" t="n">
        <f aca="false">-(In_Fixed_Opex*$F24+In_Admin)*AA69*AA15*AA$6</f>
        <v>-343.72602739726</v>
      </c>
      <c r="AB74" s="47" t="n">
        <f aca="false">-(In_Fixed_Opex*$F24+In_Admin)*AB69*AB15*AB$6</f>
        <v>-347.545205479452</v>
      </c>
      <c r="AC74" s="47" t="n">
        <f aca="false">-(In_Fixed_Opex*$F24+In_Admin)*AC69*AC15*AC$6</f>
        <v>-351.364383561644</v>
      </c>
      <c r="AD74" s="47" t="n">
        <f aca="false">-(In_Fixed_Opex*$F24+In_Admin)*AD69*AD15*AD$6</f>
        <v>-351.364383561644</v>
      </c>
      <c r="AE74" s="47" t="n">
        <f aca="false">-(In_Fixed_Opex*$F24+In_Admin)*AE69*AE15*AE$6</f>
        <v>-356.233835616438</v>
      </c>
      <c r="AF74" s="47" t="n">
        <f aca="false">-(In_Fixed_Opex*$F24+In_Admin)*AF69*AF15*AF$6</f>
        <v>-356.233835616438</v>
      </c>
      <c r="AG74" s="47" t="n">
        <f aca="false">-(In_Fixed_Opex*$F24+In_Admin)*AG69*AG15*AG$6</f>
        <v>-360.148493150685</v>
      </c>
      <c r="AH74" s="47" t="n">
        <f aca="false">-(In_Fixed_Opex*$F24+In_Admin)*AH69*AH15*AH$6</f>
        <v>-360.148493150685</v>
      </c>
      <c r="AI74" s="47" t="n">
        <f aca="false">-(In_Fixed_Opex*$F24+In_Admin)*AI69*AI15*AI$6</f>
        <v>-361.127157534246</v>
      </c>
      <c r="AJ74" s="47" t="n">
        <f aca="false">-(In_Fixed_Opex*$F24+In_Admin)*AJ69*AJ15*AJ$6</f>
        <v>-365.139681506849</v>
      </c>
      <c r="AK74" s="47" t="n">
        <f aca="false">-(In_Fixed_Opex*$F24+In_Admin)*AK69*AK15*AK$6</f>
        <v>-369.152205479452</v>
      </c>
      <c r="AL74" s="47" t="n">
        <f aca="false">-(In_Fixed_Opex*$F24+In_Admin)*AL69*AL15*AL$6</f>
        <v>-369.152205479452</v>
      </c>
      <c r="AM74" s="47" t="n">
        <f aca="false">-(In_Fixed_Opex*$F24+In_Admin)*AM69*AM15*AM$6</f>
        <v>-370.155336472603</v>
      </c>
      <c r="AN74" s="47" t="n">
        <f aca="false">-(In_Fixed_Opex*$F24+In_Admin)*AN69*AN15*AN$6</f>
        <v>-374.268173544521</v>
      </c>
      <c r="AO74" s="47" t="n">
        <f aca="false">-(In_Fixed_Opex*$F24+In_Admin)*AO69*AO15*AO$6</f>
        <v>-378.381010616438</v>
      </c>
      <c r="AP74" s="47" t="n">
        <f aca="false">-(In_Fixed_Opex*$F24+In_Admin)*AP69*AP15*AP$6</f>
        <v>-378.381010616438</v>
      </c>
      <c r="AQ74" s="47" t="n">
        <f aca="false">-(In_Fixed_Opex*$F24+In_Admin)*AQ69*AQ15*AQ$6</f>
        <v>-379.409219884418</v>
      </c>
      <c r="AR74" s="47" t="n">
        <f aca="false">-(In_Fixed_Opex*$F24+In_Admin)*AR69*AR15*AR$6</f>
        <v>-383.624877883134</v>
      </c>
      <c r="AS74" s="47" t="n">
        <f aca="false">-(In_Fixed_Opex*$F24+In_Admin)*AS69*AS15*AS$6</f>
        <v>-387.840535881849</v>
      </c>
      <c r="AT74" s="47" t="n">
        <f aca="false">-(In_Fixed_Opex*$F24+In_Admin)*AT69*AT15*AT$6</f>
        <v>-387.840535881849</v>
      </c>
      <c r="AU74" s="47" t="n">
        <f aca="false">-(In_Fixed_Opex*$F24+In_Admin)*AU69*AU15*AU$6</f>
        <v>-393.215499830212</v>
      </c>
      <c r="AV74" s="47" t="n">
        <f aca="false">-(In_Fixed_Opex*$F24+In_Admin)*AV69*AV15*AV$6</f>
        <v>-393.215499830212</v>
      </c>
      <c r="AW74" s="47" t="n">
        <f aca="false">-(In_Fixed_Opex*$F24+In_Admin)*AW69*AW15*AW$6</f>
        <v>-397.536549278895</v>
      </c>
      <c r="AX74" s="47" t="n">
        <f aca="false">-(In_Fixed_Opex*$F24+In_Admin)*AX69*AX15*AX$6</f>
        <v>-397.536549278895</v>
      </c>
      <c r="AY74" s="47" t="n">
        <f aca="false">-(In_Fixed_Opex*$F24+In_Admin)*AY69*AY15*AY$6</f>
        <v>-398.616811641066</v>
      </c>
      <c r="AZ74" s="47" t="n">
        <f aca="false">-(In_Fixed_Opex*$F24+In_Admin)*AZ69*AZ15*AZ$6</f>
        <v>-403.045887325967</v>
      </c>
      <c r="BA74" s="47" t="n">
        <f aca="false">-(In_Fixed_Opex*$F24+In_Admin)*BA69*BA15*BA$6</f>
        <v>-407.474963010868</v>
      </c>
      <c r="BB74" s="47" t="n">
        <f aca="false">-(In_Fixed_Opex*$F24+In_Admin)*BB69*BB15*BB$6</f>
        <v>-407.474963010868</v>
      </c>
      <c r="BC74" s="47" t="n">
        <f aca="false">-(In_Fixed_Opex*$F24+In_Admin)*BC69*BC15*BC$6</f>
        <v>-408.582231932093</v>
      </c>
      <c r="BD74" s="47" t="n">
        <f aca="false">-(In_Fixed_Opex*$F24+In_Admin)*BD69*BD15*BD$6</f>
        <v>-413.122034509116</v>
      </c>
      <c r="BE74" s="47" t="n">
        <f aca="false">-(In_Fixed_Opex*$F24+In_Admin)*BE69*BE15*BE$6</f>
        <v>-417.661837086139</v>
      </c>
      <c r="BF74" s="47" t="n">
        <f aca="false">-(In_Fixed_Opex*$F24+In_Admin)*BF69*BF15*BF$6</f>
        <v>-417.661837086139</v>
      </c>
      <c r="BG74" s="47" t="n">
        <f aca="false">-(In_Fixed_Opex*$F24+In_Admin)*BG69*BG15*BG$6</f>
        <v>-418.796787730395</v>
      </c>
      <c r="BH74" s="47" t="n">
        <f aca="false">-(In_Fixed_Opex*$F24+In_Admin)*BH69*BH15*BH$6</f>
        <v>-423.450085371844</v>
      </c>
      <c r="BI74" s="47" t="n">
        <f aca="false">-(In_Fixed_Opex*$F24+In_Admin)*BI69*BI15*BI$6</f>
        <v>-428.103383013293</v>
      </c>
      <c r="BJ74" s="47" t="n">
        <f aca="false">-(In_Fixed_Opex*$F24+In_Admin)*BJ69*BJ15*BJ$6</f>
        <v>-428.103383013293</v>
      </c>
      <c r="BK74" s="47" t="n">
        <f aca="false">-(In_Fixed_Opex*$F24+In_Admin)*BK69*BK15*BK$6</f>
        <v>-434.03633750614</v>
      </c>
      <c r="BL74" s="47" t="n">
        <f aca="false">-(In_Fixed_Opex*$F24+In_Admin)*BL69*BL15*BL$6</f>
        <v>-434.03633750614</v>
      </c>
      <c r="BM74" s="47" t="n">
        <f aca="false">-(In_Fixed_Opex*$F24+In_Admin)*BM69*BM15*BM$6</f>
        <v>-438.805967588625</v>
      </c>
      <c r="BN74" s="47" t="n">
        <f aca="false">-(In_Fixed_Opex*$F24+In_Admin)*BN69*BN15*BN$6</f>
        <v>-438.805967588625</v>
      </c>
      <c r="BO74" s="47" t="n">
        <f aca="false">-(In_Fixed_Opex*$F24+In_Admin)*BO69*BO15*BO$6</f>
        <v>-439.998375109246</v>
      </c>
      <c r="BP74" s="47" t="n">
        <f aca="false">-(In_Fixed_Opex*$F24+In_Admin)*BP69*BP15*BP$6</f>
        <v>-444.887245943794</v>
      </c>
      <c r="BQ74" s="47" t="n">
        <f aca="false">-(In_Fixed_Opex*$F24+In_Admin)*BQ69*BQ15*BQ$6</f>
        <v>-449.776116778341</v>
      </c>
      <c r="BR74" s="47" t="n">
        <f aca="false">-(In_Fixed_Opex*$F24+In_Admin)*BR69*BR15*BR$6</f>
        <v>-449.776116778341</v>
      </c>
      <c r="BS74" s="47" t="n">
        <f aca="false">-(In_Fixed_Opex*$F24+In_Admin)*BS69*BS15*BS$6</f>
        <v>-450.998334486977</v>
      </c>
      <c r="BT74" s="47" t="n">
        <f aca="false">-(In_Fixed_Opex*$F24+In_Admin)*BT69*BT15*BT$6</f>
        <v>-456.009427092388</v>
      </c>
      <c r="BU74" s="47" t="n">
        <f aca="false">-(In_Fixed_Opex*$F24+In_Admin)*BU69*BU15*BU$6</f>
        <v>-461.020519697799</v>
      </c>
      <c r="BV74" s="47" t="n">
        <f aca="false">-(In_Fixed_Opex*$F24+In_Admin)*BV69*BV15*BV$6</f>
        <v>-461.020519697799</v>
      </c>
      <c r="BW74" s="47" t="n">
        <f aca="false">-(In_Fixed_Opex*$F24+In_Admin)*BW69*BW15*BW$6</f>
        <v>-462.273292849152</v>
      </c>
      <c r="BX74" s="47" t="n">
        <f aca="false">-(In_Fixed_Opex*$F24+In_Admin)*BX69*BX15*BX$6</f>
        <v>-467.409662769698</v>
      </c>
      <c r="BY74" s="47" t="n">
        <f aca="false">-(In_Fixed_Opex*$F24+In_Admin)*BY69*BY15*BY$6</f>
        <v>-472.546032690244</v>
      </c>
      <c r="BZ74" s="47" t="n">
        <f aca="false">-(In_Fixed_Opex*$F24+In_Admin)*BZ69*BZ15*BZ$6</f>
        <v>-472.546032690244</v>
      </c>
      <c r="CA74" s="47" t="n">
        <f aca="false">-(In_Fixed_Opex*$F24+In_Admin)*CA69*CA15*CA$6</f>
        <v>-479.09490433894</v>
      </c>
      <c r="CB74" s="47" t="n">
        <f aca="false">-(In_Fixed_Opex*$F24+In_Admin)*CB69*CB15*CB$6</f>
        <v>-479.09490433894</v>
      </c>
      <c r="CC74" s="47" t="n">
        <f aca="false">-(In_Fixed_Opex*$F24+In_Admin)*CC69*CC15*CC$6</f>
        <v>-484.3596835075</v>
      </c>
      <c r="CD74" s="47" t="n">
        <f aca="false">-(In_Fixed_Opex*$F24+In_Admin)*CD69*CD15*CD$6</f>
        <v>-484.3596835075</v>
      </c>
      <c r="CE74" s="47" t="n">
        <f aca="false">-(In_Fixed_Opex*$F24+In_Admin)*CE69*CE15*CE$6</f>
        <v>-485.67587829964</v>
      </c>
      <c r="CF74" s="47" t="n">
        <f aca="false">-(In_Fixed_Opex*$F24+In_Admin)*CF69*CF15*CF$6</f>
        <v>-491.072276947414</v>
      </c>
      <c r="CG74" s="47" t="n">
        <f aca="false">-(In_Fixed_Opex*$F24+In_Admin)*CG69*CG15*CG$6</f>
        <v>-496.468675595188</v>
      </c>
      <c r="CH74" s="47" t="n">
        <f aca="false">-(In_Fixed_Opex*$F24+In_Admin)*CH69*CH15*CH$6</f>
        <v>-496.468675595188</v>
      </c>
      <c r="CI74" s="47" t="n">
        <f aca="false">-(In_Fixed_Opex*$F24+In_Admin)*CI69*CI15*CI$6</f>
        <v>-497.817775257131</v>
      </c>
      <c r="CJ74" s="47" t="n">
        <f aca="false">-(In_Fixed_Opex*$F24+In_Admin)*CJ69*CJ15*CJ$6</f>
        <v>-503.349083871099</v>
      </c>
      <c r="CK74" s="47" t="n">
        <f aca="false">-(In_Fixed_Opex*$F24+In_Admin)*CK69*CK15*CK$6</f>
        <v>-508.880392485067</v>
      </c>
      <c r="CL74" s="47" t="n">
        <f aca="false">-(In_Fixed_Opex*$F24+In_Admin)*CL69*CL15*CL$6</f>
        <v>-508.880392485067</v>
      </c>
      <c r="CM74" s="47" t="n">
        <f aca="false">-(In_Fixed_Opex*$F24+In_Admin)*CM69*CM15*CM$6</f>
        <v>-510.263219638559</v>
      </c>
      <c r="CN74" s="47" t="n">
        <f aca="false">-(In_Fixed_Opex*$F24+In_Admin)*CN69*CN15*CN$6</f>
        <v>-515.932810967877</v>
      </c>
      <c r="CO74" s="47" t="n">
        <f aca="false">-(In_Fixed_Opex*$F24+In_Admin)*CO69*CO15*CO$6</f>
        <v>-521.602402297194</v>
      </c>
      <c r="CP74" s="47" t="n">
        <f aca="false">-(In_Fixed_Opex*$F24+In_Admin)*CP69*CP15*CP$6</f>
        <v>-521.602402297194</v>
      </c>
      <c r="CQ74" s="47" t="n">
        <f aca="false">-(In_Fixed_Opex*$F24+In_Admin)*CQ69*CQ15*CQ$6</f>
        <v>-528.831131242074</v>
      </c>
      <c r="CR74" s="47" t="n">
        <f aca="false">-(In_Fixed_Opex*$F24+In_Admin)*CR69*CR15*CR$6</f>
        <v>-528.831131242074</v>
      </c>
      <c r="CS74" s="47" t="n">
        <f aca="false">-(In_Fixed_Opex*$F24+In_Admin)*CS69*CS15*CS$6</f>
        <v>-534.642462354624</v>
      </c>
      <c r="CT74" s="47" t="n">
        <f aca="false">-(In_Fixed_Opex*$F24+In_Admin)*CT69*CT15*CT$6</f>
        <v>-534.642462354624</v>
      </c>
      <c r="CU74" s="47" t="n">
        <f aca="false">-(In_Fixed_Opex*$F24+In_Admin)*CU69*CU15*CU$6</f>
        <v>-536.095295132761</v>
      </c>
      <c r="CV74" s="47" t="n">
        <f aca="false">-(In_Fixed_Opex*$F24+In_Admin)*CV69*CV15*CV$6</f>
        <v>-542.051909523125</v>
      </c>
      <c r="CW74" s="47" t="n">
        <f aca="false">-(In_Fixed_Opex*$F24+In_Admin)*CW69*CW15*CW$6</f>
        <v>-548.008523913489</v>
      </c>
      <c r="CX74" s="47" t="n">
        <f aca="false">-(In_Fixed_Opex*$F24+In_Admin)*CX69*CX15*CX$6</f>
        <v>-548.008523913489</v>
      </c>
      <c r="CY74" s="47" t="n">
        <f aca="false">-(In_Fixed_Opex*$F24+In_Admin)*CY69*CY15*CY$6</f>
        <v>-549.49767751108</v>
      </c>
      <c r="CZ74" s="47" t="n">
        <f aca="false">-(In_Fixed_Opex*$F24+In_Admin)*CZ69*CZ15*CZ$6</f>
        <v>-555.603207261203</v>
      </c>
      <c r="DA74" s="47" t="n">
        <f aca="false">-(In_Fixed_Opex*$F24+In_Admin)*DA69*DA15*DA$6</f>
        <v>-561.708737011326</v>
      </c>
      <c r="DB74" s="47" t="n">
        <f aca="false">-(In_Fixed_Opex*$F24+In_Admin)*DB69*DB15*DB$6</f>
        <v>-561.708737011326</v>
      </c>
      <c r="DC74" s="47" t="n">
        <f aca="false">-(In_Fixed_Opex*$F24+In_Admin)*DC69*DC15*DC$6</f>
        <v>-563.235119448857</v>
      </c>
      <c r="DD74" s="47" t="n">
        <f aca="false">-(In_Fixed_Opex*$F24+In_Admin)*DD69*DD15*DD$6</f>
        <v>-569.493287442734</v>
      </c>
      <c r="DE74" s="47" t="n">
        <f aca="false">-(In_Fixed_Opex*$F24+In_Admin)*DE69*DE15*DE$6</f>
        <v>-575.75145543661</v>
      </c>
      <c r="DF74" s="47" t="n">
        <f aca="false">-(In_Fixed_Opex*$F24+In_Admin)*DF69*DF15*DF$6</f>
        <v>-575.75145543661</v>
      </c>
      <c r="DG74" s="47" t="n">
        <f aca="false">-(In_Fixed_Opex*$F24+In_Admin)*DG69*DG15*DG$6</f>
        <v>-583.730619628802</v>
      </c>
      <c r="DH74" s="47" t="n">
        <f aca="false">-(In_Fixed_Opex*$F24+In_Admin)*DH69*DH15*DH$6</f>
        <v>-583.730619628802</v>
      </c>
      <c r="DI74" s="47" t="n">
        <f aca="false">-(In_Fixed_Opex*$F24+In_Admin)*DI69*DI15*DI$6</f>
        <v>-590.145241822525</v>
      </c>
      <c r="DJ74" s="47" t="n">
        <f aca="false">-(In_Fixed_Opex*$F24+In_Admin)*DJ69*DJ15*DJ$6</f>
        <v>-590.145241822525</v>
      </c>
      <c r="DK74" s="47" t="n">
        <f aca="false">-(In_Fixed_Opex*$F24+In_Admin)*DK69*DK15*DK$6</f>
        <v>-591.748897370955</v>
      </c>
      <c r="DL74" s="47" t="n">
        <f aca="false">-(In_Fixed_Opex*$F24+In_Admin)*DL69*DL15*DL$6</f>
        <v>-598.323885119522</v>
      </c>
      <c r="DM74" s="47" t="n">
        <f aca="false">-(In_Fixed_Opex*$F24+In_Admin)*DM69*DM15*DM$6</f>
        <v>-604.898872868088</v>
      </c>
      <c r="DN74" s="47" t="n">
        <f aca="false">-(In_Fixed_Opex*$F24+In_Admin)*DN69*DN15*DN$6</f>
        <v>-604.898872868088</v>
      </c>
      <c r="DO74" s="47" t="n">
        <f aca="false">-(In_Fixed_Opex*$F24+In_Admin)*DO69*DO15*DO$6</f>
        <v>-606.542619805229</v>
      </c>
      <c r="DP74" s="47" t="n">
        <f aca="false">-(In_Fixed_Opex*$F24+In_Admin)*DP69*DP15*DP$6</f>
        <v>-613.28198224751</v>
      </c>
      <c r="DQ74" s="47" t="n">
        <f aca="false">-(In_Fixed_Opex*$F24+In_Admin)*DQ69*DQ15*DQ$6</f>
        <v>-620.02134468979</v>
      </c>
      <c r="DR74" s="47" t="n">
        <f aca="false">-(In_Fixed_Opex*$F24+In_Admin)*DR69*DR15*DR$6</f>
        <v>-620.02134468979</v>
      </c>
      <c r="DS74" s="47" t="n">
        <f aca="false">-(In_Fixed_Opex*$F24+In_Admin)*DS69*DS15*DS$6</f>
        <v>-621.70618530036</v>
      </c>
      <c r="DT74" s="47" t="n">
        <f aca="false">-(In_Fixed_Opex*$F24+In_Admin)*DT69*DT15*DT$6</f>
        <v>-628.614031803698</v>
      </c>
      <c r="DU74" s="47" t="n">
        <f aca="false">-(In_Fixed_Opex*$F24+In_Admin)*DU69*DU15*DU$6</f>
        <v>-635.521878307035</v>
      </c>
      <c r="DV74" s="47" t="n">
        <f aca="false">-(In_Fixed_Opex*$F24+In_Admin)*DV69*DV15*DV$6</f>
        <v>-635.521878307035</v>
      </c>
      <c r="DW74" s="47" t="n">
        <f aca="false">-(In_Fixed_Opex*$F24+In_Admin)*DW69*DW15*DW$6</f>
        <v>-644.32938259879</v>
      </c>
      <c r="DX74" s="47" t="n">
        <f aca="false">-(In_Fixed_Opex*$F24+In_Admin)*DX69*DX15*DX$6</f>
        <v>-644.32938259879</v>
      </c>
      <c r="DY74" s="47" t="n">
        <f aca="false">-(In_Fixed_Opex*$F24+In_Admin)*DY69*DY15*DY$6</f>
        <v>-651.409925264711</v>
      </c>
      <c r="DZ74" s="47" t="n">
        <f aca="false">-(In_Fixed_Opex*$F24+In_Admin)*DZ69*DZ15*DZ$6</f>
        <v>-651.409925264711</v>
      </c>
      <c r="EA74" s="47" t="n">
        <f aca="false">-(In_Fixed_Opex*$F24+In_Admin)*EA69*EA15*EA$6</f>
        <v>-653.180060931191</v>
      </c>
      <c r="EB74" s="47" t="n">
        <f aca="false">-(In_Fixed_Opex*$F24+In_Admin)*EB69*EB15*EB$6</f>
        <v>-660.43761716376</v>
      </c>
      <c r="EC74" s="47" t="n">
        <f aca="false">-(In_Fixed_Opex*$F24+In_Admin)*EC69*EC15*EC$6</f>
        <v>-667.695173396328</v>
      </c>
      <c r="ED74" s="47" t="n">
        <f aca="false">-(In_Fixed_Opex*$F24+In_Admin)*ED69*ED15*ED$6</f>
        <v>-667.695173396328</v>
      </c>
      <c r="EE74" s="47" t="n">
        <f aca="false">-(In_Fixed_Opex*$F24+In_Admin)*EE69*EE15*EE$6</f>
        <v>-669.50956245447</v>
      </c>
      <c r="EF74" s="47" t="n">
        <f aca="false">-(In_Fixed_Opex*$F24+In_Admin)*EF69*EF15*EF$6</f>
        <v>-676.948557592854</v>
      </c>
      <c r="EG74" s="47" t="n">
        <f aca="false">-(In_Fixed_Opex*$F24+In_Admin)*EG69*EG15*EG$6</f>
        <v>-684.387552731237</v>
      </c>
      <c r="EH74" s="47" t="n">
        <f aca="false">-(In_Fixed_Opex*$F24+In_Admin)*EH69*EH15*EH$6</f>
        <v>-684.387552731237</v>
      </c>
      <c r="EI74" s="47" t="n">
        <f aca="false">-(In_Fixed_Opex*$F24+In_Admin)*EI69*EI15*EI$6</f>
        <v>-686.247301515832</v>
      </c>
      <c r="EJ74" s="47" t="n">
        <f aca="false">-(In_Fixed_Opex*$F24+In_Admin)*EJ69*EJ15*EJ$6</f>
        <v>-693.872271532675</v>
      </c>
      <c r="EK74" s="47" t="n">
        <f aca="false">-(In_Fixed_Opex*$F24+In_Admin)*EK69*EK15*EK$6</f>
        <v>-701.497241549517</v>
      </c>
      <c r="EL74" s="47" t="n">
        <f aca="false">-(In_Fixed_Opex*$F24+In_Admin)*EL69*EL15*EL$6</f>
        <v>-701.497241549517</v>
      </c>
      <c r="EM74" s="47" t="n">
        <f aca="false">-(In_Fixed_Opex*$F24+In_Admin)*EM69*EM15*EM$6</f>
        <v>-711.219078320991</v>
      </c>
      <c r="EN74" s="47" t="n">
        <f aca="false">-(In_Fixed_Opex*$F24+In_Admin)*EN69*EN15*EN$6</f>
        <v>-711.219078320991</v>
      </c>
      <c r="EO74" s="47" t="n">
        <f aca="false">-(In_Fixed_Opex*$F24+In_Admin)*EO69*EO15*EO$6</f>
        <v>-719.034672588255</v>
      </c>
    </row>
    <row r="75" customFormat="false" ht="15" hidden="false" customHeight="false" outlineLevel="0" collapsed="false">
      <c r="C75" s="0" t="s">
        <v>425</v>
      </c>
      <c r="D75" s="11" t="s">
        <v>33</v>
      </c>
      <c r="I75" s="47" t="n">
        <f aca="false">SUM(J75:EO75)</f>
        <v>-7708.87664873263</v>
      </c>
      <c r="J75" s="47" t="n">
        <f aca="false">-In_Lease*$F24*J69*J16*J$6</f>
        <v>-0</v>
      </c>
      <c r="K75" s="47" t="n">
        <f aca="false">-In_Lease*$F24*K69*K16*K$6</f>
        <v>-0</v>
      </c>
      <c r="L75" s="47" t="n">
        <f aca="false">-In_Lease*$F24*L69*L16*L$6</f>
        <v>-0</v>
      </c>
      <c r="M75" s="47" t="n">
        <f aca="false">-In_Lease*$F24*M69*M16*M$6</f>
        <v>-0</v>
      </c>
      <c r="N75" s="47" t="n">
        <f aca="false">-In_Lease*$F24*N69*N16*N$6</f>
        <v>-0</v>
      </c>
      <c r="O75" s="47" t="n">
        <f aca="false">-In_Lease*$F24*O69*O16*O$6</f>
        <v>-0</v>
      </c>
      <c r="P75" s="47" t="n">
        <f aca="false">-In_Lease*$F24*P69*P16*P$6</f>
        <v>-0</v>
      </c>
      <c r="Q75" s="47" t="n">
        <f aca="false">-In_Lease*$F24*Q69*Q16*Q$6</f>
        <v>-0</v>
      </c>
      <c r="R75" s="47" t="n">
        <f aca="false">-In_Lease*$F24*R69*R16*R$6</f>
        <v>-39.5850480389201</v>
      </c>
      <c r="S75" s="47" t="n">
        <f aca="false">-In_Lease*$F24*S69*S16*S$6</f>
        <v>-39.6926161042432</v>
      </c>
      <c r="T75" s="47" t="n">
        <f aca="false">-In_Lease*$F24*T69*T16*T$6</f>
        <v>-40.1336451720682</v>
      </c>
      <c r="U75" s="47" t="n">
        <f aca="false">-In_Lease*$F24*U69*U16*U$6</f>
        <v>-40.5746742398931</v>
      </c>
      <c r="V75" s="47" t="n">
        <f aca="false">-In_Lease*$F24*V69*V16*V$6</f>
        <v>-40.5746742398931</v>
      </c>
      <c r="W75" s="47" t="n">
        <f aca="false">-In_Lease*$F24*W69*W16*W$6</f>
        <v>-40.6849315068493</v>
      </c>
      <c r="X75" s="47" t="n">
        <f aca="false">-In_Lease*$F24*X69*X16*X$6</f>
        <v>-41.1369863013699</v>
      </c>
      <c r="Y75" s="47" t="n">
        <f aca="false">-In_Lease*$F24*Y69*Y16*Y$6</f>
        <v>-41.5890410958904</v>
      </c>
      <c r="Z75" s="47" t="n">
        <f aca="false">-In_Lease*$F24*Z69*Z16*Z$6</f>
        <v>-41.5890410958904</v>
      </c>
      <c r="AA75" s="47" t="n">
        <f aca="false">-In_Lease*$F24*AA69*AA16*AA$6</f>
        <v>-41.7020547945206</v>
      </c>
      <c r="AB75" s="47" t="n">
        <f aca="false">-In_Lease*$F24*AB69*AB16*AB$6</f>
        <v>-42.1654109589041</v>
      </c>
      <c r="AC75" s="47" t="n">
        <f aca="false">-In_Lease*$F24*AC69*AC16*AC$6</f>
        <v>-42.6287671232877</v>
      </c>
      <c r="AD75" s="47" t="n">
        <f aca="false">-In_Lease*$F24*AD69*AD16*AD$6</f>
        <v>-42.6287671232877</v>
      </c>
      <c r="AE75" s="47" t="n">
        <f aca="false">-In_Lease*$F24*AE69*AE16*AE$6</f>
        <v>-43.2195462328767</v>
      </c>
      <c r="AF75" s="47" t="n">
        <f aca="false">-In_Lease*$F24*AF69*AF16*AF$6</f>
        <v>-43.2195462328767</v>
      </c>
      <c r="AG75" s="47" t="n">
        <f aca="false">-In_Lease*$F24*AG69*AG16*AG$6</f>
        <v>-43.6944863013699</v>
      </c>
      <c r="AH75" s="47" t="n">
        <f aca="false">-In_Lease*$F24*AH69*AH16*AH$6</f>
        <v>-43.6944863013699</v>
      </c>
      <c r="AI75" s="47" t="n">
        <f aca="false">-In_Lease*$F24*AI69*AI16*AI$6</f>
        <v>-43.8132213184931</v>
      </c>
      <c r="AJ75" s="47" t="n">
        <f aca="false">-In_Lease*$F24*AJ69*AJ16*AJ$6</f>
        <v>-44.3000348886986</v>
      </c>
      <c r="AK75" s="47" t="n">
        <f aca="false">-In_Lease*$F24*AK69*AK16*AK$6</f>
        <v>-44.7868484589041</v>
      </c>
      <c r="AL75" s="47" t="n">
        <f aca="false">-In_Lease*$F24*AL69*AL16*AL$6</f>
        <v>-44.7868484589041</v>
      </c>
      <c r="AM75" s="47" t="n">
        <f aca="false">-In_Lease*$F24*AM69*AM16*AM$6</f>
        <v>-44.9085518514555</v>
      </c>
      <c r="AN75" s="47" t="n">
        <f aca="false">-In_Lease*$F24*AN69*AN16*AN$6</f>
        <v>-45.4075357609161</v>
      </c>
      <c r="AO75" s="47" t="n">
        <f aca="false">-In_Lease*$F24*AO69*AO16*AO$6</f>
        <v>-45.9065196703767</v>
      </c>
      <c r="AP75" s="47" t="n">
        <f aca="false">-In_Lease*$F24*AP69*AP16*AP$6</f>
        <v>-45.9065196703767</v>
      </c>
      <c r="AQ75" s="47" t="n">
        <f aca="false">-In_Lease*$F24*AQ69*AQ16*AQ$6</f>
        <v>-46.0312656477419</v>
      </c>
      <c r="AR75" s="47" t="n">
        <f aca="false">-In_Lease*$F24*AR69*AR16*AR$6</f>
        <v>-46.542724154939</v>
      </c>
      <c r="AS75" s="47" t="n">
        <f aca="false">-In_Lease*$F24*AS69*AS16*AS$6</f>
        <v>-47.0541826621361</v>
      </c>
      <c r="AT75" s="47" t="n">
        <f aca="false">-In_Lease*$F24*AT69*AT16*AT$6</f>
        <v>-47.0541826621361</v>
      </c>
      <c r="AU75" s="47" t="n">
        <f aca="false">-In_Lease*$F24*AU69*AU16*AU$6</f>
        <v>-47.7062922588125</v>
      </c>
      <c r="AV75" s="47" t="n">
        <f aca="false">-In_Lease*$F24*AV69*AV16*AV$6</f>
        <v>-47.7062922588125</v>
      </c>
      <c r="AW75" s="47" t="n">
        <f aca="false">-In_Lease*$F24*AW69*AW16*AW$6</f>
        <v>-48.2305372286895</v>
      </c>
      <c r="AX75" s="47" t="n">
        <f aca="false">-In_Lease*$F24*AX69*AX16*AX$6</f>
        <v>-48.2305372286895</v>
      </c>
      <c r="AY75" s="47" t="n">
        <f aca="false">-In_Lease*$F24*AY69*AY16*AY$6</f>
        <v>-48.3615984711588</v>
      </c>
      <c r="AZ75" s="47" t="n">
        <f aca="false">-In_Lease*$F24*AZ69*AZ16*AZ$6</f>
        <v>-48.8989495652828</v>
      </c>
      <c r="BA75" s="47" t="n">
        <f aca="false">-In_Lease*$F24*BA69*BA16*BA$6</f>
        <v>-49.4363006594068</v>
      </c>
      <c r="BB75" s="47" t="n">
        <f aca="false">-In_Lease*$F24*BB69*BB16*BB$6</f>
        <v>-49.4363006594068</v>
      </c>
      <c r="BC75" s="47" t="n">
        <f aca="false">-In_Lease*$F24*BC69*BC16*BC$6</f>
        <v>-49.5706384329377</v>
      </c>
      <c r="BD75" s="47" t="n">
        <f aca="false">-In_Lease*$F24*BD69*BD16*BD$6</f>
        <v>-50.1214233044148</v>
      </c>
      <c r="BE75" s="47" t="n">
        <f aca="false">-In_Lease*$F24*BE69*BE16*BE$6</f>
        <v>-50.6722081758919</v>
      </c>
      <c r="BF75" s="47" t="n">
        <f aca="false">-In_Lease*$F24*BF69*BF16*BF$6</f>
        <v>-50.6722081758919</v>
      </c>
      <c r="BG75" s="47" t="n">
        <f aca="false">-In_Lease*$F24*BG69*BG16*BG$6</f>
        <v>-50.8099043937612</v>
      </c>
      <c r="BH75" s="47" t="n">
        <f aca="false">-In_Lease*$F24*BH69*BH16*BH$6</f>
        <v>-51.3744588870252</v>
      </c>
      <c r="BI75" s="47" t="n">
        <f aca="false">-In_Lease*$F24*BI69*BI16*BI$6</f>
        <v>-51.9390133802892</v>
      </c>
      <c r="BJ75" s="47" t="n">
        <f aca="false">-In_Lease*$F24*BJ69*BJ16*BJ$6</f>
        <v>-51.9390133802892</v>
      </c>
      <c r="BK75" s="47" t="n">
        <f aca="false">-In_Lease*$F24*BK69*BK16*BK$6</f>
        <v>-52.6588203592008</v>
      </c>
      <c r="BL75" s="47" t="n">
        <f aca="false">-In_Lease*$F24*BL69*BL16*BL$6</f>
        <v>-52.6588203592008</v>
      </c>
      <c r="BM75" s="47" t="n">
        <f aca="false">-In_Lease*$F24*BM69*BM16*BM$6</f>
        <v>-53.2374887147964</v>
      </c>
      <c r="BN75" s="47" t="n">
        <f aca="false">-In_Lease*$F24*BN69*BN16*BN$6</f>
        <v>-53.2374887147964</v>
      </c>
      <c r="BO75" s="47" t="n">
        <f aca="false">-In_Lease*$F24*BO69*BO16*BO$6</f>
        <v>-53.3821558036953</v>
      </c>
      <c r="BP75" s="47" t="n">
        <f aca="false">-In_Lease*$F24*BP69*BP16*BP$6</f>
        <v>-53.9752908681808</v>
      </c>
      <c r="BQ75" s="47" t="n">
        <f aca="false">-In_Lease*$F24*BQ69*BQ16*BQ$6</f>
        <v>-54.5684259326664</v>
      </c>
      <c r="BR75" s="47" t="n">
        <f aca="false">-In_Lease*$F24*BR69*BR16*BR$6</f>
        <v>-54.5684259326664</v>
      </c>
      <c r="BS75" s="47" t="n">
        <f aca="false">-In_Lease*$F24*BS69*BS16*BS$6</f>
        <v>-54.7167096987877</v>
      </c>
      <c r="BT75" s="47" t="n">
        <f aca="false">-In_Lease*$F24*BT69*BT16*BT$6</f>
        <v>-55.3246731398854</v>
      </c>
      <c r="BU75" s="47" t="n">
        <f aca="false">-In_Lease*$F24*BU69*BU16*BU$6</f>
        <v>-55.932636580983</v>
      </c>
      <c r="BV75" s="47" t="n">
        <f aca="false">-In_Lease*$F24*BV69*BV16*BV$6</f>
        <v>-55.932636580983</v>
      </c>
      <c r="BW75" s="47" t="n">
        <f aca="false">-In_Lease*$F24*BW69*BW16*BW$6</f>
        <v>-56.0846274412574</v>
      </c>
      <c r="BX75" s="47" t="n">
        <f aca="false">-In_Lease*$F24*BX69*BX16*BX$6</f>
        <v>-56.7077899683825</v>
      </c>
      <c r="BY75" s="47" t="n">
        <f aca="false">-In_Lease*$F24*BY69*BY16*BY$6</f>
        <v>-57.3309524955076</v>
      </c>
      <c r="BZ75" s="47" t="n">
        <f aca="false">-In_Lease*$F24*BZ69*BZ16*BZ$6</f>
        <v>-57.3309524955076</v>
      </c>
      <c r="CA75" s="47" t="n">
        <f aca="false">-In_Lease*$F24*CA69*CA16*CA$6</f>
        <v>-58.125484717592</v>
      </c>
      <c r="CB75" s="47" t="n">
        <f aca="false">-In_Lease*$F24*CB69*CB16*CB$6</f>
        <v>-58.125484717592</v>
      </c>
      <c r="CC75" s="47" t="n">
        <f aca="false">-In_Lease*$F24*CC69*CC16*CC$6</f>
        <v>-58.7642263078953</v>
      </c>
      <c r="CD75" s="47" t="n">
        <f aca="false">-In_Lease*$F24*CD69*CD16*CD$6</f>
        <v>-58.7642263078953</v>
      </c>
      <c r="CE75" s="47" t="n">
        <f aca="false">-In_Lease*$F24*CE69*CE16*CE$6</f>
        <v>-58.923911705471</v>
      </c>
      <c r="CF75" s="47" t="n">
        <f aca="false">-In_Lease*$F24*CF69*CF16*CF$6</f>
        <v>-59.5786218355318</v>
      </c>
      <c r="CG75" s="47" t="n">
        <f aca="false">-In_Lease*$F24*CG69*CG16*CG$6</f>
        <v>-60.2333319655926</v>
      </c>
      <c r="CH75" s="47" t="n">
        <f aca="false">-In_Lease*$F24*CH69*CH16*CH$6</f>
        <v>-60.2333319655926</v>
      </c>
      <c r="CI75" s="47" t="n">
        <f aca="false">-In_Lease*$F24*CI69*CI16*CI$6</f>
        <v>-60.3970094981078</v>
      </c>
      <c r="CJ75" s="47" t="n">
        <f aca="false">-In_Lease*$F24*CJ69*CJ16*CJ$6</f>
        <v>-61.0680873814201</v>
      </c>
      <c r="CK75" s="47" t="n">
        <f aca="false">-In_Lease*$F24*CK69*CK16*CK$6</f>
        <v>-61.7391652647324</v>
      </c>
      <c r="CL75" s="47" t="n">
        <f aca="false">-In_Lease*$F24*CL69*CL16*CL$6</f>
        <v>-61.7391652647324</v>
      </c>
      <c r="CM75" s="47" t="n">
        <f aca="false">-In_Lease*$F24*CM69*CM16*CM$6</f>
        <v>-61.9069347355605</v>
      </c>
      <c r="CN75" s="47" t="n">
        <f aca="false">-In_Lease*$F24*CN69*CN16*CN$6</f>
        <v>-62.5947895659556</v>
      </c>
      <c r="CO75" s="47" t="n">
        <f aca="false">-In_Lease*$F24*CO69*CO16*CO$6</f>
        <v>-63.2826443963507</v>
      </c>
      <c r="CP75" s="47" t="n">
        <f aca="false">-In_Lease*$F24*CP69*CP16*CP$6</f>
        <v>-63.2826443963507</v>
      </c>
      <c r="CQ75" s="47" t="n">
        <f aca="false">-In_Lease*$F24*CQ69*CQ16*CQ$6</f>
        <v>-64.1596593051045</v>
      </c>
      <c r="CR75" s="47" t="n">
        <f aca="false">-In_Lease*$F24*CR69*CR16*CR$6</f>
        <v>-64.1596593051045</v>
      </c>
      <c r="CS75" s="47" t="n">
        <f aca="false">-In_Lease*$F24*CS69*CS16*CS$6</f>
        <v>-64.8647105062595</v>
      </c>
      <c r="CT75" s="47" t="n">
        <f aca="false">-In_Lease*$F24*CT69*CT16*CT$6</f>
        <v>-64.8647105062595</v>
      </c>
      <c r="CU75" s="47" t="n">
        <f aca="false">-In_Lease*$F24*CU69*CU16*CU$6</f>
        <v>-65.0409733065482</v>
      </c>
      <c r="CV75" s="47" t="n">
        <f aca="false">-In_Lease*$F24*CV69*CV16*CV$6</f>
        <v>-65.7636507877321</v>
      </c>
      <c r="CW75" s="47" t="n">
        <f aca="false">-In_Lease*$F24*CW69*CW16*CW$6</f>
        <v>-66.486328268916</v>
      </c>
      <c r="CX75" s="47" t="n">
        <f aca="false">-In_Lease*$F24*CX69*CX16*CX$6</f>
        <v>-66.486328268916</v>
      </c>
      <c r="CY75" s="47" t="n">
        <f aca="false">-In_Lease*$F24*CY69*CY16*CY$6</f>
        <v>-66.6669976392119</v>
      </c>
      <c r="CZ75" s="47" t="n">
        <f aca="false">-In_Lease*$F24*CZ69*CZ16*CZ$6</f>
        <v>-67.4077420574254</v>
      </c>
      <c r="DA75" s="47" t="n">
        <f aca="false">-In_Lease*$F24*DA69*DA16*DA$6</f>
        <v>-68.1484864756389</v>
      </c>
      <c r="DB75" s="47" t="n">
        <f aca="false">-In_Lease*$F24*DB69*DB16*DB$6</f>
        <v>-68.1484864756389</v>
      </c>
      <c r="DC75" s="47" t="n">
        <f aca="false">-In_Lease*$F24*DC69*DC16*DC$6</f>
        <v>-68.3336725801922</v>
      </c>
      <c r="DD75" s="47" t="n">
        <f aca="false">-In_Lease*$F24*DD69*DD16*DD$6</f>
        <v>-69.0929356088611</v>
      </c>
      <c r="DE75" s="47" t="n">
        <f aca="false">-In_Lease*$F24*DE69*DE16*DE$6</f>
        <v>-69.8521986375299</v>
      </c>
      <c r="DF75" s="47" t="n">
        <f aca="false">-In_Lease*$F24*DF69*DF16*DF$6</f>
        <v>-69.8521986375299</v>
      </c>
      <c r="DG75" s="47" t="n">
        <f aca="false">-In_Lease*$F24*DG69*DG16*DG$6</f>
        <v>-70.8202589990826</v>
      </c>
      <c r="DH75" s="47" t="n">
        <f aca="false">-In_Lease*$F24*DH69*DH16*DH$6</f>
        <v>-70.8202589990826</v>
      </c>
      <c r="DI75" s="47" t="n">
        <f aca="false">-In_Lease*$F24*DI69*DI16*DI$6</f>
        <v>-71.5985036034681</v>
      </c>
      <c r="DJ75" s="47" t="n">
        <f aca="false">-In_Lease*$F24*DJ69*DJ16*DJ$6</f>
        <v>-71.5985036034681</v>
      </c>
      <c r="DK75" s="47" t="n">
        <f aca="false">-In_Lease*$F24*DK69*DK16*DK$6</f>
        <v>-71.7930647545645</v>
      </c>
      <c r="DL75" s="47" t="n">
        <f aca="false">-In_Lease*$F24*DL69*DL16*DL$6</f>
        <v>-72.5907654740596</v>
      </c>
      <c r="DM75" s="47" t="n">
        <f aca="false">-In_Lease*$F24*DM69*DM16*DM$6</f>
        <v>-73.3884661935548</v>
      </c>
      <c r="DN75" s="47" t="n">
        <f aca="false">-In_Lease*$F24*DN69*DN16*DN$6</f>
        <v>-73.3884661935548</v>
      </c>
      <c r="DO75" s="47" t="n">
        <f aca="false">-In_Lease*$F24*DO69*DO16*DO$6</f>
        <v>-73.5878913734286</v>
      </c>
      <c r="DP75" s="47" t="n">
        <f aca="false">-In_Lease*$F24*DP69*DP16*DP$6</f>
        <v>-74.4055346109111</v>
      </c>
      <c r="DQ75" s="47" t="n">
        <f aca="false">-In_Lease*$F24*DQ69*DQ16*DQ$6</f>
        <v>-75.2231778483937</v>
      </c>
      <c r="DR75" s="47" t="n">
        <f aca="false">-In_Lease*$F24*DR69*DR16*DR$6</f>
        <v>-75.2231778483937</v>
      </c>
      <c r="DS75" s="47" t="n">
        <f aca="false">-In_Lease*$F24*DS69*DS16*DS$6</f>
        <v>-75.4275886577643</v>
      </c>
      <c r="DT75" s="47" t="n">
        <f aca="false">-In_Lease*$F24*DT69*DT16*DT$6</f>
        <v>-76.2656729761839</v>
      </c>
      <c r="DU75" s="47" t="n">
        <f aca="false">-In_Lease*$F24*DU69*DU16*DU$6</f>
        <v>-77.1037572946035</v>
      </c>
      <c r="DV75" s="47" t="n">
        <f aca="false">-In_Lease*$F24*DV69*DV16*DV$6</f>
        <v>-77.1037572946035</v>
      </c>
      <c r="DW75" s="47" t="n">
        <f aca="false">-In_Lease*$F24*DW69*DW16*DW$6</f>
        <v>-78.1723148005885</v>
      </c>
      <c r="DX75" s="47" t="n">
        <f aca="false">-In_Lease*$F24*DX69*DX16*DX$6</f>
        <v>-78.1723148005885</v>
      </c>
      <c r="DY75" s="47" t="n">
        <f aca="false">-In_Lease*$F24*DY69*DY16*DY$6</f>
        <v>-79.0313512269686</v>
      </c>
      <c r="DZ75" s="47" t="n">
        <f aca="false">-In_Lease*$F24*DZ69*DZ16*DZ$6</f>
        <v>-79.0313512269686</v>
      </c>
      <c r="EA75" s="47" t="n">
        <f aca="false">-In_Lease*$F24*EA69*EA16*EA$6</f>
        <v>-79.2461103335636</v>
      </c>
      <c r="EB75" s="47" t="n">
        <f aca="false">-In_Lease*$F24*EB69*EB16*EB$6</f>
        <v>-80.1266226706032</v>
      </c>
      <c r="EC75" s="47" t="n">
        <f aca="false">-In_Lease*$F24*EC69*EC16*EC$6</f>
        <v>-81.0071350076428</v>
      </c>
      <c r="ED75" s="47" t="n">
        <f aca="false">-In_Lease*$F24*ED69*ED16*ED$6</f>
        <v>-81.0071350076428</v>
      </c>
      <c r="EE75" s="47" t="n">
        <f aca="false">-In_Lease*$F24*EE69*EE16*EE$6</f>
        <v>-81.2272630919027</v>
      </c>
      <c r="EF75" s="47" t="n">
        <f aca="false">-In_Lease*$F24*EF69*EF16*EF$6</f>
        <v>-82.1297882373683</v>
      </c>
      <c r="EG75" s="47" t="n">
        <f aca="false">-In_Lease*$F24*EG69*EG16*EG$6</f>
        <v>-83.0323133828338</v>
      </c>
      <c r="EH75" s="47" t="n">
        <f aca="false">-In_Lease*$F24*EH69*EH16*EH$6</f>
        <v>-83.0323133828338</v>
      </c>
      <c r="EI75" s="47" t="n">
        <f aca="false">-In_Lease*$F24*EI69*EI16*EI$6</f>
        <v>-83.2579446692002</v>
      </c>
      <c r="EJ75" s="47" t="n">
        <f aca="false">-In_Lease*$F24*EJ69*EJ16*EJ$6</f>
        <v>-84.1830329433024</v>
      </c>
      <c r="EK75" s="47" t="n">
        <f aca="false">-In_Lease*$F24*EK69*EK16*EK$6</f>
        <v>-85.1081212174047</v>
      </c>
      <c r="EL75" s="47" t="n">
        <f aca="false">-In_Lease*$F24*EL69*EL16*EL$6</f>
        <v>-85.1081212174047</v>
      </c>
      <c r="EM75" s="47" t="n">
        <f aca="false">-In_Lease*$F24*EM69*EM16*EM$6</f>
        <v>-86.287608766885</v>
      </c>
      <c r="EN75" s="47" t="n">
        <f aca="false">-In_Lease*$F24*EN69*EN16*EN$6</f>
        <v>-86.287608766885</v>
      </c>
      <c r="EO75" s="47" t="n">
        <f aca="false">-In_Lease*$F24*EO69*EO16*EO$6</f>
        <v>-87.2358242478398</v>
      </c>
    </row>
    <row r="76" customFormat="false" ht="15" hidden="false" customHeight="false" outlineLevel="0" collapsed="false">
      <c r="C76" s="0" t="s">
        <v>426</v>
      </c>
      <c r="D76" s="11" t="s">
        <v>33</v>
      </c>
      <c r="I76" s="47" t="n">
        <f aca="false">SUM(J76:EO76)</f>
        <v>-9554.32311667406</v>
      </c>
      <c r="J76" s="47" t="n">
        <f aca="false">-J72*(In_MEKH+In_HIPA+In_Innovation)</f>
        <v>-0</v>
      </c>
      <c r="K76" s="47" t="n">
        <f aca="false">-K72*(In_MEKH+In_HIPA+In_Innovation)</f>
        <v>-0</v>
      </c>
      <c r="L76" s="47" t="n">
        <f aca="false">-L72*(In_MEKH+In_HIPA+In_Innovation)</f>
        <v>-0</v>
      </c>
      <c r="M76" s="47" t="n">
        <f aca="false">-M72*(In_MEKH+In_HIPA+In_Innovation)</f>
        <v>-0</v>
      </c>
      <c r="N76" s="47" t="n">
        <f aca="false">-N72*(In_MEKH+In_HIPA+In_Innovation)</f>
        <v>-0</v>
      </c>
      <c r="O76" s="47" t="n">
        <f aca="false">-O72*(In_MEKH+In_HIPA+In_Innovation)</f>
        <v>-0</v>
      </c>
      <c r="P76" s="47" t="n">
        <f aca="false">-P72*(In_MEKH+In_HIPA+In_Innovation)</f>
        <v>-0</v>
      </c>
      <c r="Q76" s="47" t="n">
        <f aca="false">-Q72*(In_MEKH+In_HIPA+In_Innovation)</f>
        <v>-0</v>
      </c>
      <c r="R76" s="47" t="n">
        <f aca="false">-R72*(In_MEKH+In_HIPA+In_Innovation)</f>
        <v>-0</v>
      </c>
      <c r="S76" s="47" t="n">
        <f aca="false">-S72*(In_MEKH+In_HIPA+In_Innovation)</f>
        <v>-0</v>
      </c>
      <c r="T76" s="47" t="n">
        <f aca="false">-T72*(In_MEKH+In_HIPA+In_Innovation)</f>
        <v>-0</v>
      </c>
      <c r="U76" s="47" t="n">
        <f aca="false">-U72*(In_MEKH+In_HIPA+In_Innovation)</f>
        <v>-0</v>
      </c>
      <c r="V76" s="47" t="n">
        <f aca="false">-V72*(In_MEKH+In_HIPA+In_Innovation)</f>
        <v>-0</v>
      </c>
      <c r="W76" s="47" t="n">
        <f aca="false">-W72*(In_MEKH+In_HIPA+In_Innovation)</f>
        <v>-0</v>
      </c>
      <c r="X76" s="47" t="n">
        <f aca="false">-X72*(In_MEKH+In_HIPA+In_Innovation)</f>
        <v>-0</v>
      </c>
      <c r="Y76" s="47" t="n">
        <f aca="false">-Y72*(In_MEKH+In_HIPA+In_Innovation)</f>
        <v>-0</v>
      </c>
      <c r="Z76" s="47" t="n">
        <f aca="false">-Z72*(In_MEKH+In_HIPA+In_Innovation)</f>
        <v>-71.8611264</v>
      </c>
      <c r="AA76" s="47" t="n">
        <f aca="false">-AA72*(In_MEKH+In_HIPA+In_Innovation)</f>
        <v>-71.00191728</v>
      </c>
      <c r="AB76" s="47" t="n">
        <f aca="false">-AB72*(In_MEKH+In_HIPA+In_Innovation)</f>
        <v>-71.790827472</v>
      </c>
      <c r="AC76" s="47" t="n">
        <f aca="false">-AC72*(In_MEKH+In_HIPA+In_Innovation)</f>
        <v>-72.579737664</v>
      </c>
      <c r="AD76" s="47" t="n">
        <f aca="false">-AD72*(In_MEKH+In_HIPA+In_Innovation)</f>
        <v>-72.361998451008</v>
      </c>
      <c r="AE76" s="47" t="n">
        <f aca="false">-AE72*(In_MEKH+In_HIPA+In_Innovation)</f>
        <v>-72.2912095394799</v>
      </c>
      <c r="AF76" s="47" t="n">
        <f aca="false">-AF72*(In_MEKH+In_HIPA+In_Innovation)</f>
        <v>-72.2912095394799</v>
      </c>
      <c r="AG76" s="47" t="n">
        <f aca="false">-AG72*(In_MEKH+In_HIPA+In_Innovation)</f>
        <v>-73.0856184355181</v>
      </c>
      <c r="AH76" s="47" t="n">
        <f aca="false">-AH72*(In_MEKH+In_HIPA+In_Innovation)</f>
        <v>-72.8663615802116</v>
      </c>
      <c r="AI76" s="47" t="n">
        <f aca="false">-AI72*(In_MEKH+In_HIPA+In_Innovation)</f>
        <v>-71.9951333439264</v>
      </c>
      <c r="AJ76" s="47" t="n">
        <f aca="false">-AJ72*(In_MEKH+In_HIPA+In_Innovation)</f>
        <v>-72.7950792699701</v>
      </c>
      <c r="AK76" s="47" t="n">
        <f aca="false">-AK72*(In_MEKH+In_HIPA+In_Innovation)</f>
        <v>-73.5950251960137</v>
      </c>
      <c r="AL76" s="47" t="n">
        <f aca="false">-AL72*(In_MEKH+In_HIPA+In_Innovation)</f>
        <v>-73.3742401204257</v>
      </c>
      <c r="AM76" s="47" t="n">
        <f aca="false">-AM72*(In_MEKH+In_HIPA+In_Innovation)</f>
        <v>-72.4969394233336</v>
      </c>
      <c r="AN76" s="47" t="n">
        <f aca="false">-AN72*(In_MEKH+In_HIPA+In_Innovation)</f>
        <v>-73.3024609724817</v>
      </c>
      <c r="AO76" s="47" t="n">
        <f aca="false">-AO72*(In_MEKH+In_HIPA+In_Innovation)</f>
        <v>-74.1079825216299</v>
      </c>
      <c r="AP76" s="47" t="n">
        <f aca="false">-AP72*(In_MEKH+In_HIPA+In_Innovation)</f>
        <v>-73.885658574065</v>
      </c>
      <c r="AQ76" s="47" t="n">
        <f aca="false">-AQ72*(In_MEKH+In_HIPA+In_Innovation)</f>
        <v>-73.0022430911142</v>
      </c>
      <c r="AR76" s="47" t="n">
        <f aca="false">-AR72*(In_MEKH+In_HIPA+In_Innovation)</f>
        <v>-73.81337912546</v>
      </c>
      <c r="AS76" s="47" t="n">
        <f aca="false">-AS72*(In_MEKH+In_HIPA+In_Innovation)</f>
        <v>-74.6245151598057</v>
      </c>
      <c r="AT76" s="47" t="n">
        <f aca="false">-AT72*(In_MEKH+In_HIPA+In_Innovation)</f>
        <v>-74.4006416143263</v>
      </c>
      <c r="AU76" s="47" t="n">
        <f aca="false">-AU72*(In_MEKH+In_HIPA+In_Innovation)</f>
        <v>-74.3278583779644</v>
      </c>
      <c r="AV76" s="47" t="n">
        <f aca="false">-AV72*(In_MEKH+In_HIPA+In_Innovation)</f>
        <v>-74.3278583779644</v>
      </c>
      <c r="AW76" s="47" t="n">
        <f aca="false">-AW72*(In_MEKH+In_HIPA+In_Innovation)</f>
        <v>-75.1446480304695</v>
      </c>
      <c r="AX76" s="47" t="n">
        <f aca="false">-AX72*(In_MEKH+In_HIPA+In_Innovation)</f>
        <v>-74.9192140863781</v>
      </c>
      <c r="AY76" s="47" t="n">
        <f aca="false">-AY72*(In_MEKH+In_HIPA+In_Innovation)</f>
        <v>-74.0234408744757</v>
      </c>
      <c r="AZ76" s="47" t="n">
        <f aca="false">-AZ72*(In_MEKH+In_HIPA+In_Innovation)</f>
        <v>-74.8459235508588</v>
      </c>
      <c r="BA76" s="47" t="n">
        <f aca="false">-BA72*(In_MEKH+In_HIPA+In_Innovation)</f>
        <v>-75.6684062272419</v>
      </c>
      <c r="BB76" s="47" t="n">
        <f aca="false">-BB72*(In_MEKH+In_HIPA+In_Innovation)</f>
        <v>-75.4414010085602</v>
      </c>
      <c r="BC76" s="47" t="n">
        <f aca="false">-BC72*(In_MEKH+In_HIPA+In_Innovation)</f>
        <v>-74.5393842573708</v>
      </c>
      <c r="BD76" s="47" t="n">
        <f aca="false">-BD72*(In_MEKH+In_HIPA+In_Innovation)</f>
        <v>-75.3675996380083</v>
      </c>
      <c r="BE76" s="47" t="n">
        <f aca="false">-BE72*(In_MEKH+In_HIPA+In_Innovation)</f>
        <v>-76.1958150186458</v>
      </c>
      <c r="BF76" s="47" t="n">
        <f aca="false">-BF72*(In_MEKH+In_HIPA+In_Innovation)</f>
        <v>-75.9672275735898</v>
      </c>
      <c r="BG76" s="47" t="n">
        <f aca="false">-BG72*(In_MEKH+In_HIPA+In_Innovation)</f>
        <v>-75.0589237656447</v>
      </c>
      <c r="BH76" s="47" t="n">
        <f aca="false">-BH72*(In_MEKH+In_HIPA+In_Innovation)</f>
        <v>-75.8929118074852</v>
      </c>
      <c r="BI76" s="47" t="n">
        <f aca="false">-BI72*(In_MEKH+In_HIPA+In_Innovation)</f>
        <v>-76.7268998493257</v>
      </c>
      <c r="BJ76" s="47" t="n">
        <f aca="false">-BJ72*(In_MEKH+In_HIPA+In_Innovation)</f>
        <v>-76.4967191497777</v>
      </c>
      <c r="BK76" s="47" t="n">
        <f aca="false">-BK72*(In_MEKH+In_HIPA+In_Innovation)</f>
        <v>-76.4218854027834</v>
      </c>
      <c r="BL76" s="47" t="n">
        <f aca="false">-BL72*(In_MEKH+In_HIPA+In_Innovation)</f>
        <v>-76.4218854027834</v>
      </c>
      <c r="BM76" s="47" t="n">
        <f aca="false">-BM72*(In_MEKH+In_HIPA+In_Innovation)</f>
        <v>-77.2616863412755</v>
      </c>
      <c r="BN76" s="47" t="n">
        <f aca="false">-BN72*(In_MEKH+In_HIPA+In_Innovation)</f>
        <v>-77.0299012822517</v>
      </c>
      <c r="BO76" s="47" t="n">
        <f aca="false">-BO72*(In_MEKH+In_HIPA+In_Innovation)</f>
        <v>-76.1088915930074</v>
      </c>
      <c r="BP76" s="47" t="n">
        <f aca="false">-BP72*(In_MEKH+In_HIPA+In_Innovation)</f>
        <v>-76.9545459440408</v>
      </c>
      <c r="BQ76" s="47" t="n">
        <f aca="false">-BQ72*(In_MEKH+In_HIPA+In_Innovation)</f>
        <v>-77.8002002950742</v>
      </c>
      <c r="BR76" s="47" t="n">
        <f aca="false">-BR72*(In_MEKH+In_HIPA+In_Innovation)</f>
        <v>-77.566799694189</v>
      </c>
      <c r="BS76" s="47" t="n">
        <f aca="false">-BS72*(In_MEKH+In_HIPA+In_Innovation)</f>
        <v>-76.6393705674106</v>
      </c>
      <c r="BT76" s="47" t="n">
        <f aca="false">-BT72*(In_MEKH+In_HIPA+In_Innovation)</f>
        <v>-77.4909191292708</v>
      </c>
      <c r="BU76" s="47" t="n">
        <f aca="false">-BU72*(In_MEKH+In_HIPA+In_Innovation)</f>
        <v>-78.3424676911309</v>
      </c>
      <c r="BV76" s="47" t="n">
        <f aca="false">-BV72*(In_MEKH+In_HIPA+In_Innovation)</f>
        <v>-78.1074402880575</v>
      </c>
      <c r="BW76" s="47" t="n">
        <f aca="false">-BW72*(In_MEKH+In_HIPA+In_Innovation)</f>
        <v>-77.1735469802655</v>
      </c>
      <c r="BX76" s="47" t="n">
        <f aca="false">-BX72*(In_MEKH+In_HIPA+In_Innovation)</f>
        <v>-78.0310308356018</v>
      </c>
      <c r="BY76" s="47" t="n">
        <f aca="false">-BY72*(In_MEKH+In_HIPA+In_Innovation)</f>
        <v>-78.888514690938</v>
      </c>
      <c r="BZ76" s="47" t="n">
        <f aca="false">-BZ72*(In_MEKH+In_HIPA+In_Innovation)</f>
        <v>-78.6518491468652</v>
      </c>
      <c r="CA76" s="47" t="n">
        <f aca="false">-CA72*(In_MEKH+In_HIPA+In_Innovation)</f>
        <v>-78.5749071205259</v>
      </c>
      <c r="CB76" s="47" t="n">
        <f aca="false">-CB72*(In_MEKH+In_HIPA+In_Innovation)</f>
        <v>-78.5749071205259</v>
      </c>
      <c r="CC76" s="47" t="n">
        <f aca="false">-CC72*(In_MEKH+In_HIPA+In_Innovation)</f>
        <v>-79.4383676383339</v>
      </c>
      <c r="CD76" s="47" t="n">
        <f aca="false">-CD72*(In_MEKH+In_HIPA+In_Innovation)</f>
        <v>-79.2000525354189</v>
      </c>
      <c r="CE76" s="47" t="n">
        <f aca="false">-CE72*(In_MEKH+In_HIPA+In_Innovation)</f>
        <v>-78.2530953855389</v>
      </c>
      <c r="CF76" s="47" t="n">
        <f aca="false">-CF72*(In_MEKH+In_HIPA+In_Innovation)</f>
        <v>-79.122574223156</v>
      </c>
      <c r="CG76" s="47" t="n">
        <f aca="false">-CG72*(In_MEKH+In_HIPA+In_Innovation)</f>
        <v>-79.9920530607731</v>
      </c>
      <c r="CH76" s="47" t="n">
        <f aca="false">-CH72*(In_MEKH+In_HIPA+In_Innovation)</f>
        <v>-79.7520769015908</v>
      </c>
      <c r="CI76" s="47" t="n">
        <f aca="false">-CI72*(In_MEKH+In_HIPA+In_Innovation)</f>
        <v>-78.7985194603761</v>
      </c>
      <c r="CJ76" s="47" t="n">
        <f aca="false">-CJ72*(In_MEKH+In_HIPA+In_Innovation)</f>
        <v>-79.6740585654914</v>
      </c>
      <c r="CK76" s="47" t="n">
        <f aca="false">-CK72*(In_MEKH+In_HIPA+In_Innovation)</f>
        <v>-80.5495976706067</v>
      </c>
      <c r="CL76" s="47" t="n">
        <f aca="false">-CL72*(In_MEKH+In_HIPA+In_Innovation)</f>
        <v>-80.3079488775948</v>
      </c>
      <c r="CM76" s="47" t="n">
        <f aca="false">-CM72*(In_MEKH+In_HIPA+In_Innovation)</f>
        <v>-79.3477451410149</v>
      </c>
      <c r="CN76" s="47" t="n">
        <f aca="false">-CN72*(In_MEKH+In_HIPA+In_Innovation)</f>
        <v>-80.2293867536928</v>
      </c>
      <c r="CO76" s="47" t="n">
        <f aca="false">-CO72*(In_MEKH+In_HIPA+In_Innovation)</f>
        <v>-81.1110283663708</v>
      </c>
      <c r="CP76" s="47" t="n">
        <f aca="false">-CP72*(In_MEKH+In_HIPA+In_Innovation)</f>
        <v>-80.8676952812717</v>
      </c>
      <c r="CQ76" s="47" t="n">
        <f aca="false">-CQ72*(In_MEKH+In_HIPA+In_Innovation)</f>
        <v>-80.7885855793661</v>
      </c>
      <c r="CR76" s="47" t="n">
        <f aca="false">-CR72*(In_MEKH+In_HIPA+In_Innovation)</f>
        <v>-80.7885855793661</v>
      </c>
      <c r="CS76" s="47" t="n">
        <f aca="false">-CS72*(In_MEKH+In_HIPA+In_Innovation)</f>
        <v>-81.6763722340844</v>
      </c>
      <c r="CT76" s="47" t="n">
        <f aca="false">-CT72*(In_MEKH+In_HIPA+In_Innovation)</f>
        <v>-81.4313431173821</v>
      </c>
      <c r="CU76" s="47" t="n">
        <f aca="false">-CU72*(In_MEKH+In_HIPA+In_Innovation)</f>
        <v>-80.4577074931526</v>
      </c>
      <c r="CV76" s="47" t="n">
        <f aca="false">-CV72*(In_MEKH+In_HIPA+In_Innovation)</f>
        <v>-81.3516820208543</v>
      </c>
      <c r="CW76" s="47" t="n">
        <f aca="false">-CW72*(In_MEKH+In_HIPA+In_Innovation)</f>
        <v>-82.245656548556</v>
      </c>
      <c r="CX76" s="47" t="n">
        <f aca="false">-CX72*(In_MEKH+In_HIPA+In_Innovation)</f>
        <v>-81.9989195789103</v>
      </c>
      <c r="CY76" s="47" t="n">
        <f aca="false">-CY72*(In_MEKH+In_HIPA+In_Innovation)</f>
        <v>-81.0184977143799</v>
      </c>
      <c r="CZ76" s="47" t="n">
        <f aca="false">-CZ72*(In_MEKH+In_HIPA+In_Innovation)</f>
        <v>-81.9187032445396</v>
      </c>
      <c r="DA76" s="47" t="n">
        <f aca="false">-DA72*(In_MEKH+In_HIPA+In_Innovation)</f>
        <v>-82.8189087746994</v>
      </c>
      <c r="DB76" s="47" t="n">
        <f aca="false">-DB72*(In_MEKH+In_HIPA+In_Innovation)</f>
        <v>-82.5704520483753</v>
      </c>
      <c r="DC76" s="47" t="n">
        <f aca="false">-DC72*(In_MEKH+In_HIPA+In_Innovation)</f>
        <v>-81.5831966434491</v>
      </c>
      <c r="DD76" s="47" t="n">
        <f aca="false">-DD72*(In_MEKH+In_HIPA+In_Innovation)</f>
        <v>-82.4896766061541</v>
      </c>
      <c r="DE76" s="47" t="n">
        <f aca="false">-DE72*(In_MEKH+In_HIPA+In_Innovation)</f>
        <v>-83.3961565688591</v>
      </c>
      <c r="DF76" s="47" t="n">
        <f aca="false">-DF72*(In_MEKH+In_HIPA+In_Innovation)</f>
        <v>-83.1459680991525</v>
      </c>
      <c r="DG76" s="47" t="n">
        <f aca="false">-DG72*(In_MEKH+In_HIPA+In_Innovation)</f>
        <v>-83.0646296520989</v>
      </c>
      <c r="DH76" s="47" t="n">
        <f aca="false">-DH72*(In_MEKH+In_HIPA+In_Innovation)</f>
        <v>-83.0646296520989</v>
      </c>
      <c r="DI76" s="47" t="n">
        <f aca="false">-DI72*(In_MEKH+In_HIPA+In_Innovation)</f>
        <v>-83.977427780144</v>
      </c>
      <c r="DJ76" s="47" t="n">
        <f aca="false">-DJ72*(In_MEKH+In_HIPA+In_Innovation)</f>
        <v>-83.7254954968036</v>
      </c>
      <c r="DK76" s="47" t="n">
        <f aca="false">-DK72*(In_MEKH+In_HIPA+In_Innovation)</f>
        <v>-82.7244297897766</v>
      </c>
      <c r="DL76" s="47" t="n">
        <f aca="false">-DL72*(In_MEKH+In_HIPA+In_Innovation)</f>
        <v>-83.6435901207741</v>
      </c>
      <c r="DM76" s="47" t="n">
        <f aca="false">-DM72*(In_MEKH+In_HIPA+In_Innovation)</f>
        <v>-84.5627504517716</v>
      </c>
      <c r="DN76" s="47" t="n">
        <f aca="false">-DN72*(In_MEKH+In_HIPA+In_Innovation)</f>
        <v>-84.3090622004163</v>
      </c>
      <c r="DO76" s="47" t="n">
        <f aca="false">-DO72*(In_MEKH+In_HIPA+In_Innovation)</f>
        <v>-83.3010190654113</v>
      </c>
      <c r="DP76" s="47" t="n">
        <f aca="false">-DP72*(In_MEKH+In_HIPA+In_Innovation)</f>
        <v>-84.2265859439159</v>
      </c>
      <c r="DQ76" s="47" t="n">
        <f aca="false">-DQ72*(In_MEKH+In_HIPA+In_Innovation)</f>
        <v>-85.1521528224205</v>
      </c>
      <c r="DR76" s="47" t="n">
        <f aca="false">-DR72*(In_MEKH+In_HIPA+In_Innovation)</f>
        <v>-84.8966963639532</v>
      </c>
      <c r="DS76" s="47" t="n">
        <f aca="false">-DS72*(In_MEKH+In_HIPA+In_Innovation)</f>
        <v>-83.8816271682972</v>
      </c>
      <c r="DT76" s="47" t="n">
        <f aca="false">-DT72*(In_MEKH+In_HIPA+In_Innovation)</f>
        <v>-84.813645247945</v>
      </c>
      <c r="DU76" s="47" t="n">
        <f aca="false">-DU72*(In_MEKH+In_HIPA+In_Innovation)</f>
        <v>-85.7456633275927</v>
      </c>
      <c r="DV76" s="47" t="n">
        <f aca="false">-DV72*(In_MEKH+In_HIPA+In_Innovation)</f>
        <v>-85.48842633761</v>
      </c>
      <c r="DW76" s="47" t="n">
        <f aca="false">-DW72*(In_MEKH+In_HIPA+In_Innovation)</f>
        <v>-85.4047963553232</v>
      </c>
      <c r="DX76" s="47" t="n">
        <f aca="false">-DX72*(In_MEKH+In_HIPA+In_Innovation)</f>
        <v>-85.4047963553232</v>
      </c>
      <c r="DY76" s="47" t="n">
        <f aca="false">-DY72*(In_MEKH+In_HIPA+In_Innovation)</f>
        <v>-86.3433106009861</v>
      </c>
      <c r="DZ76" s="47" t="n">
        <f aca="false">-DZ72*(In_MEKH+In_HIPA+In_Innovation)</f>
        <v>-86.0842806691831</v>
      </c>
      <c r="EA76" s="47" t="n">
        <f aca="false">-EA72*(In_MEKH+In_HIPA+In_Innovation)</f>
        <v>-85.0550120959646</v>
      </c>
      <c r="EB76" s="47" t="n">
        <f aca="false">-EB72*(In_MEKH+In_HIPA+In_Innovation)</f>
        <v>-86.0000677859198</v>
      </c>
      <c r="EC76" s="47" t="n">
        <f aca="false">-EC72*(In_MEKH+In_HIPA+In_Innovation)</f>
        <v>-86.9451234758749</v>
      </c>
      <c r="ED76" s="47" t="n">
        <f aca="false">-ED72*(In_MEKH+In_HIPA+In_Innovation)</f>
        <v>-86.6842881054473</v>
      </c>
      <c r="EE76" s="47" t="n">
        <f aca="false">-EE72*(In_MEKH+In_HIPA+In_Innovation)</f>
        <v>-85.6478455302735</v>
      </c>
      <c r="EF76" s="47" t="n">
        <f aca="false">-EF72*(In_MEKH+In_HIPA+In_Innovation)</f>
        <v>-86.5994882583876</v>
      </c>
      <c r="EG76" s="47" t="n">
        <f aca="false">-EG72*(In_MEKH+In_HIPA+In_Innovation)</f>
        <v>-87.5511309865018</v>
      </c>
      <c r="EH76" s="47" t="n">
        <f aca="false">-EH72*(In_MEKH+In_HIPA+In_Innovation)</f>
        <v>-87.2884775935423</v>
      </c>
      <c r="EI76" s="47" t="n">
        <f aca="false">-EI72*(In_MEKH+In_HIPA+In_Innovation)</f>
        <v>-86.2448110136195</v>
      </c>
      <c r="EJ76" s="47" t="n">
        <f aca="false">-EJ72*(In_MEKH+In_HIPA+In_Innovation)</f>
        <v>-87.2030866915486</v>
      </c>
      <c r="EK76" s="47" t="n">
        <f aca="false">-EK72*(In_MEKH+In_HIPA+In_Innovation)</f>
        <v>-88.1613623694777</v>
      </c>
      <c r="EL76" s="47" t="n">
        <f aca="false">-EL72*(In_MEKH+In_HIPA+In_Innovation)</f>
        <v>-87.8968782823693</v>
      </c>
      <c r="EM76" s="47" t="n">
        <f aca="false">-EM72*(In_MEKH+In_HIPA+In_Innovation)</f>
        <v>-87.8108922057887</v>
      </c>
      <c r="EN76" s="47" t="n">
        <f aca="false">-EN72*(In_MEKH+In_HIPA+In_Innovation)</f>
        <v>-87.8108922057887</v>
      </c>
      <c r="EO76" s="47" t="n">
        <f aca="false">-EO72*(In_MEKH+In_HIPA+In_Innovation)</f>
        <v>-88.775847065193</v>
      </c>
    </row>
    <row r="77" customFormat="false" ht="15" hidden="false" customHeight="false" outlineLevel="0" collapsed="false">
      <c r="C77" s="0" t="s">
        <v>307</v>
      </c>
      <c r="D77" s="11" t="s">
        <v>33</v>
      </c>
      <c r="I77" s="47" t="n">
        <f aca="false">SUM(J77:EO77)</f>
        <v>-4855.44410223627</v>
      </c>
      <c r="J77" s="47" t="n">
        <f aca="false">In_Opex_Contingency*(J73+J74+J75-J72*In_MEKH)</f>
        <v>-0</v>
      </c>
      <c r="K77" s="47" t="n">
        <f aca="false">In_Opex_Contingency*(K73+K74+K75-K72*In_MEKH)</f>
        <v>-0</v>
      </c>
      <c r="L77" s="47" t="n">
        <f aca="false">In_Opex_Contingency*(L73+L74+L75-L72*In_MEKH)</f>
        <v>-0</v>
      </c>
      <c r="M77" s="47" t="n">
        <f aca="false">In_Opex_Contingency*(M73+M74+M75-M72*In_MEKH)</f>
        <v>-0</v>
      </c>
      <c r="N77" s="47" t="n">
        <f aca="false">In_Opex_Contingency*(N73+N74+N75-N72*In_MEKH)</f>
        <v>-0</v>
      </c>
      <c r="O77" s="47" t="n">
        <f aca="false">In_Opex_Contingency*(O73+O74+O75-O72*In_MEKH)</f>
        <v>-0</v>
      </c>
      <c r="P77" s="47" t="n">
        <f aca="false">In_Opex_Contingency*(P73+P74+P75-P72*In_MEKH)</f>
        <v>-0</v>
      </c>
      <c r="Q77" s="47" t="n">
        <f aca="false">In_Opex_Contingency*(Q73+Q74+Q75-Q72*In_MEKH)</f>
        <v>-0</v>
      </c>
      <c r="R77" s="47" t="n">
        <f aca="false">In_Opex_Contingency*(R73+R74+R75-R72*In_MEKH)</f>
        <v>-1.979252401946</v>
      </c>
      <c r="S77" s="47" t="n">
        <f aca="false">In_Opex_Contingency*(S73+S74+S75-S72*In_MEKH)</f>
        <v>-1.98463080521216</v>
      </c>
      <c r="T77" s="47" t="n">
        <f aca="false">In_Opex_Contingency*(T73+T74+T75-T72*In_MEKH)</f>
        <v>-2.00668225860341</v>
      </c>
      <c r="U77" s="47" t="n">
        <f aca="false">In_Opex_Contingency*(U73+U74+U75-U72*In_MEKH)</f>
        <v>-2.02873371199466</v>
      </c>
      <c r="V77" s="47" t="n">
        <f aca="false">In_Opex_Contingency*(V73+V74+V75-V72*In_MEKH)</f>
        <v>-2.02873371199466</v>
      </c>
      <c r="W77" s="47" t="n">
        <f aca="false">In_Opex_Contingency*(W73+W74+W75-W72*In_MEKH)</f>
        <v>-2.03424657534247</v>
      </c>
      <c r="X77" s="47" t="n">
        <f aca="false">In_Opex_Contingency*(X73+X74+X75-X72*In_MEKH)</f>
        <v>-2.05684931506849</v>
      </c>
      <c r="Y77" s="47" t="n">
        <f aca="false">In_Opex_Contingency*(Y73+Y74+Y75-Y72*In_MEKH)</f>
        <v>-2.07945205479452</v>
      </c>
      <c r="Z77" s="47" t="n">
        <f aca="false">In_Opex_Contingency*(Z73+Z74+Z75-Z72*In_MEKH)</f>
        <v>-27.6861487621918</v>
      </c>
      <c r="AA77" s="47" t="n">
        <f aca="false">In_Opex_Contingency*(AA73+AA74+AA75-AA72*In_MEKH)</f>
        <v>-27.759186020589</v>
      </c>
      <c r="AB77" s="47" t="n">
        <f aca="false">In_Opex_Contingency*(AB73+AB74+AB75-AB72*In_MEKH)</f>
        <v>-28.0676214208178</v>
      </c>
      <c r="AC77" s="47" t="n">
        <f aca="false">In_Opex_Contingency*(AC73+AC74+AC75-AC72*In_MEKH)</f>
        <v>-28.3760568210466</v>
      </c>
      <c r="AD77" s="47" t="n">
        <f aca="false">In_Opex_Contingency*(AD73+AD74+AD75-AD72*In_MEKH)</f>
        <v>-28.3500276231862</v>
      </c>
      <c r="AE77" s="47" t="n">
        <f aca="false">In_Opex_Contingency*(AE73+AE74+AE75-AE72*In_MEKH)</f>
        <v>-28.7406852947782</v>
      </c>
      <c r="AF77" s="47" t="n">
        <f aca="false">In_Opex_Contingency*(AF73+AF74+AF75-AF72*In_MEKH)</f>
        <v>-28.7406852947782</v>
      </c>
      <c r="AG77" s="47" t="n">
        <f aca="false">In_Opex_Contingency*(AG73+AG74+AG75-AG72*In_MEKH)</f>
        <v>-29.0565170013142</v>
      </c>
      <c r="AH77" s="47" t="n">
        <f aca="false">In_Opex_Contingency*(AH73+AH74+AH75-AH72*In_MEKH)</f>
        <v>-29.0299238972281</v>
      </c>
      <c r="AI77" s="47" t="n">
        <f aca="false">In_Opex_Contingency*(AI73+AI74+AI75-AI72*In_MEKH)</f>
        <v>-29.1065819877973</v>
      </c>
      <c r="AJ77" s="47" t="n">
        <f aca="false">In_Opex_Contingency*(AJ73+AJ74+AJ75-AJ72*In_MEKH)</f>
        <v>-29.4299884543283</v>
      </c>
      <c r="AK77" s="47" t="n">
        <f aca="false">In_Opex_Contingency*(AK73+AK74+AK75-AK72*In_MEKH)</f>
        <v>-29.7533949208594</v>
      </c>
      <c r="AL77" s="47" t="n">
        <f aca="false">In_Opex_Contingency*(AL73+AL74+AL75-AL72*In_MEKH)</f>
        <v>-29.7262255941876</v>
      </c>
      <c r="AM77" s="47" t="n">
        <f aca="false">In_Opex_Contingency*(AM73+AM74+AM75-AM72*In_MEKH)</f>
        <v>-29.8047602827551</v>
      </c>
      <c r="AN77" s="47" t="n">
        <f aca="false">In_Opex_Contingency*(AN73+AN74+AN75-AN72*In_MEKH)</f>
        <v>-30.1359242858968</v>
      </c>
      <c r="AO77" s="47" t="n">
        <f aca="false">In_Opex_Contingency*(AO73+AO74+AO75-AO72*In_MEKH)</f>
        <v>-30.4670882890385</v>
      </c>
      <c r="AP77" s="47" t="n">
        <f aca="false">In_Opex_Contingency*(AP73+AP74+AP75-AP72*In_MEKH)</f>
        <v>-30.4393301537144</v>
      </c>
      <c r="AQ77" s="47" t="n">
        <f aca="false">In_Opex_Contingency*(AQ73+AQ74+AQ75-AQ72*In_MEKH)</f>
        <v>-30.5197869920154</v>
      </c>
      <c r="AR77" s="47" t="n">
        <f aca="false">In_Opex_Contingency*(AR73+AR74+AR75-AR72*In_MEKH)</f>
        <v>-30.8588957363711</v>
      </c>
      <c r="AS77" s="47" t="n">
        <f aca="false">In_Opex_Contingency*(AS73+AS74+AS75-AS72*In_MEKH)</f>
        <v>-31.1980044807269</v>
      </c>
      <c r="AT77" s="47" t="n">
        <f aca="false">In_Opex_Contingency*(AT73+AT74+AT75-AT72*In_MEKH)</f>
        <v>-31.1696446750663</v>
      </c>
      <c r="AU77" s="47" t="n">
        <f aca="false">In_Opex_Contingency*(AU73+AU74+AU75-AU72*In_MEKH)</f>
        <v>-31.599315546111</v>
      </c>
      <c r="AV77" s="47" t="n">
        <f aca="false">In_Opex_Contingency*(AV73+AV74+AV75-AV72*In_MEKH)</f>
        <v>-31.599315546111</v>
      </c>
      <c r="AW77" s="47" t="n">
        <f aca="false">In_Opex_Contingency*(AW73+AW74+AW75-AW72*In_MEKH)</f>
        <v>-31.9465607718925</v>
      </c>
      <c r="AX77" s="47" t="n">
        <f aca="false">In_Opex_Contingency*(AX73+AX74+AX75-AX72*In_MEKH)</f>
        <v>-31.9175861525529</v>
      </c>
      <c r="AY77" s="47" t="n">
        <f aca="false">In_Opex_Contingency*(AY73+AY74+AY75-AY72*In_MEKH)</f>
        <v>-32.0020283943847</v>
      </c>
      <c r="AZ77" s="47" t="n">
        <f aca="false">In_Opex_Contingency*(AZ73+AZ74+AZ75-AZ72*In_MEKH)</f>
        <v>-32.3576064876556</v>
      </c>
      <c r="BA77" s="47" t="n">
        <f aca="false">In_Opex_Contingency*(BA73+BA74+BA75-BA72*In_MEKH)</f>
        <v>-32.7131845809266</v>
      </c>
      <c r="BB77" s="47" t="n">
        <f aca="false">In_Opex_Contingency*(BB73+BB74+BB75-BB72*In_MEKH)</f>
        <v>-32.6835817167343</v>
      </c>
      <c r="BC77" s="47" t="n">
        <f aca="false">In_Opex_Contingency*(BC73+BC74+BC75-BC72*In_MEKH)</f>
        <v>-32.7700895046566</v>
      </c>
      <c r="BD77" s="47" t="n">
        <f aca="false">In_Opex_Contingency*(BD73+BD74+BD75-BD72*In_MEKH)</f>
        <v>-33.1342016102639</v>
      </c>
      <c r="BE77" s="47" t="n">
        <f aca="false">In_Opex_Contingency*(BE73+BE74+BE75-BE72*In_MEKH)</f>
        <v>-33.4983137158712</v>
      </c>
      <c r="BF77" s="47" t="n">
        <f aca="false">In_Opex_Contingency*(BF73+BF74+BF75-BF72*In_MEKH)</f>
        <v>-33.4680688815128</v>
      </c>
      <c r="BG77" s="47" t="n">
        <f aca="false">In_Opex_Contingency*(BG73+BG74+BG75-BG72*In_MEKH)</f>
        <v>-33.556692353174</v>
      </c>
      <c r="BH77" s="47" t="n">
        <f aca="false">In_Opex_Contingency*(BH73+BH74+BH75-BH72*In_MEKH)</f>
        <v>-33.9295444904315</v>
      </c>
      <c r="BI77" s="47" t="n">
        <f aca="false">In_Opex_Contingency*(BI73+BI74+BI75-BI72*In_MEKH)</f>
        <v>-34.302396627689</v>
      </c>
      <c r="BJ77" s="47" t="n">
        <f aca="false">In_Opex_Contingency*(BJ73+BJ74+BJ75-BJ72*In_MEKH)</f>
        <v>-34.271495797265</v>
      </c>
      <c r="BK77" s="47" t="n">
        <f aca="false">In_Opex_Contingency*(BK73+BK74+BK75-BK72*In_MEKH)</f>
        <v>-34.7440894885305</v>
      </c>
      <c r="BL77" s="47" t="n">
        <f aca="false">In_Opex_Contingency*(BL73+BL74+BL75-BL72*In_MEKH)</f>
        <v>-34.7440894885305</v>
      </c>
      <c r="BM77" s="47" t="n">
        <f aca="false">In_Opex_Contingency*(BM73+BM74+BM75-BM72*In_MEKH)</f>
        <v>-35.1258926697232</v>
      </c>
      <c r="BN77" s="47" t="n">
        <f aca="false">In_Opex_Contingency*(BN73+BN74+BN75-BN72*In_MEKH)</f>
        <v>-35.0943215101595</v>
      </c>
      <c r="BO77" s="47" t="n">
        <f aca="false">In_Opex_Contingency*(BO73+BO74+BO75-BO72*In_MEKH)</f>
        <v>-35.1873316599441</v>
      </c>
      <c r="BP77" s="47" t="n">
        <f aca="false">In_Opex_Contingency*(BP73+BP74+BP75-BP72*In_MEKH)</f>
        <v>-35.5783020117213</v>
      </c>
      <c r="BQ77" s="47" t="n">
        <f aca="false">In_Opex_Contingency*(BQ73+BQ74+BQ75-BQ72*In_MEKH)</f>
        <v>-35.9692723634984</v>
      </c>
      <c r="BR77" s="47" t="n">
        <f aca="false">In_Opex_Contingency*(BR73+BR74+BR75-BR72*In_MEKH)</f>
        <v>-35.9370162278146</v>
      </c>
      <c r="BS77" s="47" t="n">
        <f aca="false">In_Opex_Contingency*(BS73+BS74+BS75-BS72*In_MEKH)</f>
        <v>-36.0322998955625</v>
      </c>
      <c r="BT77" s="47" t="n">
        <f aca="false">In_Opex_Contingency*(BT73+BT74+BT75-BT72*In_MEKH)</f>
        <v>-36.432658783291</v>
      </c>
      <c r="BU77" s="47" t="n">
        <f aca="false">In_Opex_Contingency*(BU73+BU74+BU75-BU72*In_MEKH)</f>
        <v>-36.8330176710195</v>
      </c>
      <c r="BV77" s="47" t="n">
        <f aca="false">In_Opex_Contingency*(BV73+BV74+BV75-BV72*In_MEKH)</f>
        <v>-36.8000615914482</v>
      </c>
      <c r="BW77" s="47" t="n">
        <f aca="false">In_Opex_Contingency*(BW73+BW74+BW75-BW72*In_MEKH)</f>
        <v>-36.897673963427</v>
      </c>
      <c r="BX77" s="47" t="n">
        <f aca="false">In_Opex_Contingency*(BX73+BX74+BX75-BX72*In_MEKH)</f>
        <v>-37.3076481185762</v>
      </c>
      <c r="BY77" s="47" t="n">
        <f aca="false">In_Opex_Contingency*(BY73+BY74+BY75-BY72*In_MEKH)</f>
        <v>-37.7176222737254</v>
      </c>
      <c r="BZ77" s="47" t="n">
        <f aca="false">In_Opex_Contingency*(BZ73+BZ74+BZ75-BZ72*In_MEKH)</f>
        <v>-37.6839509546821</v>
      </c>
      <c r="CA77" s="47" t="n">
        <f aca="false">In_Opex_Contingency*(CA73+CA74+CA75-CA72*In_MEKH)</f>
        <v>-38.20377020763</v>
      </c>
      <c r="CB77" s="47" t="n">
        <f aca="false">In_Opex_Contingency*(CB73+CB74+CB75-CB72*In_MEKH)</f>
        <v>-38.20377020763</v>
      </c>
      <c r="CC77" s="47" t="n">
        <f aca="false">In_Opex_Contingency*(CC73+CC74+CC75-CC72*In_MEKH)</f>
        <v>-38.6235918582633</v>
      </c>
      <c r="CD77" s="47" t="n">
        <f aca="false">In_Opex_Contingency*(CD73+CD74+CD75-CD72*In_MEKH)</f>
        <v>-38.5891896691609</v>
      </c>
      <c r="CE77" s="47" t="n">
        <f aca="false">In_Opex_Contingency*(CE73+CE74+CE75-CE72*In_MEKH)</f>
        <v>-38.6916304003514</v>
      </c>
      <c r="CF77" s="47" t="n">
        <f aca="false">In_Opex_Contingency*(CF73+CF74+CF75-CF72*In_MEKH)</f>
        <v>-39.1215374047998</v>
      </c>
      <c r="CG77" s="47" t="n">
        <f aca="false">In_Opex_Contingency*(CG73+CG74+CG75-CG72*In_MEKH)</f>
        <v>-39.5514444092481</v>
      </c>
      <c r="CH77" s="47" t="n">
        <f aca="false">In_Opex_Contingency*(CH73+CH74+CH75-CH72*In_MEKH)</f>
        <v>-39.5162953771545</v>
      </c>
      <c r="CI77" s="47" t="n">
        <f aca="false">In_Opex_Contingency*(CI73+CI74+CI75-CI72*In_MEKH)</f>
        <v>-39.6212385415893</v>
      </c>
      <c r="CJ77" s="47" t="n">
        <f aca="false">In_Opex_Contingency*(CJ73+CJ74+CJ75-CJ72*In_MEKH)</f>
        <v>-40.0614745253848</v>
      </c>
      <c r="CK77" s="47" t="n">
        <f aca="false">In_Opex_Contingency*(CK73+CK74+CK75-CK72*In_MEKH)</f>
        <v>-40.5017105091802</v>
      </c>
      <c r="CL77" s="47" t="n">
        <f aca="false">In_Opex_Contingency*(CL73+CL74+CL75-CL72*In_MEKH)</f>
        <v>-40.4657983113151</v>
      </c>
      <c r="CM77" s="47" t="n">
        <f aca="false">In_Opex_Contingency*(CM73+CM74+CM75-CM72*In_MEKH)</f>
        <v>-40.5733046533978</v>
      </c>
      <c r="CN77" s="47" t="n">
        <f aca="false">In_Opex_Contingency*(CN73+CN74+CN75-CN72*In_MEKH)</f>
        <v>-41.0241191495467</v>
      </c>
      <c r="CO77" s="47" t="n">
        <f aca="false">In_Opex_Contingency*(CO73+CO74+CO75-CO72*In_MEKH)</f>
        <v>-41.4749336456956</v>
      </c>
      <c r="CP77" s="47" t="n">
        <f aca="false">In_Opex_Contingency*(CP73+CP74+CP75-CP72*In_MEKH)</f>
        <v>-41.4382416017625</v>
      </c>
      <c r="CQ77" s="47" t="n">
        <f aca="false">In_Opex_Contingency*(CQ73+CQ74+CQ75-CQ72*In_MEKH)</f>
        <v>-42.0100219336516</v>
      </c>
      <c r="CR77" s="47" t="n">
        <f aca="false">In_Opex_Contingency*(CR73+CR74+CR75-CR72*In_MEKH)</f>
        <v>-42.0100219336516</v>
      </c>
      <c r="CS77" s="47" t="n">
        <f aca="false">In_Opex_Contingency*(CS73+CS74+CS75-CS72*In_MEKH)</f>
        <v>-42.471670526329</v>
      </c>
      <c r="CT77" s="47" t="n">
        <f aca="false">In_Opex_Contingency*(CT73+CT74+CT75-CT72*In_MEKH)</f>
        <v>-42.4341815906792</v>
      </c>
      <c r="CU77" s="47" t="n">
        <f aca="false">In_Opex_Contingency*(CU73+CU74+CU75-CU72*In_MEKH)</f>
        <v>-42.5470024574743</v>
      </c>
      <c r="CV77" s="47" t="n">
        <f aca="false">In_Opex_Contingency*(CV73+CV74+CV75-CV72*In_MEKH)</f>
        <v>-43.019746929224</v>
      </c>
      <c r="CW77" s="47" t="n">
        <f aca="false">In_Opex_Contingency*(CW73+CW74+CW75-CW72*In_MEKH)</f>
        <v>-43.4924914009738</v>
      </c>
      <c r="CX77" s="47" t="n">
        <f aca="false">In_Opex_Contingency*(CX73+CX74+CX75-CX72*In_MEKH)</f>
        <v>-43.4541881545982</v>
      </c>
      <c r="CY77" s="47" t="n">
        <f aca="false">In_Opex_Contingency*(CY73+CY74+CY75-CY72*In_MEKH)</f>
        <v>-43.5697634271779</v>
      </c>
      <c r="CZ77" s="47" t="n">
        <f aca="false">In_Opex_Contingency*(CZ73+CZ74+CZ75-CZ72*In_MEKH)</f>
        <v>-44.0538719097021</v>
      </c>
      <c r="DA77" s="47" t="n">
        <f aca="false">In_Opex_Contingency*(DA73+DA74+DA75-DA72*In_MEKH)</f>
        <v>-44.5379803922263</v>
      </c>
      <c r="DB77" s="47" t="n">
        <f aca="false">In_Opex_Contingency*(DB73+DB74+DB75-DB72*In_MEKH)</f>
        <v>-44.4988450345726</v>
      </c>
      <c r="DC77" s="47" t="n">
        <f aca="false">In_Opex_Contingency*(DC73+DC74+DC75-DC72*In_MEKH)</f>
        <v>-44.6172415765537</v>
      </c>
      <c r="DD77" s="47" t="n">
        <f aca="false">In_Opex_Contingency*(DD73+DD74+DD75-DD72*In_MEKH)</f>
        <v>-45.1129887051821</v>
      </c>
      <c r="DE77" s="47" t="n">
        <f aca="false">In_Opex_Contingency*(DE73+DE74+DE75-DE72*In_MEKH)</f>
        <v>-45.6087358338105</v>
      </c>
      <c r="DF77" s="47" t="n">
        <f aca="false">In_Opex_Contingency*(DF73+DF74+DF75-DF72*In_MEKH)</f>
        <v>-45.5687501744202</v>
      </c>
      <c r="DG77" s="47" t="n">
        <f aca="false">In_Opex_Contingency*(DG73+DG74+DG75-DG72*In_MEKH)</f>
        <v>-46.1977035453506</v>
      </c>
      <c r="DH77" s="47" t="n">
        <f aca="false">In_Opex_Contingency*(DH73+DH74+DH75-DH72*In_MEKH)</f>
        <v>-46.1977035453506</v>
      </c>
      <c r="DI77" s="47" t="n">
        <f aca="false">In_Opex_Contingency*(DI73+DI74+DI75-DI72*In_MEKH)</f>
        <v>-46.7053706172776</v>
      </c>
      <c r="DJ77" s="47" t="n">
        <f aca="false">In_Opex_Contingency*(DJ73+DJ74+DJ75-DJ72*In_MEKH)</f>
        <v>-46.6645160672396</v>
      </c>
      <c r="DK77" s="47" t="n">
        <f aca="false">In_Opex_Contingency*(DK73+DK74+DK75-DK72*In_MEKH)</f>
        <v>-46.7887622744214</v>
      </c>
      <c r="DL77" s="47" t="n">
        <f aca="false">In_Opex_Contingency*(DL73+DL74+DL75-DL72*In_MEKH)</f>
        <v>-47.3086374108039</v>
      </c>
      <c r="DM77" s="47" t="n">
        <f aca="false">In_Opex_Contingency*(DM73+DM74+DM75-DM72*In_MEKH)</f>
        <v>-47.8285125471863</v>
      </c>
      <c r="DN77" s="47" t="n">
        <f aca="false">In_Opex_Contingency*(DN73+DN74+DN75-DN72*In_MEKH)</f>
        <v>-47.786770110404</v>
      </c>
      <c r="DO77" s="47" t="n">
        <f aca="false">In_Opex_Contingency*(DO73+DO74+DO75-DO72*In_MEKH)</f>
        <v>-47.9140480809492</v>
      </c>
      <c r="DP77" s="47" t="n">
        <f aca="false">In_Opex_Contingency*(DP73+DP74+DP75-DP72*In_MEKH)</f>
        <v>-48.4464263929598</v>
      </c>
      <c r="DQ77" s="47" t="n">
        <f aca="false">In_Opex_Contingency*(DQ73+DQ74+DQ75-DQ72*In_MEKH)</f>
        <v>-48.9788047049703</v>
      </c>
      <c r="DR77" s="47" t="n">
        <f aca="false">In_Opex_Contingency*(DR73+DR74+DR75-DR72*In_MEKH)</f>
        <v>-48.9361549692362</v>
      </c>
      <c r="DS77" s="47" t="n">
        <f aca="false">In_Opex_Contingency*(DS73+DS74+DS75-DS72*In_MEKH)</f>
        <v>-49.0665383038425</v>
      </c>
      <c r="DT77" s="47" t="n">
        <f aca="false">In_Opex_Contingency*(DT73+DT74+DT75-DT72*In_MEKH)</f>
        <v>-49.6117220627741</v>
      </c>
      <c r="DU77" s="47" t="n">
        <f aca="false">In_Opex_Contingency*(DU73+DU74+DU75-DU72*In_MEKH)</f>
        <v>-50.1569058217057</v>
      </c>
      <c r="DV77" s="47" t="n">
        <f aca="false">In_Opex_Contingency*(DV73+DV74+DV75-DV72*In_MEKH)</f>
        <v>-50.1133289495808</v>
      </c>
      <c r="DW77" s="47" t="n">
        <f aca="false">In_Opex_Contingency*(DW73+DW74+DW75-DW72*In_MEKH)</f>
        <v>-50.8051918484756</v>
      </c>
      <c r="DX77" s="47" t="n">
        <f aca="false">In_Opex_Contingency*(DX73+DX74+DX75-DX72*In_MEKH)</f>
        <v>-50.8051918484756</v>
      </c>
      <c r="DY77" s="47" t="n">
        <f aca="false">In_Opex_Contingency*(DY73+DY74+DY75-DY72*In_MEKH)</f>
        <v>-51.3634906599973</v>
      </c>
      <c r="DZ77" s="47" t="n">
        <f aca="false">In_Opex_Contingency*(DZ73+DZ74+DZ75-DZ72*In_MEKH)</f>
        <v>-51.318966379491</v>
      </c>
      <c r="EA77" s="47" t="n">
        <f aca="false">In_Opex_Contingency*(EA73+EA74+EA75-EA72*In_MEKH)</f>
        <v>-51.4557884398768</v>
      </c>
      <c r="EB77" s="47" t="n">
        <f aca="false">In_Opex_Contingency*(EB73+EB74+EB75-EB72*In_MEKH)</f>
        <v>-52.0275194225421</v>
      </c>
      <c r="EC77" s="47" t="n">
        <f aca="false">In_Opex_Contingency*(EC73+EC74+EC75-EC72*In_MEKH)</f>
        <v>-52.5992504052074</v>
      </c>
      <c r="ED77" s="47" t="n">
        <f aca="false">In_Opex_Contingency*(ED73+ED74+ED75-ED72*In_MEKH)</f>
        <v>-52.5537580002524</v>
      </c>
      <c r="EE77" s="47" t="n">
        <f aca="false">In_Opex_Contingency*(EE73+EE74+EE75-EE72*In_MEKH)</f>
        <v>-52.6939171300324</v>
      </c>
      <c r="EF77" s="47" t="n">
        <f aca="false">In_Opex_Contingency*(EF73+EF74+EF75-EF72*In_MEKH)</f>
        <v>-53.2794050981439</v>
      </c>
      <c r="EG77" s="47" t="n">
        <f aca="false">In_Opex_Contingency*(EG73+EG74+EG75-EG72*In_MEKH)</f>
        <v>-53.8648930662554</v>
      </c>
      <c r="EH77" s="47" t="n">
        <f aca="false">In_Opex_Contingency*(EH73+EH74+EH75-EH72*In_MEKH)</f>
        <v>-53.8184113669737</v>
      </c>
      <c r="EI77" s="47" t="n">
        <f aca="false">In_Opex_Contingency*(EI73+EI74+EI75-EI72*In_MEKH)</f>
        <v>-53.9619885843489</v>
      </c>
      <c r="EJ77" s="47" t="n">
        <f aca="false">In_Opex_Contingency*(EJ73+EJ74+EJ75-EJ72*In_MEKH)</f>
        <v>-54.5615662352861</v>
      </c>
      <c r="EK77" s="47" t="n">
        <f aca="false">In_Opex_Contingency*(EK73+EK74+EK75-EK72*In_MEKH)</f>
        <v>-55.1611438862233</v>
      </c>
      <c r="EL77" s="47" t="n">
        <f aca="false">In_Opex_Contingency*(EL73+EL74+EL75-EL72*In_MEKH)</f>
        <v>-55.1136512589796</v>
      </c>
      <c r="EM77" s="47" t="n">
        <f aca="false">In_Opex_Contingency*(EM73+EM74+EM75-EM72*In_MEKH)</f>
        <v>-55.8747376568881</v>
      </c>
      <c r="EN77" s="47" t="n">
        <f aca="false">In_Opex_Contingency*(EN73+EN74+EN75-EN72*In_MEKH)</f>
        <v>-55.8747376568881</v>
      </c>
      <c r="EO77" s="47" t="n">
        <f aca="false">In_Opex_Contingency*(EO73+EO74+EO75-EO72*In_MEKH)</f>
        <v>-56.4887457630078</v>
      </c>
    </row>
    <row r="78" customFormat="false" ht="15" hidden="false" customHeight="false" outlineLevel="0" collapsed="false">
      <c r="C78" s="0" t="s">
        <v>23</v>
      </c>
      <c r="D78" s="11" t="s">
        <v>33</v>
      </c>
      <c r="I78" s="47" t="n">
        <f aca="false">SUM(J78:EO78)</f>
        <v>-11384.9510381364</v>
      </c>
      <c r="J78" s="47" t="n">
        <f aca="false">-$E32*J71/Thousand</f>
        <v>-0</v>
      </c>
      <c r="K78" s="47" t="n">
        <f aca="false">-$E32*K71/Thousand</f>
        <v>-0</v>
      </c>
      <c r="L78" s="47" t="n">
        <f aca="false">-$E32*L71/Thousand</f>
        <v>-0</v>
      </c>
      <c r="M78" s="47" t="n">
        <f aca="false">-$E32*M71/Thousand</f>
        <v>-0</v>
      </c>
      <c r="N78" s="47" t="n">
        <f aca="false">-$E32*N71/Thousand</f>
        <v>-0</v>
      </c>
      <c r="O78" s="47" t="n">
        <f aca="false">-$E32*O71/Thousand</f>
        <v>-0</v>
      </c>
      <c r="P78" s="47" t="n">
        <f aca="false">-$E32*P71/Thousand</f>
        <v>-0</v>
      </c>
      <c r="Q78" s="47" t="n">
        <f aca="false">-$E32*Q71/Thousand</f>
        <v>-0</v>
      </c>
      <c r="R78" s="47" t="n">
        <f aca="false">-$E32*R71/Thousand</f>
        <v>-0</v>
      </c>
      <c r="S78" s="47" t="n">
        <f aca="false">-$E32*S71/Thousand</f>
        <v>-0</v>
      </c>
      <c r="T78" s="47" t="n">
        <f aca="false">-$E32*T71/Thousand</f>
        <v>-0</v>
      </c>
      <c r="U78" s="47" t="n">
        <f aca="false">-$E32*U71/Thousand</f>
        <v>-0</v>
      </c>
      <c r="V78" s="47" t="n">
        <f aca="false">-$E32*V71/Thousand</f>
        <v>-0</v>
      </c>
      <c r="W78" s="47" t="n">
        <f aca="false">-$E32*W71/Thousand</f>
        <v>-0</v>
      </c>
      <c r="X78" s="47" t="n">
        <f aca="false">-$E32*X71/Thousand</f>
        <v>-0</v>
      </c>
      <c r="Y78" s="47" t="n">
        <f aca="false">-$E32*Y71/Thousand</f>
        <v>-0</v>
      </c>
      <c r="Z78" s="47" t="n">
        <f aca="false">-$E32*Z71/Thousand</f>
        <v>-99.8071200000001</v>
      </c>
      <c r="AA78" s="47" t="n">
        <f aca="false">-$E32*AA71/Thousand</f>
        <v>-97.6374</v>
      </c>
      <c r="AB78" s="47" t="n">
        <f aca="false">-$E32*AB71/Thousand</f>
        <v>-98.72226</v>
      </c>
      <c r="AC78" s="47" t="n">
        <f aca="false">-$E32*AC71/Thousand</f>
        <v>-99.8071200000001</v>
      </c>
      <c r="AD78" s="47" t="n">
        <f aca="false">-$E32*AD71/Thousand</f>
        <v>-99.50769864</v>
      </c>
      <c r="AE78" s="47" t="n">
        <f aca="false">-$E32*AE71/Thousand</f>
        <v>-98.42609322</v>
      </c>
      <c r="AF78" s="47" t="n">
        <f aca="false">-$E32*AF71/Thousand</f>
        <v>-98.42609322</v>
      </c>
      <c r="AG78" s="47" t="n">
        <f aca="false">-$E32*AG71/Thousand</f>
        <v>-99.50769864</v>
      </c>
      <c r="AH78" s="47" t="n">
        <f aca="false">-$E32*AH71/Thousand</f>
        <v>-99.2091755440801</v>
      </c>
      <c r="AI78" s="47" t="n">
        <f aca="false">-$E32*AI71/Thousand</f>
        <v>-97.0524543366001</v>
      </c>
      <c r="AJ78" s="47" t="n">
        <f aca="false">-$E32*AJ71/Thousand</f>
        <v>-98.13081494034</v>
      </c>
      <c r="AK78" s="47" t="n">
        <f aca="false">-$E32*AK71/Thousand</f>
        <v>-99.2091755440801</v>
      </c>
      <c r="AL78" s="47" t="n">
        <f aca="false">-$E32*AL71/Thousand</f>
        <v>-98.9115480174478</v>
      </c>
      <c r="AM78" s="47" t="n">
        <f aca="false">-$E32*AM71/Thousand</f>
        <v>-96.7612969735902</v>
      </c>
      <c r="AN78" s="47" t="n">
        <f aca="false">-$E32*AN71/Thousand</f>
        <v>-97.836422495519</v>
      </c>
      <c r="AO78" s="47" t="n">
        <f aca="false">-$E32*AO71/Thousand</f>
        <v>-98.9115480174478</v>
      </c>
      <c r="AP78" s="47" t="n">
        <f aca="false">-$E32*AP71/Thousand</f>
        <v>-98.6148133733955</v>
      </c>
      <c r="AQ78" s="47" t="n">
        <f aca="false">-$E32*AQ71/Thousand</f>
        <v>-96.4710130826695</v>
      </c>
      <c r="AR78" s="47" t="n">
        <f aca="false">-$E32*AR71/Thousand</f>
        <v>-97.5429132280325</v>
      </c>
      <c r="AS78" s="47" t="n">
        <f aca="false">-$E32*AS71/Thousand</f>
        <v>-98.6148133733955</v>
      </c>
      <c r="AT78" s="47" t="n">
        <f aca="false">-$E32*AT71/Thousand</f>
        <v>-98.3189689332753</v>
      </c>
      <c r="AU78" s="47" t="n">
        <f aca="false">-$E32*AU71/Thousand</f>
        <v>-97.2502844883484</v>
      </c>
      <c r="AV78" s="47" t="n">
        <f aca="false">-$E32*AV71/Thousand</f>
        <v>-97.2502844883484</v>
      </c>
      <c r="AW78" s="47" t="n">
        <f aca="false">-$E32*AW71/Thousand</f>
        <v>-98.3189689332753</v>
      </c>
      <c r="AX78" s="47" t="n">
        <f aca="false">-$E32*AX71/Thousand</f>
        <v>-98.0240120264755</v>
      </c>
      <c r="AY78" s="47" t="n">
        <f aca="false">-$E32*AY71/Thousand</f>
        <v>-95.8930552432912</v>
      </c>
      <c r="AZ78" s="47" t="n">
        <f aca="false">-$E32*AZ71/Thousand</f>
        <v>-96.9585336348833</v>
      </c>
      <c r="BA78" s="47" t="n">
        <f aca="false">-$E32*BA71/Thousand</f>
        <v>-98.0240120264755</v>
      </c>
      <c r="BB78" s="47" t="n">
        <f aca="false">-$E32*BB71/Thousand</f>
        <v>-97.729939990396</v>
      </c>
      <c r="BC78" s="47" t="n">
        <f aca="false">-$E32*BC71/Thousand</f>
        <v>-95.6053760775613</v>
      </c>
      <c r="BD78" s="47" t="n">
        <f aca="false">-$E32*BD71/Thousand</f>
        <v>-96.6676580339787</v>
      </c>
      <c r="BE78" s="47" t="n">
        <f aca="false">-$E32*BE71/Thousand</f>
        <v>-97.729939990396</v>
      </c>
      <c r="BF78" s="47" t="n">
        <f aca="false">-$E32*BF71/Thousand</f>
        <v>-97.4367501704248</v>
      </c>
      <c r="BG78" s="47" t="n">
        <f aca="false">-$E32*BG71/Thousand</f>
        <v>-95.3185599493286</v>
      </c>
      <c r="BH78" s="47" t="n">
        <f aca="false">-$E32*BH71/Thousand</f>
        <v>-96.3776550598767</v>
      </c>
      <c r="BI78" s="47" t="n">
        <f aca="false">-$E32*BI71/Thousand</f>
        <v>-97.4367501704248</v>
      </c>
      <c r="BJ78" s="47" t="n">
        <f aca="false">-$E32*BJ71/Thousand</f>
        <v>-97.1444399199135</v>
      </c>
      <c r="BK78" s="47" t="n">
        <f aca="false">-$E32*BK71/Thousand</f>
        <v>-96.0885220946971</v>
      </c>
      <c r="BL78" s="47" t="n">
        <f aca="false">-$E32*BL71/Thousand</f>
        <v>-96.0885220946971</v>
      </c>
      <c r="BM78" s="47" t="n">
        <f aca="false">-$E32*BM71/Thousand</f>
        <v>-97.1444399199135</v>
      </c>
      <c r="BN78" s="47" t="n">
        <f aca="false">-$E32*BN71/Thousand</f>
        <v>-96.8530066001538</v>
      </c>
      <c r="BO78" s="47" t="n">
        <f aca="false">-$E32*BO71/Thousand</f>
        <v>-94.7475064566722</v>
      </c>
      <c r="BP78" s="47" t="n">
        <f aca="false">-$E32*BP71/Thousand</f>
        <v>-95.800256528413</v>
      </c>
      <c r="BQ78" s="47" t="n">
        <f aca="false">-$E32*BQ71/Thousand</f>
        <v>-96.8530066001538</v>
      </c>
      <c r="BR78" s="47" t="n">
        <f aca="false">-$E32*BR71/Thousand</f>
        <v>-96.5624475803534</v>
      </c>
      <c r="BS78" s="47" t="n">
        <f aca="false">-$E32*BS71/Thousand</f>
        <v>-94.4632639373022</v>
      </c>
      <c r="BT78" s="47" t="n">
        <f aca="false">-$E32*BT71/Thousand</f>
        <v>-95.5128557588278</v>
      </c>
      <c r="BU78" s="47" t="n">
        <f aca="false">-$E32*BU71/Thousand</f>
        <v>-96.5624475803534</v>
      </c>
      <c r="BV78" s="47" t="n">
        <f aca="false">-$E32*BV71/Thousand</f>
        <v>-96.2727602376123</v>
      </c>
      <c r="BW78" s="47" t="n">
        <f aca="false">-$E32*BW71/Thousand</f>
        <v>-94.1798741454903</v>
      </c>
      <c r="BX78" s="47" t="n">
        <f aca="false">-$E32*BX71/Thousand</f>
        <v>-95.2263171915513</v>
      </c>
      <c r="BY78" s="47" t="n">
        <f aca="false">-$E32*BY71/Thousand</f>
        <v>-96.2727602376123</v>
      </c>
      <c r="BZ78" s="47" t="n">
        <f aca="false">-$E32*BZ71/Thousand</f>
        <v>-95.9839419568994</v>
      </c>
      <c r="CA78" s="47" t="n">
        <f aca="false">-$E32*CA71/Thousand</f>
        <v>-94.9406382399766</v>
      </c>
      <c r="CB78" s="47" t="n">
        <f aca="false">-$E32*CB71/Thousand</f>
        <v>-94.9406382399766</v>
      </c>
      <c r="CC78" s="47" t="n">
        <f aca="false">-$E32*CC71/Thousand</f>
        <v>-95.9839419568994</v>
      </c>
      <c r="CD78" s="47" t="n">
        <f aca="false">-$E32*CD71/Thousand</f>
        <v>-95.6959901310288</v>
      </c>
      <c r="CE78" s="47" t="n">
        <f aca="false">-$E32*CE71/Thousand</f>
        <v>-93.6156425194847</v>
      </c>
      <c r="CF78" s="47" t="n">
        <f aca="false">-$E32*CF71/Thousand</f>
        <v>-94.6558163252567</v>
      </c>
      <c r="CG78" s="47" t="n">
        <f aca="false">-$E32*CG71/Thousand</f>
        <v>-95.6959901310288</v>
      </c>
      <c r="CH78" s="47" t="n">
        <f aca="false">-$E32*CH71/Thousand</f>
        <v>-95.4089021606357</v>
      </c>
      <c r="CI78" s="47" t="n">
        <f aca="false">-$E32*CI71/Thousand</f>
        <v>-93.3347955919262</v>
      </c>
      <c r="CJ78" s="47" t="n">
        <f aca="false">-$E32*CJ71/Thousand</f>
        <v>-94.371848876281</v>
      </c>
      <c r="CK78" s="47" t="n">
        <f aca="false">-$E32*CK71/Thousand</f>
        <v>-95.4089021606357</v>
      </c>
      <c r="CL78" s="47" t="n">
        <f aca="false">-$E32*CL71/Thousand</f>
        <v>-95.1226754541538</v>
      </c>
      <c r="CM78" s="47" t="n">
        <f aca="false">-$E32*CM71/Thousand</f>
        <v>-93.0547912051504</v>
      </c>
      <c r="CN78" s="47" t="n">
        <f aca="false">-$E32*CN71/Thousand</f>
        <v>-94.0887333296521</v>
      </c>
      <c r="CO78" s="47" t="n">
        <f aca="false">-$E32*CO71/Thousand</f>
        <v>-95.1226754541538</v>
      </c>
      <c r="CP78" s="47" t="n">
        <f aca="false">-$E32*CP71/Thousand</f>
        <v>-94.8373074277913</v>
      </c>
      <c r="CQ78" s="47" t="n">
        <f aca="false">-$E32*CQ71/Thousand</f>
        <v>-93.8064671296631</v>
      </c>
      <c r="CR78" s="47" t="n">
        <f aca="false">-$E32*CR71/Thousand</f>
        <v>-93.8064671296631</v>
      </c>
      <c r="CS78" s="47" t="n">
        <f aca="false">-$E32*CS71/Thousand</f>
        <v>-94.8373074277913</v>
      </c>
      <c r="CT78" s="47" t="n">
        <f aca="false">-$E32*CT71/Thousand</f>
        <v>-94.5527955055079</v>
      </c>
      <c r="CU78" s="47" t="n">
        <f aca="false">-$E32*CU71/Thousand</f>
        <v>-92.4972999510404</v>
      </c>
      <c r="CV78" s="47" t="n">
        <f aca="false">-$E32*CV71/Thousand</f>
        <v>-93.5250477282741</v>
      </c>
      <c r="CW78" s="47" t="n">
        <f aca="false">-$E32*CW71/Thousand</f>
        <v>-94.5527955055079</v>
      </c>
      <c r="CX78" s="47" t="n">
        <f aca="false">-$E32*CX71/Thousand</f>
        <v>-94.2691371189914</v>
      </c>
      <c r="CY78" s="47" t="n">
        <f aca="false">-$E32*CY71/Thousand</f>
        <v>-92.2198080511872</v>
      </c>
      <c r="CZ78" s="47" t="n">
        <f aca="false">-$E32*CZ71/Thousand</f>
        <v>-93.2444725850893</v>
      </c>
      <c r="DA78" s="47" t="n">
        <f aca="false">-$E32*DA71/Thousand</f>
        <v>-94.2691371189914</v>
      </c>
      <c r="DB78" s="47" t="n">
        <f aca="false">-$E32*DB71/Thousand</f>
        <v>-93.9863297076344</v>
      </c>
      <c r="DC78" s="47" t="n">
        <f aca="false">-$E32*DC71/Thousand</f>
        <v>-91.9431486270337</v>
      </c>
      <c r="DD78" s="47" t="n">
        <f aca="false">-$E32*DD71/Thousand</f>
        <v>-92.9647391673341</v>
      </c>
      <c r="DE78" s="47" t="n">
        <f aca="false">-$E32*DE71/Thousand</f>
        <v>-93.9863297076344</v>
      </c>
      <c r="DF78" s="47" t="n">
        <f aca="false">-$E32*DF71/Thousand</f>
        <v>-93.7043707185115</v>
      </c>
      <c r="DG78" s="47" t="n">
        <f aca="false">-$E32*DG71/Thousand</f>
        <v>-92.6858449498321</v>
      </c>
      <c r="DH78" s="47" t="n">
        <f aca="false">-$E32*DH71/Thousand</f>
        <v>-92.6858449498321</v>
      </c>
      <c r="DI78" s="47" t="n">
        <f aca="false">-$E32*DI71/Thousand</f>
        <v>-93.7043707185115</v>
      </c>
      <c r="DJ78" s="47" t="n">
        <f aca="false">-$E32*DJ71/Thousand</f>
        <v>-93.423257606356</v>
      </c>
      <c r="DK78" s="47" t="n">
        <f aca="false">-$E32*DK71/Thousand</f>
        <v>-91.3923172236091</v>
      </c>
      <c r="DL78" s="47" t="n">
        <f aca="false">-$E32*DL71/Thousand</f>
        <v>-92.4077874149825</v>
      </c>
      <c r="DM78" s="47" t="n">
        <f aca="false">-$E32*DM71/Thousand</f>
        <v>-93.423257606356</v>
      </c>
      <c r="DN78" s="47" t="n">
        <f aca="false">-$E32*DN71/Thousand</f>
        <v>-93.1429878335369</v>
      </c>
      <c r="DO78" s="47" t="n">
        <f aca="false">-$E32*DO71/Thousand</f>
        <v>-91.1181402719383</v>
      </c>
      <c r="DP78" s="47" t="n">
        <f aca="false">-$E32*DP71/Thousand</f>
        <v>-92.1305640527376</v>
      </c>
      <c r="DQ78" s="47" t="n">
        <f aca="false">-$E32*DQ71/Thousand</f>
        <v>-93.1429878335369</v>
      </c>
      <c r="DR78" s="47" t="n">
        <f aca="false">-$E32*DR71/Thousand</f>
        <v>-92.8635588700363</v>
      </c>
      <c r="DS78" s="47" t="n">
        <f aca="false">-$E32*DS71/Thousand</f>
        <v>-90.8447858511225</v>
      </c>
      <c r="DT78" s="47" t="n">
        <f aca="false">-$E32*DT71/Thousand</f>
        <v>-91.8541723605794</v>
      </c>
      <c r="DU78" s="47" t="n">
        <f aca="false">-$E32*DU71/Thousand</f>
        <v>-92.8635588700363</v>
      </c>
      <c r="DV78" s="47" t="n">
        <f aca="false">-$E32*DV71/Thousand</f>
        <v>-92.5849681934262</v>
      </c>
      <c r="DW78" s="47" t="n">
        <f aca="false">-$E32*DW71/Thousand</f>
        <v>-91.5786098434977</v>
      </c>
      <c r="DX78" s="47" t="n">
        <f aca="false">-$E32*DX71/Thousand</f>
        <v>-91.5786098434977</v>
      </c>
      <c r="DY78" s="47" t="n">
        <f aca="false">-$E32*DY71/Thousand</f>
        <v>-92.5849681934262</v>
      </c>
      <c r="DZ78" s="47" t="n">
        <f aca="false">-$E32*DZ71/Thousand</f>
        <v>-92.3072132888459</v>
      </c>
      <c r="EA78" s="47" t="n">
        <f aca="false">-$E32*EA71/Thousand</f>
        <v>-90.3005347390884</v>
      </c>
      <c r="EB78" s="47" t="n">
        <f aca="false">-$E32*EB71/Thousand</f>
        <v>-91.3038740139672</v>
      </c>
      <c r="EC78" s="47" t="n">
        <f aca="false">-$E32*EC71/Thousand</f>
        <v>-92.3072132888459</v>
      </c>
      <c r="ED78" s="47" t="n">
        <f aca="false">-$E32*ED71/Thousand</f>
        <v>-92.0302916489794</v>
      </c>
      <c r="EE78" s="47" t="n">
        <f aca="false">-$E32*EE71/Thousand</f>
        <v>-90.0296331348711</v>
      </c>
      <c r="EF78" s="47" t="n">
        <f aca="false">-$E32*EF71/Thousand</f>
        <v>-91.0299623919253</v>
      </c>
      <c r="EG78" s="47" t="n">
        <f aca="false">-$E32*EG71/Thousand</f>
        <v>-92.0302916489794</v>
      </c>
      <c r="EH78" s="47" t="n">
        <f aca="false">-$E32*EH71/Thousand</f>
        <v>-91.7542007740324</v>
      </c>
      <c r="EI78" s="47" t="n">
        <f aca="false">-$E32*EI71/Thousand</f>
        <v>-89.7595442354665</v>
      </c>
      <c r="EJ78" s="47" t="n">
        <f aca="false">-$E32*EJ71/Thousand</f>
        <v>-90.7568725047495</v>
      </c>
      <c r="EK78" s="47" t="n">
        <f aca="false">-$E32*EK71/Thousand</f>
        <v>-91.7542007740324</v>
      </c>
      <c r="EL78" s="47" t="n">
        <f aca="false">-$E32*EL71/Thousand</f>
        <v>-91.4789381717104</v>
      </c>
      <c r="EM78" s="47" t="n">
        <f aca="false">-$E32*EM71/Thousand</f>
        <v>-90.4846018872352</v>
      </c>
      <c r="EN78" s="47" t="n">
        <f aca="false">-$E32*EN71/Thousand</f>
        <v>-90.4846018872352</v>
      </c>
      <c r="EO78" s="47" t="n">
        <f aca="false">-$E32*EO71/Thousand</f>
        <v>-91.4789381717104</v>
      </c>
    </row>
    <row r="79" customFormat="false" ht="15" hidden="false" customHeight="false" outlineLevel="0" collapsed="false">
      <c r="C79" s="25" t="s">
        <v>427</v>
      </c>
      <c r="D79" s="11" t="s">
        <v>33</v>
      </c>
      <c r="E79" s="56" t="n">
        <f aca="false">SUMIF($J$7:$EO$7,YEAR(In_COD)+1,$J79:$EO79)</f>
        <v>8953.90595038936</v>
      </c>
      <c r="I79" s="56" t="n">
        <f aca="false">SUM(J79:EO79)</f>
        <v>275591.293022842</v>
      </c>
      <c r="J79" s="56" t="n">
        <f aca="false">SUM(J72:J78)</f>
        <v>0</v>
      </c>
      <c r="K79" s="56" t="n">
        <f aca="false">SUM(K72:K78)</f>
        <v>0</v>
      </c>
      <c r="L79" s="56" t="n">
        <f aca="false">SUM(L72:L78)</f>
        <v>0</v>
      </c>
      <c r="M79" s="56" t="n">
        <f aca="false">SUM(M72:M78)</f>
        <v>0</v>
      </c>
      <c r="N79" s="56" t="n">
        <f aca="false">SUM(N72:N78)</f>
        <v>0</v>
      </c>
      <c r="O79" s="56" t="n">
        <f aca="false">SUM(O72:O78)</f>
        <v>0</v>
      </c>
      <c r="P79" s="56" t="n">
        <f aca="false">SUM(P72:P78)</f>
        <v>0</v>
      </c>
      <c r="Q79" s="56" t="n">
        <f aca="false">SUM(Q72:Q78)</f>
        <v>0</v>
      </c>
      <c r="R79" s="56" t="n">
        <f aca="false">SUM(R72:R78)</f>
        <v>-41.5643004408661</v>
      </c>
      <c r="S79" s="56" t="n">
        <f aca="false">SUM(S72:S78)</f>
        <v>-41.6772469094554</v>
      </c>
      <c r="T79" s="56" t="n">
        <f aca="false">SUM(T72:T78)</f>
        <v>-42.1403274306716</v>
      </c>
      <c r="U79" s="56" t="n">
        <f aca="false">SUM(U72:U78)</f>
        <v>-42.6034079518878</v>
      </c>
      <c r="V79" s="56" t="n">
        <f aca="false">SUM(V72:V78)</f>
        <v>-42.6034079518878</v>
      </c>
      <c r="W79" s="56" t="n">
        <f aca="false">SUM(W72:W78)</f>
        <v>-42.7191780821918</v>
      </c>
      <c r="X79" s="56" t="n">
        <f aca="false">SUM(X72:X78)</f>
        <v>-43.1938356164384</v>
      </c>
      <c r="Y79" s="56" t="n">
        <f aca="false">SUM(Y72:Y78)</f>
        <v>-43.6684931506849</v>
      </c>
      <c r="Z79" s="56" t="n">
        <f aca="false">SUM(Z72:Z78)</f>
        <v>2244.13044319397</v>
      </c>
      <c r="AA79" s="56" t="n">
        <f aca="false">SUM(AA72:AA78)</f>
        <v>2209.78940950763</v>
      </c>
      <c r="AB79" s="56" t="n">
        <f aca="false">SUM(AB72:AB78)</f>
        <v>2234.34262516883</v>
      </c>
      <c r="AC79" s="56" t="n">
        <f aca="false">SUM(AC72:AC78)</f>
        <v>2258.89584083002</v>
      </c>
      <c r="AD79" s="56" t="n">
        <f aca="false">SUM(AD72:AD78)</f>
        <v>2250.87807488288</v>
      </c>
      <c r="AE79" s="56" t="n">
        <f aca="false">SUM(AE72:AE78)</f>
        <v>2240.87417059265</v>
      </c>
      <c r="AF79" s="56" t="n">
        <f aca="false">SUM(AF72:AF78)</f>
        <v>2240.87417059265</v>
      </c>
      <c r="AG79" s="56" t="n">
        <f aca="false">SUM(AG72:AG78)</f>
        <v>2265.49916147828</v>
      </c>
      <c r="AH79" s="56" t="n">
        <f aca="false">SUM(AH72:AH78)</f>
        <v>2257.43055860857</v>
      </c>
      <c r="AI79" s="56" t="n">
        <f aca="false">SUM(AI72:AI78)</f>
        <v>2222.511210462</v>
      </c>
      <c r="AJ79" s="56" t="n">
        <f aca="false">SUM(AJ72:AJ78)</f>
        <v>2247.20577946713</v>
      </c>
      <c r="AK79" s="56" t="n">
        <f aca="false">SUM(AK72:AK78)</f>
        <v>2271.90034847226</v>
      </c>
      <c r="AL79" s="56" t="n">
        <f aca="false">SUM(AL72:AL78)</f>
        <v>2263.78073940694</v>
      </c>
      <c r="AM79" s="56" t="n">
        <f aca="false">SUM(AM72:AM78)</f>
        <v>2228.56831278009</v>
      </c>
      <c r="AN79" s="56" t="n">
        <f aca="false">SUM(AN72:AN78)</f>
        <v>2253.33018292209</v>
      </c>
      <c r="AO79" s="56" t="n">
        <f aca="false">SUM(AO72:AO78)</f>
        <v>2278.09205306409</v>
      </c>
      <c r="AP79" s="56" t="n">
        <f aca="false">SUM(AP72:AP78)</f>
        <v>2269.9212711845</v>
      </c>
      <c r="AQ79" s="56" t="n">
        <f aca="false">SUM(AQ72:AQ78)</f>
        <v>2234.41310591912</v>
      </c>
      <c r="AR79" s="56" t="n">
        <f aca="false">SUM(AR72:AR78)</f>
        <v>2259.23991820711</v>
      </c>
      <c r="AS79" s="56" t="n">
        <f aca="false">SUM(AS72:AS78)</f>
        <v>2284.0667304951</v>
      </c>
      <c r="AT79" s="56" t="n">
        <f aca="false">SUM(AT72:AT78)</f>
        <v>2275.8446119402</v>
      </c>
      <c r="AU79" s="56" t="n">
        <f aca="false">SUM(AU72:AU78)</f>
        <v>2264.92732384629</v>
      </c>
      <c r="AV79" s="56" t="n">
        <f aca="false">SUM(AV72:AV78)</f>
        <v>2264.92732384629</v>
      </c>
      <c r="AW79" s="56" t="n">
        <f aca="false">SUM(AW72:AW78)</f>
        <v>2289.81663509735</v>
      </c>
      <c r="AX79" s="56" t="n">
        <f aca="false">SUM(AX72:AX78)</f>
        <v>2281.54301886956</v>
      </c>
      <c r="AY79" s="56" t="n">
        <f aca="false">SUM(AY72:AY78)</f>
        <v>2245.43525407308</v>
      </c>
      <c r="AZ79" s="56" t="n">
        <f aca="false">SUM(AZ72:AZ78)</f>
        <v>2270.38453467389</v>
      </c>
      <c r="BA79" s="56" t="n">
        <f aca="false">SUM(BA72:BA78)</f>
        <v>2295.33381527471</v>
      </c>
      <c r="BB79" s="56" t="n">
        <f aca="false">SUM(BB72:BB78)</f>
        <v>2287.00854334832</v>
      </c>
      <c r="BC79" s="56" t="n">
        <f aca="false">SUM(BC72:BC78)</f>
        <v>2250.59684513512</v>
      </c>
      <c r="BD79" s="56" t="n">
        <f aca="false">SUM(BD72:BD78)</f>
        <v>2275.60347674773</v>
      </c>
      <c r="BE79" s="56" t="n">
        <f aca="false">SUM(BE72:BE78)</f>
        <v>2300.61010836035</v>
      </c>
      <c r="BF79" s="56" t="n">
        <f aca="false">SUM(BF72:BF78)</f>
        <v>2292.23302579269</v>
      </c>
      <c r="BG79" s="56" t="n">
        <f aca="false">SUM(BG72:BG78)</f>
        <v>2255.51458892714</v>
      </c>
      <c r="BH79" s="56" t="n">
        <f aca="false">SUM(BH72:BH78)</f>
        <v>2280.57586213744</v>
      </c>
      <c r="BI79" s="56" t="n">
        <f aca="false">SUM(BI72:BI78)</f>
        <v>2305.63713534774</v>
      </c>
      <c r="BJ79" s="56" t="n">
        <f aca="false">SUM(BJ72:BJ78)</f>
        <v>2297.20809039306</v>
      </c>
      <c r="BK79" s="56" t="n">
        <f aca="false">SUM(BK72:BK78)</f>
        <v>2285.29318358447</v>
      </c>
      <c r="BL79" s="56" t="n">
        <f aca="false">SUM(BL72:BL78)</f>
        <v>2285.29318358447</v>
      </c>
      <c r="BM79" s="56" t="n">
        <f aca="false">SUM(BM72:BM78)</f>
        <v>2310.40629549199</v>
      </c>
      <c r="BN79" s="56" t="n">
        <f aca="false">SUM(BN72:BN78)</f>
        <v>2301.92513971816</v>
      </c>
      <c r="BO79" s="56" t="n">
        <f aca="false">SUM(BO72:BO78)</f>
        <v>2264.58465728318</v>
      </c>
      <c r="BP79" s="56" t="n">
        <f aca="false">SUM(BP72:BP78)</f>
        <v>2289.74670903077</v>
      </c>
      <c r="BQ79" s="56" t="n">
        <f aca="false">SUM(BQ72:BQ78)</f>
        <v>2314.90876077836</v>
      </c>
      <c r="BR79" s="56" t="n">
        <f aca="false">SUM(BR72:BR78)</f>
        <v>2306.37534918648</v>
      </c>
      <c r="BS79" s="56" t="n">
        <f aca="false">SUM(BS72:BS78)</f>
        <v>2268.71948177089</v>
      </c>
      <c r="BT79" s="56" t="n">
        <f aca="false">SUM(BT72:BT78)</f>
        <v>2293.92747601279</v>
      </c>
      <c r="BU79" s="56" t="n">
        <f aca="false">SUM(BU72:BU78)</f>
        <v>2319.13547025469</v>
      </c>
      <c r="BV79" s="56" t="n">
        <f aca="false">SUM(BV72:BV78)</f>
        <v>2310.54966140165</v>
      </c>
      <c r="BW79" s="56" t="n">
        <f aca="false">SUM(BW72:BW78)</f>
        <v>2272.57544761085</v>
      </c>
      <c r="BX79" s="56" t="n">
        <f aca="false">SUM(BX72:BX78)</f>
        <v>2297.82628591764</v>
      </c>
      <c r="BY79" s="56" t="n">
        <f aca="false">SUM(BY72:BY78)</f>
        <v>2323.07712422442</v>
      </c>
      <c r="BZ79" s="56" t="n">
        <f aca="false">SUM(BZ72:BZ78)</f>
        <v>2314.43878034841</v>
      </c>
      <c r="CA79" s="56" t="n">
        <f aca="false">SUM(CA72:CA78)</f>
        <v>2301.43369809787</v>
      </c>
      <c r="CB79" s="56" t="n">
        <f aca="false">SUM(CB72:CB78)</f>
        <v>2301.43369809787</v>
      </c>
      <c r="CC79" s="56" t="n">
        <f aca="false">SUM(CC72:CC78)</f>
        <v>2326.72417829675</v>
      </c>
      <c r="CD79" s="56" t="n">
        <f aca="false">SUM(CD72:CD78)</f>
        <v>2318.03316544594</v>
      </c>
      <c r="CE79" s="56" t="n">
        <f aca="false">SUM(CE72:CE78)</f>
        <v>2279.41321039278</v>
      </c>
      <c r="CF79" s="56" t="n">
        <f aca="false">SUM(CF72:CF78)</f>
        <v>2304.74002384159</v>
      </c>
      <c r="CG79" s="56" t="n">
        <f aca="false">SUM(CG72:CG78)</f>
        <v>2330.0668372904</v>
      </c>
      <c r="CH79" s="56" t="n">
        <f aca="false">SUM(CH72:CH78)</f>
        <v>2321.32302545471</v>
      </c>
      <c r="CI79" s="56" t="n">
        <f aca="false">SUM(CI72:CI78)</f>
        <v>2282.37559140084</v>
      </c>
      <c r="CJ79" s="56" t="n">
        <f aca="false">SUM(CJ72:CJ78)</f>
        <v>2307.73532019418</v>
      </c>
      <c r="CK79" s="56" t="n">
        <f aca="false">SUM(CK72:CK78)</f>
        <v>2333.09504898753</v>
      </c>
      <c r="CL79" s="56" t="n">
        <f aca="false">SUM(CL72:CL78)</f>
        <v>2324.29831223365</v>
      </c>
      <c r="CM79" s="56" t="n">
        <f aca="false">SUM(CM72:CM78)</f>
        <v>2285.02026952231</v>
      </c>
      <c r="CN79" s="56" t="n">
        <f aca="false">SUM(CN72:CN78)</f>
        <v>2310.40938362811</v>
      </c>
      <c r="CO79" s="56" t="n">
        <f aca="false">SUM(CO72:CO78)</f>
        <v>2335.79849773392</v>
      </c>
      <c r="CP79" s="56" t="n">
        <f aca="false">SUM(CP72:CP78)</f>
        <v>2326.94871434363</v>
      </c>
      <c r="CQ79" s="56" t="n">
        <f aca="false">SUM(CQ72:CQ78)</f>
        <v>2312.75174355702</v>
      </c>
      <c r="CR79" s="56" t="n">
        <f aca="false">SUM(CR72:CR78)</f>
        <v>2312.75174355702</v>
      </c>
      <c r="CS79" s="56" t="n">
        <f aca="false">SUM(CS72:CS78)</f>
        <v>2338.16659788182</v>
      </c>
      <c r="CT79" s="56" t="n">
        <f aca="false">SUM(CT72:CT78)</f>
        <v>2329.26365049366</v>
      </c>
      <c r="CU79" s="56" t="n">
        <f aca="false">SUM(CU72:CU78)</f>
        <v>2289.31482430908</v>
      </c>
      <c r="CV79" s="56" t="n">
        <f aca="false">SUM(CV72:CV78)</f>
        <v>2314.7516556903</v>
      </c>
      <c r="CW79" s="56" t="n">
        <f aca="false">SUM(CW72:CW78)</f>
        <v>2340.18848707151</v>
      </c>
      <c r="CX79" s="56" t="n">
        <f aca="false">SUM(CX72:CX78)</f>
        <v>2331.23226282592</v>
      </c>
      <c r="CY79" s="56" t="n">
        <f aca="false">SUM(CY72:CY78)</f>
        <v>2290.94317110096</v>
      </c>
      <c r="CZ79" s="56" t="n">
        <f aca="false">SUM(CZ72:CZ78)</f>
        <v>2316.3980952243</v>
      </c>
      <c r="DA79" s="56" t="n">
        <f aca="false">SUM(DA72:DA78)</f>
        <v>2341.85301934765</v>
      </c>
      <c r="DB79" s="56" t="n">
        <f aca="false">SUM(DB72:DB78)</f>
        <v>2332.84341003562</v>
      </c>
      <c r="DC79" s="56" t="n">
        <f aca="false">SUM(DC72:DC78)</f>
        <v>2292.21074162574</v>
      </c>
      <c r="DD79" s="56" t="n">
        <f aca="false">SUM(DD72:DD78)</f>
        <v>2317.67974986603</v>
      </c>
      <c r="DE79" s="56" t="n">
        <f aca="false">SUM(DE72:DE78)</f>
        <v>2343.14875810632</v>
      </c>
      <c r="DF79" s="56" t="n">
        <f aca="false">SUM(DF72:DF78)</f>
        <v>2334.08566032166</v>
      </c>
      <c r="DG79" s="56" t="n">
        <f aca="false">SUM(DG72:DG78)</f>
        <v>2318.58501268533</v>
      </c>
      <c r="DH79" s="56" t="n">
        <f aca="false">SUM(DH72:DH78)</f>
        <v>2318.58501268533</v>
      </c>
      <c r="DI79" s="56" t="n">
        <f aca="false">SUM(DI72:DI78)</f>
        <v>2344.06396886869</v>
      </c>
      <c r="DJ79" s="56" t="n">
        <f aca="false">SUM(DJ72:DJ78)</f>
        <v>2334.94728416399</v>
      </c>
      <c r="DK79" s="56" t="n">
        <f aca="false">SUM(DK72:DK78)</f>
        <v>2293.6173377057</v>
      </c>
      <c r="DL79" s="56" t="n">
        <f aca="false">SUM(DL72:DL78)</f>
        <v>2319.10197479131</v>
      </c>
      <c r="DM79" s="56" t="n">
        <f aca="false">SUM(DM72:DM78)</f>
        <v>2344.58661187693</v>
      </c>
      <c r="DN79" s="56" t="n">
        <f aca="false">SUM(DN72:DN78)</f>
        <v>2335.41624692326</v>
      </c>
      <c r="DO79" s="56" t="n">
        <f aca="false">SUM(DO72:DO78)</f>
        <v>2293.73250114925</v>
      </c>
      <c r="DP79" s="56" t="n">
        <f aca="false">SUM(DP72:DP78)</f>
        <v>2319.21841782868</v>
      </c>
      <c r="DQ79" s="56" t="n">
        <f aca="false">SUM(DQ72:DQ78)</f>
        <v>2344.70433450812</v>
      </c>
      <c r="DR79" s="56" t="n">
        <f aca="false">SUM(DR72:DR78)</f>
        <v>2335.4802012586</v>
      </c>
      <c r="DS79" s="56" t="n">
        <f aca="false">SUM(DS72:DS78)</f>
        <v>2293.43914907762</v>
      </c>
      <c r="DT79" s="56" t="n">
        <f aca="false">SUM(DT72:DT78)</f>
        <v>2318.92180628959</v>
      </c>
      <c r="DU79" s="56" t="n">
        <f aca="false">SUM(DU72:DU78)</f>
        <v>2344.40446350157</v>
      </c>
      <c r="DV79" s="56" t="n">
        <f aca="false">SUM(DV72:DV78)</f>
        <v>2335.12647935892</v>
      </c>
      <c r="DW79" s="56" t="n">
        <f aca="false">SUM(DW72:DW78)</f>
        <v>2318.19927963646</v>
      </c>
      <c r="DX79" s="56" t="n">
        <f aca="false">SUM(DX72:DX78)</f>
        <v>2318.19927963646</v>
      </c>
      <c r="DY79" s="56" t="n">
        <f aca="false">SUM(DY72:DY78)</f>
        <v>2343.67399699511</v>
      </c>
      <c r="DZ79" s="56" t="n">
        <f aca="false">SUM(DZ72:DZ78)</f>
        <v>2334.34208498317</v>
      </c>
      <c r="EA79" s="56" t="n">
        <f aca="false">SUM(EA72:EA78)</f>
        <v>2291.57569209672</v>
      </c>
      <c r="EB79" s="56" t="n">
        <f aca="false">SUM(EB72:EB78)</f>
        <v>2317.03764423113</v>
      </c>
      <c r="EC79" s="56" t="n">
        <f aca="false">SUM(EC72:EC78)</f>
        <v>2342.49959636554</v>
      </c>
      <c r="ED79" s="56" t="n">
        <f aca="false">SUM(ED72:ED78)</f>
        <v>2333.11368530497</v>
      </c>
      <c r="EE79" s="56" t="n">
        <f aca="false">SUM(EE72:EE78)</f>
        <v>2289.97915226266</v>
      </c>
      <c r="EF79" s="56" t="n">
        <f aca="false">SUM(EF72:EF78)</f>
        <v>2315.42336506558</v>
      </c>
      <c r="EG79" s="56" t="n">
        <f aca="false">SUM(EG72:EG78)</f>
        <v>2340.8675778685</v>
      </c>
      <c r="EH79" s="56" t="n">
        <f aca="false">SUM(EH72:EH78)</f>
        <v>2331.42760255664</v>
      </c>
      <c r="EI79" s="56" t="n">
        <f aca="false">SUM(EI72:EI78)</f>
        <v>2287.92121050597</v>
      </c>
      <c r="EJ79" s="56" t="n">
        <f aca="false">SUM(EJ72:EJ78)</f>
        <v>2313.34255728937</v>
      </c>
      <c r="EK79" s="56" t="n">
        <f aca="false">SUM(EK72:EK78)</f>
        <v>2338.76390407277</v>
      </c>
      <c r="EL79" s="56" t="n">
        <f aca="false">SUM(EL72:EL78)</f>
        <v>2329.26980546783</v>
      </c>
      <c r="EM79" s="56" t="n">
        <f aca="false">SUM(EM72:EM78)</f>
        <v>2310.78097752876</v>
      </c>
      <c r="EN79" s="56" t="n">
        <f aca="false">SUM(EN72:EN78)</f>
        <v>2310.78097752876</v>
      </c>
      <c r="EO79" s="56" t="n">
        <f aca="false">SUM(EO72:EO78)</f>
        <v>2336.17417508402</v>
      </c>
    </row>
    <row r="81" customFormat="false" ht="15" hidden="false" customHeight="false" outlineLevel="0" collapsed="false">
      <c r="A81" s="9" t="s">
        <v>13</v>
      </c>
      <c r="B81" s="9"/>
      <c r="C81" s="9" t="s">
        <v>428</v>
      </c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</row>
    <row r="82" customFormat="false" ht="15" hidden="false" customHeight="false" outlineLevel="0" collapsed="false">
      <c r="C82" s="0" t="s">
        <v>429</v>
      </c>
      <c r="D82" s="11" t="s">
        <v>33</v>
      </c>
      <c r="J82" s="57" t="n">
        <v>0</v>
      </c>
      <c r="K82" s="57" t="n">
        <v>0</v>
      </c>
      <c r="L82" s="57" t="n">
        <v>0</v>
      </c>
      <c r="M82" s="57" t="n">
        <v>0</v>
      </c>
      <c r="N82" s="57" t="n">
        <v>0</v>
      </c>
      <c r="O82" s="57" t="n">
        <v>0</v>
      </c>
      <c r="P82" s="57" t="n">
        <v>0</v>
      </c>
      <c r="Q82" s="57" t="n">
        <v>0</v>
      </c>
      <c r="R82" s="57" t="n">
        <v>0</v>
      </c>
      <c r="S82" s="57" t="n">
        <v>0</v>
      </c>
      <c r="T82" s="57" t="n">
        <v>0</v>
      </c>
      <c r="U82" s="57" t="n">
        <v>0</v>
      </c>
      <c r="V82" s="57" t="n">
        <v>0</v>
      </c>
      <c r="W82" s="57" t="n">
        <v>0</v>
      </c>
      <c r="X82" s="57" t="n">
        <v>0</v>
      </c>
      <c r="Y82" s="57" t="n">
        <v>0</v>
      </c>
      <c r="Z82" s="57" t="n">
        <v>-22.6172831616123</v>
      </c>
      <c r="AA82" s="57" t="n">
        <v>-22.3730825417474</v>
      </c>
      <c r="AB82" s="57" t="n">
        <v>-23.2087574299925</v>
      </c>
      <c r="AC82" s="57" t="n">
        <v>-24.0544002369768</v>
      </c>
      <c r="AD82" s="57" t="n">
        <v>-23.9657242487403</v>
      </c>
      <c r="AE82" s="57" t="n">
        <v>-24.310044745625</v>
      </c>
      <c r="AF82" s="57" t="n">
        <v>-24.5837558755467</v>
      </c>
      <c r="AG82" s="57" t="n">
        <v>-25.4476473154954</v>
      </c>
      <c r="AH82" s="57" t="n">
        <v>-35.2756669612934</v>
      </c>
      <c r="AI82" s="57" t="n">
        <v>-50.2576395996417</v>
      </c>
      <c r="AJ82" s="57" t="n">
        <v>-54.9714341751857</v>
      </c>
      <c r="AK82" s="57" t="n">
        <v>-56.7717087463564</v>
      </c>
      <c r="AL82" s="57" t="n">
        <v>-56.6491982547203</v>
      </c>
      <c r="AM82" s="57" t="n">
        <v>-56.1108292433558</v>
      </c>
      <c r="AN82" s="57" t="n">
        <v>-57.9282020157119</v>
      </c>
      <c r="AO82" s="57" t="n">
        <v>-59.7664526795042</v>
      </c>
      <c r="AP82" s="57" t="n">
        <v>-59.6716717329715</v>
      </c>
      <c r="AQ82" s="57" t="n">
        <v>-59.1393794660536</v>
      </c>
      <c r="AR82" s="57" t="n">
        <v>-60.9955227112449</v>
      </c>
      <c r="AS82" s="57" t="n">
        <v>-62.8729706985562</v>
      </c>
      <c r="AT82" s="57" t="n">
        <v>-62.8073539187372</v>
      </c>
      <c r="AU82" s="57" t="n">
        <v>-63.5126199765652</v>
      </c>
      <c r="AV82" s="57" t="n">
        <v>-64.1923515446194</v>
      </c>
      <c r="AW82" s="57" t="n">
        <v>-66.110440529719</v>
      </c>
      <c r="AX82" s="57" t="n">
        <v>-66.0756555128262</v>
      </c>
      <c r="AY82" s="57" t="n">
        <v>-65.5594208823942</v>
      </c>
      <c r="AZ82" s="57" t="n">
        <v>-67.4971237036488</v>
      </c>
      <c r="BA82" s="57" t="n">
        <v>-69.4570368684321</v>
      </c>
      <c r="BB82" s="57" t="n">
        <v>-69.4544957072103</v>
      </c>
      <c r="BC82" s="57" t="n">
        <v>-68.9482121159823</v>
      </c>
      <c r="BD82" s="57" t="n">
        <v>-70.9286646343683</v>
      </c>
      <c r="BE82" s="57" t="n">
        <v>-72.9318058722273</v>
      </c>
      <c r="BF82" s="57" t="n">
        <v>-72.9631523116605</v>
      </c>
      <c r="BG82" s="57" t="n">
        <v>-72.4682446492574</v>
      </c>
      <c r="BH82" s="57" t="n">
        <v>-74.4928988756887</v>
      </c>
      <c r="BI82" s="57" t="n">
        <v>-76.5407389662192</v>
      </c>
      <c r="BJ82" s="57" t="n">
        <v>-76.6076929683877</v>
      </c>
      <c r="BK82" s="57" t="n">
        <v>-77.3760592197533</v>
      </c>
      <c r="BL82" s="57" t="n">
        <v>-78.2099684644801</v>
      </c>
      <c r="BM82" s="57" t="n">
        <v>-80.3042143934461</v>
      </c>
      <c r="BN82" s="57" t="n">
        <v>-80.4087437038644</v>
      </c>
      <c r="BO82" s="57" t="n">
        <v>-79.9413297813951</v>
      </c>
      <c r="BP82" s="57" t="n">
        <v>-82.0591961728217</v>
      </c>
      <c r="BQ82" s="57" t="n">
        <v>-84.2013046219964</v>
      </c>
      <c r="BR82" s="57" t="n">
        <v>-84.3451326965431</v>
      </c>
      <c r="BS82" s="57" t="n">
        <v>-83.8938324840264</v>
      </c>
      <c r="BT82" s="57" t="n">
        <v>-86.0606947502649</v>
      </c>
      <c r="BU82" s="57" t="n">
        <v>-88.2523580547399</v>
      </c>
      <c r="BV82" s="57" t="n">
        <v>-88.4374560479914</v>
      </c>
      <c r="BW82" s="57" t="n">
        <v>-88.0040104695386</v>
      </c>
      <c r="BX82" s="57" t="n">
        <v>-90.2216195493536</v>
      </c>
      <c r="BY82" s="57" t="n">
        <v>-92.4646111891767</v>
      </c>
      <c r="BZ82" s="57" t="n">
        <v>-92.693041851156</v>
      </c>
      <c r="CA82" s="57" t="n">
        <v>-93.5456433268027</v>
      </c>
      <c r="CB82" s="57" t="n">
        <v>-94.5634973224672</v>
      </c>
      <c r="CC82" s="57" t="n">
        <v>-96.8598430663603</v>
      </c>
      <c r="CD82" s="57" t="n">
        <v>-97.1339341780243</v>
      </c>
      <c r="CE82" s="57" t="n">
        <v>-96.7419507554369</v>
      </c>
      <c r="CF82" s="57" t="n">
        <v>-99.0668199965584</v>
      </c>
      <c r="CG82" s="57" t="n">
        <v>-101.418308812681</v>
      </c>
      <c r="CH82" s="57" t="n">
        <v>-101.740158527286</v>
      </c>
      <c r="CI82" s="57" t="n">
        <v>-101.371810179535</v>
      </c>
      <c r="CJ82" s="57" t="n">
        <v>-103.753208849554</v>
      </c>
      <c r="CK82" s="57" t="n">
        <v>-106.161882896171</v>
      </c>
      <c r="CL82" s="57" t="n">
        <v>-106.533855833868</v>
      </c>
      <c r="CM82" s="57" t="n">
        <v>-106.19126509137</v>
      </c>
      <c r="CN82" s="57" t="n">
        <v>-108.63130667306</v>
      </c>
      <c r="CO82" s="57" t="n">
        <v>-111.099306527937</v>
      </c>
      <c r="CP82" s="57" t="n">
        <v>-111.523877432601</v>
      </c>
      <c r="CQ82" s="57" t="n">
        <v>-112.486830406037</v>
      </c>
      <c r="CR82" s="57" t="n">
        <v>-113.724265855232</v>
      </c>
      <c r="CS82" s="57" t="n">
        <v>-116.254003294925</v>
      </c>
      <c r="CT82" s="57" t="n">
        <v>-116.733932150773</v>
      </c>
      <c r="CU82" s="57" t="n">
        <v>-115.158098585327</v>
      </c>
      <c r="CV82" s="57" t="n">
        <v>-116.437633014053</v>
      </c>
      <c r="CW82" s="57" t="n">
        <v>-117.717167442779</v>
      </c>
      <c r="CX82" s="57" t="n">
        <v>-116.911107260676</v>
      </c>
      <c r="CY82" s="57" t="n">
        <v>-115.304649796596</v>
      </c>
      <c r="CZ82" s="57" t="n">
        <v>-116.585812572114</v>
      </c>
      <c r="DA82" s="57" t="n">
        <v>-117.866975347631</v>
      </c>
      <c r="DB82" s="57" t="n">
        <v>-209.955906903205</v>
      </c>
      <c r="DC82" s="57" t="n">
        <v>-206.298966746317</v>
      </c>
      <c r="DD82" s="57" t="n">
        <v>-208.591177487943</v>
      </c>
      <c r="DE82" s="57" t="n">
        <v>-210.883388229568</v>
      </c>
      <c r="DF82" s="57" t="n">
        <v>-210.067709428949</v>
      </c>
      <c r="DG82" s="57" t="n">
        <v>-208.67265114168</v>
      </c>
      <c r="DH82" s="57" t="n">
        <v>-208.67265114168</v>
      </c>
      <c r="DI82" s="57" t="n">
        <v>-210.965757198182</v>
      </c>
      <c r="DJ82" s="57" t="n">
        <v>-210.145255574759</v>
      </c>
      <c r="DK82" s="57" t="n">
        <v>-206.425560393512</v>
      </c>
      <c r="DL82" s="57" t="n">
        <v>-208.719177731218</v>
      </c>
      <c r="DM82" s="57" t="n">
        <v>-211.012795068924</v>
      </c>
      <c r="DN82" s="57" t="n">
        <v>-210.187462223093</v>
      </c>
      <c r="DO82" s="57" t="n">
        <v>-206.435925103432</v>
      </c>
      <c r="DP82" s="57" t="n">
        <v>-208.729657604581</v>
      </c>
      <c r="DQ82" s="57" t="n">
        <v>-211.02339010573</v>
      </c>
      <c r="DR82" s="57" t="n">
        <v>-210.193218113274</v>
      </c>
      <c r="DS82" s="57" t="n">
        <v>-206.409523416985</v>
      </c>
      <c r="DT82" s="57" t="n">
        <v>-208.702962566063</v>
      </c>
      <c r="DU82" s="57" t="n">
        <v>-210.996401715141</v>
      </c>
      <c r="DV82" s="57" t="n">
        <v>-210.161383142302</v>
      </c>
      <c r="DW82" s="57" t="n">
        <v>-208.637935167281</v>
      </c>
      <c r="DX82" s="57" t="n">
        <v>-208.637935167281</v>
      </c>
      <c r="DY82" s="57" t="n">
        <v>-210.930659729559</v>
      </c>
      <c r="DZ82" s="57" t="n">
        <v>-210.090787648485</v>
      </c>
      <c r="EA82" s="57" t="n">
        <v>-206.241812288705</v>
      </c>
      <c r="EB82" s="57" t="n">
        <v>-208.533387980802</v>
      </c>
      <c r="EC82" s="57" t="n">
        <v>-210.824963672898</v>
      </c>
      <c r="ED82" s="57" t="n">
        <v>-209.980231677447</v>
      </c>
      <c r="EE82" s="57" t="n">
        <v>-206.098123703639</v>
      </c>
      <c r="EF82" s="57" t="n">
        <v>-208.388102855902</v>
      </c>
      <c r="EG82" s="57" t="n">
        <v>-210.678082008165</v>
      </c>
      <c r="EH82" s="57" t="n">
        <v>-209.828484230097</v>
      </c>
      <c r="EI82" s="57" t="n">
        <v>-205.912908945537</v>
      </c>
      <c r="EJ82" s="57" t="n">
        <v>-208.200830156043</v>
      </c>
      <c r="EK82" s="57" t="n">
        <v>-210.488751366549</v>
      </c>
      <c r="EL82" s="57" t="n">
        <v>-209.634282492105</v>
      </c>
      <c r="EM82" s="57" t="n">
        <v>-207.970287977588</v>
      </c>
      <c r="EN82" s="57" t="n">
        <v>-207.970287977588</v>
      </c>
      <c r="EO82" s="57" t="n">
        <v>-210.255675757562</v>
      </c>
    </row>
    <row r="83" customFormat="false" ht="15" hidden="false" customHeight="false" outlineLevel="0" collapsed="false">
      <c r="C83" s="0" t="s">
        <v>430</v>
      </c>
      <c r="D83" s="11" t="s">
        <v>33</v>
      </c>
      <c r="I83" s="47" t="n">
        <f aca="false">SUM(J83:EO83)</f>
        <v>260926.350842571</v>
      </c>
      <c r="J83" s="47" t="n">
        <f aca="false">(J79+J55+J82)*(J$4&gt;In_COD)</f>
        <v>-0</v>
      </c>
      <c r="K83" s="47" t="n">
        <f aca="false">(K79+K55+K82)*(K$4&gt;In_COD)</f>
        <v>-0</v>
      </c>
      <c r="L83" s="47" t="n">
        <f aca="false">(L79+L55+L82)*(L$4&gt;In_COD)</f>
        <v>-0</v>
      </c>
      <c r="M83" s="47" t="n">
        <f aca="false">(M79+M55+M82)*(M$4&gt;In_COD)</f>
        <v>-0</v>
      </c>
      <c r="N83" s="47" t="n">
        <f aca="false">(N79+N55+N82)*(N$4&gt;In_COD)</f>
        <v>-0</v>
      </c>
      <c r="O83" s="47" t="n">
        <f aca="false">(O79+O55+O82)*(O$4&gt;In_COD)</f>
        <v>-0</v>
      </c>
      <c r="P83" s="47" t="n">
        <f aca="false">(P79+P55+P82)*(P$4&gt;In_COD)</f>
        <v>-0</v>
      </c>
      <c r="Q83" s="47" t="n">
        <f aca="false">(Q79+Q55+Q82)*(Q$4&gt;In_COD)</f>
        <v>-0</v>
      </c>
      <c r="R83" s="47" t="n">
        <f aca="false">(R79+R55+R82)*(R$4&gt;In_COD)</f>
        <v>-0</v>
      </c>
      <c r="S83" s="47" t="n">
        <f aca="false">(S79+S55+S82)*(S$4&gt;In_COD)</f>
        <v>-0</v>
      </c>
      <c r="T83" s="47" t="n">
        <f aca="false">(T79+T55+T82)*(T$4&gt;In_COD)</f>
        <v>-0</v>
      </c>
      <c r="U83" s="47" t="n">
        <f aca="false">(U79+U55+U82)*(U$4&gt;In_COD)</f>
        <v>-0</v>
      </c>
      <c r="V83" s="47" t="n">
        <f aca="false">(V79+V55+V82)*(V$4&gt;In_COD)</f>
        <v>-0</v>
      </c>
      <c r="W83" s="47" t="n">
        <f aca="false">(W79+W55+W82)*(W$4&gt;In_COD)</f>
        <v>-0</v>
      </c>
      <c r="X83" s="47" t="n">
        <f aca="false">(X79+X55+X82)*(X$4&gt;In_COD)</f>
        <v>-0</v>
      </c>
      <c r="Y83" s="47" t="n">
        <f aca="false">(Y79+Y55+Y82)*(Y$4&gt;In_COD)</f>
        <v>-0</v>
      </c>
      <c r="Z83" s="47" t="n">
        <f aca="false">(Z79+Z55+Z82)*(Z$4&gt;In_COD)</f>
        <v>2187.99332516653</v>
      </c>
      <c r="AA83" s="47" t="n">
        <f aca="false">(AA79+AA55+AA82)*(AA$4&gt;In_COD)</f>
        <v>2154.62518416236</v>
      </c>
      <c r="AB83" s="47" t="n">
        <f aca="false">(AB79+AB55+AB82)*(AB$4&gt;In_COD)</f>
        <v>2177.97837890416</v>
      </c>
      <c r="AC83" s="47" t="n">
        <f aca="false">(AC79+AC55+AC82)*(AC$4&gt;In_COD)</f>
        <v>2201.32160572722</v>
      </c>
      <c r="AD83" s="47" t="n">
        <f aca="false">(AD79+AD55+AD82)*(AD$4&gt;In_COD)</f>
        <v>2193.39251576831</v>
      </c>
      <c r="AE83" s="47" t="n">
        <f aca="false">(AE79+AE55+AE82)*(AE$4&gt;In_COD)</f>
        <v>2183.40863701235</v>
      </c>
      <c r="AF83" s="47" t="n">
        <f aca="false">(AF79+AF55+AF82)*(AF$4&gt;In_COD)</f>
        <v>2183.13492588243</v>
      </c>
      <c r="AG83" s="47" t="n">
        <f aca="false">(AG79+AG55+AG82)*(AG$4&gt;In_COD)</f>
        <v>2206.53167929696</v>
      </c>
      <c r="AH83" s="47" t="n">
        <f aca="false">(AH79+AH55+AH82)*(AH$4&gt;In_COD)</f>
        <v>2188.63505678145</v>
      </c>
      <c r="AI83" s="47" t="n">
        <f aca="false">(AI79+AI55+AI82)*(AI$4&gt;In_COD)</f>
        <v>2139.46242805883</v>
      </c>
      <c r="AJ83" s="47" t="n">
        <f aca="false">(AJ79+AJ55+AJ82)*(AJ$4&gt;In_COD)</f>
        <v>2192.23434529194</v>
      </c>
      <c r="AK83" s="47" t="n">
        <f aca="false">(AK79+AK55+AK82)*(AK$4&gt;In_COD)</f>
        <v>2215.12863972591</v>
      </c>
      <c r="AL83" s="47" t="n">
        <f aca="false">(AL79+AL55+AL82)*(AL$4&gt;In_COD)</f>
        <v>2207.13154115222</v>
      </c>
      <c r="AM83" s="47" t="n">
        <f aca="false">(AM79+AM55+AM82)*(AM$4&gt;In_COD)</f>
        <v>2172.45748353674</v>
      </c>
      <c r="AN83" s="47" t="n">
        <f aca="false">(AN79+AN55+AN82)*(AN$4&gt;In_COD)</f>
        <v>2195.40198090638</v>
      </c>
      <c r="AO83" s="47" t="n">
        <f aca="false">(AO79+AO55+AO82)*(AO$4&gt;In_COD)</f>
        <v>2218.32560038459</v>
      </c>
      <c r="AP83" s="47" t="n">
        <f aca="false">(AP79+AP55+AP82)*(AP$4&gt;In_COD)</f>
        <v>2210.24959945153</v>
      </c>
      <c r="AQ83" s="47" t="n">
        <f aca="false">(AQ79+AQ55+AQ82)*(AQ$4&gt;In_COD)</f>
        <v>2175.27372645306</v>
      </c>
      <c r="AR83" s="47" t="n">
        <f aca="false">(AR79+AR55+AR82)*(AR$4&gt;In_COD)</f>
        <v>2198.24439549586</v>
      </c>
      <c r="AS83" s="47" t="n">
        <f aca="false">(AS79+AS55+AS82)*(AS$4&gt;In_COD)</f>
        <v>2221.19375979654</v>
      </c>
      <c r="AT83" s="47" t="n">
        <f aca="false">(AT79+AT55+AT82)*(AT$4&gt;In_COD)</f>
        <v>2213.03725802146</v>
      </c>
      <c r="AU83" s="47" t="n">
        <f aca="false">(AU79+AU55+AU82)*(AU$4&gt;In_COD)</f>
        <v>2201.41470386972</v>
      </c>
      <c r="AV83" s="47" t="n">
        <f aca="false">(AV79+AV55+AV82)*(AV$4&gt;In_COD)</f>
        <v>2200.73497230167</v>
      </c>
      <c r="AW83" s="47" t="n">
        <f aca="false">(AW79+AW55+AW82)*(AW$4&gt;In_COD)</f>
        <v>2223.70619456763</v>
      </c>
      <c r="AX83" s="47" t="n">
        <f aca="false">(AX79+AX55+AX82)*(AX$4&gt;In_COD)</f>
        <v>2215.46736335673</v>
      </c>
      <c r="AY83" s="47" t="n">
        <f aca="false">(AY79+AY55+AY82)*(AY$4&gt;In_COD)</f>
        <v>2179.87583319069</v>
      </c>
      <c r="AZ83" s="47" t="n">
        <f aca="false">(AZ79+AZ55+AZ82)*(AZ$4&gt;In_COD)</f>
        <v>2202.88741097024</v>
      </c>
      <c r="BA83" s="47" t="n">
        <f aca="false">(BA79+BA55+BA82)*(BA$4&gt;In_COD)</f>
        <v>2225.87677840627</v>
      </c>
      <c r="BB83" s="47" t="n">
        <f aca="false">(BB79+BB55+BB82)*(BB$4&gt;In_COD)</f>
        <v>2217.55404764111</v>
      </c>
      <c r="BC83" s="47" t="n">
        <f aca="false">(BC79+BC55+BC82)*(BC$4&gt;In_COD)</f>
        <v>2181.64863301914</v>
      </c>
      <c r="BD83" s="47" t="n">
        <f aca="false">(BD79+BD55+BD82)*(BD$4&gt;In_COD)</f>
        <v>2204.67481211337</v>
      </c>
      <c r="BE83" s="47" t="n">
        <f aca="false">(BE79+BE55+BE82)*(BE$4&gt;In_COD)</f>
        <v>2227.67830248812</v>
      </c>
      <c r="BF83" s="47" t="n">
        <f aca="false">(BF79+BF55+BF82)*(BF$4&gt;In_COD)</f>
        <v>2219.26987348103</v>
      </c>
      <c r="BG83" s="47" t="n">
        <f aca="false">(BG79+BG55+BG82)*(BG$4&gt;In_COD)</f>
        <v>2183.04634427788</v>
      </c>
      <c r="BH83" s="47" t="n">
        <f aca="false">(BH79+BH55+BH82)*(BH$4&gt;In_COD)</f>
        <v>2206.08296326175</v>
      </c>
      <c r="BI83" s="47" t="n">
        <f aca="false">(BI79+BI55+BI82)*(BI$4&gt;In_COD)</f>
        <v>2229.09639638152</v>
      </c>
      <c r="BJ83" s="47" t="n">
        <f aca="false">(BJ79+BJ55+BJ82)*(BJ$4&gt;In_COD)</f>
        <v>2220.60039742467</v>
      </c>
      <c r="BK83" s="47" t="n">
        <f aca="false">(BK79+BK55+BK82)*(BK$4&gt;In_COD)</f>
        <v>2207.91712436472</v>
      </c>
      <c r="BL83" s="47" t="n">
        <f aca="false">(BL79+BL55+BL82)*(BL$4&gt;In_COD)</f>
        <v>2207.08321511999</v>
      </c>
      <c r="BM83" s="47" t="n">
        <f aca="false">(BM79+BM55+BM82)*(BM$4&gt;In_COD)</f>
        <v>2230.10208109854</v>
      </c>
      <c r="BN83" s="47" t="n">
        <f aca="false">(BN79+BN55+BN82)*(BN$4&gt;In_COD)</f>
        <v>2221.51639601429</v>
      </c>
      <c r="BO83" s="47" t="n">
        <f aca="false">(BO79+BO55+BO82)*(BO$4&gt;In_COD)</f>
        <v>2184.64332750178</v>
      </c>
      <c r="BP83" s="47" t="n">
        <f aca="false">(BP79+BP55+BP82)*(BP$4&gt;In_COD)</f>
        <v>2207.68751285795</v>
      </c>
      <c r="BQ83" s="47" t="n">
        <f aca="false">(BQ79+BQ55+BQ82)*(BQ$4&gt;In_COD)</f>
        <v>2230.70745615636</v>
      </c>
      <c r="BR83" s="47" t="n">
        <f aca="false">(BR79+BR55+BR82)*(BR$4&gt;In_COD)</f>
        <v>2222.03021648994</v>
      </c>
      <c r="BS83" s="47" t="n">
        <f aca="false">(BS79+BS55+BS82)*(BS$4&gt;In_COD)</f>
        <v>2184.82564928687</v>
      </c>
      <c r="BT83" s="47" t="n">
        <f aca="false">(BT79+BT55+BT82)*(BT$4&gt;In_COD)</f>
        <v>2207.86678126253</v>
      </c>
      <c r="BU83" s="47" t="n">
        <f aca="false">(BU79+BU55+BU82)*(BU$4&gt;In_COD)</f>
        <v>2230.88311219995</v>
      </c>
      <c r="BV83" s="47" t="n">
        <f aca="false">(BV79+BV55+BV82)*(BV$4&gt;In_COD)</f>
        <v>2222.11220535366</v>
      </c>
      <c r="BW83" s="47" t="n">
        <f aca="false">(BW79+BW55+BW82)*(BW$4&gt;In_COD)</f>
        <v>2184.57143714131</v>
      </c>
      <c r="BX83" s="47" t="n">
        <f aca="false">(BX79+BX55+BX82)*(BX$4&gt;In_COD)</f>
        <v>2207.60466636828</v>
      </c>
      <c r="BY83" s="47" t="n">
        <f aca="false">(BY79+BY55+BY82)*(BY$4&gt;In_COD)</f>
        <v>2230.61251303525</v>
      </c>
      <c r="BZ83" s="47" t="n">
        <f aca="false">(BZ79+BZ55+BZ82)*(BZ$4&gt;In_COD)</f>
        <v>2221.74573849726</v>
      </c>
      <c r="CA83" s="47" t="n">
        <f aca="false">(CA79+CA55+CA82)*(CA$4&gt;In_COD)</f>
        <v>2207.88805477107</v>
      </c>
      <c r="CB83" s="47" t="n">
        <f aca="false">(CB79+CB55+CB82)*(CB$4&gt;In_COD)</f>
        <v>2206.8702007754</v>
      </c>
      <c r="CC83" s="47" t="n">
        <f aca="false">(CC79+CC55+CC82)*(CC$4&gt;In_COD)</f>
        <v>2229.86433523039</v>
      </c>
      <c r="CD83" s="47" t="n">
        <f aca="false">(CD79+CD55+CD82)*(CD$4&gt;In_COD)</f>
        <v>2220.89923126791</v>
      </c>
      <c r="CE83" s="47" t="n">
        <f aca="false">(CE79+CE55+CE82)*(CE$4&gt;In_COD)</f>
        <v>2182.67125963734</v>
      </c>
      <c r="CF83" s="47" t="n">
        <f aca="false">(CF79+CF55+CF82)*(CF$4&gt;In_COD)</f>
        <v>2205.67320384503</v>
      </c>
      <c r="CG83" s="47" t="n">
        <f aca="false">(CG79+CG55+CG82)*(CG$4&gt;In_COD)</f>
        <v>2228.64852847772</v>
      </c>
      <c r="CH83" s="47" t="n">
        <f aca="false">(CH79+CH55+CH82)*(CH$4&gt;In_COD)</f>
        <v>2219.58286692742</v>
      </c>
      <c r="CI83" s="47" t="n">
        <f aca="false">(CI79+CI55+CI82)*(CI$4&gt;In_COD)</f>
        <v>2181.00378122131</v>
      </c>
      <c r="CJ83" s="47" t="n">
        <f aca="false">(CJ79+CJ55+CJ82)*(CJ$4&gt;In_COD)</f>
        <v>2203.98211134463</v>
      </c>
      <c r="CK83" s="47" t="n">
        <f aca="false">(CK79+CK55+CK82)*(CK$4&gt;In_COD)</f>
        <v>2226.93316609136</v>
      </c>
      <c r="CL83" s="47" t="n">
        <f aca="false">(CL79+CL55+CL82)*(CL$4&gt;In_COD)</f>
        <v>2217.76445639978</v>
      </c>
      <c r="CM83" s="47" t="n">
        <f aca="false">(CM79+CM55+CM82)*(CM$4&gt;In_COD)</f>
        <v>2178.82900443094</v>
      </c>
      <c r="CN83" s="47" t="n">
        <f aca="false">(CN79+CN55+CN82)*(CN$4&gt;In_COD)</f>
        <v>2201.77807695505</v>
      </c>
      <c r="CO83" s="47" t="n">
        <f aca="false">(CO79+CO55+CO82)*(CO$4&gt;In_COD)</f>
        <v>2224.69919120598</v>
      </c>
      <c r="CP83" s="47" t="n">
        <f aca="false">(CP79+CP55+CP82)*(CP$4&gt;In_COD)</f>
        <v>2215.42483691103</v>
      </c>
      <c r="CQ83" s="47" t="n">
        <f aca="false">(CQ79+CQ55+CQ82)*(CQ$4&gt;In_COD)</f>
        <v>2200.26491315098</v>
      </c>
      <c r="CR83" s="47" t="n">
        <f aca="false">(CR79+CR55+CR82)*(CR$4&gt;In_COD)</f>
        <v>2199.02747770178</v>
      </c>
      <c r="CS83" s="47" t="n">
        <f aca="false">(CS79+CS55+CS82)*(CS$4&gt;In_COD)</f>
        <v>2221.91259458689</v>
      </c>
      <c r="CT83" s="47" t="n">
        <f aca="false">(CT79+CT55+CT82)*(CT$4&gt;In_COD)</f>
        <v>2212.52971834289</v>
      </c>
      <c r="CU83" s="47" t="n">
        <f aca="false">(CU79+CU55+CU82)*(CU$4&gt;In_COD)</f>
        <v>2174.15672572376</v>
      </c>
      <c r="CV83" s="47" t="n">
        <f aca="false">(CV79+CV55+CV82)*(CV$4&gt;In_COD)</f>
        <v>2198.31402267624</v>
      </c>
      <c r="CW83" s="47" t="n">
        <f aca="false">(CW79+CW55+CW82)*(CW$4&gt;In_COD)</f>
        <v>2222.47131962873</v>
      </c>
      <c r="CX83" s="47" t="n">
        <f aca="false">(CX79+CX55+CX82)*(CX$4&gt;In_COD)</f>
        <v>2214.32115556524</v>
      </c>
      <c r="CY83" s="47" t="n">
        <f aca="false">(CY79+CY55+CY82)*(CY$4&gt;In_COD)</f>
        <v>2175.63852130436</v>
      </c>
      <c r="CZ83" s="47" t="n">
        <f aca="false">(CZ79+CZ55+CZ82)*(CZ$4&gt;In_COD)</f>
        <v>2199.81228265219</v>
      </c>
      <c r="DA83" s="47" t="n">
        <f aca="false">(DA79+DA55+DA82)*(DA$4&gt;In_COD)</f>
        <v>2223.98604400001</v>
      </c>
      <c r="DB83" s="47" t="n">
        <f aca="false">(DB79+DB55+DB82)*(DB$4&gt;In_COD)</f>
        <v>2122.88750313241</v>
      </c>
      <c r="DC83" s="47" t="n">
        <f aca="false">(DC79+DC55+DC82)*(DC$4&gt;In_COD)</f>
        <v>2085.91177487943</v>
      </c>
      <c r="DD83" s="47" t="n">
        <f aca="false">(DD79+DD55+DD82)*(DD$4&gt;In_COD)</f>
        <v>2109.08857237809</v>
      </c>
      <c r="DE83" s="47" t="n">
        <f aca="false">(DE79+DE55+DE82)*(DE$4&gt;In_COD)</f>
        <v>2132.26536987675</v>
      </c>
      <c r="DF83" s="47" t="n">
        <f aca="false">(DF79+DF55+DF82)*(DF$4&gt;In_COD)</f>
        <v>2124.01795089271</v>
      </c>
      <c r="DG83" s="47" t="n">
        <f aca="false">(DG79+DG55+DG82)*(DG$4&gt;In_COD)</f>
        <v>2109.91236154365</v>
      </c>
      <c r="DH83" s="47" t="n">
        <f aca="false">(DH79+DH55+DH82)*(DH$4&gt;In_COD)</f>
        <v>2109.91236154365</v>
      </c>
      <c r="DI83" s="47" t="n">
        <f aca="false">(DI79+DI55+DI82)*(DI$4&gt;In_COD)</f>
        <v>2133.09821167051</v>
      </c>
      <c r="DJ83" s="47" t="n">
        <f aca="false">(DJ79+DJ55+DJ82)*(DJ$4&gt;In_COD)</f>
        <v>2124.80202858923</v>
      </c>
      <c r="DK83" s="47" t="n">
        <f aca="false">(DK79+DK55+DK82)*(DK$4&gt;In_COD)</f>
        <v>2087.19177731218</v>
      </c>
      <c r="DL83" s="47" t="n">
        <f aca="false">(DL79+DL55+DL82)*(DL$4&gt;In_COD)</f>
        <v>2110.3827970601</v>
      </c>
      <c r="DM83" s="47" t="n">
        <f aca="false">(DM79+DM55+DM82)*(DM$4&gt;In_COD)</f>
        <v>2133.57381680801</v>
      </c>
      <c r="DN83" s="47" t="n">
        <f aca="false">(DN79+DN55+DN82)*(DN$4&gt;In_COD)</f>
        <v>2125.22878470017</v>
      </c>
      <c r="DO83" s="47" t="n">
        <f aca="false">(DO79+DO55+DO82)*(DO$4&gt;In_COD)</f>
        <v>2087.29657604581</v>
      </c>
      <c r="DP83" s="47" t="n">
        <f aca="false">(DP79+DP55+DP82)*(DP$4&gt;In_COD)</f>
        <v>2110.4887602241</v>
      </c>
      <c r="DQ83" s="47" t="n">
        <f aca="false">(DQ79+DQ55+DQ82)*(DQ$4&gt;In_COD)</f>
        <v>2133.68094440239</v>
      </c>
      <c r="DR83" s="47" t="n">
        <f aca="false">(DR79+DR55+DR82)*(DR$4&gt;In_COD)</f>
        <v>2125.28698314533</v>
      </c>
      <c r="DS83" s="47" t="n">
        <f aca="false">(DS79+DS55+DS82)*(DS$4&gt;In_COD)</f>
        <v>2087.02962566063</v>
      </c>
      <c r="DT83" s="47" t="n">
        <f aca="false">(DT79+DT55+DT82)*(DT$4&gt;In_COD)</f>
        <v>2110.21884372353</v>
      </c>
      <c r="DU83" s="47" t="n">
        <f aca="false">(DU79+DU55+DU82)*(DU$4&gt;In_COD)</f>
        <v>2133.40806178642</v>
      </c>
      <c r="DV83" s="47" t="n">
        <f aca="false">(DV79+DV55+DV82)*(DV$4&gt;In_COD)</f>
        <v>2124.96509621661</v>
      </c>
      <c r="DW83" s="47" t="n">
        <f aca="false">(DW79+DW55+DW82)*(DW$4&gt;In_COD)</f>
        <v>2109.56134446918</v>
      </c>
      <c r="DX83" s="47" t="n">
        <f aca="false">(DX79+DX55+DX82)*(DX$4&gt;In_COD)</f>
        <v>2109.56134446918</v>
      </c>
      <c r="DY83" s="47" t="n">
        <f aca="false">(DY79+DY55+DY82)*(DY$4&gt;In_COD)</f>
        <v>2132.74333726555</v>
      </c>
      <c r="DZ83" s="47" t="n">
        <f aca="false">(DZ79+DZ55+DZ82)*(DZ$4&gt;In_COD)</f>
        <v>2124.25129733469</v>
      </c>
      <c r="EA83" s="47" t="n">
        <f aca="false">(EA79+EA55+EA82)*(EA$4&gt;In_COD)</f>
        <v>2085.33387980802</v>
      </c>
      <c r="EB83" s="47" t="n">
        <f aca="false">(EB79+EB55+EB82)*(EB$4&gt;In_COD)</f>
        <v>2108.50425625033</v>
      </c>
      <c r="EC83" s="47" t="n">
        <f aca="false">(EC79+EC55+EC82)*(EC$4&gt;In_COD)</f>
        <v>2131.67463269264</v>
      </c>
      <c r="ED83" s="47" t="n">
        <f aca="false">(ED79+ED55+ED82)*(ED$4&gt;In_COD)</f>
        <v>2123.13345362752</v>
      </c>
      <c r="EE83" s="47" t="n">
        <f aca="false">(EE79+EE55+EE82)*(EE$4&gt;In_COD)</f>
        <v>2083.88102855902</v>
      </c>
      <c r="EF83" s="47" t="n">
        <f aca="false">(EF79+EF55+EF82)*(EF$4&gt;In_COD)</f>
        <v>2107.03526220968</v>
      </c>
      <c r="EG83" s="47" t="n">
        <f aca="false">(EG79+EG55+EG82)*(EG$4&gt;In_COD)</f>
        <v>2130.18949586034</v>
      </c>
      <c r="EH83" s="47" t="n">
        <f aca="false">(EH79+EH55+EH82)*(EH$4&gt;In_COD)</f>
        <v>2121.59911832654</v>
      </c>
      <c r="EI83" s="47" t="n">
        <f aca="false">(EI79+EI55+EI82)*(EI$4&gt;In_COD)</f>
        <v>2082.00830156043</v>
      </c>
      <c r="EJ83" s="47" t="n">
        <f aca="false">(EJ79+EJ55+EJ82)*(EJ$4&gt;In_COD)</f>
        <v>2105.14172713332</v>
      </c>
      <c r="EK83" s="47" t="n">
        <f aca="false">(EK79+EK55+EK82)*(EK$4&gt;In_COD)</f>
        <v>2128.27515270622</v>
      </c>
      <c r="EL83" s="47" t="n">
        <f aca="false">(EL79+EL55+EL82)*(EL$4&gt;In_COD)</f>
        <v>2119.63552297573</v>
      </c>
      <c r="EM83" s="47" t="n">
        <f aca="false">(EM79+EM55+EM82)*(EM$4&gt;In_COD)</f>
        <v>2102.81068955117</v>
      </c>
      <c r="EN83" s="47" t="n">
        <f aca="false">(EN79+EN55+EN82)*(EN$4&gt;In_COD)</f>
        <v>2102.81068955117</v>
      </c>
      <c r="EO83" s="47" t="n">
        <f aca="false">(EO79+EO55+EO82)*(EO$4&gt;In_COD)</f>
        <v>2125.91849932646</v>
      </c>
    </row>
    <row r="84" customFormat="false" ht="15" hidden="false" customHeight="false" outlineLevel="0" collapsed="false">
      <c r="C84" s="0" t="s">
        <v>431</v>
      </c>
      <c r="D84" s="11" t="s">
        <v>33</v>
      </c>
      <c r="E84" s="47" t="n">
        <f aca="false">SUMPRODUCT($J84:$EO84/$J21:$EO21)*$E21</f>
        <v>86813.3267405873</v>
      </c>
      <c r="I84" s="47" t="n">
        <f aca="false">SUM(J84:EO84)</f>
        <v>132292.003181174</v>
      </c>
      <c r="J84" s="47" t="n">
        <f aca="false">J83/In_DSCR*J17</f>
        <v>-0</v>
      </c>
      <c r="K84" s="47" t="n">
        <f aca="false">K83/In_DSCR*K17</f>
        <v>-0</v>
      </c>
      <c r="L84" s="47" t="n">
        <f aca="false">L83/In_DSCR*L17</f>
        <v>-0</v>
      </c>
      <c r="M84" s="47" t="n">
        <f aca="false">M83/In_DSCR*M17</f>
        <v>-0</v>
      </c>
      <c r="N84" s="47" t="n">
        <f aca="false">N83/In_DSCR*N17</f>
        <v>-0</v>
      </c>
      <c r="O84" s="47" t="n">
        <f aca="false">O83/In_DSCR*O17</f>
        <v>-0</v>
      </c>
      <c r="P84" s="47" t="n">
        <f aca="false">P83/In_DSCR*P17</f>
        <v>-0</v>
      </c>
      <c r="Q84" s="47" t="n">
        <f aca="false">Q83/In_DSCR*Q17</f>
        <v>-0</v>
      </c>
      <c r="R84" s="47" t="n">
        <f aca="false">R83/In_DSCR*R17</f>
        <v>-0</v>
      </c>
      <c r="S84" s="47" t="n">
        <f aca="false">S83/In_DSCR*S17</f>
        <v>-0</v>
      </c>
      <c r="T84" s="47" t="n">
        <f aca="false">T83/In_DSCR*T17</f>
        <v>-0</v>
      </c>
      <c r="U84" s="47" t="n">
        <f aca="false">U83/In_DSCR*U17</f>
        <v>-0</v>
      </c>
      <c r="V84" s="47" t="n">
        <f aca="false">V83/In_DSCR*V17</f>
        <v>-0</v>
      </c>
      <c r="W84" s="47" t="n">
        <f aca="false">W83/In_DSCR*W17</f>
        <v>-0</v>
      </c>
      <c r="X84" s="47" t="n">
        <f aca="false">X83/In_DSCR*X17</f>
        <v>-0</v>
      </c>
      <c r="Y84" s="47" t="n">
        <f aca="false">Y83/In_DSCR*Y17</f>
        <v>-0</v>
      </c>
      <c r="Z84" s="47" t="n">
        <f aca="false">Z83/In_DSCR*Z17</f>
        <v>1823.32777097211</v>
      </c>
      <c r="AA84" s="47" t="n">
        <f aca="false">AA83/In_DSCR*AA17</f>
        <v>1795.52098680196</v>
      </c>
      <c r="AB84" s="47" t="n">
        <f aca="false">AB83/In_DSCR*AB17</f>
        <v>1814.98198242013</v>
      </c>
      <c r="AC84" s="47" t="n">
        <f aca="false">AC83/In_DSCR*AC17</f>
        <v>1834.43467143935</v>
      </c>
      <c r="AD84" s="47" t="n">
        <f aca="false">AD83/In_DSCR*AD17</f>
        <v>1827.82709647359</v>
      </c>
      <c r="AE84" s="47" t="n">
        <f aca="false">AE83/In_DSCR*AE17</f>
        <v>1819.50719751029</v>
      </c>
      <c r="AF84" s="47" t="n">
        <f aca="false">AF83/In_DSCR*AF17</f>
        <v>1819.27910490202</v>
      </c>
      <c r="AG84" s="47" t="n">
        <f aca="false">AG83/In_DSCR*AG17</f>
        <v>1838.77639941413</v>
      </c>
      <c r="AH84" s="47" t="n">
        <f aca="false">AH83/In_DSCR*AH17</f>
        <v>1823.86254731788</v>
      </c>
      <c r="AI84" s="47" t="n">
        <f aca="false">AI83/In_DSCR*AI17</f>
        <v>1782.88535671569</v>
      </c>
      <c r="AJ84" s="47" t="n">
        <f aca="false">AJ83/In_DSCR*AJ17</f>
        <v>1826.86195440995</v>
      </c>
      <c r="AK84" s="47" t="n">
        <f aca="false">AK83/In_DSCR*AK17</f>
        <v>1845.94053310492</v>
      </c>
      <c r="AL84" s="47" t="n">
        <f aca="false">AL83/In_DSCR*AL17</f>
        <v>1839.27628429352</v>
      </c>
      <c r="AM84" s="47" t="n">
        <f aca="false">AM83/In_DSCR*AM17</f>
        <v>1810.38123628061</v>
      </c>
      <c r="AN84" s="47" t="n">
        <f aca="false">AN83/In_DSCR*AN17</f>
        <v>1829.50165075532</v>
      </c>
      <c r="AO84" s="47" t="n">
        <f aca="false">AO83/In_DSCR*AO17</f>
        <v>1848.60466698716</v>
      </c>
      <c r="AP84" s="47" t="n">
        <f aca="false">AP83/In_DSCR*AP17</f>
        <v>1841.87466620961</v>
      </c>
      <c r="AQ84" s="47" t="n">
        <f aca="false">AQ83/In_DSCR*AQ17</f>
        <v>1812.72810537755</v>
      </c>
      <c r="AR84" s="47" t="n">
        <f aca="false">AR83/In_DSCR*AR17</f>
        <v>1831.87032957988</v>
      </c>
      <c r="AS84" s="47" t="n">
        <f aca="false">AS83/In_DSCR*AS17</f>
        <v>1850.99479983045</v>
      </c>
      <c r="AT84" s="47" t="n">
        <f aca="false">AT83/In_DSCR*AT17</f>
        <v>1844.19771501788</v>
      </c>
      <c r="AU84" s="47" t="n">
        <f aca="false">AU83/In_DSCR*AU17</f>
        <v>1834.51225322477</v>
      </c>
      <c r="AV84" s="47" t="n">
        <f aca="false">AV83/In_DSCR*AV17</f>
        <v>1833.94581025139</v>
      </c>
      <c r="AW84" s="47" t="n">
        <f aca="false">AW83/In_DSCR*AW17</f>
        <v>1853.08849547302</v>
      </c>
      <c r="AX84" s="47" t="n">
        <f aca="false">AX83/In_DSCR*AX17</f>
        <v>1846.22280279727</v>
      </c>
      <c r="AY84" s="47" t="n">
        <f aca="false">AY83/In_DSCR*AY17</f>
        <v>1816.56319432557</v>
      </c>
      <c r="AZ84" s="47" t="n">
        <f aca="false">AZ83/In_DSCR*AZ17</f>
        <v>1835.73950914187</v>
      </c>
      <c r="BA84" s="47" t="n">
        <f aca="false">BA83/In_DSCR*BA17</f>
        <v>1854.89731533856</v>
      </c>
      <c r="BB84" s="47" t="n">
        <f aca="false">BB83/In_DSCR*BB17</f>
        <v>1847.96170636759</v>
      </c>
      <c r="BC84" s="47" t="n">
        <f aca="false">BC83/In_DSCR*BC17</f>
        <v>1818.04052751595</v>
      </c>
      <c r="BD84" s="47" t="n">
        <f aca="false">BD83/In_DSCR*BD17</f>
        <v>1837.22901009447</v>
      </c>
      <c r="BE84" s="47" t="n">
        <f aca="false">BE83/In_DSCR*BE17</f>
        <v>1856.39858540677</v>
      </c>
      <c r="BF84" s="47" t="n">
        <f aca="false">BF83/In_DSCR*BF17</f>
        <v>1849.39156123419</v>
      </c>
      <c r="BG84" s="47" t="n">
        <f aca="false">BG83/In_DSCR*BG17</f>
        <v>1819.20528689823</v>
      </c>
      <c r="BH84" s="47" t="n">
        <f aca="false">BH83/In_DSCR*BH17</f>
        <v>1838.40246938479</v>
      </c>
      <c r="BI84" s="47" t="n">
        <f aca="false">BI83/In_DSCR*BI17</f>
        <v>1857.58033031793</v>
      </c>
      <c r="BJ84" s="47" t="n">
        <f aca="false">BJ83/In_DSCR*BJ17</f>
        <v>1850.50033118722</v>
      </c>
      <c r="BK84" s="47" t="n">
        <f aca="false">BK83/In_DSCR*BK17</f>
        <v>1839.9309369706</v>
      </c>
      <c r="BL84" s="47" t="n">
        <f aca="false">BL83/In_DSCR*BL17</f>
        <v>1839.23601259999</v>
      </c>
      <c r="BM84" s="47" t="n">
        <f aca="false">BM83/In_DSCR*BM17</f>
        <v>1858.41840091545</v>
      </c>
      <c r="BN84" s="47" t="n">
        <f aca="false">BN83/In_DSCR*BN17</f>
        <v>1851.26366334525</v>
      </c>
      <c r="BO84" s="47" t="n">
        <f aca="false">BO83/In_DSCR*BO17</f>
        <v>1820.53610625148</v>
      </c>
      <c r="BP84" s="47" t="n">
        <f aca="false">BP83/In_DSCR*BP17</f>
        <v>1839.73959404829</v>
      </c>
      <c r="BQ84" s="47" t="n">
        <f aca="false">BQ83/In_DSCR*BQ17</f>
        <v>1858.9228801303</v>
      </c>
      <c r="BR84" s="47" t="n">
        <f aca="false">BR83/In_DSCR*BR17</f>
        <v>1851.69184707495</v>
      </c>
      <c r="BS84" s="47" t="n">
        <f aca="false">BS83/In_DSCR*BS17</f>
        <v>1820.68804107239</v>
      </c>
      <c r="BT84" s="47" t="n">
        <f aca="false">BT83/In_DSCR*BT17</f>
        <v>1839.88898438544</v>
      </c>
      <c r="BU84" s="47" t="n">
        <f aca="false">BU83/In_DSCR*BU17</f>
        <v>1859.06926016663</v>
      </c>
      <c r="BV84" s="47" t="n">
        <f aca="false">BV83/In_DSCR*BV17</f>
        <v>1851.76017112805</v>
      </c>
      <c r="BW84" s="47" t="n">
        <f aca="false">BW83/In_DSCR*BW17</f>
        <v>1820.47619761776</v>
      </c>
      <c r="BX84" s="47" t="n">
        <f aca="false">BX83/In_DSCR*BX17</f>
        <v>1839.6705553069</v>
      </c>
      <c r="BY84" s="47" t="n">
        <f aca="false">BY83/In_DSCR*BY17</f>
        <v>1858.84376086271</v>
      </c>
      <c r="BZ84" s="47" t="n">
        <f aca="false">BZ83/In_DSCR*BZ17</f>
        <v>1851.45478208105</v>
      </c>
      <c r="CA84" s="47" t="n">
        <f aca="false">CA83/In_DSCR*CA17</f>
        <v>1839.90671230922</v>
      </c>
      <c r="CB84" s="47" t="n">
        <f aca="false">CB83/In_DSCR*CB17</f>
        <v>1839.05850064617</v>
      </c>
      <c r="CC84" s="47" t="n">
        <f aca="false">CC83/In_DSCR*CC17</f>
        <v>1858.22027935865</v>
      </c>
      <c r="CD84" s="47" t="n">
        <f aca="false">CD83/In_DSCR*CD17</f>
        <v>1850.74935938993</v>
      </c>
      <c r="CE84" s="47" t="n">
        <f aca="false">CE83/In_DSCR*CE17</f>
        <v>1818.89271636445</v>
      </c>
      <c r="CF84" s="47" t="n">
        <f aca="false">CF83/In_DSCR*CF17</f>
        <v>1838.06100320419</v>
      </c>
      <c r="CG84" s="47" t="n">
        <f aca="false">CG83/In_DSCR*CG17</f>
        <v>1857.20710706476</v>
      </c>
      <c r="CH84" s="47" t="n">
        <f aca="false">CH83/In_DSCR*CH17</f>
        <v>1849.65238910619</v>
      </c>
      <c r="CI84" s="47" t="n">
        <f aca="false">CI83/In_DSCR*CI17</f>
        <v>1817.50315101776</v>
      </c>
      <c r="CJ84" s="47" t="n">
        <f aca="false">CJ83/In_DSCR*CJ17</f>
        <v>1836.65175945386</v>
      </c>
      <c r="CK84" s="47" t="n">
        <f aca="false">CK83/In_DSCR*CK17</f>
        <v>1855.77763840946</v>
      </c>
      <c r="CL84" s="47" t="n">
        <f aca="false">CL83/In_DSCR*CL17</f>
        <v>1848.13704699982</v>
      </c>
      <c r="CM84" s="47" t="n">
        <f aca="false">CM83/In_DSCR*CM17</f>
        <v>1815.69083702578</v>
      </c>
      <c r="CN84" s="47" t="n">
        <f aca="false">CN83/In_DSCR*CN17</f>
        <v>1834.81506412921</v>
      </c>
      <c r="CO84" s="47" t="n">
        <f aca="false">CO83/In_DSCR*CO17</f>
        <v>1853.91599267165</v>
      </c>
      <c r="CP84" s="47" t="n">
        <f aca="false">CP83/In_DSCR*CP17</f>
        <v>1846.18736409252</v>
      </c>
      <c r="CQ84" s="47" t="n">
        <f aca="false">CQ83/In_DSCR*CQ17</f>
        <v>1833.55409429248</v>
      </c>
      <c r="CR84" s="47" t="n">
        <f aca="false">CR83/In_DSCR*CR17</f>
        <v>1832.52289808482</v>
      </c>
      <c r="CS84" s="47" t="n">
        <f aca="false">CS83/In_DSCR*CS17</f>
        <v>1851.59382882241</v>
      </c>
      <c r="CT84" s="47" t="n">
        <f aca="false">CT83/In_DSCR*CT17</f>
        <v>0</v>
      </c>
      <c r="CU84" s="47" t="n">
        <f aca="false">CU83/In_DSCR*CU17</f>
        <v>0</v>
      </c>
      <c r="CV84" s="47" t="n">
        <f aca="false">CV83/In_DSCR*CV17</f>
        <v>0</v>
      </c>
      <c r="CW84" s="47" t="n">
        <f aca="false">CW83/In_DSCR*CW17</f>
        <v>0</v>
      </c>
      <c r="CX84" s="47" t="n">
        <f aca="false">CX83/In_DSCR*CX17</f>
        <v>0</v>
      </c>
      <c r="CY84" s="47" t="n">
        <f aca="false">CY83/In_DSCR*CY17</f>
        <v>0</v>
      </c>
      <c r="CZ84" s="47" t="n">
        <f aca="false">CZ83/In_DSCR*CZ17</f>
        <v>0</v>
      </c>
      <c r="DA84" s="47" t="n">
        <f aca="false">DA83/In_DSCR*DA17</f>
        <v>0</v>
      </c>
      <c r="DB84" s="47" t="n">
        <f aca="false">DB83/In_DSCR*DB17</f>
        <v>0</v>
      </c>
      <c r="DC84" s="47" t="n">
        <f aca="false">DC83/In_DSCR*DC17</f>
        <v>0</v>
      </c>
      <c r="DD84" s="47" t="n">
        <f aca="false">DD83/In_DSCR*DD17</f>
        <v>0</v>
      </c>
      <c r="DE84" s="47" t="n">
        <f aca="false">DE83/In_DSCR*DE17</f>
        <v>0</v>
      </c>
      <c r="DF84" s="47" t="n">
        <f aca="false">DF83/In_DSCR*DF17</f>
        <v>0</v>
      </c>
      <c r="DG84" s="47" t="n">
        <f aca="false">DG83/In_DSCR*DG17</f>
        <v>0</v>
      </c>
      <c r="DH84" s="47" t="n">
        <f aca="false">DH83/In_DSCR*DH17</f>
        <v>0</v>
      </c>
      <c r="DI84" s="47" t="n">
        <f aca="false">DI83/In_DSCR*DI17</f>
        <v>0</v>
      </c>
      <c r="DJ84" s="47" t="n">
        <f aca="false">DJ83/In_DSCR*DJ17</f>
        <v>0</v>
      </c>
      <c r="DK84" s="47" t="n">
        <f aca="false">DK83/In_DSCR*DK17</f>
        <v>0</v>
      </c>
      <c r="DL84" s="47" t="n">
        <f aca="false">DL83/In_DSCR*DL17</f>
        <v>0</v>
      </c>
      <c r="DM84" s="47" t="n">
        <f aca="false">DM83/In_DSCR*DM17</f>
        <v>0</v>
      </c>
      <c r="DN84" s="47" t="n">
        <f aca="false">DN83/In_DSCR*DN17</f>
        <v>0</v>
      </c>
      <c r="DO84" s="47" t="n">
        <f aca="false">DO83/In_DSCR*DO17</f>
        <v>0</v>
      </c>
      <c r="DP84" s="47" t="n">
        <f aca="false">DP83/In_DSCR*DP17</f>
        <v>0</v>
      </c>
      <c r="DQ84" s="47" t="n">
        <f aca="false">DQ83/In_DSCR*DQ17</f>
        <v>0</v>
      </c>
      <c r="DR84" s="47" t="n">
        <f aca="false">DR83/In_DSCR*DR17</f>
        <v>0</v>
      </c>
      <c r="DS84" s="47" t="n">
        <f aca="false">DS83/In_DSCR*DS17</f>
        <v>0</v>
      </c>
      <c r="DT84" s="47" t="n">
        <f aca="false">DT83/In_DSCR*DT17</f>
        <v>0</v>
      </c>
      <c r="DU84" s="47" t="n">
        <f aca="false">DU83/In_DSCR*DU17</f>
        <v>0</v>
      </c>
      <c r="DV84" s="47" t="n">
        <f aca="false">DV83/In_DSCR*DV17</f>
        <v>0</v>
      </c>
      <c r="DW84" s="47" t="n">
        <f aca="false">DW83/In_DSCR*DW17</f>
        <v>0</v>
      </c>
      <c r="DX84" s="47" t="n">
        <f aca="false">DX83/In_DSCR*DX17</f>
        <v>0</v>
      </c>
      <c r="DY84" s="47" t="n">
        <f aca="false">DY83/In_DSCR*DY17</f>
        <v>0</v>
      </c>
      <c r="DZ84" s="47" t="n">
        <f aca="false">DZ83/In_DSCR*DZ17</f>
        <v>0</v>
      </c>
      <c r="EA84" s="47" t="n">
        <f aca="false">EA83/In_DSCR*EA17</f>
        <v>0</v>
      </c>
      <c r="EB84" s="47" t="n">
        <f aca="false">EB83/In_DSCR*EB17</f>
        <v>0</v>
      </c>
      <c r="EC84" s="47" t="n">
        <f aca="false">EC83/In_DSCR*EC17</f>
        <v>0</v>
      </c>
      <c r="ED84" s="47" t="n">
        <f aca="false">ED83/In_DSCR*ED17</f>
        <v>0</v>
      </c>
      <c r="EE84" s="47" t="n">
        <f aca="false">EE83/In_DSCR*EE17</f>
        <v>0</v>
      </c>
      <c r="EF84" s="47" t="n">
        <f aca="false">EF83/In_DSCR*EF17</f>
        <v>0</v>
      </c>
      <c r="EG84" s="47" t="n">
        <f aca="false">EG83/In_DSCR*EG17</f>
        <v>0</v>
      </c>
      <c r="EH84" s="47" t="n">
        <f aca="false">EH83/In_DSCR*EH17</f>
        <v>0</v>
      </c>
      <c r="EI84" s="47" t="n">
        <f aca="false">EI83/In_DSCR*EI17</f>
        <v>0</v>
      </c>
      <c r="EJ84" s="47" t="n">
        <f aca="false">EJ83/In_DSCR*EJ17</f>
        <v>0</v>
      </c>
      <c r="EK84" s="47" t="n">
        <f aca="false">EK83/In_DSCR*EK17</f>
        <v>0</v>
      </c>
      <c r="EL84" s="47" t="n">
        <f aca="false">EL83/In_DSCR*EL17</f>
        <v>0</v>
      </c>
      <c r="EM84" s="47" t="n">
        <f aca="false">EM83/In_DSCR*EM17</f>
        <v>0</v>
      </c>
      <c r="EN84" s="47" t="n">
        <f aca="false">EN83/In_DSCR*EN17</f>
        <v>0</v>
      </c>
      <c r="EO84" s="47" t="n">
        <f aca="false">EO83/In_DSCR*EO17</f>
        <v>0</v>
      </c>
    </row>
    <row r="85" customFormat="false" ht="15" hidden="false" customHeight="false" outlineLevel="0" collapsed="false">
      <c r="C85" s="0" t="s">
        <v>432</v>
      </c>
      <c r="D85" s="11" t="s">
        <v>27</v>
      </c>
      <c r="E85" s="48" t="n">
        <f aca="false">IF($E38=1,In_Gearing,In_Gearing_CN)</f>
        <v>0.7</v>
      </c>
    </row>
    <row r="86" customFormat="false" ht="15" hidden="false" customHeight="false" outlineLevel="0" collapsed="false">
      <c r="C86" s="25" t="s">
        <v>433</v>
      </c>
      <c r="D86" s="11" t="s">
        <v>27</v>
      </c>
      <c r="E86" s="33" t="n">
        <f aca="false">MIN($E85,$E84/-$E66)</f>
        <v>0.7</v>
      </c>
      <c r="F86" s="33" t="n">
        <f aca="false">$E86*-$E66/$E84</f>
        <v>0.622747111569827</v>
      </c>
    </row>
    <row r="88" customFormat="false" ht="15" hidden="false" customHeight="false" outlineLevel="0" collapsed="false">
      <c r="A88" s="9" t="s">
        <v>13</v>
      </c>
      <c r="B88" s="9"/>
      <c r="C88" s="9" t="s">
        <v>317</v>
      </c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</row>
    <row r="89" customFormat="false" ht="15" hidden="false" customHeight="false" outlineLevel="0" collapsed="false">
      <c r="C89" s="0" t="s">
        <v>434</v>
      </c>
      <c r="D89" s="11" t="s">
        <v>33</v>
      </c>
      <c r="I89" s="47" t="n">
        <f aca="false">SUM(J89:EO89)</f>
        <v>-28321.7143913946</v>
      </c>
      <c r="J89" s="47" t="n">
        <f aca="false">-I95*$F21*(J$4&gt;In_COD)</f>
        <v>-0</v>
      </c>
      <c r="K89" s="47" t="n">
        <f aca="false">-J95*$F21*(K$4&gt;In_COD)</f>
        <v>-0</v>
      </c>
      <c r="L89" s="47" t="n">
        <f aca="false">-K95*$F21*(L$4&gt;In_COD)</f>
        <v>-0</v>
      </c>
      <c r="M89" s="47" t="n">
        <f aca="false">-L95*$F21*(M$4&gt;In_COD)</f>
        <v>-0</v>
      </c>
      <c r="N89" s="47" t="n">
        <f aca="false">-M95*$F21*(N$4&gt;In_COD)</f>
        <v>-0</v>
      </c>
      <c r="O89" s="47" t="n">
        <f aca="false">-N95*$F21*(O$4&gt;In_COD)</f>
        <v>-0</v>
      </c>
      <c r="P89" s="47" t="n">
        <f aca="false">-O95*$F21*(P$4&gt;In_COD)</f>
        <v>-0</v>
      </c>
      <c r="Q89" s="47" t="n">
        <f aca="false">-P95*$F21*(Q$4&gt;In_COD)</f>
        <v>-0</v>
      </c>
      <c r="R89" s="47" t="n">
        <f aca="false">-Q95*$F21*(R$4&gt;In_COD)</f>
        <v>-0</v>
      </c>
      <c r="S89" s="47" t="n">
        <f aca="false">-R95*$F21*(S$4&gt;In_COD)</f>
        <v>-0</v>
      </c>
      <c r="T89" s="47" t="n">
        <f aca="false">-S95*$F21*(T$4&gt;In_COD)</f>
        <v>-0</v>
      </c>
      <c r="U89" s="47" t="n">
        <f aca="false">-T95*$F21*(U$4&gt;In_COD)</f>
        <v>-0</v>
      </c>
      <c r="V89" s="47" t="n">
        <f aca="false">-U95*$F21*(V$4&gt;In_COD)</f>
        <v>-0</v>
      </c>
      <c r="W89" s="47" t="n">
        <f aca="false">-V95*$F21*(W$4&gt;In_COD)</f>
        <v>-0</v>
      </c>
      <c r="X89" s="47" t="n">
        <f aca="false">-W95*$F21*(X$4&gt;In_COD)</f>
        <v>-0</v>
      </c>
      <c r="Y89" s="47" t="n">
        <f aca="false">-X95*$F21*(Y$4&gt;In_COD)</f>
        <v>-0</v>
      </c>
      <c r="Z89" s="47" t="n">
        <f aca="false">-Y95*$F21*(Z$4&gt;In_COD)</f>
        <v>-675.784355918355</v>
      </c>
      <c r="AA89" s="47" t="n">
        <f aca="false">-Z95*$F21*(AA$4&gt;In_COD)</f>
        <v>-670.038259082111</v>
      </c>
      <c r="AB89" s="47" t="n">
        <f aca="false">-AA95*$F21*(AB$4&gt;In_COD)</f>
        <v>-664.436793466963</v>
      </c>
      <c r="AC89" s="47" t="n">
        <f aca="false">-AB95*$F21*(AC$4&gt;In_COD)</f>
        <v>-658.613818546507</v>
      </c>
      <c r="AD89" s="47" t="n">
        <f aca="false">-AC95*$F21*(AD$4&gt;In_COD)</f>
        <v>-652.566630115808</v>
      </c>
      <c r="AE89" s="47" t="n">
        <f aca="false">-AD95*$F21*(AE$4&gt;In_COD)</f>
        <v>-646.495287432531</v>
      </c>
      <c r="AF89" s="47" t="n">
        <f aca="false">-AE95*$F21*(AF$4&gt;In_COD)</f>
        <v>-640.412817878812</v>
      </c>
      <c r="AG89" s="47" t="n">
        <f aca="false">-AF95*$F21*(AG$4&gt;In_COD)</f>
        <v>-634.256093005834</v>
      </c>
      <c r="AH89" s="47" t="n">
        <f aca="false">-AG95*$F21*(AH$4&gt;In_COD)</f>
        <v>-627.870635523933</v>
      </c>
      <c r="AI89" s="47" t="n">
        <f aca="false">-AH95*$F21*(AI$4&gt;In_COD)</f>
        <v>-621.52145430245</v>
      </c>
      <c r="AJ89" s="47" t="n">
        <f aca="false">-AI95*$F21*(AJ$4&gt;In_COD)</f>
        <v>-615.411888654295</v>
      </c>
      <c r="AK89" s="47" t="n">
        <f aca="false">-AJ95*$F21*(AK$4&gt;In_COD)</f>
        <v>-608.883624695653</v>
      </c>
      <c r="AL89" s="47" t="n">
        <f aca="false">-AK95*$F21*(AL$4&gt;In_COD)</f>
        <v>-602.12524331534</v>
      </c>
      <c r="AM89" s="47" t="n">
        <f aca="false">-AL95*$F21*(AM$4&gt;In_COD)</f>
        <v>-595.334258938998</v>
      </c>
      <c r="AN89" s="47" t="n">
        <f aca="false">-AM95*$F21*(AN$4&gt;In_COD)</f>
        <v>-588.683316104061</v>
      </c>
      <c r="AO89" s="47" t="n">
        <f aca="false">-AN95*$F21*(AO$4&gt;In_COD)</f>
        <v>-581.80039669761</v>
      </c>
      <c r="AP89" s="47" t="n">
        <f aca="false">-AO95*$F21*(AP$4&gt;In_COD)</f>
        <v>-574.682736446321</v>
      </c>
      <c r="AQ89" s="47" t="n">
        <f aca="false">-AP95*$F21*(AQ$4&gt;In_COD)</f>
        <v>-567.528494048704</v>
      </c>
      <c r="AR89" s="47" t="n">
        <f aca="false">-AQ95*$F21*(AR$4&gt;In_COD)</f>
        <v>-560.511710328246</v>
      </c>
      <c r="AS89" s="47" t="n">
        <f aca="false">-AR95*$F21*(AS$4&gt;In_COD)</f>
        <v>-553.258207250895</v>
      </c>
      <c r="AT89" s="47" t="n">
        <f aca="false">-AS95*$F21*(AT$4&gt;In_COD)</f>
        <v>-545.765164027467</v>
      </c>
      <c r="AU89" s="47" t="n">
        <f aca="false">-AT95*$F21*(AU$4&gt;In_COD)</f>
        <v>-538.231368575422</v>
      </c>
      <c r="AV89" s="47" t="n">
        <f aca="false">-AU95*$F21*(AV$4&gt;In_COD)</f>
        <v>-530.678795597175</v>
      </c>
      <c r="AW89" s="47" t="n">
        <f aca="false">-AV95*$F21*(AW$4&gt;In_COD)</f>
        <v>-523.036224840769</v>
      </c>
      <c r="AX89" s="47" t="n">
        <f aca="false">-AW95*$F21*(AX$4&gt;In_COD)</f>
        <v>-515.14910880079</v>
      </c>
      <c r="AY89" s="47" t="n">
        <f aca="false">-AX95*$F21*(AY$4&gt;In_COD)</f>
        <v>-507.216848688845</v>
      </c>
      <c r="AZ89" s="47" t="n">
        <f aca="false">-AY95*$F21*(AZ$4&gt;In_COD)</f>
        <v>-499.416315769327</v>
      </c>
      <c r="BA89" s="47" t="n">
        <f aca="false">-AZ95*$F21*(BA$4&gt;In_COD)</f>
        <v>-491.369001255035</v>
      </c>
      <c r="BB89" s="47" t="n">
        <f aca="false">-BA95*$F21*(BB$4&gt;In_COD)</f>
        <v>-483.071964453401</v>
      </c>
      <c r="BC89" s="47" t="n">
        <f aca="false">-BB95*$F21*(BC$4&gt;In_COD)</f>
        <v>-474.725203822418</v>
      </c>
      <c r="BD89" s="47" t="n">
        <f aca="false">-BC95*$F21*(BD$4&gt;In_COD)</f>
        <v>-466.507025279855</v>
      </c>
      <c r="BE89" s="47" t="n">
        <f aca="false">-BD95*$F21*(BE$4&gt;In_COD)</f>
        <v>-458.036749854245</v>
      </c>
      <c r="BF89" s="47" t="n">
        <f aca="false">-BE95*$F21*(BF$4&gt;In_COD)</f>
        <v>-449.311373515119</v>
      </c>
      <c r="BG89" s="47" t="n">
        <f aca="false">-BF95*$F21*(BG$4&gt;In_COD)</f>
        <v>-440.531475022555</v>
      </c>
      <c r="BH89" s="47" t="n">
        <f aca="false">-BG95*$F21*(BH$4&gt;In_COD)</f>
        <v>-431.876807988232</v>
      </c>
      <c r="BI89" s="47" t="n">
        <f aca="false">-BH95*$F21*(BI$4&gt;In_COD)</f>
        <v>-422.964520241682</v>
      </c>
      <c r="BJ89" s="47" t="n">
        <f aca="false">-BI95*$F21*(BJ$4&gt;In_COD)</f>
        <v>-413.791541929523</v>
      </c>
      <c r="BK89" s="47" t="n">
        <f aca="false">-BJ95*$F21*(BK$4&gt;In_COD)</f>
        <v>-404.559014501069</v>
      </c>
      <c r="BL89" s="47" t="n">
        <f aca="false">-BK95*$F21*(BL$4&gt;In_COD)</f>
        <v>-395.293356226252</v>
      </c>
      <c r="BM89" s="47" t="n">
        <f aca="false">-BL95*$F21*(BM$4&gt;In_COD)</f>
        <v>-385.917286749807</v>
      </c>
      <c r="BN89" s="47" t="n">
        <f aca="false">-BM95*$F21*(BN$4&gt;In_COD)</f>
        <v>-376.274694193451</v>
      </c>
      <c r="BO89" s="47" t="n">
        <f aca="false">-BN95*$F21*(BO$4&gt;In_COD)</f>
        <v>-366.567264132088</v>
      </c>
      <c r="BP89" s="47" t="n">
        <f aca="false">-BO95*$F21*(BP$4&gt;In_COD)</f>
        <v>-356.977684912781</v>
      </c>
      <c r="BQ89" s="47" t="n">
        <f aca="false">-BP95*$F21*(BQ$4&gt;In_COD)</f>
        <v>-347.118749496263</v>
      </c>
      <c r="BR89" s="47" t="n">
        <f aca="false">-BQ95*$F21*(BR$4&gt;In_COD)</f>
        <v>-336.987248187063</v>
      </c>
      <c r="BS89" s="47" t="n">
        <f aca="false">-BR95*$F21*(BS$4&gt;In_COD)</f>
        <v>-326.78539192336</v>
      </c>
      <c r="BT89" s="47" t="n">
        <f aca="false">-BS95*$F21*(BT$4&gt;In_COD)</f>
        <v>-316.697356589308</v>
      </c>
      <c r="BU89" s="47" t="n">
        <f aca="false">-BT95*$F21*(BU$4&gt;In_COD)</f>
        <v>-306.333754163734</v>
      </c>
      <c r="BV89" s="47" t="n">
        <f aca="false">-BU95*$F21*(BV$4&gt;In_COD)</f>
        <v>-295.691300941068</v>
      </c>
      <c r="BW89" s="47" t="n">
        <f aca="false">-BV95*$F21*(BW$4&gt;In_COD)</f>
        <v>-284.972713479206</v>
      </c>
      <c r="BX89" s="47" t="n">
        <f aca="false">-BW95*$F21*(BX$4&gt;In_COD)</f>
        <v>-274.363668725845</v>
      </c>
      <c r="BY89" s="47" t="n">
        <f aca="false">-BX95*$F21*(BY$4&gt;In_COD)</f>
        <v>-263.47259552795</v>
      </c>
      <c r="BZ89" s="47" t="n">
        <f aca="false">-BY95*$F21*(BZ$4&gt;In_COD)</f>
        <v>-252.296133185339</v>
      </c>
      <c r="CA89" s="47" t="n">
        <f aca="false">-BZ95*$F21*(CA$4&gt;In_COD)</f>
        <v>-241.037483378367</v>
      </c>
      <c r="CB89" s="47" t="n">
        <f aca="false">-CA95*$F21*(CB$4&gt;In_COD)</f>
        <v>-229.72799453749</v>
      </c>
      <c r="CC89" s="47" t="n">
        <f aca="false">-CB95*$F21*(CC$4&gt;In_COD)</f>
        <v>-218.283739853142</v>
      </c>
      <c r="CD89" s="47" t="n">
        <f aca="false">-CC95*$F21*(CD$4&gt;In_COD)</f>
        <v>-206.547270205918</v>
      </c>
      <c r="CE89" s="47" t="n">
        <f aca="false">-CD95*$F21*(CE$4&gt;In_COD)</f>
        <v>-194.722250860995</v>
      </c>
      <c r="CF89" s="47" t="n">
        <f aca="false">-CE95*$F21*(CF$4&gt;In_COD)</f>
        <v>-182.997401679615</v>
      </c>
      <c r="CG89" s="47" t="n">
        <f aca="false">-CF95*$F21*(CG$4&gt;In_COD)</f>
        <v>-170.976779442678</v>
      </c>
      <c r="CH89" s="47" t="n">
        <f aca="false">-CG95*$F21*(CH$4&gt;In_COD)</f>
        <v>-158.656859666818</v>
      </c>
      <c r="CI89" s="47" t="n">
        <f aca="false">-CH95*$F21*(CI$4&gt;In_COD)</f>
        <v>-146.241749378601</v>
      </c>
      <c r="CJ89" s="47" t="n">
        <f aca="false">-CI95*$F21*(CJ$4&gt;In_COD)</f>
        <v>-133.921710776267</v>
      </c>
      <c r="CK89" s="47" t="n">
        <f aca="false">-CJ95*$F21*(CK$4&gt;In_COD)</f>
        <v>-121.298612433976</v>
      </c>
      <c r="CL89" s="47" t="n">
        <f aca="false">-CK95*$F21*(CL$4&gt;In_COD)</f>
        <v>-108.368843038959</v>
      </c>
      <c r="CM89" s="47" t="n">
        <f aca="false">-CL95*$F21*(CM$4&gt;In_COD)</f>
        <v>-95.3369284793915</v>
      </c>
      <c r="CN89" s="47" t="n">
        <f aca="false">-CM95*$F21*(CN$4&gt;In_COD)</f>
        <v>-82.3946872821138</v>
      </c>
      <c r="CO89" s="47" t="n">
        <f aca="false">-CN95*$F21*(CO$4&gt;In_COD)</f>
        <v>-69.1417986049993</v>
      </c>
      <c r="CP89" s="47" t="n">
        <f aca="false">-CO95*$F21*(CP$4&gt;In_COD)</f>
        <v>-55.5745607184445</v>
      </c>
      <c r="CQ89" s="47" t="n">
        <f aca="false">-CP95*$F21*(CQ$4&gt;In_COD)</f>
        <v>-41.8978946223584</v>
      </c>
      <c r="CR89" s="47" t="n">
        <f aca="false">-CQ95*$F21*(CR$4&gt;In_COD)</f>
        <v>-28.148611853542</v>
      </c>
      <c r="CS89" s="47" t="n">
        <f aca="false">-CR95*$F21*(CS$4&gt;In_COD)</f>
        <v>-14.2354902308626</v>
      </c>
      <c r="CT89" s="47" t="n">
        <f aca="false">-CS95*$F21*(CT$4&gt;In_COD)</f>
        <v>-2.48121523327427E-012</v>
      </c>
      <c r="CU89" s="47" t="n">
        <f aca="false">-CT95*$F21*(CU$4&gt;In_COD)</f>
        <v>-2.5122304236902E-012</v>
      </c>
      <c r="CV89" s="47" t="n">
        <f aca="false">-CU95*$F21*(CV$4&gt;In_COD)</f>
        <v>-2.54363330398633E-012</v>
      </c>
      <c r="CW89" s="47" t="n">
        <f aca="false">-CV95*$F21*(CW$4&gt;In_COD)</f>
        <v>-2.57542872028616E-012</v>
      </c>
      <c r="CX89" s="47" t="n">
        <f aca="false">-CW95*$F21*(CX$4&gt;In_COD)</f>
        <v>-2.60762157928973E-012</v>
      </c>
      <c r="CY89" s="47" t="n">
        <f aca="false">-CX95*$F21*(CY$4&gt;In_COD)</f>
        <v>-2.64021684903085E-012</v>
      </c>
      <c r="CZ89" s="47" t="n">
        <f aca="false">-CY95*$F21*(CZ$4&gt;In_COD)</f>
        <v>-2.67321955964374E-012</v>
      </c>
      <c r="DA89" s="47" t="n">
        <f aca="false">-CZ95*$F21*(DA$4&gt;In_COD)</f>
        <v>-2.70663480413929E-012</v>
      </c>
      <c r="DB89" s="47" t="n">
        <f aca="false">-DA95*$F21*(DB$4&gt;In_COD)</f>
        <v>-2.74046773919103E-012</v>
      </c>
      <c r="DC89" s="47" t="n">
        <f aca="false">-DB95*$F21*(DC$4&gt;In_COD)</f>
        <v>-2.77472358593092E-012</v>
      </c>
      <c r="DD89" s="47" t="n">
        <f aca="false">-DC95*$F21*(DD$4&gt;In_COD)</f>
        <v>-2.80940763075505E-012</v>
      </c>
      <c r="DE89" s="47" t="n">
        <f aca="false">-DD95*$F21*(DE$4&gt;In_COD)</f>
        <v>-2.84452522613949E-012</v>
      </c>
      <c r="DF89" s="47" t="n">
        <f aca="false">-DE95*$F21*(DF$4&gt;In_COD)</f>
        <v>-2.88008179146623E-012</v>
      </c>
      <c r="DG89" s="47" t="n">
        <f aca="false">-DF95*$F21*(DG$4&gt;In_COD)</f>
        <v>-2.91608281385956E-012</v>
      </c>
      <c r="DH89" s="47" t="n">
        <f aca="false">-DG95*$F21*(DH$4&gt;In_COD)</f>
        <v>-2.95253384903281E-012</v>
      </c>
      <c r="DI89" s="47" t="n">
        <f aca="false">-DH95*$F21*(DI$4&gt;In_COD)</f>
        <v>-2.98944052214572E-012</v>
      </c>
      <c r="DJ89" s="47" t="n">
        <f aca="false">-DI95*$F21*(DJ$4&gt;In_COD)</f>
        <v>-3.02680852867254E-012</v>
      </c>
      <c r="DK89" s="47" t="n">
        <f aca="false">-DJ95*$F21*(DK$4&gt;In_COD)</f>
        <v>-3.06464363528094E-012</v>
      </c>
      <c r="DL89" s="47" t="n">
        <f aca="false">-DK95*$F21*(DL$4&gt;In_COD)</f>
        <v>-3.10295168072196E-012</v>
      </c>
      <c r="DM89" s="47" t="n">
        <f aca="false">-DL95*$F21*(DM$4&gt;In_COD)</f>
        <v>-3.14173857673098E-012</v>
      </c>
      <c r="DN89" s="47" t="n">
        <f aca="false">-DM95*$F21*(DN$4&gt;In_COD)</f>
        <v>-3.18101030894012E-012</v>
      </c>
      <c r="DO89" s="47" t="n">
        <f aca="false">-DN95*$F21*(DO$4&gt;In_COD)</f>
        <v>-3.22077293780187E-012</v>
      </c>
      <c r="DP89" s="47" t="n">
        <f aca="false">-DO95*$F21*(DP$4&gt;In_COD)</f>
        <v>-3.26103259952439E-012</v>
      </c>
      <c r="DQ89" s="47" t="n">
        <f aca="false">-DP95*$F21*(DQ$4&gt;In_COD)</f>
        <v>-3.30179550701845E-012</v>
      </c>
      <c r="DR89" s="47" t="n">
        <f aca="false">-DQ95*$F21*(DR$4&gt;In_COD)</f>
        <v>-3.34306795085618E-012</v>
      </c>
      <c r="DS89" s="47" t="n">
        <f aca="false">-DR95*$F21*(DS$4&gt;In_COD)</f>
        <v>-3.38485630024188E-012</v>
      </c>
      <c r="DT89" s="47" t="n">
        <f aca="false">-DS95*$F21*(DT$4&gt;In_COD)</f>
        <v>-3.4271670039949E-012</v>
      </c>
      <c r="DU89" s="47" t="n">
        <f aca="false">-DT95*$F21*(DU$4&gt;In_COD)</f>
        <v>-3.47000659154484E-012</v>
      </c>
      <c r="DV89" s="47" t="n">
        <f aca="false">-DU95*$F21*(DV$4&gt;In_COD)</f>
        <v>-3.51338167393915E-012</v>
      </c>
      <c r="DW89" s="47" t="n">
        <f aca="false">-DV95*$F21*(DW$4&gt;In_COD)</f>
        <v>-3.55729894486339E-012</v>
      </c>
      <c r="DX89" s="47" t="n">
        <f aca="false">-DW95*$F21*(DX$4&gt;In_COD)</f>
        <v>-3.60176518167418E-012</v>
      </c>
      <c r="DY89" s="47" t="n">
        <f aca="false">-DX95*$F21*(DY$4&gt;In_COD)</f>
        <v>-3.64678724644511E-012</v>
      </c>
      <c r="DZ89" s="47" t="n">
        <f aca="false">-DY95*$F21*(DZ$4&gt;In_COD)</f>
        <v>-3.69237208702567E-012</v>
      </c>
      <c r="EA89" s="47" t="n">
        <f aca="false">-DZ95*$F21*(EA$4&gt;In_COD)</f>
        <v>-3.73852673811349E-012</v>
      </c>
      <c r="EB89" s="47" t="n">
        <f aca="false">-EA95*$F21*(EB$4&gt;In_COD)</f>
        <v>-3.78525832233991E-012</v>
      </c>
      <c r="EC89" s="47" t="n">
        <f aca="false">-EB95*$F21*(EC$4&gt;In_COD)</f>
        <v>-3.83257405136916E-012</v>
      </c>
      <c r="ED89" s="47" t="n">
        <f aca="false">-EC95*$F21*(ED$4&gt;In_COD)</f>
        <v>-3.88048122701128E-012</v>
      </c>
      <c r="EE89" s="47" t="n">
        <f aca="false">-ED95*$F21*(EE$4&gt;In_COD)</f>
        <v>-3.92898724234892E-012</v>
      </c>
      <c r="EF89" s="47" t="n">
        <f aca="false">-EE95*$F21*(EF$4&gt;In_COD)</f>
        <v>-3.97809958287828E-012</v>
      </c>
      <c r="EG89" s="47" t="n">
        <f aca="false">-EF95*$F21*(EG$4&gt;In_COD)</f>
        <v>-4.02782582766426E-012</v>
      </c>
      <c r="EH89" s="47" t="n">
        <f aca="false">-EG95*$F21*(EH$4&gt;In_COD)</f>
        <v>-4.07817365051006E-012</v>
      </c>
      <c r="EI89" s="47" t="n">
        <f aca="false">-EH95*$F21*(EI$4&gt;In_COD)</f>
        <v>-4.12915082114144E-012</v>
      </c>
      <c r="EJ89" s="47" t="n">
        <f aca="false">-EI95*$F21*(EJ$4&gt;In_COD)</f>
        <v>-4.1807652064057E-012</v>
      </c>
      <c r="EK89" s="47" t="n">
        <f aca="false">-EJ95*$F21*(EK$4&gt;In_COD)</f>
        <v>-4.23302477148577E-012</v>
      </c>
      <c r="EL89" s="47" t="n">
        <f aca="false">-EK95*$F21*(EL$4&gt;In_COD)</f>
        <v>-4.28593758112935E-012</v>
      </c>
      <c r="EM89" s="47" t="n">
        <f aca="false">-EL95*$F21*(EM$4&gt;In_COD)</f>
        <v>-4.33951180089346E-012</v>
      </c>
      <c r="EN89" s="47" t="n">
        <f aca="false">-EM95*$F21*(EN$4&gt;In_COD)</f>
        <v>-4.39375569840463E-012</v>
      </c>
      <c r="EO89" s="47" t="n">
        <f aca="false">-EN95*$F21*(EO$4&gt;In_COD)</f>
        <v>-4.44867764463469E-012</v>
      </c>
    </row>
    <row r="90" customFormat="false" ht="15" hidden="false" customHeight="false" outlineLevel="0" collapsed="false">
      <c r="C90" s="0" t="s">
        <v>435</v>
      </c>
      <c r="D90" s="11" t="s">
        <v>33</v>
      </c>
      <c r="I90" s="47" t="n">
        <f aca="false">SUM(J90:EO90)</f>
        <v>-82384.4628648626</v>
      </c>
      <c r="J90" s="47" t="n">
        <f aca="false">-J84*$F86</f>
        <v>0</v>
      </c>
      <c r="K90" s="47" t="n">
        <f aca="false">-K84*$F86</f>
        <v>0</v>
      </c>
      <c r="L90" s="47" t="n">
        <f aca="false">-L84*$F86</f>
        <v>0</v>
      </c>
      <c r="M90" s="47" t="n">
        <f aca="false">-M84*$F86</f>
        <v>0</v>
      </c>
      <c r="N90" s="47" t="n">
        <f aca="false">-N84*$F86</f>
        <v>0</v>
      </c>
      <c r="O90" s="47" t="n">
        <f aca="false">-O84*$F86</f>
        <v>0</v>
      </c>
      <c r="P90" s="47" t="n">
        <f aca="false">-P84*$F86</f>
        <v>0</v>
      </c>
      <c r="Q90" s="47" t="n">
        <f aca="false">-Q84*$F86</f>
        <v>0</v>
      </c>
      <c r="R90" s="47" t="n">
        <f aca="false">-R84*$F86</f>
        <v>0</v>
      </c>
      <c r="S90" s="47" t="n">
        <f aca="false">-S84*$F86</f>
        <v>0</v>
      </c>
      <c r="T90" s="47" t="n">
        <f aca="false">-T84*$F86</f>
        <v>0</v>
      </c>
      <c r="U90" s="47" t="n">
        <f aca="false">-U84*$F86</f>
        <v>0</v>
      </c>
      <c r="V90" s="47" t="n">
        <f aca="false">-V84*$F86</f>
        <v>0</v>
      </c>
      <c r="W90" s="47" t="n">
        <f aca="false">-W84*$F86</f>
        <v>0</v>
      </c>
      <c r="X90" s="47" t="n">
        <f aca="false">-X84*$F86</f>
        <v>0</v>
      </c>
      <c r="Y90" s="47" t="n">
        <f aca="false">-Y84*$F86</f>
        <v>0</v>
      </c>
      <c r="Z90" s="47" t="n">
        <f aca="false">-Z84*$F86</f>
        <v>-1135.47210281793</v>
      </c>
      <c r="AA90" s="47" t="n">
        <f aca="false">-AA84*$F86</f>
        <v>-1118.15550829393</v>
      </c>
      <c r="AB90" s="47" t="n">
        <f aca="false">-AB84*$F86</f>
        <v>-1130.27478710342</v>
      </c>
      <c r="AC90" s="47" t="n">
        <f aca="false">-AC84*$F86</f>
        <v>-1142.3888930024</v>
      </c>
      <c r="AD90" s="47" t="n">
        <f aca="false">-AD84*$F86</f>
        <v>-1138.27404477799</v>
      </c>
      <c r="AE90" s="47" t="n">
        <f aca="false">-AE84*$F86</f>
        <v>-1133.09285173004</v>
      </c>
      <c r="AF90" s="47" t="n">
        <f aca="false">-AF84*$F86</f>
        <v>-1132.95080771707</v>
      </c>
      <c r="AG90" s="47" t="n">
        <f aca="false">-AG84*$F86</f>
        <v>-1145.09269155792</v>
      </c>
      <c r="AH90" s="47" t="n">
        <f aca="false">-AH84*$F86</f>
        <v>-1135.8051332426</v>
      </c>
      <c r="AI90" s="47" t="n">
        <f aca="false">-AI84*$F86</f>
        <v>-1110.28670615484</v>
      </c>
      <c r="AJ90" s="47" t="n">
        <f aca="false">-AJ84*$F86</f>
        <v>-1137.67300534561</v>
      </c>
      <c r="AK90" s="47" t="n">
        <f aca="false">-AK84*$F86</f>
        <v>-1149.55413512076</v>
      </c>
      <c r="AL90" s="47" t="n">
        <f aca="false">-AL84*$F86</f>
        <v>-1145.40399342267</v>
      </c>
      <c r="AM90" s="47" t="n">
        <f aca="false">-AM84*$F86</f>
        <v>-1127.40968573396</v>
      </c>
      <c r="AN90" s="47" t="n">
        <f aca="false">-AN84*$F86</f>
        <v>-1139.3168686201</v>
      </c>
      <c r="AO90" s="47" t="n">
        <f aca="false">-AO84*$F86</f>
        <v>-1151.21321680075</v>
      </c>
      <c r="AP90" s="47" t="n">
        <f aca="false">-AP84*$F86</f>
        <v>-1147.02212825567</v>
      </c>
      <c r="AQ90" s="47" t="n">
        <f aca="false">-AQ84*$F86</f>
        <v>-1128.87119168532</v>
      </c>
      <c r="AR90" s="47" t="n">
        <f aca="false">-AR84*$F86</f>
        <v>-1140.79195651634</v>
      </c>
      <c r="AS90" s="47" t="n">
        <f aca="false">-AS84*$F86</f>
        <v>-1152.70166512518</v>
      </c>
      <c r="AT90" s="47" t="n">
        <f aca="false">-AT84*$F86</f>
        <v>-1148.46880019106</v>
      </c>
      <c r="AU90" s="47" t="n">
        <f aca="false">-AU84*$F86</f>
        <v>-1142.43720683518</v>
      </c>
      <c r="AV90" s="47" t="n">
        <f aca="false">-AV84*$F86</f>
        <v>-1142.08445610964</v>
      </c>
      <c r="AW90" s="47" t="n">
        <f aca="false">-AW84*$F86</f>
        <v>-1154.0055080391</v>
      </c>
      <c r="AX90" s="47" t="n">
        <f aca="false">-AX84*$F86</f>
        <v>-1149.72991775635</v>
      </c>
      <c r="AY90" s="47" t="n">
        <f aca="false">-AY84*$F86</f>
        <v>-1131.25948225031</v>
      </c>
      <c r="AZ90" s="47" t="n">
        <f aca="false">-AZ84*$F86</f>
        <v>-1143.20147691271</v>
      </c>
      <c r="BA90" s="47" t="n">
        <f aca="false">-BA84*$F86</f>
        <v>-1155.13194538572</v>
      </c>
      <c r="BB90" s="47" t="n">
        <f aca="false">-BB84*$F86</f>
        <v>-1150.81281493207</v>
      </c>
      <c r="BC90" s="47" t="n">
        <f aca="false">-BC84*$F86</f>
        <v>-1132.17948722744</v>
      </c>
      <c r="BD90" s="47" t="n">
        <f aca="false">-BD84*$F86</f>
        <v>-1144.12905932863</v>
      </c>
      <c r="BE90" s="47" t="n">
        <f aca="false">-BE84*$F86</f>
        <v>-1156.06685698438</v>
      </c>
      <c r="BF90" s="47" t="n">
        <f aca="false">-BF84*$F86</f>
        <v>-1151.70325292021</v>
      </c>
      <c r="BG90" s="47" t="n">
        <f aca="false">-BG84*$F86</f>
        <v>-1132.90483776843</v>
      </c>
      <c r="BH90" s="47" t="n">
        <f aca="false">-BH84*$F86</f>
        <v>-1144.85982771222</v>
      </c>
      <c r="BI90" s="47" t="n">
        <f aca="false">-BI84*$F86</f>
        <v>-1156.80278521442</v>
      </c>
      <c r="BJ90" s="47" t="n">
        <f aca="false">-BJ84*$F86</f>
        <v>-1152.39373620585</v>
      </c>
      <c r="BK90" s="47" t="n">
        <f aca="false">-BK84*$F86</f>
        <v>-1145.8116764864</v>
      </c>
      <c r="BL90" s="47" t="n">
        <f aca="false">-BL84*$F86</f>
        <v>-1145.37891434185</v>
      </c>
      <c r="BM90" s="47" t="n">
        <f aca="false">-BM84*$F86</f>
        <v>-1157.32469125832</v>
      </c>
      <c r="BN90" s="47" t="n">
        <f aca="false">-BN84*$F86</f>
        <v>-1152.86909910243</v>
      </c>
      <c r="BO90" s="47" t="n">
        <f aca="false">-BO84*$F86</f>
        <v>-1133.73360167669</v>
      </c>
      <c r="BP90" s="47" t="n">
        <f aca="false">-BP84*$F86</f>
        <v>-1145.69251823422</v>
      </c>
      <c r="BQ90" s="47" t="n">
        <f aca="false">-BQ84*$F86</f>
        <v>-1157.63885423221</v>
      </c>
      <c r="BR90" s="47" t="n">
        <f aca="false">-BR84*$F86</f>
        <v>-1153.13574928332</v>
      </c>
      <c r="BS90" s="47" t="n">
        <f aca="false">-BS84*$F86</f>
        <v>-1133.82821864756</v>
      </c>
      <c r="BT90" s="47" t="n">
        <f aca="false">-BT84*$F86</f>
        <v>-1145.78555063517</v>
      </c>
      <c r="BU90" s="47" t="n">
        <f aca="false">-BU84*$F86</f>
        <v>-1157.73001197702</v>
      </c>
      <c r="BV90" s="47" t="n">
        <f aca="false">-BV84*$F86</f>
        <v>-1153.17829789004</v>
      </c>
      <c r="BW90" s="47" t="n">
        <f aca="false">-BW84*$F86</f>
        <v>-1133.69629374808</v>
      </c>
      <c r="BX90" s="47" t="n">
        <f aca="false">-BX84*$F86</f>
        <v>-1145.64952455743</v>
      </c>
      <c r="BY90" s="47" t="n">
        <f aca="false">-BY84*$F86</f>
        <v>-1157.58958293684</v>
      </c>
      <c r="BZ90" s="47" t="n">
        <f aca="false">-BZ84*$F86</f>
        <v>-1152.98811774312</v>
      </c>
      <c r="CA90" s="47" t="n">
        <f aca="false">-CA84*$F86</f>
        <v>-1145.7965906485</v>
      </c>
      <c r="CB90" s="47" t="n">
        <f aca="false">-CB84*$F86</f>
        <v>-1145.26836928534</v>
      </c>
      <c r="CC90" s="47" t="n">
        <f aca="false">-CC84*$F86</f>
        <v>-1157.20131163108</v>
      </c>
      <c r="CD90" s="47" t="n">
        <f aca="false">-CD84*$F86</f>
        <v>-1152.54881779979</v>
      </c>
      <c r="CE90" s="47" t="n">
        <f aca="false">-CE84*$F86</f>
        <v>-1132.71018537136</v>
      </c>
      <c r="CF90" s="47" t="n">
        <f aca="false">-CF84*$F86</f>
        <v>-1144.64718063455</v>
      </c>
      <c r="CG90" s="47" t="n">
        <f aca="false">-CG84*$F86</f>
        <v>-1156.57036151154</v>
      </c>
      <c r="CH90" s="47" t="n">
        <f aca="false">-CH84*$F86</f>
        <v>-1151.86568272411</v>
      </c>
      <c r="CI90" s="47" t="n">
        <f aca="false">-CI84*$F86</f>
        <v>-1131.84483756537</v>
      </c>
      <c r="CJ90" s="47" t="n">
        <f aca="false">-CJ84*$F86</f>
        <v>-1143.76957815953</v>
      </c>
      <c r="CK90" s="47" t="n">
        <f aca="false">-CK84*$F86</f>
        <v>-1155.68016403537</v>
      </c>
      <c r="CL90" s="47" t="n">
        <f aca="false">-CL84*$F86</f>
        <v>-1150.92200780433</v>
      </c>
      <c r="CM90" s="47" t="n">
        <f aca="false">-CM84*$F86</f>
        <v>-1130.71622426161</v>
      </c>
      <c r="CN90" s="47" t="n">
        <f aca="false">-CN84*$F86</f>
        <v>-1142.62578145127</v>
      </c>
      <c r="CO90" s="47" t="n">
        <f aca="false">-CO84*$F86</f>
        <v>-1154.52082952938</v>
      </c>
      <c r="CP90" s="47" t="n">
        <f aca="false">-CP84*$F86</f>
        <v>-1149.70784840533</v>
      </c>
      <c r="CQ90" s="47" t="n">
        <f aca="false">-CQ84*$F86</f>
        <v>-1141.84051612767</v>
      </c>
      <c r="CR90" s="47" t="n">
        <f aca="false">-CR84*$F86</f>
        <v>-1141.19834166789</v>
      </c>
      <c r="CS90" s="47" t="n">
        <f aca="false">-CS84*$F86</f>
        <v>-1153.07470869967</v>
      </c>
      <c r="CT90" s="47" t="n">
        <f aca="false">-CT84*$F86</f>
        <v>-0</v>
      </c>
      <c r="CU90" s="47" t="n">
        <f aca="false">-CU84*$F86</f>
        <v>-0</v>
      </c>
      <c r="CV90" s="47" t="n">
        <f aca="false">-CV84*$F86</f>
        <v>-0</v>
      </c>
      <c r="CW90" s="47" t="n">
        <f aca="false">-CW84*$F86</f>
        <v>-0</v>
      </c>
      <c r="CX90" s="47" t="n">
        <f aca="false">-CX84*$F86</f>
        <v>-0</v>
      </c>
      <c r="CY90" s="47" t="n">
        <f aca="false">-CY84*$F86</f>
        <v>-0</v>
      </c>
      <c r="CZ90" s="47" t="n">
        <f aca="false">-CZ84*$F86</f>
        <v>-0</v>
      </c>
      <c r="DA90" s="47" t="n">
        <f aca="false">-DA84*$F86</f>
        <v>-0</v>
      </c>
      <c r="DB90" s="47" t="n">
        <f aca="false">-DB84*$F86</f>
        <v>-0</v>
      </c>
      <c r="DC90" s="47" t="n">
        <f aca="false">-DC84*$F86</f>
        <v>-0</v>
      </c>
      <c r="DD90" s="47" t="n">
        <f aca="false">-DD84*$F86</f>
        <v>-0</v>
      </c>
      <c r="DE90" s="47" t="n">
        <f aca="false">-DE84*$F86</f>
        <v>-0</v>
      </c>
      <c r="DF90" s="47" t="n">
        <f aca="false">-DF84*$F86</f>
        <v>-0</v>
      </c>
      <c r="DG90" s="47" t="n">
        <f aca="false">-DG84*$F86</f>
        <v>-0</v>
      </c>
      <c r="DH90" s="47" t="n">
        <f aca="false">-DH84*$F86</f>
        <v>-0</v>
      </c>
      <c r="DI90" s="47" t="n">
        <f aca="false">-DI84*$F86</f>
        <v>-0</v>
      </c>
      <c r="DJ90" s="47" t="n">
        <f aca="false">-DJ84*$F86</f>
        <v>-0</v>
      </c>
      <c r="DK90" s="47" t="n">
        <f aca="false">-DK84*$F86</f>
        <v>-0</v>
      </c>
      <c r="DL90" s="47" t="n">
        <f aca="false">-DL84*$F86</f>
        <v>-0</v>
      </c>
      <c r="DM90" s="47" t="n">
        <f aca="false">-DM84*$F86</f>
        <v>-0</v>
      </c>
      <c r="DN90" s="47" t="n">
        <f aca="false">-DN84*$F86</f>
        <v>-0</v>
      </c>
      <c r="DO90" s="47" t="n">
        <f aca="false">-DO84*$F86</f>
        <v>-0</v>
      </c>
      <c r="DP90" s="47" t="n">
        <f aca="false">-DP84*$F86</f>
        <v>-0</v>
      </c>
      <c r="DQ90" s="47" t="n">
        <f aca="false">-DQ84*$F86</f>
        <v>-0</v>
      </c>
      <c r="DR90" s="47" t="n">
        <f aca="false">-DR84*$F86</f>
        <v>-0</v>
      </c>
      <c r="DS90" s="47" t="n">
        <f aca="false">-DS84*$F86</f>
        <v>-0</v>
      </c>
      <c r="DT90" s="47" t="n">
        <f aca="false">-DT84*$F86</f>
        <v>-0</v>
      </c>
      <c r="DU90" s="47" t="n">
        <f aca="false">-DU84*$F86</f>
        <v>-0</v>
      </c>
      <c r="DV90" s="47" t="n">
        <f aca="false">-DV84*$F86</f>
        <v>-0</v>
      </c>
      <c r="DW90" s="47" t="n">
        <f aca="false">-DW84*$F86</f>
        <v>-0</v>
      </c>
      <c r="DX90" s="47" t="n">
        <f aca="false">-DX84*$F86</f>
        <v>-0</v>
      </c>
      <c r="DY90" s="47" t="n">
        <f aca="false">-DY84*$F86</f>
        <v>-0</v>
      </c>
      <c r="DZ90" s="47" t="n">
        <f aca="false">-DZ84*$F86</f>
        <v>-0</v>
      </c>
      <c r="EA90" s="47" t="n">
        <f aca="false">-EA84*$F86</f>
        <v>-0</v>
      </c>
      <c r="EB90" s="47" t="n">
        <f aca="false">-EB84*$F86</f>
        <v>-0</v>
      </c>
      <c r="EC90" s="47" t="n">
        <f aca="false">-EC84*$F86</f>
        <v>-0</v>
      </c>
      <c r="ED90" s="47" t="n">
        <f aca="false">-ED84*$F86</f>
        <v>-0</v>
      </c>
      <c r="EE90" s="47" t="n">
        <f aca="false">-EE84*$F86</f>
        <v>-0</v>
      </c>
      <c r="EF90" s="47" t="n">
        <f aca="false">-EF84*$F86</f>
        <v>-0</v>
      </c>
      <c r="EG90" s="47" t="n">
        <f aca="false">-EG84*$F86</f>
        <v>-0</v>
      </c>
      <c r="EH90" s="47" t="n">
        <f aca="false">-EH84*$F86</f>
        <v>-0</v>
      </c>
      <c r="EI90" s="47" t="n">
        <f aca="false">-EI84*$F86</f>
        <v>-0</v>
      </c>
      <c r="EJ90" s="47" t="n">
        <f aca="false">-EJ84*$F86</f>
        <v>-0</v>
      </c>
      <c r="EK90" s="47" t="n">
        <f aca="false">-EK84*$F86</f>
        <v>-0</v>
      </c>
      <c r="EL90" s="47" t="n">
        <f aca="false">-EL84*$F86</f>
        <v>-0</v>
      </c>
      <c r="EM90" s="47" t="n">
        <f aca="false">-EM84*$F86</f>
        <v>-0</v>
      </c>
      <c r="EN90" s="47" t="n">
        <f aca="false">-EN84*$F86</f>
        <v>-0</v>
      </c>
      <c r="EO90" s="47" t="n">
        <f aca="false">-EO84*$F86</f>
        <v>-0</v>
      </c>
    </row>
    <row r="91" customFormat="false" ht="15" hidden="false" customHeight="false" outlineLevel="0" collapsed="false">
      <c r="C91" s="0" t="s">
        <v>436</v>
      </c>
      <c r="D91" s="11" t="s">
        <v>33</v>
      </c>
      <c r="J91" s="18" t="n">
        <f aca="false">I95</f>
        <v>0</v>
      </c>
      <c r="K91" s="18" t="n">
        <f aca="false">J95</f>
        <v>0</v>
      </c>
      <c r="L91" s="18" t="n">
        <f aca="false">K95</f>
        <v>0</v>
      </c>
      <c r="M91" s="18" t="n">
        <f aca="false">L95</f>
        <v>0</v>
      </c>
      <c r="N91" s="18" t="n">
        <f aca="false">M95</f>
        <v>0</v>
      </c>
      <c r="O91" s="18" t="n">
        <f aca="false">N95</f>
        <v>0</v>
      </c>
      <c r="P91" s="18" t="n">
        <f aca="false">O95</f>
        <v>0</v>
      </c>
      <c r="Q91" s="18" t="n">
        <f aca="false">P95</f>
        <v>0</v>
      </c>
      <c r="R91" s="18" t="n">
        <f aca="false">Q95</f>
        <v>0</v>
      </c>
      <c r="S91" s="18" t="n">
        <f aca="false">R95</f>
        <v>5568.06369863014</v>
      </c>
      <c r="T91" s="18" t="n">
        <f aca="false">S95</f>
        <v>16793.0595359589</v>
      </c>
      <c r="U91" s="18" t="n">
        <f aca="false">T95</f>
        <v>22510.5140472817</v>
      </c>
      <c r="V91" s="18" t="n">
        <f aca="false">U95</f>
        <v>28359.9591715028</v>
      </c>
      <c r="W91" s="18" t="n">
        <f aca="false">V95</f>
        <v>34282.5223597768</v>
      </c>
      <c r="X91" s="18" t="n">
        <f aca="false">W95</f>
        <v>40158.0727248904</v>
      </c>
      <c r="Y91" s="18" t="n">
        <f aca="false">X95</f>
        <v>46167.5899010748</v>
      </c>
      <c r="Z91" s="18" t="n">
        <f aca="false">Y95</f>
        <v>54062.7484734684</v>
      </c>
      <c r="AA91" s="18" t="n">
        <f aca="false">Z95</f>
        <v>53603.0607265688</v>
      </c>
      <c r="AB91" s="18" t="n">
        <f aca="false">AA95</f>
        <v>53154.943477357</v>
      </c>
      <c r="AC91" s="18" t="n">
        <f aca="false">AB95</f>
        <v>52689.1054837206</v>
      </c>
      <c r="AD91" s="18" t="n">
        <f aca="false">AC95</f>
        <v>52205.3304092647</v>
      </c>
      <c r="AE91" s="18" t="n">
        <f aca="false">AD95</f>
        <v>51719.6229946025</v>
      </c>
      <c r="AF91" s="18" t="n">
        <f aca="false">AE95</f>
        <v>51233.025430305</v>
      </c>
      <c r="AG91" s="18" t="n">
        <f aca="false">AF95</f>
        <v>50740.4874404667</v>
      </c>
      <c r="AH91" s="18" t="n">
        <f aca="false">AG95</f>
        <v>50229.6508419146</v>
      </c>
      <c r="AI91" s="18" t="n">
        <f aca="false">AH95</f>
        <v>49721.716344196</v>
      </c>
      <c r="AJ91" s="18" t="n">
        <f aca="false">AI95</f>
        <v>49232.9510923436</v>
      </c>
      <c r="AK91" s="18" t="n">
        <f aca="false">AJ95</f>
        <v>48710.6899756523</v>
      </c>
      <c r="AL91" s="18" t="n">
        <f aca="false">AK95</f>
        <v>48170.0194652272</v>
      </c>
      <c r="AM91" s="18" t="n">
        <f aca="false">AL95</f>
        <v>47626.7407151198</v>
      </c>
      <c r="AN91" s="18" t="n">
        <f aca="false">AM95</f>
        <v>47094.6652883249</v>
      </c>
      <c r="AO91" s="18" t="n">
        <f aca="false">AN95</f>
        <v>46544.0317358088</v>
      </c>
      <c r="AP91" s="18" t="n">
        <f aca="false">AO95</f>
        <v>45974.6189157057</v>
      </c>
      <c r="AQ91" s="18" t="n">
        <f aca="false">AP95</f>
        <v>45402.2795238963</v>
      </c>
      <c r="AR91" s="18" t="n">
        <f aca="false">AQ95</f>
        <v>44840.9368262597</v>
      </c>
      <c r="AS91" s="18" t="n">
        <f aca="false">AR95</f>
        <v>44260.6565800716</v>
      </c>
      <c r="AT91" s="18" t="n">
        <f aca="false">AS95</f>
        <v>43661.2131221973</v>
      </c>
      <c r="AU91" s="18" t="n">
        <f aca="false">AT95</f>
        <v>43058.5094860337</v>
      </c>
      <c r="AV91" s="18" t="n">
        <f aca="false">AU95</f>
        <v>42454.303647774</v>
      </c>
      <c r="AW91" s="18" t="n">
        <f aca="false">AV95</f>
        <v>41842.8979872615</v>
      </c>
      <c r="AX91" s="18" t="n">
        <f aca="false">AW95</f>
        <v>41211.9287040632</v>
      </c>
      <c r="AY91" s="18" t="n">
        <f aca="false">AX95</f>
        <v>40577.3478951076</v>
      </c>
      <c r="AZ91" s="18" t="n">
        <f aca="false">AY95</f>
        <v>39953.3052615461</v>
      </c>
      <c r="BA91" s="18" t="n">
        <f aca="false">AZ95</f>
        <v>39309.5201004028</v>
      </c>
      <c r="BB91" s="18" t="n">
        <f aca="false">BA95</f>
        <v>38645.7571562721</v>
      </c>
      <c r="BC91" s="18" t="n">
        <f aca="false">BB95</f>
        <v>37978.0163057934</v>
      </c>
      <c r="BD91" s="18" t="n">
        <f aca="false">BC95</f>
        <v>37320.5620223884</v>
      </c>
      <c r="BE91" s="18" t="n">
        <f aca="false">BD95</f>
        <v>36642.9399883396</v>
      </c>
      <c r="BF91" s="18" t="n">
        <f aca="false">BE95</f>
        <v>35944.9098812095</v>
      </c>
      <c r="BG91" s="18" t="n">
        <f aca="false">BF95</f>
        <v>35242.5180018044</v>
      </c>
      <c r="BH91" s="18" t="n">
        <f aca="false">BG95</f>
        <v>34550.1446390585</v>
      </c>
      <c r="BI91" s="18" t="n">
        <f aca="false">BH95</f>
        <v>33837.1616193345</v>
      </c>
      <c r="BJ91" s="18" t="n">
        <f aca="false">BI95</f>
        <v>33103.3233543618</v>
      </c>
      <c r="BK91" s="18" t="n">
        <f aca="false">BJ95</f>
        <v>32364.7211600855</v>
      </c>
      <c r="BL91" s="18" t="n">
        <f aca="false">BK95</f>
        <v>31623.4684981001</v>
      </c>
      <c r="BM91" s="18" t="n">
        <f aca="false">BL95</f>
        <v>30873.3829399845</v>
      </c>
      <c r="BN91" s="18" t="n">
        <f aca="false">BM95</f>
        <v>30101.975535476</v>
      </c>
      <c r="BO91" s="18" t="n">
        <f aca="false">BN95</f>
        <v>29325.3811305671</v>
      </c>
      <c r="BP91" s="18" t="n">
        <f aca="false">BO95</f>
        <v>28558.2147930225</v>
      </c>
      <c r="BQ91" s="18" t="n">
        <f aca="false">BP95</f>
        <v>27769.499959701</v>
      </c>
      <c r="BR91" s="18" t="n">
        <f aca="false">BQ95</f>
        <v>26958.9798549651</v>
      </c>
      <c r="BS91" s="18" t="n">
        <f aca="false">BR95</f>
        <v>26142.8313538688</v>
      </c>
      <c r="BT91" s="18" t="n">
        <f aca="false">BS95</f>
        <v>25335.7885271446</v>
      </c>
      <c r="BU91" s="18" t="n">
        <f aca="false">BT95</f>
        <v>24506.7003330987</v>
      </c>
      <c r="BV91" s="18" t="n">
        <f aca="false">BU95</f>
        <v>23655.3040752855</v>
      </c>
      <c r="BW91" s="18" t="n">
        <f aca="false">BV95</f>
        <v>22797.8170783365</v>
      </c>
      <c r="BX91" s="18" t="n">
        <f aca="false">BW95</f>
        <v>21949.0934980676</v>
      </c>
      <c r="BY91" s="18" t="n">
        <f aca="false">BX95</f>
        <v>21077.807642236</v>
      </c>
      <c r="BZ91" s="18" t="n">
        <f aca="false">BY95</f>
        <v>20183.6906548271</v>
      </c>
      <c r="CA91" s="18" t="n">
        <f aca="false">BZ95</f>
        <v>19282.9986702693</v>
      </c>
      <c r="CB91" s="18" t="n">
        <f aca="false">CA95</f>
        <v>18378.2395629992</v>
      </c>
      <c r="CC91" s="18" t="n">
        <f aca="false">CB95</f>
        <v>17462.6991882514</v>
      </c>
      <c r="CD91" s="18" t="n">
        <f aca="false">CC95</f>
        <v>16523.7816164734</v>
      </c>
      <c r="CE91" s="18" t="n">
        <f aca="false">CD95</f>
        <v>15577.7800688796</v>
      </c>
      <c r="CF91" s="18" t="n">
        <f aca="false">CE95</f>
        <v>14639.7921343692</v>
      </c>
      <c r="CG91" s="18" t="n">
        <f aca="false">CF95</f>
        <v>13678.1423554143</v>
      </c>
      <c r="CH91" s="18" t="n">
        <f aca="false">CG95</f>
        <v>12692.5487733454</v>
      </c>
      <c r="CI91" s="18" t="n">
        <f aca="false">CH95</f>
        <v>11699.3399502881</v>
      </c>
      <c r="CJ91" s="18" t="n">
        <f aca="false">CI95</f>
        <v>10713.7368621013</v>
      </c>
      <c r="CK91" s="18" t="n">
        <f aca="false">CJ95</f>
        <v>9703.88899471808</v>
      </c>
      <c r="CL91" s="18" t="n">
        <f aca="false">CK95</f>
        <v>8669.50744311669</v>
      </c>
      <c r="CM91" s="18" t="n">
        <f aca="false">CL95</f>
        <v>7626.95427835132</v>
      </c>
      <c r="CN91" s="18" t="n">
        <f aca="false">CM95</f>
        <v>6591.5749825691</v>
      </c>
      <c r="CO91" s="18" t="n">
        <f aca="false">CN95</f>
        <v>5531.34388839994</v>
      </c>
      <c r="CP91" s="18" t="n">
        <f aca="false">CO95</f>
        <v>4445.96485747556</v>
      </c>
      <c r="CQ91" s="18" t="n">
        <f aca="false">CP95</f>
        <v>3351.83156978867</v>
      </c>
      <c r="CR91" s="18" t="n">
        <f aca="false">CQ95</f>
        <v>2251.88894828336</v>
      </c>
      <c r="CS91" s="18" t="n">
        <f aca="false">CR95</f>
        <v>1138.83921846901</v>
      </c>
      <c r="CT91" s="18" t="n">
        <f aca="false">CS95</f>
        <v>1.98497218661942E-010</v>
      </c>
      <c r="CU91" s="18" t="n">
        <f aca="false">CT95</f>
        <v>2.00978433895216E-010</v>
      </c>
      <c r="CV91" s="18" t="n">
        <f aca="false">CU95</f>
        <v>2.03490664318906E-010</v>
      </c>
      <c r="CW91" s="18" t="n">
        <f aca="false">CV95</f>
        <v>2.06034297622892E-010</v>
      </c>
      <c r="CX91" s="18" t="n">
        <f aca="false">CW95</f>
        <v>2.08609726343179E-010</v>
      </c>
      <c r="CY91" s="18" t="n">
        <f aca="false">CX95</f>
        <v>2.11217347922468E-010</v>
      </c>
      <c r="CZ91" s="18" t="n">
        <f aca="false">CY95</f>
        <v>2.13857564771499E-010</v>
      </c>
      <c r="DA91" s="18" t="n">
        <f aca="false">CZ95</f>
        <v>2.16530784331143E-010</v>
      </c>
      <c r="DB91" s="18" t="n">
        <f aca="false">DA95</f>
        <v>2.19237419135282E-010</v>
      </c>
      <c r="DC91" s="18" t="n">
        <f aca="false">DB95</f>
        <v>2.21977886874473E-010</v>
      </c>
      <c r="DD91" s="18" t="n">
        <f aca="false">DC95</f>
        <v>2.24752610460404E-010</v>
      </c>
      <c r="DE91" s="18" t="n">
        <f aca="false">DD95</f>
        <v>2.27562018091159E-010</v>
      </c>
      <c r="DF91" s="18" t="n">
        <f aca="false">DE95</f>
        <v>2.30406543317299E-010</v>
      </c>
      <c r="DG91" s="18" t="n">
        <f aca="false">DF95</f>
        <v>2.33286625108765E-010</v>
      </c>
      <c r="DH91" s="18" t="n">
        <f aca="false">DG95</f>
        <v>2.36202707922624E-010</v>
      </c>
      <c r="DI91" s="18" t="n">
        <f aca="false">DH95</f>
        <v>2.39155241771657E-010</v>
      </c>
      <c r="DJ91" s="18" t="n">
        <f aca="false">DI95</f>
        <v>2.42144682293803E-010</v>
      </c>
      <c r="DK91" s="18" t="n">
        <f aca="false">DJ95</f>
        <v>2.45171490822475E-010</v>
      </c>
      <c r="DL91" s="18" t="n">
        <f aca="false">DK95</f>
        <v>2.48236134457756E-010</v>
      </c>
      <c r="DM91" s="18" t="n">
        <f aca="false">DL95</f>
        <v>2.51339086138478E-010</v>
      </c>
      <c r="DN91" s="18" t="n">
        <f aca="false">DM95</f>
        <v>2.54480824715209E-010</v>
      </c>
      <c r="DO91" s="18" t="n">
        <f aca="false">DN95</f>
        <v>2.57661835024149E-010</v>
      </c>
      <c r="DP91" s="18" t="n">
        <f aca="false">DO95</f>
        <v>2.60882607961951E-010</v>
      </c>
      <c r="DQ91" s="18" t="n">
        <f aca="false">DP95</f>
        <v>2.64143640561476E-010</v>
      </c>
      <c r="DR91" s="18" t="n">
        <f aca="false">DQ95</f>
        <v>2.67445436068494E-010</v>
      </c>
      <c r="DS91" s="18" t="n">
        <f aca="false">DR95</f>
        <v>2.7078850401935E-010</v>
      </c>
      <c r="DT91" s="18" t="n">
        <f aca="false">DS95</f>
        <v>2.74173360319592E-010</v>
      </c>
      <c r="DU91" s="18" t="n">
        <f aca="false">DT95</f>
        <v>2.77600527323587E-010</v>
      </c>
      <c r="DV91" s="18" t="n">
        <f aca="false">DU95</f>
        <v>2.81070533915132E-010</v>
      </c>
      <c r="DW91" s="18" t="n">
        <f aca="false">DV95</f>
        <v>2.84583915589071E-010</v>
      </c>
      <c r="DX91" s="18" t="n">
        <f aca="false">DW95</f>
        <v>2.88141214533934E-010</v>
      </c>
      <c r="DY91" s="18" t="n">
        <f aca="false">DX95</f>
        <v>2.91742979715609E-010</v>
      </c>
      <c r="DZ91" s="18" t="n">
        <f aca="false">DY95</f>
        <v>2.95389766962054E-010</v>
      </c>
      <c r="EA91" s="18" t="n">
        <f aca="false">DZ95</f>
        <v>2.99082139049079E-010</v>
      </c>
      <c r="EB91" s="18" t="n">
        <f aca="false">EA95</f>
        <v>3.02820665787193E-010</v>
      </c>
      <c r="EC91" s="18" t="n">
        <f aca="false">EB95</f>
        <v>3.06605924109533E-010</v>
      </c>
      <c r="ED91" s="18" t="n">
        <f aca="false">EC95</f>
        <v>3.10438498160902E-010</v>
      </c>
      <c r="EE91" s="18" t="n">
        <f aca="false">ED95</f>
        <v>3.14318979387913E-010</v>
      </c>
      <c r="EF91" s="18" t="n">
        <f aca="false">EE95</f>
        <v>3.18247966630262E-010</v>
      </c>
      <c r="EG91" s="18" t="n">
        <f aca="false">EF95</f>
        <v>3.2222606621314E-010</v>
      </c>
      <c r="EH91" s="18" t="n">
        <f aca="false">EG95</f>
        <v>3.26253892040805E-010</v>
      </c>
      <c r="EI91" s="18" t="n">
        <f aca="false">EH95</f>
        <v>3.30332065691315E-010</v>
      </c>
      <c r="EJ91" s="18" t="n">
        <f aca="false">EI95</f>
        <v>3.34461216512456E-010</v>
      </c>
      <c r="EK91" s="18" t="n">
        <f aca="false">EJ95</f>
        <v>3.38641981718862E-010</v>
      </c>
      <c r="EL91" s="18" t="n">
        <f aca="false">EK95</f>
        <v>3.42875006490348E-010</v>
      </c>
      <c r="EM91" s="18" t="n">
        <f aca="false">EL95</f>
        <v>3.47160944071477E-010</v>
      </c>
      <c r="EN91" s="18" t="n">
        <f aca="false">EM95</f>
        <v>3.5150045587237E-010</v>
      </c>
      <c r="EO91" s="18" t="n">
        <f aca="false">EN95</f>
        <v>3.55894211570775E-010</v>
      </c>
    </row>
    <row r="92" customFormat="false" ht="15" hidden="false" customHeight="false" outlineLevel="0" collapsed="false">
      <c r="C92" s="0" t="s">
        <v>437</v>
      </c>
      <c r="D92" s="11" t="s">
        <v>33</v>
      </c>
      <c r="I92" s="47" t="n">
        <f aca="false">SUM(J92:EO92)</f>
        <v>51639.7512054795</v>
      </c>
      <c r="J92" s="47" t="n">
        <f aca="false">-$E86*J66</f>
        <v>0</v>
      </c>
      <c r="K92" s="47" t="n">
        <f aca="false">-$E86*K66</f>
        <v>0</v>
      </c>
      <c r="L92" s="47" t="n">
        <f aca="false">-$E86*L66</f>
        <v>0</v>
      </c>
      <c r="M92" s="47" t="n">
        <f aca="false">-$E86*M66</f>
        <v>0</v>
      </c>
      <c r="N92" s="47" t="n">
        <f aca="false">-$E86*N66</f>
        <v>0</v>
      </c>
      <c r="O92" s="47" t="n">
        <f aca="false">-$E86*O66</f>
        <v>0</v>
      </c>
      <c r="P92" s="47" t="n">
        <f aca="false">-$E86*P66</f>
        <v>0</v>
      </c>
      <c r="Q92" s="47" t="n">
        <f aca="false">-$E86*Q66</f>
        <v>0</v>
      </c>
      <c r="R92" s="47" t="n">
        <f aca="false">-$E86*R66</f>
        <v>5568.06369863014</v>
      </c>
      <c r="S92" s="47" t="n">
        <f aca="false">-$E86*S66</f>
        <v>11155.3950410959</v>
      </c>
      <c r="T92" s="47" t="n">
        <f aca="false">-$E86*T66</f>
        <v>5507.54126712329</v>
      </c>
      <c r="U92" s="47" t="n">
        <f aca="false">-$E86*U66</f>
        <v>5568.06369863014</v>
      </c>
      <c r="V92" s="47" t="n">
        <f aca="false">-$E86*V66</f>
        <v>5568.06369863014</v>
      </c>
      <c r="W92" s="47" t="n">
        <f aca="false">-$E86*W66</f>
        <v>5447.01883561644</v>
      </c>
      <c r="X92" s="47" t="n">
        <f aca="false">-$E86*X66</f>
        <v>5507.54126712329</v>
      </c>
      <c r="Y92" s="47" t="n">
        <f aca="false">-$E86*Y66</f>
        <v>7318.06369863014</v>
      </c>
      <c r="Z92" s="47" t="n">
        <f aca="false">-$E86*Z66</f>
        <v>0</v>
      </c>
      <c r="AA92" s="47" t="n">
        <f aca="false">-$E86*AA66</f>
        <v>0</v>
      </c>
      <c r="AB92" s="47" t="n">
        <f aca="false">-$E86*AB66</f>
        <v>0</v>
      </c>
      <c r="AC92" s="47" t="n">
        <f aca="false">-$E86*AC66</f>
        <v>0</v>
      </c>
      <c r="AD92" s="47" t="n">
        <f aca="false">-$E86*AD66</f>
        <v>0</v>
      </c>
      <c r="AE92" s="47" t="n">
        <f aca="false">-$E86*AE66</f>
        <v>0</v>
      </c>
      <c r="AF92" s="47" t="n">
        <f aca="false">-$E86*AF66</f>
        <v>0</v>
      </c>
      <c r="AG92" s="47" t="n">
        <f aca="false">-$E86*AG66</f>
        <v>0</v>
      </c>
      <c r="AH92" s="47" t="n">
        <f aca="false">-$E86*AH66</f>
        <v>0</v>
      </c>
      <c r="AI92" s="47" t="n">
        <f aca="false">-$E86*AI66</f>
        <v>0</v>
      </c>
      <c r="AJ92" s="47" t="n">
        <f aca="false">-$E86*AJ66</f>
        <v>0</v>
      </c>
      <c r="AK92" s="47" t="n">
        <f aca="false">-$E86*AK66</f>
        <v>0</v>
      </c>
      <c r="AL92" s="47" t="n">
        <f aca="false">-$E86*AL66</f>
        <v>0</v>
      </c>
      <c r="AM92" s="47" t="n">
        <f aca="false">-$E86*AM66</f>
        <v>0</v>
      </c>
      <c r="AN92" s="47" t="n">
        <f aca="false">-$E86*AN66</f>
        <v>0</v>
      </c>
      <c r="AO92" s="47" t="n">
        <f aca="false">-$E86*AO66</f>
        <v>0</v>
      </c>
      <c r="AP92" s="47" t="n">
        <f aca="false">-$E86*AP66</f>
        <v>0</v>
      </c>
      <c r="AQ92" s="47" t="n">
        <f aca="false">-$E86*AQ66</f>
        <v>0</v>
      </c>
      <c r="AR92" s="47" t="n">
        <f aca="false">-$E86*AR66</f>
        <v>0</v>
      </c>
      <c r="AS92" s="47" t="n">
        <f aca="false">-$E86*AS66</f>
        <v>0</v>
      </c>
      <c r="AT92" s="47" t="n">
        <f aca="false">-$E86*AT66</f>
        <v>0</v>
      </c>
      <c r="AU92" s="47" t="n">
        <f aca="false">-$E86*AU66</f>
        <v>0</v>
      </c>
      <c r="AV92" s="47" t="n">
        <f aca="false">-$E86*AV66</f>
        <v>0</v>
      </c>
      <c r="AW92" s="47" t="n">
        <f aca="false">-$E86*AW66</f>
        <v>0</v>
      </c>
      <c r="AX92" s="47" t="n">
        <f aca="false">-$E86*AX66</f>
        <v>0</v>
      </c>
      <c r="AY92" s="47" t="n">
        <f aca="false">-$E86*AY66</f>
        <v>0</v>
      </c>
      <c r="AZ92" s="47" t="n">
        <f aca="false">-$E86*AZ66</f>
        <v>0</v>
      </c>
      <c r="BA92" s="47" t="n">
        <f aca="false">-$E86*BA66</f>
        <v>0</v>
      </c>
      <c r="BB92" s="47" t="n">
        <f aca="false">-$E86*BB66</f>
        <v>0</v>
      </c>
      <c r="BC92" s="47" t="n">
        <f aca="false">-$E86*BC66</f>
        <v>0</v>
      </c>
      <c r="BD92" s="47" t="n">
        <f aca="false">-$E86*BD66</f>
        <v>0</v>
      </c>
      <c r="BE92" s="47" t="n">
        <f aca="false">-$E86*BE66</f>
        <v>0</v>
      </c>
      <c r="BF92" s="47" t="n">
        <f aca="false">-$E86*BF66</f>
        <v>0</v>
      </c>
      <c r="BG92" s="47" t="n">
        <f aca="false">-$E86*BG66</f>
        <v>0</v>
      </c>
      <c r="BH92" s="47" t="n">
        <f aca="false">-$E86*BH66</f>
        <v>0</v>
      </c>
      <c r="BI92" s="47" t="n">
        <f aca="false">-$E86*BI66</f>
        <v>0</v>
      </c>
      <c r="BJ92" s="47" t="n">
        <f aca="false">-$E86*BJ66</f>
        <v>0</v>
      </c>
      <c r="BK92" s="47" t="n">
        <f aca="false">-$E86*BK66</f>
        <v>0</v>
      </c>
      <c r="BL92" s="47" t="n">
        <f aca="false">-$E86*BL66</f>
        <v>0</v>
      </c>
      <c r="BM92" s="47" t="n">
        <f aca="false">-$E86*BM66</f>
        <v>0</v>
      </c>
      <c r="BN92" s="47" t="n">
        <f aca="false">-$E86*BN66</f>
        <v>0</v>
      </c>
      <c r="BO92" s="47" t="n">
        <f aca="false">-$E86*BO66</f>
        <v>0</v>
      </c>
      <c r="BP92" s="47" t="n">
        <f aca="false">-$E86*BP66</f>
        <v>0</v>
      </c>
      <c r="BQ92" s="47" t="n">
        <f aca="false">-$E86*BQ66</f>
        <v>0</v>
      </c>
      <c r="BR92" s="47" t="n">
        <f aca="false">-$E86*BR66</f>
        <v>0</v>
      </c>
      <c r="BS92" s="47" t="n">
        <f aca="false">-$E86*BS66</f>
        <v>0</v>
      </c>
      <c r="BT92" s="47" t="n">
        <f aca="false">-$E86*BT66</f>
        <v>0</v>
      </c>
      <c r="BU92" s="47" t="n">
        <f aca="false">-$E86*BU66</f>
        <v>0</v>
      </c>
      <c r="BV92" s="47" t="n">
        <f aca="false">-$E86*BV66</f>
        <v>0</v>
      </c>
      <c r="BW92" s="47" t="n">
        <f aca="false">-$E86*BW66</f>
        <v>0</v>
      </c>
      <c r="BX92" s="47" t="n">
        <f aca="false">-$E86*BX66</f>
        <v>0</v>
      </c>
      <c r="BY92" s="47" t="n">
        <f aca="false">-$E86*BY66</f>
        <v>0</v>
      </c>
      <c r="BZ92" s="47" t="n">
        <f aca="false">-$E86*BZ66</f>
        <v>0</v>
      </c>
      <c r="CA92" s="47" t="n">
        <f aca="false">-$E86*CA66</f>
        <v>0</v>
      </c>
      <c r="CB92" s="47" t="n">
        <f aca="false">-$E86*CB66</f>
        <v>0</v>
      </c>
      <c r="CC92" s="47" t="n">
        <f aca="false">-$E86*CC66</f>
        <v>0</v>
      </c>
      <c r="CD92" s="47" t="n">
        <f aca="false">-$E86*CD66</f>
        <v>0</v>
      </c>
      <c r="CE92" s="47" t="n">
        <f aca="false">-$E86*CE66</f>
        <v>0</v>
      </c>
      <c r="CF92" s="47" t="n">
        <f aca="false">-$E86*CF66</f>
        <v>0</v>
      </c>
      <c r="CG92" s="47" t="n">
        <f aca="false">-$E86*CG66</f>
        <v>0</v>
      </c>
      <c r="CH92" s="47" t="n">
        <f aca="false">-$E86*CH66</f>
        <v>0</v>
      </c>
      <c r="CI92" s="47" t="n">
        <f aca="false">-$E86*CI66</f>
        <v>0</v>
      </c>
      <c r="CJ92" s="47" t="n">
        <f aca="false">-$E86*CJ66</f>
        <v>0</v>
      </c>
      <c r="CK92" s="47" t="n">
        <f aca="false">-$E86*CK66</f>
        <v>0</v>
      </c>
      <c r="CL92" s="47" t="n">
        <f aca="false">-$E86*CL66</f>
        <v>0</v>
      </c>
      <c r="CM92" s="47" t="n">
        <f aca="false">-$E86*CM66</f>
        <v>0</v>
      </c>
      <c r="CN92" s="47" t="n">
        <f aca="false">-$E86*CN66</f>
        <v>0</v>
      </c>
      <c r="CO92" s="47" t="n">
        <f aca="false">-$E86*CO66</f>
        <v>0</v>
      </c>
      <c r="CP92" s="47" t="n">
        <f aca="false">-$E86*CP66</f>
        <v>0</v>
      </c>
      <c r="CQ92" s="47" t="n">
        <f aca="false">-$E86*CQ66</f>
        <v>0</v>
      </c>
      <c r="CR92" s="47" t="n">
        <f aca="false">-$E86*CR66</f>
        <v>0</v>
      </c>
      <c r="CS92" s="47" t="n">
        <f aca="false">-$E86*CS66</f>
        <v>0</v>
      </c>
      <c r="CT92" s="47" t="n">
        <f aca="false">-$E86*CT66</f>
        <v>0</v>
      </c>
      <c r="CU92" s="47" t="n">
        <f aca="false">-$E86*CU66</f>
        <v>0</v>
      </c>
      <c r="CV92" s="47" t="n">
        <f aca="false">-$E86*CV66</f>
        <v>0</v>
      </c>
      <c r="CW92" s="47" t="n">
        <f aca="false">-$E86*CW66</f>
        <v>0</v>
      </c>
      <c r="CX92" s="47" t="n">
        <f aca="false">-$E86*CX66</f>
        <v>0</v>
      </c>
      <c r="CY92" s="47" t="n">
        <f aca="false">-$E86*CY66</f>
        <v>0</v>
      </c>
      <c r="CZ92" s="47" t="n">
        <f aca="false">-$E86*CZ66</f>
        <v>0</v>
      </c>
      <c r="DA92" s="47" t="n">
        <f aca="false">-$E86*DA66</f>
        <v>0</v>
      </c>
      <c r="DB92" s="47" t="n">
        <f aca="false">-$E86*DB66</f>
        <v>0</v>
      </c>
      <c r="DC92" s="47" t="n">
        <f aca="false">-$E86*DC66</f>
        <v>0</v>
      </c>
      <c r="DD92" s="47" t="n">
        <f aca="false">-$E86*DD66</f>
        <v>0</v>
      </c>
      <c r="DE92" s="47" t="n">
        <f aca="false">-$E86*DE66</f>
        <v>0</v>
      </c>
      <c r="DF92" s="47" t="n">
        <f aca="false">-$E86*DF66</f>
        <v>0</v>
      </c>
      <c r="DG92" s="47" t="n">
        <f aca="false">-$E86*DG66</f>
        <v>0</v>
      </c>
      <c r="DH92" s="47" t="n">
        <f aca="false">-$E86*DH66</f>
        <v>0</v>
      </c>
      <c r="DI92" s="47" t="n">
        <f aca="false">-$E86*DI66</f>
        <v>0</v>
      </c>
      <c r="DJ92" s="47" t="n">
        <f aca="false">-$E86*DJ66</f>
        <v>0</v>
      </c>
      <c r="DK92" s="47" t="n">
        <f aca="false">-$E86*DK66</f>
        <v>0</v>
      </c>
      <c r="DL92" s="47" t="n">
        <f aca="false">-$E86*DL66</f>
        <v>0</v>
      </c>
      <c r="DM92" s="47" t="n">
        <f aca="false">-$E86*DM66</f>
        <v>0</v>
      </c>
      <c r="DN92" s="47" t="n">
        <f aca="false">-$E86*DN66</f>
        <v>0</v>
      </c>
      <c r="DO92" s="47" t="n">
        <f aca="false">-$E86*DO66</f>
        <v>0</v>
      </c>
      <c r="DP92" s="47" t="n">
        <f aca="false">-$E86*DP66</f>
        <v>0</v>
      </c>
      <c r="DQ92" s="47" t="n">
        <f aca="false">-$E86*DQ66</f>
        <v>0</v>
      </c>
      <c r="DR92" s="47" t="n">
        <f aca="false">-$E86*DR66</f>
        <v>0</v>
      </c>
      <c r="DS92" s="47" t="n">
        <f aca="false">-$E86*DS66</f>
        <v>0</v>
      </c>
      <c r="DT92" s="47" t="n">
        <f aca="false">-$E86*DT66</f>
        <v>0</v>
      </c>
      <c r="DU92" s="47" t="n">
        <f aca="false">-$E86*DU66</f>
        <v>0</v>
      </c>
      <c r="DV92" s="47" t="n">
        <f aca="false">-$E86*DV66</f>
        <v>0</v>
      </c>
      <c r="DW92" s="47" t="n">
        <f aca="false">-$E86*DW66</f>
        <v>0</v>
      </c>
      <c r="DX92" s="47" t="n">
        <f aca="false">-$E86*DX66</f>
        <v>0</v>
      </c>
      <c r="DY92" s="47" t="n">
        <f aca="false">-$E86*DY66</f>
        <v>0</v>
      </c>
      <c r="DZ92" s="47" t="n">
        <f aca="false">-$E86*DZ66</f>
        <v>0</v>
      </c>
      <c r="EA92" s="47" t="n">
        <f aca="false">-$E86*EA66</f>
        <v>0</v>
      </c>
      <c r="EB92" s="47" t="n">
        <f aca="false">-$E86*EB66</f>
        <v>0</v>
      </c>
      <c r="EC92" s="47" t="n">
        <f aca="false">-$E86*EC66</f>
        <v>0</v>
      </c>
      <c r="ED92" s="47" t="n">
        <f aca="false">-$E86*ED66</f>
        <v>0</v>
      </c>
      <c r="EE92" s="47" t="n">
        <f aca="false">-$E86*EE66</f>
        <v>0</v>
      </c>
      <c r="EF92" s="47" t="n">
        <f aca="false">-$E86*EF66</f>
        <v>0</v>
      </c>
      <c r="EG92" s="47" t="n">
        <f aca="false">-$E86*EG66</f>
        <v>0</v>
      </c>
      <c r="EH92" s="47" t="n">
        <f aca="false">-$E86*EH66</f>
        <v>0</v>
      </c>
      <c r="EI92" s="47" t="n">
        <f aca="false">-$E86*EI66</f>
        <v>0</v>
      </c>
      <c r="EJ92" s="47" t="n">
        <f aca="false">-$E86*EJ66</f>
        <v>0</v>
      </c>
      <c r="EK92" s="47" t="n">
        <f aca="false">-$E86*EK66</f>
        <v>0</v>
      </c>
      <c r="EL92" s="47" t="n">
        <f aca="false">-$E86*EL66</f>
        <v>0</v>
      </c>
      <c r="EM92" s="47" t="n">
        <f aca="false">-$E86*EM66</f>
        <v>0</v>
      </c>
      <c r="EN92" s="47" t="n">
        <f aca="false">-$E86*EN66</f>
        <v>0</v>
      </c>
      <c r="EO92" s="47" t="n">
        <f aca="false">-$E86*EO66</f>
        <v>0</v>
      </c>
    </row>
    <row r="93" customFormat="false" ht="15" hidden="false" customHeight="false" outlineLevel="0" collapsed="false">
      <c r="C93" s="0" t="s">
        <v>438</v>
      </c>
      <c r="D93" s="11" t="s">
        <v>33</v>
      </c>
      <c r="I93" s="47" t="n">
        <f aca="false">SUM(J93:EO93)</f>
        <v>2422.99726798894</v>
      </c>
      <c r="J93" s="47" t="n">
        <f aca="false">J91*$F21*(J$4&lt;=In_COD)</f>
        <v>0</v>
      </c>
      <c r="K93" s="47" t="n">
        <f aca="false">K91*$F21*(K$4&lt;=In_COD)</f>
        <v>0</v>
      </c>
      <c r="L93" s="47" t="n">
        <f aca="false">L91*$F21*(L$4&lt;=In_COD)</f>
        <v>0</v>
      </c>
      <c r="M93" s="47" t="n">
        <f aca="false">M91*$F21*(M$4&lt;=In_COD)</f>
        <v>0</v>
      </c>
      <c r="N93" s="47" t="n">
        <f aca="false">N91*$F21*(N$4&lt;=In_COD)</f>
        <v>0</v>
      </c>
      <c r="O93" s="47" t="n">
        <f aca="false">O91*$F21*(O$4&lt;=In_COD)</f>
        <v>0</v>
      </c>
      <c r="P93" s="47" t="n">
        <f aca="false">P91*$F21*(P$4&lt;=In_COD)</f>
        <v>0</v>
      </c>
      <c r="Q93" s="47" t="n">
        <f aca="false">Q91*$F21*(Q$4&lt;=In_COD)</f>
        <v>0</v>
      </c>
      <c r="R93" s="47" t="n">
        <f aca="false">R91*$F21*(R$4&lt;=In_COD)</f>
        <v>0</v>
      </c>
      <c r="S93" s="47" t="n">
        <f aca="false">S91*$F21*(S$4&lt;=In_COD)</f>
        <v>69.6007962328767</v>
      </c>
      <c r="T93" s="47" t="n">
        <f aca="false">T91*$F21*(T$4&lt;=In_COD)</f>
        <v>209.913244199486</v>
      </c>
      <c r="U93" s="47" t="n">
        <f aca="false">U91*$F21*(U$4&lt;=In_COD)</f>
        <v>281.381425591021</v>
      </c>
      <c r="V93" s="47" t="n">
        <f aca="false">V91*$F21*(V$4&lt;=In_COD)</f>
        <v>354.499489643786</v>
      </c>
      <c r="W93" s="47" t="n">
        <f aca="false">W91*$F21*(W$4&lt;=In_COD)</f>
        <v>428.53152949721</v>
      </c>
      <c r="X93" s="47" t="n">
        <f aca="false">X91*$F21*(X$4&lt;=In_COD)</f>
        <v>501.97590906113</v>
      </c>
      <c r="Y93" s="47" t="n">
        <f aca="false">Y91*$F21*(Y$4&lt;=In_COD)</f>
        <v>577.094873763435</v>
      </c>
      <c r="Z93" s="47" t="n">
        <f aca="false">Z91*$F21*(Z$4&lt;=In_COD)</f>
        <v>0</v>
      </c>
      <c r="AA93" s="47" t="n">
        <f aca="false">AA91*$F21*(AA$4&lt;=In_COD)</f>
        <v>0</v>
      </c>
      <c r="AB93" s="47" t="n">
        <f aca="false">AB91*$F21*(AB$4&lt;=In_COD)</f>
        <v>0</v>
      </c>
      <c r="AC93" s="47" t="n">
        <f aca="false">AC91*$F21*(AC$4&lt;=In_COD)</f>
        <v>0</v>
      </c>
      <c r="AD93" s="47" t="n">
        <f aca="false">AD91*$F21*(AD$4&lt;=In_COD)</f>
        <v>0</v>
      </c>
      <c r="AE93" s="47" t="n">
        <f aca="false">AE91*$F21*(AE$4&lt;=In_COD)</f>
        <v>0</v>
      </c>
      <c r="AF93" s="47" t="n">
        <f aca="false">AF91*$F21*(AF$4&lt;=In_COD)</f>
        <v>0</v>
      </c>
      <c r="AG93" s="47" t="n">
        <f aca="false">AG91*$F21*(AG$4&lt;=In_COD)</f>
        <v>0</v>
      </c>
      <c r="AH93" s="47" t="n">
        <f aca="false">AH91*$F21*(AH$4&lt;=In_COD)</f>
        <v>0</v>
      </c>
      <c r="AI93" s="47" t="n">
        <f aca="false">AI91*$F21*(AI$4&lt;=In_COD)</f>
        <v>0</v>
      </c>
      <c r="AJ93" s="47" t="n">
        <f aca="false">AJ91*$F21*(AJ$4&lt;=In_COD)</f>
        <v>0</v>
      </c>
      <c r="AK93" s="47" t="n">
        <f aca="false">AK91*$F21*(AK$4&lt;=In_COD)</f>
        <v>0</v>
      </c>
      <c r="AL93" s="47" t="n">
        <f aca="false">AL91*$F21*(AL$4&lt;=In_COD)</f>
        <v>0</v>
      </c>
      <c r="AM93" s="47" t="n">
        <f aca="false">AM91*$F21*(AM$4&lt;=In_COD)</f>
        <v>0</v>
      </c>
      <c r="AN93" s="47" t="n">
        <f aca="false">AN91*$F21*(AN$4&lt;=In_COD)</f>
        <v>0</v>
      </c>
      <c r="AO93" s="47" t="n">
        <f aca="false">AO91*$F21*(AO$4&lt;=In_COD)</f>
        <v>0</v>
      </c>
      <c r="AP93" s="47" t="n">
        <f aca="false">AP91*$F21*(AP$4&lt;=In_COD)</f>
        <v>0</v>
      </c>
      <c r="AQ93" s="47" t="n">
        <f aca="false">AQ91*$F21*(AQ$4&lt;=In_COD)</f>
        <v>0</v>
      </c>
      <c r="AR93" s="47" t="n">
        <f aca="false">AR91*$F21*(AR$4&lt;=In_COD)</f>
        <v>0</v>
      </c>
      <c r="AS93" s="47" t="n">
        <f aca="false">AS91*$F21*(AS$4&lt;=In_COD)</f>
        <v>0</v>
      </c>
      <c r="AT93" s="47" t="n">
        <f aca="false">AT91*$F21*(AT$4&lt;=In_COD)</f>
        <v>0</v>
      </c>
      <c r="AU93" s="47" t="n">
        <f aca="false">AU91*$F21*(AU$4&lt;=In_COD)</f>
        <v>0</v>
      </c>
      <c r="AV93" s="47" t="n">
        <f aca="false">AV91*$F21*(AV$4&lt;=In_COD)</f>
        <v>0</v>
      </c>
      <c r="AW93" s="47" t="n">
        <f aca="false">AW91*$F21*(AW$4&lt;=In_COD)</f>
        <v>0</v>
      </c>
      <c r="AX93" s="47" t="n">
        <f aca="false">AX91*$F21*(AX$4&lt;=In_COD)</f>
        <v>0</v>
      </c>
      <c r="AY93" s="47" t="n">
        <f aca="false">AY91*$F21*(AY$4&lt;=In_COD)</f>
        <v>0</v>
      </c>
      <c r="AZ93" s="47" t="n">
        <f aca="false">AZ91*$F21*(AZ$4&lt;=In_COD)</f>
        <v>0</v>
      </c>
      <c r="BA93" s="47" t="n">
        <f aca="false">BA91*$F21*(BA$4&lt;=In_COD)</f>
        <v>0</v>
      </c>
      <c r="BB93" s="47" t="n">
        <f aca="false">BB91*$F21*(BB$4&lt;=In_COD)</f>
        <v>0</v>
      </c>
      <c r="BC93" s="47" t="n">
        <f aca="false">BC91*$F21*(BC$4&lt;=In_COD)</f>
        <v>0</v>
      </c>
      <c r="BD93" s="47" t="n">
        <f aca="false">BD91*$F21*(BD$4&lt;=In_COD)</f>
        <v>0</v>
      </c>
      <c r="BE93" s="47" t="n">
        <f aca="false">BE91*$F21*(BE$4&lt;=In_COD)</f>
        <v>0</v>
      </c>
      <c r="BF93" s="47" t="n">
        <f aca="false">BF91*$F21*(BF$4&lt;=In_COD)</f>
        <v>0</v>
      </c>
      <c r="BG93" s="47" t="n">
        <f aca="false">BG91*$F21*(BG$4&lt;=In_COD)</f>
        <v>0</v>
      </c>
      <c r="BH93" s="47" t="n">
        <f aca="false">BH91*$F21*(BH$4&lt;=In_COD)</f>
        <v>0</v>
      </c>
      <c r="BI93" s="47" t="n">
        <f aca="false">BI91*$F21*(BI$4&lt;=In_COD)</f>
        <v>0</v>
      </c>
      <c r="BJ93" s="47" t="n">
        <f aca="false">BJ91*$F21*(BJ$4&lt;=In_COD)</f>
        <v>0</v>
      </c>
      <c r="BK93" s="47" t="n">
        <f aca="false">BK91*$F21*(BK$4&lt;=In_COD)</f>
        <v>0</v>
      </c>
      <c r="BL93" s="47" t="n">
        <f aca="false">BL91*$F21*(BL$4&lt;=In_COD)</f>
        <v>0</v>
      </c>
      <c r="BM93" s="47" t="n">
        <f aca="false">BM91*$F21*(BM$4&lt;=In_COD)</f>
        <v>0</v>
      </c>
      <c r="BN93" s="47" t="n">
        <f aca="false">BN91*$F21*(BN$4&lt;=In_COD)</f>
        <v>0</v>
      </c>
      <c r="BO93" s="47" t="n">
        <f aca="false">BO91*$F21*(BO$4&lt;=In_COD)</f>
        <v>0</v>
      </c>
      <c r="BP93" s="47" t="n">
        <f aca="false">BP91*$F21*(BP$4&lt;=In_COD)</f>
        <v>0</v>
      </c>
      <c r="BQ93" s="47" t="n">
        <f aca="false">BQ91*$F21*(BQ$4&lt;=In_COD)</f>
        <v>0</v>
      </c>
      <c r="BR93" s="47" t="n">
        <f aca="false">BR91*$F21*(BR$4&lt;=In_COD)</f>
        <v>0</v>
      </c>
      <c r="BS93" s="47" t="n">
        <f aca="false">BS91*$F21*(BS$4&lt;=In_COD)</f>
        <v>0</v>
      </c>
      <c r="BT93" s="47" t="n">
        <f aca="false">BT91*$F21*(BT$4&lt;=In_COD)</f>
        <v>0</v>
      </c>
      <c r="BU93" s="47" t="n">
        <f aca="false">BU91*$F21*(BU$4&lt;=In_COD)</f>
        <v>0</v>
      </c>
      <c r="BV93" s="47" t="n">
        <f aca="false">BV91*$F21*(BV$4&lt;=In_COD)</f>
        <v>0</v>
      </c>
      <c r="BW93" s="47" t="n">
        <f aca="false">BW91*$F21*(BW$4&lt;=In_COD)</f>
        <v>0</v>
      </c>
      <c r="BX93" s="47" t="n">
        <f aca="false">BX91*$F21*(BX$4&lt;=In_COD)</f>
        <v>0</v>
      </c>
      <c r="BY93" s="47" t="n">
        <f aca="false">BY91*$F21*(BY$4&lt;=In_COD)</f>
        <v>0</v>
      </c>
      <c r="BZ93" s="47" t="n">
        <f aca="false">BZ91*$F21*(BZ$4&lt;=In_COD)</f>
        <v>0</v>
      </c>
      <c r="CA93" s="47" t="n">
        <f aca="false">CA91*$F21*(CA$4&lt;=In_COD)</f>
        <v>0</v>
      </c>
      <c r="CB93" s="47" t="n">
        <f aca="false">CB91*$F21*(CB$4&lt;=In_COD)</f>
        <v>0</v>
      </c>
      <c r="CC93" s="47" t="n">
        <f aca="false">CC91*$F21*(CC$4&lt;=In_COD)</f>
        <v>0</v>
      </c>
      <c r="CD93" s="47" t="n">
        <f aca="false">CD91*$F21*(CD$4&lt;=In_COD)</f>
        <v>0</v>
      </c>
      <c r="CE93" s="47" t="n">
        <f aca="false">CE91*$F21*(CE$4&lt;=In_COD)</f>
        <v>0</v>
      </c>
      <c r="CF93" s="47" t="n">
        <f aca="false">CF91*$F21*(CF$4&lt;=In_COD)</f>
        <v>0</v>
      </c>
      <c r="CG93" s="47" t="n">
        <f aca="false">CG91*$F21*(CG$4&lt;=In_COD)</f>
        <v>0</v>
      </c>
      <c r="CH93" s="47" t="n">
        <f aca="false">CH91*$F21*(CH$4&lt;=In_COD)</f>
        <v>0</v>
      </c>
      <c r="CI93" s="47" t="n">
        <f aca="false">CI91*$F21*(CI$4&lt;=In_COD)</f>
        <v>0</v>
      </c>
      <c r="CJ93" s="47" t="n">
        <f aca="false">CJ91*$F21*(CJ$4&lt;=In_COD)</f>
        <v>0</v>
      </c>
      <c r="CK93" s="47" t="n">
        <f aca="false">CK91*$F21*(CK$4&lt;=In_COD)</f>
        <v>0</v>
      </c>
      <c r="CL93" s="47" t="n">
        <f aca="false">CL91*$F21*(CL$4&lt;=In_COD)</f>
        <v>0</v>
      </c>
      <c r="CM93" s="47" t="n">
        <f aca="false">CM91*$F21*(CM$4&lt;=In_COD)</f>
        <v>0</v>
      </c>
      <c r="CN93" s="47" t="n">
        <f aca="false">CN91*$F21*(CN$4&lt;=In_COD)</f>
        <v>0</v>
      </c>
      <c r="CO93" s="47" t="n">
        <f aca="false">CO91*$F21*(CO$4&lt;=In_COD)</f>
        <v>0</v>
      </c>
      <c r="CP93" s="47" t="n">
        <f aca="false">CP91*$F21*(CP$4&lt;=In_COD)</f>
        <v>0</v>
      </c>
      <c r="CQ93" s="47" t="n">
        <f aca="false">CQ91*$F21*(CQ$4&lt;=In_COD)</f>
        <v>0</v>
      </c>
      <c r="CR93" s="47" t="n">
        <f aca="false">CR91*$F21*(CR$4&lt;=In_COD)</f>
        <v>0</v>
      </c>
      <c r="CS93" s="47" t="n">
        <f aca="false">CS91*$F21*(CS$4&lt;=In_COD)</f>
        <v>0</v>
      </c>
      <c r="CT93" s="47" t="n">
        <f aca="false">CT91*$F21*(CT$4&lt;=In_COD)</f>
        <v>0</v>
      </c>
      <c r="CU93" s="47" t="n">
        <f aca="false">CU91*$F21*(CU$4&lt;=In_COD)</f>
        <v>0</v>
      </c>
      <c r="CV93" s="47" t="n">
        <f aca="false">CV91*$F21*(CV$4&lt;=In_COD)</f>
        <v>0</v>
      </c>
      <c r="CW93" s="47" t="n">
        <f aca="false">CW91*$F21*(CW$4&lt;=In_COD)</f>
        <v>0</v>
      </c>
      <c r="CX93" s="47" t="n">
        <f aca="false">CX91*$F21*(CX$4&lt;=In_COD)</f>
        <v>0</v>
      </c>
      <c r="CY93" s="47" t="n">
        <f aca="false">CY91*$F21*(CY$4&lt;=In_COD)</f>
        <v>0</v>
      </c>
      <c r="CZ93" s="47" t="n">
        <f aca="false">CZ91*$F21*(CZ$4&lt;=In_COD)</f>
        <v>0</v>
      </c>
      <c r="DA93" s="47" t="n">
        <f aca="false">DA91*$F21*(DA$4&lt;=In_COD)</f>
        <v>0</v>
      </c>
      <c r="DB93" s="47" t="n">
        <f aca="false">DB91*$F21*(DB$4&lt;=In_COD)</f>
        <v>0</v>
      </c>
      <c r="DC93" s="47" t="n">
        <f aca="false">DC91*$F21*(DC$4&lt;=In_COD)</f>
        <v>0</v>
      </c>
      <c r="DD93" s="47" t="n">
        <f aca="false">DD91*$F21*(DD$4&lt;=In_COD)</f>
        <v>0</v>
      </c>
      <c r="DE93" s="47" t="n">
        <f aca="false">DE91*$F21*(DE$4&lt;=In_COD)</f>
        <v>0</v>
      </c>
      <c r="DF93" s="47" t="n">
        <f aca="false">DF91*$F21*(DF$4&lt;=In_COD)</f>
        <v>0</v>
      </c>
      <c r="DG93" s="47" t="n">
        <f aca="false">DG91*$F21*(DG$4&lt;=In_COD)</f>
        <v>0</v>
      </c>
      <c r="DH93" s="47" t="n">
        <f aca="false">DH91*$F21*(DH$4&lt;=In_COD)</f>
        <v>0</v>
      </c>
      <c r="DI93" s="47" t="n">
        <f aca="false">DI91*$F21*(DI$4&lt;=In_COD)</f>
        <v>0</v>
      </c>
      <c r="DJ93" s="47" t="n">
        <f aca="false">DJ91*$F21*(DJ$4&lt;=In_COD)</f>
        <v>0</v>
      </c>
      <c r="DK93" s="47" t="n">
        <f aca="false">DK91*$F21*(DK$4&lt;=In_COD)</f>
        <v>0</v>
      </c>
      <c r="DL93" s="47" t="n">
        <f aca="false">DL91*$F21*(DL$4&lt;=In_COD)</f>
        <v>0</v>
      </c>
      <c r="DM93" s="47" t="n">
        <f aca="false">DM91*$F21*(DM$4&lt;=In_COD)</f>
        <v>0</v>
      </c>
      <c r="DN93" s="47" t="n">
        <f aca="false">DN91*$F21*(DN$4&lt;=In_COD)</f>
        <v>0</v>
      </c>
      <c r="DO93" s="47" t="n">
        <f aca="false">DO91*$F21*(DO$4&lt;=In_COD)</f>
        <v>0</v>
      </c>
      <c r="DP93" s="47" t="n">
        <f aca="false">DP91*$F21*(DP$4&lt;=In_COD)</f>
        <v>0</v>
      </c>
      <c r="DQ93" s="47" t="n">
        <f aca="false">DQ91*$F21*(DQ$4&lt;=In_COD)</f>
        <v>0</v>
      </c>
      <c r="DR93" s="47" t="n">
        <f aca="false">DR91*$F21*(DR$4&lt;=In_COD)</f>
        <v>0</v>
      </c>
      <c r="DS93" s="47" t="n">
        <f aca="false">DS91*$F21*(DS$4&lt;=In_COD)</f>
        <v>0</v>
      </c>
      <c r="DT93" s="47" t="n">
        <f aca="false">DT91*$F21*(DT$4&lt;=In_COD)</f>
        <v>0</v>
      </c>
      <c r="DU93" s="47" t="n">
        <f aca="false">DU91*$F21*(DU$4&lt;=In_COD)</f>
        <v>0</v>
      </c>
      <c r="DV93" s="47" t="n">
        <f aca="false">DV91*$F21*(DV$4&lt;=In_COD)</f>
        <v>0</v>
      </c>
      <c r="DW93" s="47" t="n">
        <f aca="false">DW91*$F21*(DW$4&lt;=In_COD)</f>
        <v>0</v>
      </c>
      <c r="DX93" s="47" t="n">
        <f aca="false">DX91*$F21*(DX$4&lt;=In_COD)</f>
        <v>0</v>
      </c>
      <c r="DY93" s="47" t="n">
        <f aca="false">DY91*$F21*(DY$4&lt;=In_COD)</f>
        <v>0</v>
      </c>
      <c r="DZ93" s="47" t="n">
        <f aca="false">DZ91*$F21*(DZ$4&lt;=In_COD)</f>
        <v>0</v>
      </c>
      <c r="EA93" s="47" t="n">
        <f aca="false">EA91*$F21*(EA$4&lt;=In_COD)</f>
        <v>0</v>
      </c>
      <c r="EB93" s="47" t="n">
        <f aca="false">EB91*$F21*(EB$4&lt;=In_COD)</f>
        <v>0</v>
      </c>
      <c r="EC93" s="47" t="n">
        <f aca="false">EC91*$F21*(EC$4&lt;=In_COD)</f>
        <v>0</v>
      </c>
      <c r="ED93" s="47" t="n">
        <f aca="false">ED91*$F21*(ED$4&lt;=In_COD)</f>
        <v>0</v>
      </c>
      <c r="EE93" s="47" t="n">
        <f aca="false">EE91*$F21*(EE$4&lt;=In_COD)</f>
        <v>0</v>
      </c>
      <c r="EF93" s="47" t="n">
        <f aca="false">EF91*$F21*(EF$4&lt;=In_COD)</f>
        <v>0</v>
      </c>
      <c r="EG93" s="47" t="n">
        <f aca="false">EG91*$F21*(EG$4&lt;=In_COD)</f>
        <v>0</v>
      </c>
      <c r="EH93" s="47" t="n">
        <f aca="false">EH91*$F21*(EH$4&lt;=In_COD)</f>
        <v>0</v>
      </c>
      <c r="EI93" s="47" t="n">
        <f aca="false">EI91*$F21*(EI$4&lt;=In_COD)</f>
        <v>0</v>
      </c>
      <c r="EJ93" s="47" t="n">
        <f aca="false">EJ91*$F21*(EJ$4&lt;=In_COD)</f>
        <v>0</v>
      </c>
      <c r="EK93" s="47" t="n">
        <f aca="false">EK91*$F21*(EK$4&lt;=In_COD)</f>
        <v>0</v>
      </c>
      <c r="EL93" s="47" t="n">
        <f aca="false">EL91*$F21*(EL$4&lt;=In_COD)</f>
        <v>0</v>
      </c>
      <c r="EM93" s="47" t="n">
        <f aca="false">EM91*$F21*(EM$4&lt;=In_COD)</f>
        <v>0</v>
      </c>
      <c r="EN93" s="47" t="n">
        <f aca="false">EN91*$F21*(EN$4&lt;=In_COD)</f>
        <v>0</v>
      </c>
      <c r="EO93" s="47" t="n">
        <f aca="false">EO91*$F21*(EO$4&lt;=In_COD)</f>
        <v>0</v>
      </c>
    </row>
    <row r="94" customFormat="false" ht="15" hidden="false" customHeight="false" outlineLevel="0" collapsed="false">
      <c r="C94" s="0" t="s">
        <v>439</v>
      </c>
      <c r="D94" s="11" t="s">
        <v>33</v>
      </c>
      <c r="I94" s="47" t="n">
        <f aca="false">SUM(J94:EO94)</f>
        <v>-54062.7484734681</v>
      </c>
      <c r="J94" s="47" t="n">
        <f aca="false">J90-J89</f>
        <v>0</v>
      </c>
      <c r="K94" s="47" t="n">
        <f aca="false">K90-K89</f>
        <v>0</v>
      </c>
      <c r="L94" s="47" t="n">
        <f aca="false">L90-L89</f>
        <v>0</v>
      </c>
      <c r="M94" s="47" t="n">
        <f aca="false">M90-M89</f>
        <v>0</v>
      </c>
      <c r="N94" s="47" t="n">
        <f aca="false">N90-N89</f>
        <v>0</v>
      </c>
      <c r="O94" s="47" t="n">
        <f aca="false">O90-O89</f>
        <v>0</v>
      </c>
      <c r="P94" s="47" t="n">
        <f aca="false">P90-P89</f>
        <v>0</v>
      </c>
      <c r="Q94" s="47" t="n">
        <f aca="false">Q90-Q89</f>
        <v>0</v>
      </c>
      <c r="R94" s="47" t="n">
        <f aca="false">R90-R89</f>
        <v>0</v>
      </c>
      <c r="S94" s="47" t="n">
        <f aca="false">S90-S89</f>
        <v>0</v>
      </c>
      <c r="T94" s="47" t="n">
        <f aca="false">T90-T89</f>
        <v>0</v>
      </c>
      <c r="U94" s="47" t="n">
        <f aca="false">U90-U89</f>
        <v>0</v>
      </c>
      <c r="V94" s="47" t="n">
        <f aca="false">V90-V89</f>
        <v>0</v>
      </c>
      <c r="W94" s="47" t="n">
        <f aca="false">W90-W89</f>
        <v>0</v>
      </c>
      <c r="X94" s="47" t="n">
        <f aca="false">X90-X89</f>
        <v>0</v>
      </c>
      <c r="Y94" s="47" t="n">
        <f aca="false">Y90-Y89</f>
        <v>0</v>
      </c>
      <c r="Z94" s="47" t="n">
        <f aca="false">Z90-Z89</f>
        <v>-459.687746899578</v>
      </c>
      <c r="AA94" s="47" t="n">
        <f aca="false">AA90-AA89</f>
        <v>-448.117249211818</v>
      </c>
      <c r="AB94" s="47" t="n">
        <f aca="false">AB90-AB89</f>
        <v>-465.837993636453</v>
      </c>
      <c r="AC94" s="47" t="n">
        <f aca="false">AC90-AC89</f>
        <v>-483.775074455892</v>
      </c>
      <c r="AD94" s="47" t="n">
        <f aca="false">AD90-AD89</f>
        <v>-485.707414662183</v>
      </c>
      <c r="AE94" s="47" t="n">
        <f aca="false">AE90-AE89</f>
        <v>-486.597564297513</v>
      </c>
      <c r="AF94" s="47" t="n">
        <f aca="false">AF90-AF89</f>
        <v>-492.537989838262</v>
      </c>
      <c r="AG94" s="47" t="n">
        <f aca="false">AG90-AG89</f>
        <v>-510.836598552084</v>
      </c>
      <c r="AH94" s="47" t="n">
        <f aca="false">AH90-AH89</f>
        <v>-507.934497718662</v>
      </c>
      <c r="AI94" s="47" t="n">
        <f aca="false">AI90-AI89</f>
        <v>-488.765251852387</v>
      </c>
      <c r="AJ94" s="47" t="n">
        <f aca="false">AJ90-AJ89</f>
        <v>-522.261116691313</v>
      </c>
      <c r="AK94" s="47" t="n">
        <f aca="false">AK90-AK89</f>
        <v>-540.670510425104</v>
      </c>
      <c r="AL94" s="47" t="n">
        <f aca="false">AL90-AL89</f>
        <v>-543.278750107332</v>
      </c>
      <c r="AM94" s="47" t="n">
        <f aca="false">AM90-AM89</f>
        <v>-532.075426794967</v>
      </c>
      <c r="AN94" s="47" t="n">
        <f aca="false">AN90-AN89</f>
        <v>-550.633552516044</v>
      </c>
      <c r="AO94" s="47" t="n">
        <f aca="false">AO90-AO89</f>
        <v>-569.412820103144</v>
      </c>
      <c r="AP94" s="47" t="n">
        <f aca="false">AP90-AP89</f>
        <v>-572.33939180935</v>
      </c>
      <c r="AQ94" s="47" t="n">
        <f aca="false">AQ90-AQ89</f>
        <v>-561.342697636612</v>
      </c>
      <c r="AR94" s="47" t="n">
        <f aca="false">AR90-AR89</f>
        <v>-580.280246188094</v>
      </c>
      <c r="AS94" s="47" t="n">
        <f aca="false">AS90-AS89</f>
        <v>-599.443457874288</v>
      </c>
      <c r="AT94" s="47" t="n">
        <f aca="false">AT90-AT89</f>
        <v>-602.703636163596</v>
      </c>
      <c r="AU94" s="47" t="n">
        <f aca="false">AU90-AU89</f>
        <v>-604.205838259759</v>
      </c>
      <c r="AV94" s="47" t="n">
        <f aca="false">AV90-AV89</f>
        <v>-611.405660512465</v>
      </c>
      <c r="AW94" s="47" t="n">
        <f aca="false">AW90-AW89</f>
        <v>-630.969283198333</v>
      </c>
      <c r="AX94" s="47" t="n">
        <f aca="false">AX90-AX89</f>
        <v>-634.580808955564</v>
      </c>
      <c r="AY94" s="47" t="n">
        <f aca="false">AY90-AY89</f>
        <v>-624.042633561463</v>
      </c>
      <c r="AZ94" s="47" t="n">
        <f aca="false">AZ90-AZ89</f>
        <v>-643.785161143385</v>
      </c>
      <c r="BA94" s="47" t="n">
        <f aca="false">BA90-BA89</f>
        <v>-663.762944130681</v>
      </c>
      <c r="BB94" s="47" t="n">
        <f aca="false">BB90-BB89</f>
        <v>-667.740850478665</v>
      </c>
      <c r="BC94" s="47" t="n">
        <f aca="false">BC90-BC89</f>
        <v>-657.454283405025</v>
      </c>
      <c r="BD94" s="47" t="n">
        <f aca="false">BD90-BD89</f>
        <v>-677.62203404877</v>
      </c>
      <c r="BE94" s="47" t="n">
        <f aca="false">BE90-BE89</f>
        <v>-698.030107130132</v>
      </c>
      <c r="BF94" s="47" t="n">
        <f aca="false">BF90-BF89</f>
        <v>-702.391879405088</v>
      </c>
      <c r="BG94" s="47" t="n">
        <f aca="false">BG90-BG89</f>
        <v>-692.373362745878</v>
      </c>
      <c r="BH94" s="47" t="n">
        <f aca="false">BH90-BH89</f>
        <v>-712.983019723985</v>
      </c>
      <c r="BI94" s="47" t="n">
        <f aca="false">BI90-BI89</f>
        <v>-733.838264972738</v>
      </c>
      <c r="BJ94" s="47" t="n">
        <f aca="false">BJ90-BJ89</f>
        <v>-738.60219427633</v>
      </c>
      <c r="BK94" s="47" t="n">
        <f aca="false">BK90-BK89</f>
        <v>-741.252661985336</v>
      </c>
      <c r="BL94" s="47" t="n">
        <f aca="false">BL90-BL89</f>
        <v>-750.085558115599</v>
      </c>
      <c r="BM94" s="47" t="n">
        <f aca="false">BM90-BM89</f>
        <v>-771.407404508509</v>
      </c>
      <c r="BN94" s="47" t="n">
        <f aca="false">BN90-BN89</f>
        <v>-776.594404908978</v>
      </c>
      <c r="BO94" s="47" t="n">
        <f aca="false">BO90-BO89</f>
        <v>-767.166337544604</v>
      </c>
      <c r="BP94" s="47" t="n">
        <f aca="false">BP90-BP89</f>
        <v>-788.714833321437</v>
      </c>
      <c r="BQ94" s="47" t="n">
        <f aca="false">BQ90-BQ89</f>
        <v>-810.520104735946</v>
      </c>
      <c r="BR94" s="47" t="n">
        <f aca="false">BR90-BR89</f>
        <v>-816.14850109626</v>
      </c>
      <c r="BS94" s="47" t="n">
        <f aca="false">BS90-BS89</f>
        <v>-807.042826724197</v>
      </c>
      <c r="BT94" s="47" t="n">
        <f aca="false">BT90-BT89</f>
        <v>-829.088194045867</v>
      </c>
      <c r="BU94" s="47" t="n">
        <f aca="false">BU90-BU89</f>
        <v>-851.396257813287</v>
      </c>
      <c r="BV94" s="47" t="n">
        <f aca="false">BV90-BV89</f>
        <v>-857.486996948972</v>
      </c>
      <c r="BW94" s="47" t="n">
        <f aca="false">BW90-BW89</f>
        <v>-848.723580268875</v>
      </c>
      <c r="BX94" s="47" t="n">
        <f aca="false">BX90-BX89</f>
        <v>-871.285855831588</v>
      </c>
      <c r="BY94" s="47" t="n">
        <f aca="false">BY90-BY89</f>
        <v>-894.116987408894</v>
      </c>
      <c r="BZ94" s="47" t="n">
        <f aca="false">BZ90-BZ89</f>
        <v>-900.691984557778</v>
      </c>
      <c r="CA94" s="47" t="n">
        <f aca="false">CA90-CA89</f>
        <v>-904.759107270138</v>
      </c>
      <c r="CB94" s="47" t="n">
        <f aca="false">CB90-CB89</f>
        <v>-915.540374747848</v>
      </c>
      <c r="CC94" s="47" t="n">
        <f aca="false">CC90-CC89</f>
        <v>-938.917571777938</v>
      </c>
      <c r="CD94" s="47" t="n">
        <f aca="false">CD90-CD89</f>
        <v>-946.001547593868</v>
      </c>
      <c r="CE94" s="47" t="n">
        <f aca="false">CE90-CE89</f>
        <v>-937.987934510365</v>
      </c>
      <c r="CF94" s="47" t="n">
        <f aca="false">CF90-CF89</f>
        <v>-961.649778954934</v>
      </c>
      <c r="CG94" s="47" t="n">
        <f aca="false">CG90-CG89</f>
        <v>-985.593582068858</v>
      </c>
      <c r="CH94" s="47" t="n">
        <f aca="false">CH90-CH89</f>
        <v>-993.20882305729</v>
      </c>
      <c r="CI94" s="47" t="n">
        <f aca="false">CI90-CI89</f>
        <v>-985.603088186765</v>
      </c>
      <c r="CJ94" s="47" t="n">
        <f aca="false">CJ90-CJ89</f>
        <v>-1009.84786738326</v>
      </c>
      <c r="CK94" s="47" t="n">
        <f aca="false">CK90-CK89</f>
        <v>-1034.38155160139</v>
      </c>
      <c r="CL94" s="47" t="n">
        <f aca="false">CL90-CL89</f>
        <v>-1042.55316476537</v>
      </c>
      <c r="CM94" s="47" t="n">
        <f aca="false">CM90-CM89</f>
        <v>-1035.37929578222</v>
      </c>
      <c r="CN94" s="47" t="n">
        <f aca="false">CN90-CN89</f>
        <v>-1060.23109416916</v>
      </c>
      <c r="CO94" s="47" t="n">
        <f aca="false">CO90-CO89</f>
        <v>-1085.37903092438</v>
      </c>
      <c r="CP94" s="47" t="n">
        <f aca="false">CP90-CP89</f>
        <v>-1094.13328768689</v>
      </c>
      <c r="CQ94" s="47" t="n">
        <f aca="false">CQ90-CQ89</f>
        <v>-1099.94262150532</v>
      </c>
      <c r="CR94" s="47" t="n">
        <f aca="false">CR90-CR89</f>
        <v>-1113.04972981435</v>
      </c>
      <c r="CS94" s="47" t="n">
        <f aca="false">CS90-CS89</f>
        <v>-1138.83921846881</v>
      </c>
      <c r="CT94" s="47" t="n">
        <f aca="false">CT90-CT89</f>
        <v>2.48121523327427E-012</v>
      </c>
      <c r="CU94" s="47" t="n">
        <f aca="false">CU90-CU89</f>
        <v>2.5122304236902E-012</v>
      </c>
      <c r="CV94" s="47" t="n">
        <f aca="false">CV90-CV89</f>
        <v>2.54363330398633E-012</v>
      </c>
      <c r="CW94" s="47" t="n">
        <f aca="false">CW90-CW89</f>
        <v>2.57542872028616E-012</v>
      </c>
      <c r="CX94" s="47" t="n">
        <f aca="false">CX90-CX89</f>
        <v>2.60762157928973E-012</v>
      </c>
      <c r="CY94" s="47" t="n">
        <f aca="false">CY90-CY89</f>
        <v>2.64021684903085E-012</v>
      </c>
      <c r="CZ94" s="47" t="n">
        <f aca="false">CZ90-CZ89</f>
        <v>2.67321955964374E-012</v>
      </c>
      <c r="DA94" s="47" t="n">
        <f aca="false">DA90-DA89</f>
        <v>2.70663480413929E-012</v>
      </c>
      <c r="DB94" s="47" t="n">
        <f aca="false">DB90-DB89</f>
        <v>2.74046773919103E-012</v>
      </c>
      <c r="DC94" s="47" t="n">
        <f aca="false">DC90-DC89</f>
        <v>2.77472358593092E-012</v>
      </c>
      <c r="DD94" s="47" t="n">
        <f aca="false">DD90-DD89</f>
        <v>2.80940763075505E-012</v>
      </c>
      <c r="DE94" s="47" t="n">
        <f aca="false">DE90-DE89</f>
        <v>2.84452522613949E-012</v>
      </c>
      <c r="DF94" s="47" t="n">
        <f aca="false">DF90-DF89</f>
        <v>2.88008179146623E-012</v>
      </c>
      <c r="DG94" s="47" t="n">
        <f aca="false">DG90-DG89</f>
        <v>2.91608281385956E-012</v>
      </c>
      <c r="DH94" s="47" t="n">
        <f aca="false">DH90-DH89</f>
        <v>2.95253384903281E-012</v>
      </c>
      <c r="DI94" s="47" t="n">
        <f aca="false">DI90-DI89</f>
        <v>2.98944052214572E-012</v>
      </c>
      <c r="DJ94" s="47" t="n">
        <f aca="false">DJ90-DJ89</f>
        <v>3.02680852867254E-012</v>
      </c>
      <c r="DK94" s="47" t="n">
        <f aca="false">DK90-DK89</f>
        <v>3.06464363528094E-012</v>
      </c>
      <c r="DL94" s="47" t="n">
        <f aca="false">DL90-DL89</f>
        <v>3.10295168072196E-012</v>
      </c>
      <c r="DM94" s="47" t="n">
        <f aca="false">DM90-DM89</f>
        <v>3.14173857673098E-012</v>
      </c>
      <c r="DN94" s="47" t="n">
        <f aca="false">DN90-DN89</f>
        <v>3.18101030894012E-012</v>
      </c>
      <c r="DO94" s="47" t="n">
        <f aca="false">DO90-DO89</f>
        <v>3.22077293780187E-012</v>
      </c>
      <c r="DP94" s="47" t="n">
        <f aca="false">DP90-DP89</f>
        <v>3.26103259952439E-012</v>
      </c>
      <c r="DQ94" s="47" t="n">
        <f aca="false">DQ90-DQ89</f>
        <v>3.30179550701845E-012</v>
      </c>
      <c r="DR94" s="47" t="n">
        <f aca="false">DR90-DR89</f>
        <v>3.34306795085618E-012</v>
      </c>
      <c r="DS94" s="47" t="n">
        <f aca="false">DS90-DS89</f>
        <v>3.38485630024188E-012</v>
      </c>
      <c r="DT94" s="47" t="n">
        <f aca="false">DT90-DT89</f>
        <v>3.4271670039949E-012</v>
      </c>
      <c r="DU94" s="47" t="n">
        <f aca="false">DU90-DU89</f>
        <v>3.47000659154484E-012</v>
      </c>
      <c r="DV94" s="47" t="n">
        <f aca="false">DV90-DV89</f>
        <v>3.51338167393915E-012</v>
      </c>
      <c r="DW94" s="47" t="n">
        <f aca="false">DW90-DW89</f>
        <v>3.55729894486339E-012</v>
      </c>
      <c r="DX94" s="47" t="n">
        <f aca="false">DX90-DX89</f>
        <v>3.60176518167418E-012</v>
      </c>
      <c r="DY94" s="47" t="n">
        <f aca="false">DY90-DY89</f>
        <v>3.64678724644511E-012</v>
      </c>
      <c r="DZ94" s="47" t="n">
        <f aca="false">DZ90-DZ89</f>
        <v>3.69237208702567E-012</v>
      </c>
      <c r="EA94" s="47" t="n">
        <f aca="false">EA90-EA89</f>
        <v>3.73852673811349E-012</v>
      </c>
      <c r="EB94" s="47" t="n">
        <f aca="false">EB90-EB89</f>
        <v>3.78525832233991E-012</v>
      </c>
      <c r="EC94" s="47" t="n">
        <f aca="false">EC90-EC89</f>
        <v>3.83257405136916E-012</v>
      </c>
      <c r="ED94" s="47" t="n">
        <f aca="false">ED90-ED89</f>
        <v>3.88048122701128E-012</v>
      </c>
      <c r="EE94" s="47" t="n">
        <f aca="false">EE90-EE89</f>
        <v>3.92898724234892E-012</v>
      </c>
      <c r="EF94" s="47" t="n">
        <f aca="false">EF90-EF89</f>
        <v>3.97809958287828E-012</v>
      </c>
      <c r="EG94" s="47" t="n">
        <f aca="false">EG90-EG89</f>
        <v>4.02782582766426E-012</v>
      </c>
      <c r="EH94" s="47" t="n">
        <f aca="false">EH90-EH89</f>
        <v>4.07817365051006E-012</v>
      </c>
      <c r="EI94" s="47" t="n">
        <f aca="false">EI90-EI89</f>
        <v>4.12915082114144E-012</v>
      </c>
      <c r="EJ94" s="47" t="n">
        <f aca="false">EJ90-EJ89</f>
        <v>4.1807652064057E-012</v>
      </c>
      <c r="EK94" s="47" t="n">
        <f aca="false">EK90-EK89</f>
        <v>4.23302477148577E-012</v>
      </c>
      <c r="EL94" s="47" t="n">
        <f aca="false">EL90-EL89</f>
        <v>4.28593758112935E-012</v>
      </c>
      <c r="EM94" s="47" t="n">
        <f aca="false">EM90-EM89</f>
        <v>4.33951180089346E-012</v>
      </c>
      <c r="EN94" s="47" t="n">
        <f aca="false">EN90-EN89</f>
        <v>4.39375569840463E-012</v>
      </c>
      <c r="EO94" s="47" t="n">
        <f aca="false">EO90-EO89</f>
        <v>4.44867764463469E-012</v>
      </c>
    </row>
    <row r="95" customFormat="false" ht="15" hidden="false" customHeight="false" outlineLevel="0" collapsed="false">
      <c r="C95" s="25" t="s">
        <v>440</v>
      </c>
      <c r="D95" s="11" t="s">
        <v>33</v>
      </c>
      <c r="E95" s="56" t="n">
        <f aca="false">SUMIF($J$4:$EO$4,In_COD,$J95:$EO95)</f>
        <v>54062.7484734684</v>
      </c>
      <c r="I95" s="58"/>
      <c r="J95" s="56" t="n">
        <f aca="false">SUM(J91:J94)</f>
        <v>0</v>
      </c>
      <c r="K95" s="56" t="n">
        <f aca="false">SUM(K91:K94)</f>
        <v>0</v>
      </c>
      <c r="L95" s="56" t="n">
        <f aca="false">SUM(L91:L94)</f>
        <v>0</v>
      </c>
      <c r="M95" s="56" t="n">
        <f aca="false">SUM(M91:M94)</f>
        <v>0</v>
      </c>
      <c r="N95" s="56" t="n">
        <f aca="false">SUM(N91:N94)</f>
        <v>0</v>
      </c>
      <c r="O95" s="56" t="n">
        <f aca="false">SUM(O91:O94)</f>
        <v>0</v>
      </c>
      <c r="P95" s="56" t="n">
        <f aca="false">SUM(P91:P94)</f>
        <v>0</v>
      </c>
      <c r="Q95" s="56" t="n">
        <f aca="false">SUM(Q91:Q94)</f>
        <v>0</v>
      </c>
      <c r="R95" s="56" t="n">
        <f aca="false">SUM(R91:R94)</f>
        <v>5568.06369863014</v>
      </c>
      <c r="S95" s="56" t="n">
        <f aca="false">SUM(S91:S94)</f>
        <v>16793.0595359589</v>
      </c>
      <c r="T95" s="56" t="n">
        <f aca="false">SUM(T91:T94)</f>
        <v>22510.5140472817</v>
      </c>
      <c r="U95" s="56" t="n">
        <f aca="false">SUM(U91:U94)</f>
        <v>28359.9591715028</v>
      </c>
      <c r="V95" s="56" t="n">
        <f aca="false">SUM(V91:V94)</f>
        <v>34282.5223597768</v>
      </c>
      <c r="W95" s="56" t="n">
        <f aca="false">SUM(W91:W94)</f>
        <v>40158.0727248904</v>
      </c>
      <c r="X95" s="56" t="n">
        <f aca="false">SUM(X91:X94)</f>
        <v>46167.5899010748</v>
      </c>
      <c r="Y95" s="56" t="n">
        <f aca="false">SUM(Y91:Y94)</f>
        <v>54062.7484734684</v>
      </c>
      <c r="Z95" s="56" t="n">
        <f aca="false">SUM(Z91:Z94)</f>
        <v>53603.0607265688</v>
      </c>
      <c r="AA95" s="56" t="n">
        <f aca="false">SUM(AA91:AA94)</f>
        <v>53154.943477357</v>
      </c>
      <c r="AB95" s="56" t="n">
        <f aca="false">SUM(AB91:AB94)</f>
        <v>52689.1054837206</v>
      </c>
      <c r="AC95" s="56" t="n">
        <f aca="false">SUM(AC91:AC94)</f>
        <v>52205.3304092647</v>
      </c>
      <c r="AD95" s="56" t="n">
        <f aca="false">SUM(AD91:AD94)</f>
        <v>51719.6229946025</v>
      </c>
      <c r="AE95" s="56" t="n">
        <f aca="false">SUM(AE91:AE94)</f>
        <v>51233.025430305</v>
      </c>
      <c r="AF95" s="56" t="n">
        <f aca="false">SUM(AF91:AF94)</f>
        <v>50740.4874404667</v>
      </c>
      <c r="AG95" s="56" t="n">
        <f aca="false">SUM(AG91:AG94)</f>
        <v>50229.6508419146</v>
      </c>
      <c r="AH95" s="56" t="n">
        <f aca="false">SUM(AH91:AH94)</f>
        <v>49721.716344196</v>
      </c>
      <c r="AI95" s="56" t="n">
        <f aca="false">SUM(AI91:AI94)</f>
        <v>49232.9510923436</v>
      </c>
      <c r="AJ95" s="56" t="n">
        <f aca="false">SUM(AJ91:AJ94)</f>
        <v>48710.6899756523</v>
      </c>
      <c r="AK95" s="56" t="n">
        <f aca="false">SUM(AK91:AK94)</f>
        <v>48170.0194652272</v>
      </c>
      <c r="AL95" s="56" t="n">
        <f aca="false">SUM(AL91:AL94)</f>
        <v>47626.7407151198</v>
      </c>
      <c r="AM95" s="56" t="n">
        <f aca="false">SUM(AM91:AM94)</f>
        <v>47094.6652883249</v>
      </c>
      <c r="AN95" s="56" t="n">
        <f aca="false">SUM(AN91:AN94)</f>
        <v>46544.0317358088</v>
      </c>
      <c r="AO95" s="56" t="n">
        <f aca="false">SUM(AO91:AO94)</f>
        <v>45974.6189157057</v>
      </c>
      <c r="AP95" s="56" t="n">
        <f aca="false">SUM(AP91:AP94)</f>
        <v>45402.2795238963</v>
      </c>
      <c r="AQ95" s="56" t="n">
        <f aca="false">SUM(AQ91:AQ94)</f>
        <v>44840.9368262597</v>
      </c>
      <c r="AR95" s="56" t="n">
        <f aca="false">SUM(AR91:AR94)</f>
        <v>44260.6565800716</v>
      </c>
      <c r="AS95" s="56" t="n">
        <f aca="false">SUM(AS91:AS94)</f>
        <v>43661.2131221973</v>
      </c>
      <c r="AT95" s="56" t="n">
        <f aca="false">SUM(AT91:AT94)</f>
        <v>43058.5094860337</v>
      </c>
      <c r="AU95" s="56" t="n">
        <f aca="false">SUM(AU91:AU94)</f>
        <v>42454.303647774</v>
      </c>
      <c r="AV95" s="56" t="n">
        <f aca="false">SUM(AV91:AV94)</f>
        <v>41842.8979872615</v>
      </c>
      <c r="AW95" s="56" t="n">
        <f aca="false">SUM(AW91:AW94)</f>
        <v>41211.9287040632</v>
      </c>
      <c r="AX95" s="56" t="n">
        <f aca="false">SUM(AX91:AX94)</f>
        <v>40577.3478951076</v>
      </c>
      <c r="AY95" s="56" t="n">
        <f aca="false">SUM(AY91:AY94)</f>
        <v>39953.3052615461</v>
      </c>
      <c r="AZ95" s="56" t="n">
        <f aca="false">SUM(AZ91:AZ94)</f>
        <v>39309.5201004028</v>
      </c>
      <c r="BA95" s="56" t="n">
        <f aca="false">SUM(BA91:BA94)</f>
        <v>38645.7571562721</v>
      </c>
      <c r="BB95" s="56" t="n">
        <f aca="false">SUM(BB91:BB94)</f>
        <v>37978.0163057934</v>
      </c>
      <c r="BC95" s="56" t="n">
        <f aca="false">SUM(BC91:BC94)</f>
        <v>37320.5620223884</v>
      </c>
      <c r="BD95" s="56" t="n">
        <f aca="false">SUM(BD91:BD94)</f>
        <v>36642.9399883396</v>
      </c>
      <c r="BE95" s="56" t="n">
        <f aca="false">SUM(BE91:BE94)</f>
        <v>35944.9098812095</v>
      </c>
      <c r="BF95" s="56" t="n">
        <f aca="false">SUM(BF91:BF94)</f>
        <v>35242.5180018044</v>
      </c>
      <c r="BG95" s="56" t="n">
        <f aca="false">SUM(BG91:BG94)</f>
        <v>34550.1446390585</v>
      </c>
      <c r="BH95" s="56" t="n">
        <f aca="false">SUM(BH91:BH94)</f>
        <v>33837.1616193345</v>
      </c>
      <c r="BI95" s="56" t="n">
        <f aca="false">SUM(BI91:BI94)</f>
        <v>33103.3233543618</v>
      </c>
      <c r="BJ95" s="56" t="n">
        <f aca="false">SUM(BJ91:BJ94)</f>
        <v>32364.7211600855</v>
      </c>
      <c r="BK95" s="56" t="n">
        <f aca="false">SUM(BK91:BK94)</f>
        <v>31623.4684981001</v>
      </c>
      <c r="BL95" s="56" t="n">
        <f aca="false">SUM(BL91:BL94)</f>
        <v>30873.3829399845</v>
      </c>
      <c r="BM95" s="56" t="n">
        <f aca="false">SUM(BM91:BM94)</f>
        <v>30101.975535476</v>
      </c>
      <c r="BN95" s="56" t="n">
        <f aca="false">SUM(BN91:BN94)</f>
        <v>29325.3811305671</v>
      </c>
      <c r="BO95" s="56" t="n">
        <f aca="false">SUM(BO91:BO94)</f>
        <v>28558.2147930225</v>
      </c>
      <c r="BP95" s="56" t="n">
        <f aca="false">SUM(BP91:BP94)</f>
        <v>27769.499959701</v>
      </c>
      <c r="BQ95" s="56" t="n">
        <f aca="false">SUM(BQ91:BQ94)</f>
        <v>26958.9798549651</v>
      </c>
      <c r="BR95" s="56" t="n">
        <f aca="false">SUM(BR91:BR94)</f>
        <v>26142.8313538688</v>
      </c>
      <c r="BS95" s="56" t="n">
        <f aca="false">SUM(BS91:BS94)</f>
        <v>25335.7885271446</v>
      </c>
      <c r="BT95" s="56" t="n">
        <f aca="false">SUM(BT91:BT94)</f>
        <v>24506.7003330987</v>
      </c>
      <c r="BU95" s="56" t="n">
        <f aca="false">SUM(BU91:BU94)</f>
        <v>23655.3040752855</v>
      </c>
      <c r="BV95" s="56" t="n">
        <f aca="false">SUM(BV91:BV94)</f>
        <v>22797.8170783365</v>
      </c>
      <c r="BW95" s="56" t="n">
        <f aca="false">SUM(BW91:BW94)</f>
        <v>21949.0934980676</v>
      </c>
      <c r="BX95" s="56" t="n">
        <f aca="false">SUM(BX91:BX94)</f>
        <v>21077.807642236</v>
      </c>
      <c r="BY95" s="56" t="n">
        <f aca="false">SUM(BY91:BY94)</f>
        <v>20183.6906548271</v>
      </c>
      <c r="BZ95" s="56" t="n">
        <f aca="false">SUM(BZ91:BZ94)</f>
        <v>19282.9986702693</v>
      </c>
      <c r="CA95" s="56" t="n">
        <f aca="false">SUM(CA91:CA94)</f>
        <v>18378.2395629992</v>
      </c>
      <c r="CB95" s="56" t="n">
        <f aca="false">SUM(CB91:CB94)</f>
        <v>17462.6991882514</v>
      </c>
      <c r="CC95" s="56" t="n">
        <f aca="false">SUM(CC91:CC94)</f>
        <v>16523.7816164734</v>
      </c>
      <c r="CD95" s="56" t="n">
        <f aca="false">SUM(CD91:CD94)</f>
        <v>15577.7800688796</v>
      </c>
      <c r="CE95" s="56" t="n">
        <f aca="false">SUM(CE91:CE94)</f>
        <v>14639.7921343692</v>
      </c>
      <c r="CF95" s="56" t="n">
        <f aca="false">SUM(CF91:CF94)</f>
        <v>13678.1423554143</v>
      </c>
      <c r="CG95" s="56" t="n">
        <f aca="false">SUM(CG91:CG94)</f>
        <v>12692.5487733454</v>
      </c>
      <c r="CH95" s="56" t="n">
        <f aca="false">SUM(CH91:CH94)</f>
        <v>11699.3399502881</v>
      </c>
      <c r="CI95" s="56" t="n">
        <f aca="false">SUM(CI91:CI94)</f>
        <v>10713.7368621013</v>
      </c>
      <c r="CJ95" s="56" t="n">
        <f aca="false">SUM(CJ91:CJ94)</f>
        <v>9703.88899471808</v>
      </c>
      <c r="CK95" s="56" t="n">
        <f aca="false">SUM(CK91:CK94)</f>
        <v>8669.50744311669</v>
      </c>
      <c r="CL95" s="56" t="n">
        <f aca="false">SUM(CL91:CL94)</f>
        <v>7626.95427835132</v>
      </c>
      <c r="CM95" s="56" t="n">
        <f aca="false">SUM(CM91:CM94)</f>
        <v>6591.5749825691</v>
      </c>
      <c r="CN95" s="56" t="n">
        <f aca="false">SUM(CN91:CN94)</f>
        <v>5531.34388839994</v>
      </c>
      <c r="CO95" s="56" t="n">
        <f aca="false">SUM(CO91:CO94)</f>
        <v>4445.96485747556</v>
      </c>
      <c r="CP95" s="56" t="n">
        <f aca="false">SUM(CP91:CP94)</f>
        <v>3351.83156978867</v>
      </c>
      <c r="CQ95" s="56" t="n">
        <f aca="false">SUM(CQ91:CQ94)</f>
        <v>2251.88894828336</v>
      </c>
      <c r="CR95" s="56" t="n">
        <f aca="false">SUM(CR91:CR94)</f>
        <v>1138.83921846901</v>
      </c>
      <c r="CS95" s="56" t="n">
        <f aca="false">SUM(CS91:CS94)</f>
        <v>1.98497218661942E-010</v>
      </c>
      <c r="CT95" s="56" t="n">
        <f aca="false">SUM(CT91:CT94)</f>
        <v>2.00978433895216E-010</v>
      </c>
      <c r="CU95" s="56" t="n">
        <f aca="false">SUM(CU91:CU94)</f>
        <v>2.03490664318906E-010</v>
      </c>
      <c r="CV95" s="56" t="n">
        <f aca="false">SUM(CV91:CV94)</f>
        <v>2.06034297622892E-010</v>
      </c>
      <c r="CW95" s="56" t="n">
        <f aca="false">SUM(CW91:CW94)</f>
        <v>2.08609726343179E-010</v>
      </c>
      <c r="CX95" s="56" t="n">
        <f aca="false">SUM(CX91:CX94)</f>
        <v>2.11217347922468E-010</v>
      </c>
      <c r="CY95" s="56" t="n">
        <f aca="false">SUM(CY91:CY94)</f>
        <v>2.13857564771499E-010</v>
      </c>
      <c r="CZ95" s="56" t="n">
        <f aca="false">SUM(CZ91:CZ94)</f>
        <v>2.16530784331143E-010</v>
      </c>
      <c r="DA95" s="56" t="n">
        <f aca="false">SUM(DA91:DA94)</f>
        <v>2.19237419135282E-010</v>
      </c>
      <c r="DB95" s="56" t="n">
        <f aca="false">SUM(DB91:DB94)</f>
        <v>2.21977886874473E-010</v>
      </c>
      <c r="DC95" s="56" t="n">
        <f aca="false">SUM(DC91:DC94)</f>
        <v>2.24752610460404E-010</v>
      </c>
      <c r="DD95" s="56" t="n">
        <f aca="false">SUM(DD91:DD94)</f>
        <v>2.27562018091159E-010</v>
      </c>
      <c r="DE95" s="56" t="n">
        <f aca="false">SUM(DE91:DE94)</f>
        <v>2.30406543317299E-010</v>
      </c>
      <c r="DF95" s="56" t="n">
        <f aca="false">SUM(DF91:DF94)</f>
        <v>2.33286625108765E-010</v>
      </c>
      <c r="DG95" s="56" t="n">
        <f aca="false">SUM(DG91:DG94)</f>
        <v>2.36202707922624E-010</v>
      </c>
      <c r="DH95" s="56" t="n">
        <f aca="false">SUM(DH91:DH94)</f>
        <v>2.39155241771657E-010</v>
      </c>
      <c r="DI95" s="56" t="n">
        <f aca="false">SUM(DI91:DI94)</f>
        <v>2.42144682293803E-010</v>
      </c>
      <c r="DJ95" s="56" t="n">
        <f aca="false">SUM(DJ91:DJ94)</f>
        <v>2.45171490822475E-010</v>
      </c>
      <c r="DK95" s="56" t="n">
        <f aca="false">SUM(DK91:DK94)</f>
        <v>2.48236134457756E-010</v>
      </c>
      <c r="DL95" s="56" t="n">
        <f aca="false">SUM(DL91:DL94)</f>
        <v>2.51339086138478E-010</v>
      </c>
      <c r="DM95" s="56" t="n">
        <f aca="false">SUM(DM91:DM94)</f>
        <v>2.54480824715209E-010</v>
      </c>
      <c r="DN95" s="56" t="n">
        <f aca="false">SUM(DN91:DN94)</f>
        <v>2.57661835024149E-010</v>
      </c>
      <c r="DO95" s="56" t="n">
        <f aca="false">SUM(DO91:DO94)</f>
        <v>2.60882607961951E-010</v>
      </c>
      <c r="DP95" s="56" t="n">
        <f aca="false">SUM(DP91:DP94)</f>
        <v>2.64143640561476E-010</v>
      </c>
      <c r="DQ95" s="56" t="n">
        <f aca="false">SUM(DQ91:DQ94)</f>
        <v>2.67445436068494E-010</v>
      </c>
      <c r="DR95" s="56" t="n">
        <f aca="false">SUM(DR91:DR94)</f>
        <v>2.7078850401935E-010</v>
      </c>
      <c r="DS95" s="56" t="n">
        <f aca="false">SUM(DS91:DS94)</f>
        <v>2.74173360319592E-010</v>
      </c>
      <c r="DT95" s="56" t="n">
        <f aca="false">SUM(DT91:DT94)</f>
        <v>2.77600527323587E-010</v>
      </c>
      <c r="DU95" s="56" t="n">
        <f aca="false">SUM(DU91:DU94)</f>
        <v>2.81070533915132E-010</v>
      </c>
      <c r="DV95" s="56" t="n">
        <f aca="false">SUM(DV91:DV94)</f>
        <v>2.84583915589071E-010</v>
      </c>
      <c r="DW95" s="56" t="n">
        <f aca="false">SUM(DW91:DW94)</f>
        <v>2.88141214533934E-010</v>
      </c>
      <c r="DX95" s="56" t="n">
        <f aca="false">SUM(DX91:DX94)</f>
        <v>2.91742979715609E-010</v>
      </c>
      <c r="DY95" s="56" t="n">
        <f aca="false">SUM(DY91:DY94)</f>
        <v>2.95389766962054E-010</v>
      </c>
      <c r="DZ95" s="56" t="n">
        <f aca="false">SUM(DZ91:DZ94)</f>
        <v>2.99082139049079E-010</v>
      </c>
      <c r="EA95" s="56" t="n">
        <f aca="false">SUM(EA91:EA94)</f>
        <v>3.02820665787193E-010</v>
      </c>
      <c r="EB95" s="56" t="n">
        <f aca="false">SUM(EB91:EB94)</f>
        <v>3.06605924109533E-010</v>
      </c>
      <c r="EC95" s="56" t="n">
        <f aca="false">SUM(EC91:EC94)</f>
        <v>3.10438498160902E-010</v>
      </c>
      <c r="ED95" s="56" t="n">
        <f aca="false">SUM(ED91:ED94)</f>
        <v>3.14318979387913E-010</v>
      </c>
      <c r="EE95" s="56" t="n">
        <f aca="false">SUM(EE91:EE94)</f>
        <v>3.18247966630262E-010</v>
      </c>
      <c r="EF95" s="56" t="n">
        <f aca="false">SUM(EF91:EF94)</f>
        <v>3.2222606621314E-010</v>
      </c>
      <c r="EG95" s="56" t="n">
        <f aca="false">SUM(EG91:EG94)</f>
        <v>3.26253892040805E-010</v>
      </c>
      <c r="EH95" s="56" t="n">
        <f aca="false">SUM(EH91:EH94)</f>
        <v>3.30332065691315E-010</v>
      </c>
      <c r="EI95" s="56" t="n">
        <f aca="false">SUM(EI91:EI94)</f>
        <v>3.34461216512456E-010</v>
      </c>
      <c r="EJ95" s="56" t="n">
        <f aca="false">SUM(EJ91:EJ94)</f>
        <v>3.38641981718862E-010</v>
      </c>
      <c r="EK95" s="56" t="n">
        <f aca="false">SUM(EK91:EK94)</f>
        <v>3.42875006490348E-010</v>
      </c>
      <c r="EL95" s="56" t="n">
        <f aca="false">SUM(EL91:EL94)</f>
        <v>3.47160944071477E-010</v>
      </c>
      <c r="EM95" s="56" t="n">
        <f aca="false">SUM(EM91:EM94)</f>
        <v>3.5150045587237E-010</v>
      </c>
      <c r="EN95" s="56" t="n">
        <f aca="false">SUM(EN91:EN94)</f>
        <v>3.55894211570775E-010</v>
      </c>
      <c r="EO95" s="56" t="n">
        <f aca="false">SUM(EO91:EO94)</f>
        <v>3.6034288921541E-010</v>
      </c>
    </row>
    <row r="96" customFormat="false" ht="15" hidden="false" customHeight="false" outlineLevel="0" collapsed="false">
      <c r="C96" s="0" t="s">
        <v>441</v>
      </c>
      <c r="D96" s="11" t="s">
        <v>33</v>
      </c>
      <c r="I96" s="47" t="n">
        <f aca="false">SUM(J96:EO96)</f>
        <v>-946.098098285697</v>
      </c>
      <c r="J96" s="47" t="n">
        <f aca="false">-In_Upfront_Fee*$E95*(J91=0)*(J92&gt;0)</f>
        <v>-0</v>
      </c>
      <c r="K96" s="47" t="n">
        <f aca="false">-In_Upfront_Fee*$E95*(K91=0)*(K92&gt;0)</f>
        <v>-0</v>
      </c>
      <c r="L96" s="47" t="n">
        <f aca="false">-In_Upfront_Fee*$E95*(L91=0)*(L92&gt;0)</f>
        <v>-0</v>
      </c>
      <c r="M96" s="47" t="n">
        <f aca="false">-In_Upfront_Fee*$E95*(M91=0)*(M92&gt;0)</f>
        <v>-0</v>
      </c>
      <c r="N96" s="47" t="n">
        <f aca="false">-In_Upfront_Fee*$E95*(N91=0)*(N92&gt;0)</f>
        <v>-0</v>
      </c>
      <c r="O96" s="47" t="n">
        <f aca="false">-In_Upfront_Fee*$E95*(O91=0)*(O92&gt;0)</f>
        <v>-0</v>
      </c>
      <c r="P96" s="47" t="n">
        <f aca="false">-In_Upfront_Fee*$E95*(P91=0)*(P92&gt;0)</f>
        <v>-0</v>
      </c>
      <c r="Q96" s="47" t="n">
        <f aca="false">-In_Upfront_Fee*$E95*(Q91=0)*(Q92&gt;0)</f>
        <v>-0</v>
      </c>
      <c r="R96" s="47" t="n">
        <f aca="false">-In_Upfront_Fee*$E95*(R91=0)*(R92&gt;0)</f>
        <v>-946.098098285697</v>
      </c>
      <c r="S96" s="47" t="n">
        <f aca="false">-In_Upfront_Fee*$E95*(S91=0)*(S92&gt;0)</f>
        <v>-0</v>
      </c>
      <c r="T96" s="47" t="n">
        <f aca="false">-In_Upfront_Fee*$E95*(T91=0)*(T92&gt;0)</f>
        <v>-0</v>
      </c>
      <c r="U96" s="47" t="n">
        <f aca="false">-In_Upfront_Fee*$E95*(U91=0)*(U92&gt;0)</f>
        <v>-0</v>
      </c>
      <c r="V96" s="47" t="n">
        <f aca="false">-In_Upfront_Fee*$E95*(V91=0)*(V92&gt;0)</f>
        <v>-0</v>
      </c>
      <c r="W96" s="47" t="n">
        <f aca="false">-In_Upfront_Fee*$E95*(W91=0)*(W92&gt;0)</f>
        <v>-0</v>
      </c>
      <c r="X96" s="47" t="n">
        <f aca="false">-In_Upfront_Fee*$E95*(X91=0)*(X92&gt;0)</f>
        <v>-0</v>
      </c>
      <c r="Y96" s="47" t="n">
        <f aca="false">-In_Upfront_Fee*$E95*(Y91=0)*(Y92&gt;0)</f>
        <v>-0</v>
      </c>
      <c r="Z96" s="47" t="n">
        <f aca="false">-In_Upfront_Fee*$E95*(Z91=0)*(Z92&gt;0)</f>
        <v>-0</v>
      </c>
      <c r="AA96" s="47" t="n">
        <f aca="false">-In_Upfront_Fee*$E95*(AA91=0)*(AA92&gt;0)</f>
        <v>-0</v>
      </c>
      <c r="AB96" s="47" t="n">
        <f aca="false">-In_Upfront_Fee*$E95*(AB91=0)*(AB92&gt;0)</f>
        <v>-0</v>
      </c>
      <c r="AC96" s="47" t="n">
        <f aca="false">-In_Upfront_Fee*$E95*(AC91=0)*(AC92&gt;0)</f>
        <v>-0</v>
      </c>
      <c r="AD96" s="47" t="n">
        <f aca="false">-In_Upfront_Fee*$E95*(AD91=0)*(AD92&gt;0)</f>
        <v>-0</v>
      </c>
      <c r="AE96" s="47" t="n">
        <f aca="false">-In_Upfront_Fee*$E95*(AE91=0)*(AE92&gt;0)</f>
        <v>-0</v>
      </c>
      <c r="AF96" s="47" t="n">
        <f aca="false">-In_Upfront_Fee*$E95*(AF91=0)*(AF92&gt;0)</f>
        <v>-0</v>
      </c>
      <c r="AG96" s="47" t="n">
        <f aca="false">-In_Upfront_Fee*$E95*(AG91=0)*(AG92&gt;0)</f>
        <v>-0</v>
      </c>
      <c r="AH96" s="47" t="n">
        <f aca="false">-In_Upfront_Fee*$E95*(AH91=0)*(AH92&gt;0)</f>
        <v>-0</v>
      </c>
      <c r="AI96" s="47" t="n">
        <f aca="false">-In_Upfront_Fee*$E95*(AI91=0)*(AI92&gt;0)</f>
        <v>-0</v>
      </c>
      <c r="AJ96" s="47" t="n">
        <f aca="false">-In_Upfront_Fee*$E95*(AJ91=0)*(AJ92&gt;0)</f>
        <v>-0</v>
      </c>
      <c r="AK96" s="47" t="n">
        <f aca="false">-In_Upfront_Fee*$E95*(AK91=0)*(AK92&gt;0)</f>
        <v>-0</v>
      </c>
      <c r="AL96" s="47" t="n">
        <f aca="false">-In_Upfront_Fee*$E95*(AL91=0)*(AL92&gt;0)</f>
        <v>-0</v>
      </c>
      <c r="AM96" s="47" t="n">
        <f aca="false">-In_Upfront_Fee*$E95*(AM91=0)*(AM92&gt;0)</f>
        <v>-0</v>
      </c>
      <c r="AN96" s="47" t="n">
        <f aca="false">-In_Upfront_Fee*$E95*(AN91=0)*(AN92&gt;0)</f>
        <v>-0</v>
      </c>
      <c r="AO96" s="47" t="n">
        <f aca="false">-In_Upfront_Fee*$E95*(AO91=0)*(AO92&gt;0)</f>
        <v>-0</v>
      </c>
      <c r="AP96" s="47" t="n">
        <f aca="false">-In_Upfront_Fee*$E95*(AP91=0)*(AP92&gt;0)</f>
        <v>-0</v>
      </c>
      <c r="AQ96" s="47" t="n">
        <f aca="false">-In_Upfront_Fee*$E95*(AQ91=0)*(AQ92&gt;0)</f>
        <v>-0</v>
      </c>
      <c r="AR96" s="47" t="n">
        <f aca="false">-In_Upfront_Fee*$E95*(AR91=0)*(AR92&gt;0)</f>
        <v>-0</v>
      </c>
      <c r="AS96" s="47" t="n">
        <f aca="false">-In_Upfront_Fee*$E95*(AS91=0)*(AS92&gt;0)</f>
        <v>-0</v>
      </c>
      <c r="AT96" s="47" t="n">
        <f aca="false">-In_Upfront_Fee*$E95*(AT91=0)*(AT92&gt;0)</f>
        <v>-0</v>
      </c>
      <c r="AU96" s="47" t="n">
        <f aca="false">-In_Upfront_Fee*$E95*(AU91=0)*(AU92&gt;0)</f>
        <v>-0</v>
      </c>
      <c r="AV96" s="47" t="n">
        <f aca="false">-In_Upfront_Fee*$E95*(AV91=0)*(AV92&gt;0)</f>
        <v>-0</v>
      </c>
      <c r="AW96" s="47" t="n">
        <f aca="false">-In_Upfront_Fee*$E95*(AW91=0)*(AW92&gt;0)</f>
        <v>-0</v>
      </c>
      <c r="AX96" s="47" t="n">
        <f aca="false">-In_Upfront_Fee*$E95*(AX91=0)*(AX92&gt;0)</f>
        <v>-0</v>
      </c>
      <c r="AY96" s="47" t="n">
        <f aca="false">-In_Upfront_Fee*$E95*(AY91=0)*(AY92&gt;0)</f>
        <v>-0</v>
      </c>
      <c r="AZ96" s="47" t="n">
        <f aca="false">-In_Upfront_Fee*$E95*(AZ91=0)*(AZ92&gt;0)</f>
        <v>-0</v>
      </c>
      <c r="BA96" s="47" t="n">
        <f aca="false">-In_Upfront_Fee*$E95*(BA91=0)*(BA92&gt;0)</f>
        <v>-0</v>
      </c>
      <c r="BB96" s="47" t="n">
        <f aca="false">-In_Upfront_Fee*$E95*(BB91=0)*(BB92&gt;0)</f>
        <v>-0</v>
      </c>
      <c r="BC96" s="47" t="n">
        <f aca="false">-In_Upfront_Fee*$E95*(BC91=0)*(BC92&gt;0)</f>
        <v>-0</v>
      </c>
      <c r="BD96" s="47" t="n">
        <f aca="false">-In_Upfront_Fee*$E95*(BD91=0)*(BD92&gt;0)</f>
        <v>-0</v>
      </c>
      <c r="BE96" s="47" t="n">
        <f aca="false">-In_Upfront_Fee*$E95*(BE91=0)*(BE92&gt;0)</f>
        <v>-0</v>
      </c>
      <c r="BF96" s="47" t="n">
        <f aca="false">-In_Upfront_Fee*$E95*(BF91=0)*(BF92&gt;0)</f>
        <v>-0</v>
      </c>
      <c r="BG96" s="47" t="n">
        <f aca="false">-In_Upfront_Fee*$E95*(BG91=0)*(BG92&gt;0)</f>
        <v>-0</v>
      </c>
      <c r="BH96" s="47" t="n">
        <f aca="false">-In_Upfront_Fee*$E95*(BH91=0)*(BH92&gt;0)</f>
        <v>-0</v>
      </c>
      <c r="BI96" s="47" t="n">
        <f aca="false">-In_Upfront_Fee*$E95*(BI91=0)*(BI92&gt;0)</f>
        <v>-0</v>
      </c>
      <c r="BJ96" s="47" t="n">
        <f aca="false">-In_Upfront_Fee*$E95*(BJ91=0)*(BJ92&gt;0)</f>
        <v>-0</v>
      </c>
      <c r="BK96" s="47" t="n">
        <f aca="false">-In_Upfront_Fee*$E95*(BK91=0)*(BK92&gt;0)</f>
        <v>-0</v>
      </c>
      <c r="BL96" s="47" t="n">
        <f aca="false">-In_Upfront_Fee*$E95*(BL91=0)*(BL92&gt;0)</f>
        <v>-0</v>
      </c>
      <c r="BM96" s="47" t="n">
        <f aca="false">-In_Upfront_Fee*$E95*(BM91=0)*(BM92&gt;0)</f>
        <v>-0</v>
      </c>
      <c r="BN96" s="47" t="n">
        <f aca="false">-In_Upfront_Fee*$E95*(BN91=0)*(BN92&gt;0)</f>
        <v>-0</v>
      </c>
      <c r="BO96" s="47" t="n">
        <f aca="false">-In_Upfront_Fee*$E95*(BO91=0)*(BO92&gt;0)</f>
        <v>-0</v>
      </c>
      <c r="BP96" s="47" t="n">
        <f aca="false">-In_Upfront_Fee*$E95*(BP91=0)*(BP92&gt;0)</f>
        <v>-0</v>
      </c>
      <c r="BQ96" s="47" t="n">
        <f aca="false">-In_Upfront_Fee*$E95*(BQ91=0)*(BQ92&gt;0)</f>
        <v>-0</v>
      </c>
      <c r="BR96" s="47" t="n">
        <f aca="false">-In_Upfront_Fee*$E95*(BR91=0)*(BR92&gt;0)</f>
        <v>-0</v>
      </c>
      <c r="BS96" s="47" t="n">
        <f aca="false">-In_Upfront_Fee*$E95*(BS91=0)*(BS92&gt;0)</f>
        <v>-0</v>
      </c>
      <c r="BT96" s="47" t="n">
        <f aca="false">-In_Upfront_Fee*$E95*(BT91=0)*(BT92&gt;0)</f>
        <v>-0</v>
      </c>
      <c r="BU96" s="47" t="n">
        <f aca="false">-In_Upfront_Fee*$E95*(BU91=0)*(BU92&gt;0)</f>
        <v>-0</v>
      </c>
      <c r="BV96" s="47" t="n">
        <f aca="false">-In_Upfront_Fee*$E95*(BV91=0)*(BV92&gt;0)</f>
        <v>-0</v>
      </c>
      <c r="BW96" s="47" t="n">
        <f aca="false">-In_Upfront_Fee*$E95*(BW91=0)*(BW92&gt;0)</f>
        <v>-0</v>
      </c>
      <c r="BX96" s="47" t="n">
        <f aca="false">-In_Upfront_Fee*$E95*(BX91=0)*(BX92&gt;0)</f>
        <v>-0</v>
      </c>
      <c r="BY96" s="47" t="n">
        <f aca="false">-In_Upfront_Fee*$E95*(BY91=0)*(BY92&gt;0)</f>
        <v>-0</v>
      </c>
      <c r="BZ96" s="47" t="n">
        <f aca="false">-In_Upfront_Fee*$E95*(BZ91=0)*(BZ92&gt;0)</f>
        <v>-0</v>
      </c>
      <c r="CA96" s="47" t="n">
        <f aca="false">-In_Upfront_Fee*$E95*(CA91=0)*(CA92&gt;0)</f>
        <v>-0</v>
      </c>
      <c r="CB96" s="47" t="n">
        <f aca="false">-In_Upfront_Fee*$E95*(CB91=0)*(CB92&gt;0)</f>
        <v>-0</v>
      </c>
      <c r="CC96" s="47" t="n">
        <f aca="false">-In_Upfront_Fee*$E95*(CC91=0)*(CC92&gt;0)</f>
        <v>-0</v>
      </c>
      <c r="CD96" s="47" t="n">
        <f aca="false">-In_Upfront_Fee*$E95*(CD91=0)*(CD92&gt;0)</f>
        <v>-0</v>
      </c>
      <c r="CE96" s="47" t="n">
        <f aca="false">-In_Upfront_Fee*$E95*(CE91=0)*(CE92&gt;0)</f>
        <v>-0</v>
      </c>
      <c r="CF96" s="47" t="n">
        <f aca="false">-In_Upfront_Fee*$E95*(CF91=0)*(CF92&gt;0)</f>
        <v>-0</v>
      </c>
      <c r="CG96" s="47" t="n">
        <f aca="false">-In_Upfront_Fee*$E95*(CG91=0)*(CG92&gt;0)</f>
        <v>-0</v>
      </c>
      <c r="CH96" s="47" t="n">
        <f aca="false">-In_Upfront_Fee*$E95*(CH91=0)*(CH92&gt;0)</f>
        <v>-0</v>
      </c>
      <c r="CI96" s="47" t="n">
        <f aca="false">-In_Upfront_Fee*$E95*(CI91=0)*(CI92&gt;0)</f>
        <v>-0</v>
      </c>
      <c r="CJ96" s="47" t="n">
        <f aca="false">-In_Upfront_Fee*$E95*(CJ91=0)*(CJ92&gt;0)</f>
        <v>-0</v>
      </c>
      <c r="CK96" s="47" t="n">
        <f aca="false">-In_Upfront_Fee*$E95*(CK91=0)*(CK92&gt;0)</f>
        <v>-0</v>
      </c>
      <c r="CL96" s="47" t="n">
        <f aca="false">-In_Upfront_Fee*$E95*(CL91=0)*(CL92&gt;0)</f>
        <v>-0</v>
      </c>
      <c r="CM96" s="47" t="n">
        <f aca="false">-In_Upfront_Fee*$E95*(CM91=0)*(CM92&gt;0)</f>
        <v>-0</v>
      </c>
      <c r="CN96" s="47" t="n">
        <f aca="false">-In_Upfront_Fee*$E95*(CN91=0)*(CN92&gt;0)</f>
        <v>-0</v>
      </c>
      <c r="CO96" s="47" t="n">
        <f aca="false">-In_Upfront_Fee*$E95*(CO91=0)*(CO92&gt;0)</f>
        <v>-0</v>
      </c>
      <c r="CP96" s="47" t="n">
        <f aca="false">-In_Upfront_Fee*$E95*(CP91=0)*(CP92&gt;0)</f>
        <v>-0</v>
      </c>
      <c r="CQ96" s="47" t="n">
        <f aca="false">-In_Upfront_Fee*$E95*(CQ91=0)*(CQ92&gt;0)</f>
        <v>-0</v>
      </c>
      <c r="CR96" s="47" t="n">
        <f aca="false">-In_Upfront_Fee*$E95*(CR91=0)*(CR92&gt;0)</f>
        <v>-0</v>
      </c>
      <c r="CS96" s="47" t="n">
        <f aca="false">-In_Upfront_Fee*$E95*(CS91=0)*(CS92&gt;0)</f>
        <v>-0</v>
      </c>
      <c r="CT96" s="47" t="n">
        <f aca="false">-In_Upfront_Fee*$E95*(CT91=0)*(CT92&gt;0)</f>
        <v>-0</v>
      </c>
      <c r="CU96" s="47" t="n">
        <f aca="false">-In_Upfront_Fee*$E95*(CU91=0)*(CU92&gt;0)</f>
        <v>-0</v>
      </c>
      <c r="CV96" s="47" t="n">
        <f aca="false">-In_Upfront_Fee*$E95*(CV91=0)*(CV92&gt;0)</f>
        <v>-0</v>
      </c>
      <c r="CW96" s="47" t="n">
        <f aca="false">-In_Upfront_Fee*$E95*(CW91=0)*(CW92&gt;0)</f>
        <v>-0</v>
      </c>
      <c r="CX96" s="47" t="n">
        <f aca="false">-In_Upfront_Fee*$E95*(CX91=0)*(CX92&gt;0)</f>
        <v>-0</v>
      </c>
      <c r="CY96" s="47" t="n">
        <f aca="false">-In_Upfront_Fee*$E95*(CY91=0)*(CY92&gt;0)</f>
        <v>-0</v>
      </c>
      <c r="CZ96" s="47" t="n">
        <f aca="false">-In_Upfront_Fee*$E95*(CZ91=0)*(CZ92&gt;0)</f>
        <v>-0</v>
      </c>
      <c r="DA96" s="47" t="n">
        <f aca="false">-In_Upfront_Fee*$E95*(DA91=0)*(DA92&gt;0)</f>
        <v>-0</v>
      </c>
      <c r="DB96" s="47" t="n">
        <f aca="false">-In_Upfront_Fee*$E95*(DB91=0)*(DB92&gt;0)</f>
        <v>-0</v>
      </c>
      <c r="DC96" s="47" t="n">
        <f aca="false">-In_Upfront_Fee*$E95*(DC91=0)*(DC92&gt;0)</f>
        <v>-0</v>
      </c>
      <c r="DD96" s="47" t="n">
        <f aca="false">-In_Upfront_Fee*$E95*(DD91=0)*(DD92&gt;0)</f>
        <v>-0</v>
      </c>
      <c r="DE96" s="47" t="n">
        <f aca="false">-In_Upfront_Fee*$E95*(DE91=0)*(DE92&gt;0)</f>
        <v>-0</v>
      </c>
      <c r="DF96" s="47" t="n">
        <f aca="false">-In_Upfront_Fee*$E95*(DF91=0)*(DF92&gt;0)</f>
        <v>-0</v>
      </c>
      <c r="DG96" s="47" t="n">
        <f aca="false">-In_Upfront_Fee*$E95*(DG91=0)*(DG92&gt;0)</f>
        <v>-0</v>
      </c>
      <c r="DH96" s="47" t="n">
        <f aca="false">-In_Upfront_Fee*$E95*(DH91=0)*(DH92&gt;0)</f>
        <v>-0</v>
      </c>
      <c r="DI96" s="47" t="n">
        <f aca="false">-In_Upfront_Fee*$E95*(DI91=0)*(DI92&gt;0)</f>
        <v>-0</v>
      </c>
      <c r="DJ96" s="47" t="n">
        <f aca="false">-In_Upfront_Fee*$E95*(DJ91=0)*(DJ92&gt;0)</f>
        <v>-0</v>
      </c>
      <c r="DK96" s="47" t="n">
        <f aca="false">-In_Upfront_Fee*$E95*(DK91=0)*(DK92&gt;0)</f>
        <v>-0</v>
      </c>
      <c r="DL96" s="47" t="n">
        <f aca="false">-In_Upfront_Fee*$E95*(DL91=0)*(DL92&gt;0)</f>
        <v>-0</v>
      </c>
      <c r="DM96" s="47" t="n">
        <f aca="false">-In_Upfront_Fee*$E95*(DM91=0)*(DM92&gt;0)</f>
        <v>-0</v>
      </c>
      <c r="DN96" s="47" t="n">
        <f aca="false">-In_Upfront_Fee*$E95*(DN91=0)*(DN92&gt;0)</f>
        <v>-0</v>
      </c>
      <c r="DO96" s="47" t="n">
        <f aca="false">-In_Upfront_Fee*$E95*(DO91=0)*(DO92&gt;0)</f>
        <v>-0</v>
      </c>
      <c r="DP96" s="47" t="n">
        <f aca="false">-In_Upfront_Fee*$E95*(DP91=0)*(DP92&gt;0)</f>
        <v>-0</v>
      </c>
      <c r="DQ96" s="47" t="n">
        <f aca="false">-In_Upfront_Fee*$E95*(DQ91=0)*(DQ92&gt;0)</f>
        <v>-0</v>
      </c>
      <c r="DR96" s="47" t="n">
        <f aca="false">-In_Upfront_Fee*$E95*(DR91=0)*(DR92&gt;0)</f>
        <v>-0</v>
      </c>
      <c r="DS96" s="47" t="n">
        <f aca="false">-In_Upfront_Fee*$E95*(DS91=0)*(DS92&gt;0)</f>
        <v>-0</v>
      </c>
      <c r="DT96" s="47" t="n">
        <f aca="false">-In_Upfront_Fee*$E95*(DT91=0)*(DT92&gt;0)</f>
        <v>-0</v>
      </c>
      <c r="DU96" s="47" t="n">
        <f aca="false">-In_Upfront_Fee*$E95*(DU91=0)*(DU92&gt;0)</f>
        <v>-0</v>
      </c>
      <c r="DV96" s="47" t="n">
        <f aca="false">-In_Upfront_Fee*$E95*(DV91=0)*(DV92&gt;0)</f>
        <v>-0</v>
      </c>
      <c r="DW96" s="47" t="n">
        <f aca="false">-In_Upfront_Fee*$E95*(DW91=0)*(DW92&gt;0)</f>
        <v>-0</v>
      </c>
      <c r="DX96" s="47" t="n">
        <f aca="false">-In_Upfront_Fee*$E95*(DX91=0)*(DX92&gt;0)</f>
        <v>-0</v>
      </c>
      <c r="DY96" s="47" t="n">
        <f aca="false">-In_Upfront_Fee*$E95*(DY91=0)*(DY92&gt;0)</f>
        <v>-0</v>
      </c>
      <c r="DZ96" s="47" t="n">
        <f aca="false">-In_Upfront_Fee*$E95*(DZ91=0)*(DZ92&gt;0)</f>
        <v>-0</v>
      </c>
      <c r="EA96" s="47" t="n">
        <f aca="false">-In_Upfront_Fee*$E95*(EA91=0)*(EA92&gt;0)</f>
        <v>-0</v>
      </c>
      <c r="EB96" s="47" t="n">
        <f aca="false">-In_Upfront_Fee*$E95*(EB91=0)*(EB92&gt;0)</f>
        <v>-0</v>
      </c>
      <c r="EC96" s="47" t="n">
        <f aca="false">-In_Upfront_Fee*$E95*(EC91=0)*(EC92&gt;0)</f>
        <v>-0</v>
      </c>
      <c r="ED96" s="47" t="n">
        <f aca="false">-In_Upfront_Fee*$E95*(ED91=0)*(ED92&gt;0)</f>
        <v>-0</v>
      </c>
      <c r="EE96" s="47" t="n">
        <f aca="false">-In_Upfront_Fee*$E95*(EE91=0)*(EE92&gt;0)</f>
        <v>-0</v>
      </c>
      <c r="EF96" s="47" t="n">
        <f aca="false">-In_Upfront_Fee*$E95*(EF91=0)*(EF92&gt;0)</f>
        <v>-0</v>
      </c>
      <c r="EG96" s="47" t="n">
        <f aca="false">-In_Upfront_Fee*$E95*(EG91=0)*(EG92&gt;0)</f>
        <v>-0</v>
      </c>
      <c r="EH96" s="47" t="n">
        <f aca="false">-In_Upfront_Fee*$E95*(EH91=0)*(EH92&gt;0)</f>
        <v>-0</v>
      </c>
      <c r="EI96" s="47" t="n">
        <f aca="false">-In_Upfront_Fee*$E95*(EI91=0)*(EI92&gt;0)</f>
        <v>-0</v>
      </c>
      <c r="EJ96" s="47" t="n">
        <f aca="false">-In_Upfront_Fee*$E95*(EJ91=0)*(EJ92&gt;0)</f>
        <v>-0</v>
      </c>
      <c r="EK96" s="47" t="n">
        <f aca="false">-In_Upfront_Fee*$E95*(EK91=0)*(EK92&gt;0)</f>
        <v>-0</v>
      </c>
      <c r="EL96" s="47" t="n">
        <f aca="false">-In_Upfront_Fee*$E95*(EL91=0)*(EL92&gt;0)</f>
        <v>-0</v>
      </c>
      <c r="EM96" s="47" t="n">
        <f aca="false">-In_Upfront_Fee*$E95*(EM91=0)*(EM92&gt;0)</f>
        <v>-0</v>
      </c>
      <c r="EN96" s="47" t="n">
        <f aca="false">-In_Upfront_Fee*$E95*(EN91=0)*(EN92&gt;0)</f>
        <v>-0</v>
      </c>
      <c r="EO96" s="47" t="n">
        <f aca="false">-In_Upfront_Fee*$E95*(EO91=0)*(EO92&gt;0)</f>
        <v>-0</v>
      </c>
    </row>
    <row r="97" customFormat="false" ht="15" hidden="false" customHeight="false" outlineLevel="0" collapsed="false">
      <c r="C97" s="0" t="s">
        <v>442</v>
      </c>
      <c r="D97" s="11" t="s">
        <v>33</v>
      </c>
      <c r="I97" s="47" t="n">
        <f aca="false">SUM(J97:EO97)</f>
        <v>-504.457841477069</v>
      </c>
      <c r="J97" s="47" t="n">
        <f aca="false">-In_Commitment_Fee*($I92-SUM($J92:J92)+J92)*J$6*(J12&gt;0)</f>
        <v>-0</v>
      </c>
      <c r="K97" s="47" t="n">
        <f aca="false">-In_Commitment_Fee*($I92-SUM($J92:K92)+K92)*K$6*(K12&gt;0)</f>
        <v>-0</v>
      </c>
      <c r="L97" s="47" t="n">
        <f aca="false">-In_Commitment_Fee*($I92-SUM($J92:L92)+L92)*L$6*(L12&gt;0)</f>
        <v>-0</v>
      </c>
      <c r="M97" s="47" t="n">
        <f aca="false">-In_Commitment_Fee*($I92-SUM($J92:M92)+M92)*M$6*(M12&gt;0)</f>
        <v>-0</v>
      </c>
      <c r="N97" s="47" t="n">
        <f aca="false">-In_Commitment_Fee*($I92-SUM($J92:N92)+N92)*N$6*(N12&gt;0)</f>
        <v>-0</v>
      </c>
      <c r="O97" s="47" t="n">
        <f aca="false">-In_Commitment_Fee*($I92-SUM($J92:O92)+O92)*O$6*(O12&gt;0)</f>
        <v>-0</v>
      </c>
      <c r="P97" s="47" t="n">
        <f aca="false">-In_Commitment_Fee*($I92-SUM($J92:P92)+P92)*P$6*(P12&gt;0)</f>
        <v>-0</v>
      </c>
      <c r="Q97" s="47" t="n">
        <f aca="false">-In_Commitment_Fee*($I92-SUM($J92:Q92)+Q92)*Q$6*(Q12&gt;0)</f>
        <v>-0</v>
      </c>
      <c r="R97" s="47" t="n">
        <f aca="false">-In_Commitment_Fee*($I92-SUM($J92:R92)+R92)*R$6*(R12&gt;0)</f>
        <v>-117.144421912704</v>
      </c>
      <c r="S97" s="47" t="n">
        <f aca="false">-In_Commitment_Fee*($I92-SUM($J92:S92)+S92)*S$6*(S12&gt;0)</f>
        <v>-102.241279124789</v>
      </c>
      <c r="T97" s="47" t="n">
        <f aca="false">-In_Commitment_Fee*($I92-SUM($J92:T92)+T92)*T$6*(T12&gt;0)</f>
        <v>-78.3464206286358</v>
      </c>
      <c r="U97" s="47" t="n">
        <f aca="false">-In_Commitment_Fee*($I92-SUM($J92:U92)+U92)*U$6*(U12&gt;0)</f>
        <v>-66.7135506642897</v>
      </c>
      <c r="V97" s="47" t="n">
        <f aca="false">-In_Commitment_Fee*($I92-SUM($J92:V92)+V92)*V$6*(V12&gt;0)</f>
        <v>-54.0824363013699</v>
      </c>
      <c r="W97" s="47" t="n">
        <f aca="false">-In_Commitment_Fee*($I92-SUM($J92:W92)+W92)*W$6*(W12&gt;0)</f>
        <v>-40.5502062441359</v>
      </c>
      <c r="X97" s="47" t="n">
        <f aca="false">-In_Commitment_Fee*($I92-SUM($J92:X92)+X92)*X$6*(X12&gt;0)</f>
        <v>-28.7785492245262</v>
      </c>
      <c r="Y97" s="47" t="n">
        <f aca="false">-In_Commitment_Fee*($I92-SUM($J92:Y92)+Y92)*Y$6*(Y12&gt;0)</f>
        <v>-16.6009773766185</v>
      </c>
      <c r="Z97" s="47" t="n">
        <f aca="false">-In_Commitment_Fee*($I92-SUM($J92:Z92)+Z92)*Z$6*(Z12&gt;0)</f>
        <v>-0</v>
      </c>
      <c r="AA97" s="47" t="n">
        <f aca="false">-In_Commitment_Fee*($I92-SUM($J92:AA92)+AA92)*AA$6*(AA12&gt;0)</f>
        <v>-0</v>
      </c>
      <c r="AB97" s="47" t="n">
        <f aca="false">-In_Commitment_Fee*($I92-SUM($J92:AB92)+AB92)*AB$6*(AB12&gt;0)</f>
        <v>-0</v>
      </c>
      <c r="AC97" s="47" t="n">
        <f aca="false">-In_Commitment_Fee*($I92-SUM($J92:AC92)+AC92)*AC$6*(AC12&gt;0)</f>
        <v>-0</v>
      </c>
      <c r="AD97" s="47" t="n">
        <f aca="false">-In_Commitment_Fee*($I92-SUM($J92:AD92)+AD92)*AD$6*(AD12&gt;0)</f>
        <v>-0</v>
      </c>
      <c r="AE97" s="47" t="n">
        <f aca="false">-In_Commitment_Fee*($I92-SUM($J92:AE92)+AE92)*AE$6*(AE12&gt;0)</f>
        <v>-0</v>
      </c>
      <c r="AF97" s="47" t="n">
        <f aca="false">-In_Commitment_Fee*($I92-SUM($J92:AF92)+AF92)*AF$6*(AF12&gt;0)</f>
        <v>-0</v>
      </c>
      <c r="AG97" s="47" t="n">
        <f aca="false">-In_Commitment_Fee*($I92-SUM($J92:AG92)+AG92)*AG$6*(AG12&gt;0)</f>
        <v>-0</v>
      </c>
      <c r="AH97" s="47" t="n">
        <f aca="false">-In_Commitment_Fee*($I92-SUM($J92:AH92)+AH92)*AH$6*(AH12&gt;0)</f>
        <v>-0</v>
      </c>
      <c r="AI97" s="47" t="n">
        <f aca="false">-In_Commitment_Fee*($I92-SUM($J92:AI92)+AI92)*AI$6*(AI12&gt;0)</f>
        <v>-0</v>
      </c>
      <c r="AJ97" s="47" t="n">
        <f aca="false">-In_Commitment_Fee*($I92-SUM($J92:AJ92)+AJ92)*AJ$6*(AJ12&gt;0)</f>
        <v>-0</v>
      </c>
      <c r="AK97" s="47" t="n">
        <f aca="false">-In_Commitment_Fee*($I92-SUM($J92:AK92)+AK92)*AK$6*(AK12&gt;0)</f>
        <v>-0</v>
      </c>
      <c r="AL97" s="47" t="n">
        <f aca="false">-In_Commitment_Fee*($I92-SUM($J92:AL92)+AL92)*AL$6*(AL12&gt;0)</f>
        <v>-0</v>
      </c>
      <c r="AM97" s="47" t="n">
        <f aca="false">-In_Commitment_Fee*($I92-SUM($J92:AM92)+AM92)*AM$6*(AM12&gt;0)</f>
        <v>-0</v>
      </c>
      <c r="AN97" s="47" t="n">
        <f aca="false">-In_Commitment_Fee*($I92-SUM($J92:AN92)+AN92)*AN$6*(AN12&gt;0)</f>
        <v>-0</v>
      </c>
      <c r="AO97" s="47" t="n">
        <f aca="false">-In_Commitment_Fee*($I92-SUM($J92:AO92)+AO92)*AO$6*(AO12&gt;0)</f>
        <v>-0</v>
      </c>
      <c r="AP97" s="47" t="n">
        <f aca="false">-In_Commitment_Fee*($I92-SUM($J92:AP92)+AP92)*AP$6*(AP12&gt;0)</f>
        <v>-0</v>
      </c>
      <c r="AQ97" s="47" t="n">
        <f aca="false">-In_Commitment_Fee*($I92-SUM($J92:AQ92)+AQ92)*AQ$6*(AQ12&gt;0)</f>
        <v>-0</v>
      </c>
      <c r="AR97" s="47" t="n">
        <f aca="false">-In_Commitment_Fee*($I92-SUM($J92:AR92)+AR92)*AR$6*(AR12&gt;0)</f>
        <v>-0</v>
      </c>
      <c r="AS97" s="47" t="n">
        <f aca="false">-In_Commitment_Fee*($I92-SUM($J92:AS92)+AS92)*AS$6*(AS12&gt;0)</f>
        <v>-0</v>
      </c>
      <c r="AT97" s="47" t="n">
        <f aca="false">-In_Commitment_Fee*($I92-SUM($J92:AT92)+AT92)*AT$6*(AT12&gt;0)</f>
        <v>-0</v>
      </c>
      <c r="AU97" s="47" t="n">
        <f aca="false">-In_Commitment_Fee*($I92-SUM($J92:AU92)+AU92)*AU$6*(AU12&gt;0)</f>
        <v>-0</v>
      </c>
      <c r="AV97" s="47" t="n">
        <f aca="false">-In_Commitment_Fee*($I92-SUM($J92:AV92)+AV92)*AV$6*(AV12&gt;0)</f>
        <v>-0</v>
      </c>
      <c r="AW97" s="47" t="n">
        <f aca="false">-In_Commitment_Fee*($I92-SUM($J92:AW92)+AW92)*AW$6*(AW12&gt;0)</f>
        <v>-0</v>
      </c>
      <c r="AX97" s="47" t="n">
        <f aca="false">-In_Commitment_Fee*($I92-SUM($J92:AX92)+AX92)*AX$6*(AX12&gt;0)</f>
        <v>-0</v>
      </c>
      <c r="AY97" s="47" t="n">
        <f aca="false">-In_Commitment_Fee*($I92-SUM($J92:AY92)+AY92)*AY$6*(AY12&gt;0)</f>
        <v>-0</v>
      </c>
      <c r="AZ97" s="47" t="n">
        <f aca="false">-In_Commitment_Fee*($I92-SUM($J92:AZ92)+AZ92)*AZ$6*(AZ12&gt;0)</f>
        <v>-0</v>
      </c>
      <c r="BA97" s="47" t="n">
        <f aca="false">-In_Commitment_Fee*($I92-SUM($J92:BA92)+BA92)*BA$6*(BA12&gt;0)</f>
        <v>-0</v>
      </c>
      <c r="BB97" s="47" t="n">
        <f aca="false">-In_Commitment_Fee*($I92-SUM($J92:BB92)+BB92)*BB$6*(BB12&gt;0)</f>
        <v>-0</v>
      </c>
      <c r="BC97" s="47" t="n">
        <f aca="false">-In_Commitment_Fee*($I92-SUM($J92:BC92)+BC92)*BC$6*(BC12&gt;0)</f>
        <v>-0</v>
      </c>
      <c r="BD97" s="47" t="n">
        <f aca="false">-In_Commitment_Fee*($I92-SUM($J92:BD92)+BD92)*BD$6*(BD12&gt;0)</f>
        <v>-0</v>
      </c>
      <c r="BE97" s="47" t="n">
        <f aca="false">-In_Commitment_Fee*($I92-SUM($J92:BE92)+BE92)*BE$6*(BE12&gt;0)</f>
        <v>-0</v>
      </c>
      <c r="BF97" s="47" t="n">
        <f aca="false">-In_Commitment_Fee*($I92-SUM($J92:BF92)+BF92)*BF$6*(BF12&gt;0)</f>
        <v>-0</v>
      </c>
      <c r="BG97" s="47" t="n">
        <f aca="false">-In_Commitment_Fee*($I92-SUM($J92:BG92)+BG92)*BG$6*(BG12&gt;0)</f>
        <v>-0</v>
      </c>
      <c r="BH97" s="47" t="n">
        <f aca="false">-In_Commitment_Fee*($I92-SUM($J92:BH92)+BH92)*BH$6*(BH12&gt;0)</f>
        <v>-0</v>
      </c>
      <c r="BI97" s="47" t="n">
        <f aca="false">-In_Commitment_Fee*($I92-SUM($J92:BI92)+BI92)*BI$6*(BI12&gt;0)</f>
        <v>-0</v>
      </c>
      <c r="BJ97" s="47" t="n">
        <f aca="false">-In_Commitment_Fee*($I92-SUM($J92:BJ92)+BJ92)*BJ$6*(BJ12&gt;0)</f>
        <v>-0</v>
      </c>
      <c r="BK97" s="47" t="n">
        <f aca="false">-In_Commitment_Fee*($I92-SUM($J92:BK92)+BK92)*BK$6*(BK12&gt;0)</f>
        <v>-0</v>
      </c>
      <c r="BL97" s="47" t="n">
        <f aca="false">-In_Commitment_Fee*($I92-SUM($J92:BL92)+BL92)*BL$6*(BL12&gt;0)</f>
        <v>-0</v>
      </c>
      <c r="BM97" s="47" t="n">
        <f aca="false">-In_Commitment_Fee*($I92-SUM($J92:BM92)+BM92)*BM$6*(BM12&gt;0)</f>
        <v>-0</v>
      </c>
      <c r="BN97" s="47" t="n">
        <f aca="false">-In_Commitment_Fee*($I92-SUM($J92:BN92)+BN92)*BN$6*(BN12&gt;0)</f>
        <v>-0</v>
      </c>
      <c r="BO97" s="47" t="n">
        <f aca="false">-In_Commitment_Fee*($I92-SUM($J92:BO92)+BO92)*BO$6*(BO12&gt;0)</f>
        <v>-0</v>
      </c>
      <c r="BP97" s="47" t="n">
        <f aca="false">-In_Commitment_Fee*($I92-SUM($J92:BP92)+BP92)*BP$6*(BP12&gt;0)</f>
        <v>-0</v>
      </c>
      <c r="BQ97" s="47" t="n">
        <f aca="false">-In_Commitment_Fee*($I92-SUM($J92:BQ92)+BQ92)*BQ$6*(BQ12&gt;0)</f>
        <v>-0</v>
      </c>
      <c r="BR97" s="47" t="n">
        <f aca="false">-In_Commitment_Fee*($I92-SUM($J92:BR92)+BR92)*BR$6*(BR12&gt;0)</f>
        <v>-0</v>
      </c>
      <c r="BS97" s="47" t="n">
        <f aca="false">-In_Commitment_Fee*($I92-SUM($J92:BS92)+BS92)*BS$6*(BS12&gt;0)</f>
        <v>-0</v>
      </c>
      <c r="BT97" s="47" t="n">
        <f aca="false">-In_Commitment_Fee*($I92-SUM($J92:BT92)+BT92)*BT$6*(BT12&gt;0)</f>
        <v>-0</v>
      </c>
      <c r="BU97" s="47" t="n">
        <f aca="false">-In_Commitment_Fee*($I92-SUM($J92:BU92)+BU92)*BU$6*(BU12&gt;0)</f>
        <v>-0</v>
      </c>
      <c r="BV97" s="47" t="n">
        <f aca="false">-In_Commitment_Fee*($I92-SUM($J92:BV92)+BV92)*BV$6*(BV12&gt;0)</f>
        <v>-0</v>
      </c>
      <c r="BW97" s="47" t="n">
        <f aca="false">-In_Commitment_Fee*($I92-SUM($J92:BW92)+BW92)*BW$6*(BW12&gt;0)</f>
        <v>-0</v>
      </c>
      <c r="BX97" s="47" t="n">
        <f aca="false">-In_Commitment_Fee*($I92-SUM($J92:BX92)+BX92)*BX$6*(BX12&gt;0)</f>
        <v>-0</v>
      </c>
      <c r="BY97" s="47" t="n">
        <f aca="false">-In_Commitment_Fee*($I92-SUM($J92:BY92)+BY92)*BY$6*(BY12&gt;0)</f>
        <v>-0</v>
      </c>
      <c r="BZ97" s="47" t="n">
        <f aca="false">-In_Commitment_Fee*($I92-SUM($J92:BZ92)+BZ92)*BZ$6*(BZ12&gt;0)</f>
        <v>-0</v>
      </c>
      <c r="CA97" s="47" t="n">
        <f aca="false">-In_Commitment_Fee*($I92-SUM($J92:CA92)+CA92)*CA$6*(CA12&gt;0)</f>
        <v>-0</v>
      </c>
      <c r="CB97" s="47" t="n">
        <f aca="false">-In_Commitment_Fee*($I92-SUM($J92:CB92)+CB92)*CB$6*(CB12&gt;0)</f>
        <v>-0</v>
      </c>
      <c r="CC97" s="47" t="n">
        <f aca="false">-In_Commitment_Fee*($I92-SUM($J92:CC92)+CC92)*CC$6*(CC12&gt;0)</f>
        <v>-0</v>
      </c>
      <c r="CD97" s="47" t="n">
        <f aca="false">-In_Commitment_Fee*($I92-SUM($J92:CD92)+CD92)*CD$6*(CD12&gt;0)</f>
        <v>-0</v>
      </c>
      <c r="CE97" s="47" t="n">
        <f aca="false">-In_Commitment_Fee*($I92-SUM($J92:CE92)+CE92)*CE$6*(CE12&gt;0)</f>
        <v>-0</v>
      </c>
      <c r="CF97" s="47" t="n">
        <f aca="false">-In_Commitment_Fee*($I92-SUM($J92:CF92)+CF92)*CF$6*(CF12&gt;0)</f>
        <v>-0</v>
      </c>
      <c r="CG97" s="47" t="n">
        <f aca="false">-In_Commitment_Fee*($I92-SUM($J92:CG92)+CG92)*CG$6*(CG12&gt;0)</f>
        <v>-0</v>
      </c>
      <c r="CH97" s="47" t="n">
        <f aca="false">-In_Commitment_Fee*($I92-SUM($J92:CH92)+CH92)*CH$6*(CH12&gt;0)</f>
        <v>-0</v>
      </c>
      <c r="CI97" s="47" t="n">
        <f aca="false">-In_Commitment_Fee*($I92-SUM($J92:CI92)+CI92)*CI$6*(CI12&gt;0)</f>
        <v>-0</v>
      </c>
      <c r="CJ97" s="47" t="n">
        <f aca="false">-In_Commitment_Fee*($I92-SUM($J92:CJ92)+CJ92)*CJ$6*(CJ12&gt;0)</f>
        <v>-0</v>
      </c>
      <c r="CK97" s="47" t="n">
        <f aca="false">-In_Commitment_Fee*($I92-SUM($J92:CK92)+CK92)*CK$6*(CK12&gt;0)</f>
        <v>-0</v>
      </c>
      <c r="CL97" s="47" t="n">
        <f aca="false">-In_Commitment_Fee*($I92-SUM($J92:CL92)+CL92)*CL$6*(CL12&gt;0)</f>
        <v>-0</v>
      </c>
      <c r="CM97" s="47" t="n">
        <f aca="false">-In_Commitment_Fee*($I92-SUM($J92:CM92)+CM92)*CM$6*(CM12&gt;0)</f>
        <v>-0</v>
      </c>
      <c r="CN97" s="47" t="n">
        <f aca="false">-In_Commitment_Fee*($I92-SUM($J92:CN92)+CN92)*CN$6*(CN12&gt;0)</f>
        <v>-0</v>
      </c>
      <c r="CO97" s="47" t="n">
        <f aca="false">-In_Commitment_Fee*($I92-SUM($J92:CO92)+CO92)*CO$6*(CO12&gt;0)</f>
        <v>-0</v>
      </c>
      <c r="CP97" s="47" t="n">
        <f aca="false">-In_Commitment_Fee*($I92-SUM($J92:CP92)+CP92)*CP$6*(CP12&gt;0)</f>
        <v>-0</v>
      </c>
      <c r="CQ97" s="47" t="n">
        <f aca="false">-In_Commitment_Fee*($I92-SUM($J92:CQ92)+CQ92)*CQ$6*(CQ12&gt;0)</f>
        <v>-0</v>
      </c>
      <c r="CR97" s="47" t="n">
        <f aca="false">-In_Commitment_Fee*($I92-SUM($J92:CR92)+CR92)*CR$6*(CR12&gt;0)</f>
        <v>-0</v>
      </c>
      <c r="CS97" s="47" t="n">
        <f aca="false">-In_Commitment_Fee*($I92-SUM($J92:CS92)+CS92)*CS$6*(CS12&gt;0)</f>
        <v>-0</v>
      </c>
      <c r="CT97" s="47" t="n">
        <f aca="false">-In_Commitment_Fee*($I92-SUM($J92:CT92)+CT92)*CT$6*(CT12&gt;0)</f>
        <v>-0</v>
      </c>
      <c r="CU97" s="47" t="n">
        <f aca="false">-In_Commitment_Fee*($I92-SUM($J92:CU92)+CU92)*CU$6*(CU12&gt;0)</f>
        <v>-0</v>
      </c>
      <c r="CV97" s="47" t="n">
        <f aca="false">-In_Commitment_Fee*($I92-SUM($J92:CV92)+CV92)*CV$6*(CV12&gt;0)</f>
        <v>-0</v>
      </c>
      <c r="CW97" s="47" t="n">
        <f aca="false">-In_Commitment_Fee*($I92-SUM($J92:CW92)+CW92)*CW$6*(CW12&gt;0)</f>
        <v>-0</v>
      </c>
      <c r="CX97" s="47" t="n">
        <f aca="false">-In_Commitment_Fee*($I92-SUM($J92:CX92)+CX92)*CX$6*(CX12&gt;0)</f>
        <v>-0</v>
      </c>
      <c r="CY97" s="47" t="n">
        <f aca="false">-In_Commitment_Fee*($I92-SUM($J92:CY92)+CY92)*CY$6*(CY12&gt;0)</f>
        <v>-0</v>
      </c>
      <c r="CZ97" s="47" t="n">
        <f aca="false">-In_Commitment_Fee*($I92-SUM($J92:CZ92)+CZ92)*CZ$6*(CZ12&gt;0)</f>
        <v>-0</v>
      </c>
      <c r="DA97" s="47" t="n">
        <f aca="false">-In_Commitment_Fee*($I92-SUM($J92:DA92)+DA92)*DA$6*(DA12&gt;0)</f>
        <v>-0</v>
      </c>
      <c r="DB97" s="47" t="n">
        <f aca="false">-In_Commitment_Fee*($I92-SUM($J92:DB92)+DB92)*DB$6*(DB12&gt;0)</f>
        <v>-0</v>
      </c>
      <c r="DC97" s="47" t="n">
        <f aca="false">-In_Commitment_Fee*($I92-SUM($J92:DC92)+DC92)*DC$6*(DC12&gt;0)</f>
        <v>-0</v>
      </c>
      <c r="DD97" s="47" t="n">
        <f aca="false">-In_Commitment_Fee*($I92-SUM($J92:DD92)+DD92)*DD$6*(DD12&gt;0)</f>
        <v>-0</v>
      </c>
      <c r="DE97" s="47" t="n">
        <f aca="false">-In_Commitment_Fee*($I92-SUM($J92:DE92)+DE92)*DE$6*(DE12&gt;0)</f>
        <v>-0</v>
      </c>
      <c r="DF97" s="47" t="n">
        <f aca="false">-In_Commitment_Fee*($I92-SUM($J92:DF92)+DF92)*DF$6*(DF12&gt;0)</f>
        <v>-0</v>
      </c>
      <c r="DG97" s="47" t="n">
        <f aca="false">-In_Commitment_Fee*($I92-SUM($J92:DG92)+DG92)*DG$6*(DG12&gt;0)</f>
        <v>-0</v>
      </c>
      <c r="DH97" s="47" t="n">
        <f aca="false">-In_Commitment_Fee*($I92-SUM($J92:DH92)+DH92)*DH$6*(DH12&gt;0)</f>
        <v>-0</v>
      </c>
      <c r="DI97" s="47" t="n">
        <f aca="false">-In_Commitment_Fee*($I92-SUM($J92:DI92)+DI92)*DI$6*(DI12&gt;0)</f>
        <v>-0</v>
      </c>
      <c r="DJ97" s="47" t="n">
        <f aca="false">-In_Commitment_Fee*($I92-SUM($J92:DJ92)+DJ92)*DJ$6*(DJ12&gt;0)</f>
        <v>-0</v>
      </c>
      <c r="DK97" s="47" t="n">
        <f aca="false">-In_Commitment_Fee*($I92-SUM($J92:DK92)+DK92)*DK$6*(DK12&gt;0)</f>
        <v>-0</v>
      </c>
      <c r="DL97" s="47" t="n">
        <f aca="false">-In_Commitment_Fee*($I92-SUM($J92:DL92)+DL92)*DL$6*(DL12&gt;0)</f>
        <v>-0</v>
      </c>
      <c r="DM97" s="47" t="n">
        <f aca="false">-In_Commitment_Fee*($I92-SUM($J92:DM92)+DM92)*DM$6*(DM12&gt;0)</f>
        <v>-0</v>
      </c>
      <c r="DN97" s="47" t="n">
        <f aca="false">-In_Commitment_Fee*($I92-SUM($J92:DN92)+DN92)*DN$6*(DN12&gt;0)</f>
        <v>-0</v>
      </c>
      <c r="DO97" s="47" t="n">
        <f aca="false">-In_Commitment_Fee*($I92-SUM($J92:DO92)+DO92)*DO$6*(DO12&gt;0)</f>
        <v>-0</v>
      </c>
      <c r="DP97" s="47" t="n">
        <f aca="false">-In_Commitment_Fee*($I92-SUM($J92:DP92)+DP92)*DP$6*(DP12&gt;0)</f>
        <v>-0</v>
      </c>
      <c r="DQ97" s="47" t="n">
        <f aca="false">-In_Commitment_Fee*($I92-SUM($J92:DQ92)+DQ92)*DQ$6*(DQ12&gt;0)</f>
        <v>-0</v>
      </c>
      <c r="DR97" s="47" t="n">
        <f aca="false">-In_Commitment_Fee*($I92-SUM($J92:DR92)+DR92)*DR$6*(DR12&gt;0)</f>
        <v>-0</v>
      </c>
      <c r="DS97" s="47" t="n">
        <f aca="false">-In_Commitment_Fee*($I92-SUM($J92:DS92)+DS92)*DS$6*(DS12&gt;0)</f>
        <v>-0</v>
      </c>
      <c r="DT97" s="47" t="n">
        <f aca="false">-In_Commitment_Fee*($I92-SUM($J92:DT92)+DT92)*DT$6*(DT12&gt;0)</f>
        <v>-0</v>
      </c>
      <c r="DU97" s="47" t="n">
        <f aca="false">-In_Commitment_Fee*($I92-SUM($J92:DU92)+DU92)*DU$6*(DU12&gt;0)</f>
        <v>-0</v>
      </c>
      <c r="DV97" s="47" t="n">
        <f aca="false">-In_Commitment_Fee*($I92-SUM($J92:DV92)+DV92)*DV$6*(DV12&gt;0)</f>
        <v>-0</v>
      </c>
      <c r="DW97" s="47" t="n">
        <f aca="false">-In_Commitment_Fee*($I92-SUM($J92:DW92)+DW92)*DW$6*(DW12&gt;0)</f>
        <v>-0</v>
      </c>
      <c r="DX97" s="47" t="n">
        <f aca="false">-In_Commitment_Fee*($I92-SUM($J92:DX92)+DX92)*DX$6*(DX12&gt;0)</f>
        <v>-0</v>
      </c>
      <c r="DY97" s="47" t="n">
        <f aca="false">-In_Commitment_Fee*($I92-SUM($J92:DY92)+DY92)*DY$6*(DY12&gt;0)</f>
        <v>-0</v>
      </c>
      <c r="DZ97" s="47" t="n">
        <f aca="false">-In_Commitment_Fee*($I92-SUM($J92:DZ92)+DZ92)*DZ$6*(DZ12&gt;0)</f>
        <v>-0</v>
      </c>
      <c r="EA97" s="47" t="n">
        <f aca="false">-In_Commitment_Fee*($I92-SUM($J92:EA92)+EA92)*EA$6*(EA12&gt;0)</f>
        <v>-0</v>
      </c>
      <c r="EB97" s="47" t="n">
        <f aca="false">-In_Commitment_Fee*($I92-SUM($J92:EB92)+EB92)*EB$6*(EB12&gt;0)</f>
        <v>-0</v>
      </c>
      <c r="EC97" s="47" t="n">
        <f aca="false">-In_Commitment_Fee*($I92-SUM($J92:EC92)+EC92)*EC$6*(EC12&gt;0)</f>
        <v>-0</v>
      </c>
      <c r="ED97" s="47" t="n">
        <f aca="false">-In_Commitment_Fee*($I92-SUM($J92:ED92)+ED92)*ED$6*(ED12&gt;0)</f>
        <v>-0</v>
      </c>
      <c r="EE97" s="47" t="n">
        <f aca="false">-In_Commitment_Fee*($I92-SUM($J92:EE92)+EE92)*EE$6*(EE12&gt;0)</f>
        <v>-0</v>
      </c>
      <c r="EF97" s="47" t="n">
        <f aca="false">-In_Commitment_Fee*($I92-SUM($J92:EF92)+EF92)*EF$6*(EF12&gt;0)</f>
        <v>-0</v>
      </c>
      <c r="EG97" s="47" t="n">
        <f aca="false">-In_Commitment_Fee*($I92-SUM($J92:EG92)+EG92)*EG$6*(EG12&gt;0)</f>
        <v>-0</v>
      </c>
      <c r="EH97" s="47" t="n">
        <f aca="false">-In_Commitment_Fee*($I92-SUM($J92:EH92)+EH92)*EH$6*(EH12&gt;0)</f>
        <v>-0</v>
      </c>
      <c r="EI97" s="47" t="n">
        <f aca="false">-In_Commitment_Fee*($I92-SUM($J92:EI92)+EI92)*EI$6*(EI12&gt;0)</f>
        <v>-0</v>
      </c>
      <c r="EJ97" s="47" t="n">
        <f aca="false">-In_Commitment_Fee*($I92-SUM($J92:EJ92)+EJ92)*EJ$6*(EJ12&gt;0)</f>
        <v>-0</v>
      </c>
      <c r="EK97" s="47" t="n">
        <f aca="false">-In_Commitment_Fee*($I92-SUM($J92:EK92)+EK92)*EK$6*(EK12&gt;0)</f>
        <v>-0</v>
      </c>
      <c r="EL97" s="47" t="n">
        <f aca="false">-In_Commitment_Fee*($I92-SUM($J92:EL92)+EL92)*EL$6*(EL12&gt;0)</f>
        <v>-0</v>
      </c>
      <c r="EM97" s="47" t="n">
        <f aca="false">-In_Commitment_Fee*($I92-SUM($J92:EM92)+EM92)*EM$6*(EM12&gt;0)</f>
        <v>-0</v>
      </c>
      <c r="EN97" s="47" t="n">
        <f aca="false">-In_Commitment_Fee*($I92-SUM($J92:EN92)+EN92)*EN$6*(EN12&gt;0)</f>
        <v>-0</v>
      </c>
      <c r="EO97" s="47" t="n">
        <f aca="false">-In_Commitment_Fee*($I92-SUM($J92:EO92)+EO92)*EO$6*(EO12&gt;0)</f>
        <v>-0</v>
      </c>
    </row>
    <row r="98" customFormat="false" ht="15" hidden="false" customHeight="false" outlineLevel="0" collapsed="false">
      <c r="C98" s="0" t="s">
        <v>443</v>
      </c>
      <c r="D98" s="11" t="s">
        <v>33</v>
      </c>
      <c r="E98" s="47" t="n">
        <f aca="false">-SUMIFS($J90:$EO90,$J$4:$EO$4,"&gt;"&amp;In_COD,$J$4:$EO$4,"&lt;="&amp;EDATE(In_COD,In_DSRA_Months))</f>
        <v>1135.47210281793</v>
      </c>
      <c r="I98" s="47" t="n">
        <f aca="false">SUM(J98:EO98)</f>
        <v>0</v>
      </c>
      <c r="J98" s="47" t="n">
        <f aca="false">$E98*(J18-J14)</f>
        <v>0</v>
      </c>
      <c r="K98" s="47" t="n">
        <f aca="false">$E98*(K18-K14)</f>
        <v>0</v>
      </c>
      <c r="L98" s="47" t="n">
        <f aca="false">$E98*(L18-L14)</f>
        <v>0</v>
      </c>
      <c r="M98" s="47" t="n">
        <f aca="false">$E98*(M18-M14)</f>
        <v>0</v>
      </c>
      <c r="N98" s="47" t="n">
        <f aca="false">$E98*(N18-N14)</f>
        <v>0</v>
      </c>
      <c r="O98" s="47" t="n">
        <f aca="false">$E98*(O18-O14)</f>
        <v>0</v>
      </c>
      <c r="P98" s="47" t="n">
        <f aca="false">$E98*(P18-P14)</f>
        <v>0</v>
      </c>
      <c r="Q98" s="47" t="n">
        <f aca="false">$E98*(Q18-Q14)</f>
        <v>0</v>
      </c>
      <c r="R98" s="47" t="n">
        <f aca="false">$E98*(R18-R14)</f>
        <v>0</v>
      </c>
      <c r="S98" s="47" t="n">
        <f aca="false">$E98*(S18-S14)</f>
        <v>0</v>
      </c>
      <c r="T98" s="47" t="n">
        <f aca="false">$E98*(T18-T14)</f>
        <v>0</v>
      </c>
      <c r="U98" s="47" t="n">
        <f aca="false">$E98*(U18-U14)</f>
        <v>0</v>
      </c>
      <c r="V98" s="47" t="n">
        <f aca="false">$E98*(V18-V14)</f>
        <v>0</v>
      </c>
      <c r="W98" s="47" t="n">
        <f aca="false">$E98*(W18-W14)</f>
        <v>0</v>
      </c>
      <c r="X98" s="47" t="n">
        <f aca="false">$E98*(X18-X14)</f>
        <v>0</v>
      </c>
      <c r="Y98" s="47" t="n">
        <f aca="false">$E98*(Y18-Y14)</f>
        <v>-1135.47210281793</v>
      </c>
      <c r="Z98" s="47" t="n">
        <f aca="false">$E98*(Z18-Z14)</f>
        <v>0</v>
      </c>
      <c r="AA98" s="47" t="n">
        <f aca="false">$E98*(AA18-AA14)</f>
        <v>0</v>
      </c>
      <c r="AB98" s="47" t="n">
        <f aca="false">$E98*(AB18-AB14)</f>
        <v>0</v>
      </c>
      <c r="AC98" s="47" t="n">
        <f aca="false">$E98*(AC18-AC14)</f>
        <v>0</v>
      </c>
      <c r="AD98" s="47" t="n">
        <f aca="false">$E98*(AD18-AD14)</f>
        <v>0</v>
      </c>
      <c r="AE98" s="47" t="n">
        <f aca="false">$E98*(AE18-AE14)</f>
        <v>0</v>
      </c>
      <c r="AF98" s="47" t="n">
        <f aca="false">$E98*(AF18-AF14)</f>
        <v>0</v>
      </c>
      <c r="AG98" s="47" t="n">
        <f aca="false">$E98*(AG18-AG14)</f>
        <v>0</v>
      </c>
      <c r="AH98" s="47" t="n">
        <f aca="false">$E98*(AH18-AH14)</f>
        <v>0</v>
      </c>
      <c r="AI98" s="47" t="n">
        <f aca="false">$E98*(AI18-AI14)</f>
        <v>0</v>
      </c>
      <c r="AJ98" s="47" t="n">
        <f aca="false">$E98*(AJ18-AJ14)</f>
        <v>0</v>
      </c>
      <c r="AK98" s="47" t="n">
        <f aca="false">$E98*(AK18-AK14)</f>
        <v>0</v>
      </c>
      <c r="AL98" s="47" t="n">
        <f aca="false">$E98*(AL18-AL14)</f>
        <v>0</v>
      </c>
      <c r="AM98" s="47" t="n">
        <f aca="false">$E98*(AM18-AM14)</f>
        <v>0</v>
      </c>
      <c r="AN98" s="47" t="n">
        <f aca="false">$E98*(AN18-AN14)</f>
        <v>0</v>
      </c>
      <c r="AO98" s="47" t="n">
        <f aca="false">$E98*(AO18-AO14)</f>
        <v>0</v>
      </c>
      <c r="AP98" s="47" t="n">
        <f aca="false">$E98*(AP18-AP14)</f>
        <v>0</v>
      </c>
      <c r="AQ98" s="47" t="n">
        <f aca="false">$E98*(AQ18-AQ14)</f>
        <v>0</v>
      </c>
      <c r="AR98" s="47" t="n">
        <f aca="false">$E98*(AR18-AR14)</f>
        <v>0</v>
      </c>
      <c r="AS98" s="47" t="n">
        <f aca="false">$E98*(AS18-AS14)</f>
        <v>0</v>
      </c>
      <c r="AT98" s="47" t="n">
        <f aca="false">$E98*(AT18-AT14)</f>
        <v>0</v>
      </c>
      <c r="AU98" s="47" t="n">
        <f aca="false">$E98*(AU18-AU14)</f>
        <v>0</v>
      </c>
      <c r="AV98" s="47" t="n">
        <f aca="false">$E98*(AV18-AV14)</f>
        <v>0</v>
      </c>
      <c r="AW98" s="47" t="n">
        <f aca="false">$E98*(AW18-AW14)</f>
        <v>0</v>
      </c>
      <c r="AX98" s="47" t="n">
        <f aca="false">$E98*(AX18-AX14)</f>
        <v>0</v>
      </c>
      <c r="AY98" s="47" t="n">
        <f aca="false">$E98*(AY18-AY14)</f>
        <v>0</v>
      </c>
      <c r="AZ98" s="47" t="n">
        <f aca="false">$E98*(AZ18-AZ14)</f>
        <v>0</v>
      </c>
      <c r="BA98" s="47" t="n">
        <f aca="false">$E98*(BA18-BA14)</f>
        <v>0</v>
      </c>
      <c r="BB98" s="47" t="n">
        <f aca="false">$E98*(BB18-BB14)</f>
        <v>0</v>
      </c>
      <c r="BC98" s="47" t="n">
        <f aca="false">$E98*(BC18-BC14)</f>
        <v>0</v>
      </c>
      <c r="BD98" s="47" t="n">
        <f aca="false">$E98*(BD18-BD14)</f>
        <v>0</v>
      </c>
      <c r="BE98" s="47" t="n">
        <f aca="false">$E98*(BE18-BE14)</f>
        <v>0</v>
      </c>
      <c r="BF98" s="47" t="n">
        <f aca="false">$E98*(BF18-BF14)</f>
        <v>0</v>
      </c>
      <c r="BG98" s="47" t="n">
        <f aca="false">$E98*(BG18-BG14)</f>
        <v>0</v>
      </c>
      <c r="BH98" s="47" t="n">
        <f aca="false">$E98*(BH18-BH14)</f>
        <v>0</v>
      </c>
      <c r="BI98" s="47" t="n">
        <f aca="false">$E98*(BI18-BI14)</f>
        <v>0</v>
      </c>
      <c r="BJ98" s="47" t="n">
        <f aca="false">$E98*(BJ18-BJ14)</f>
        <v>0</v>
      </c>
      <c r="BK98" s="47" t="n">
        <f aca="false">$E98*(BK18-BK14)</f>
        <v>0</v>
      </c>
      <c r="BL98" s="47" t="n">
        <f aca="false">$E98*(BL18-BL14)</f>
        <v>0</v>
      </c>
      <c r="BM98" s="47" t="n">
        <f aca="false">$E98*(BM18-BM14)</f>
        <v>0</v>
      </c>
      <c r="BN98" s="47" t="n">
        <f aca="false">$E98*(BN18-BN14)</f>
        <v>0</v>
      </c>
      <c r="BO98" s="47" t="n">
        <f aca="false">$E98*(BO18-BO14)</f>
        <v>0</v>
      </c>
      <c r="BP98" s="47" t="n">
        <f aca="false">$E98*(BP18-BP14)</f>
        <v>0</v>
      </c>
      <c r="BQ98" s="47" t="n">
        <f aca="false">$E98*(BQ18-BQ14)</f>
        <v>0</v>
      </c>
      <c r="BR98" s="47" t="n">
        <f aca="false">$E98*(BR18-BR14)</f>
        <v>0</v>
      </c>
      <c r="BS98" s="47" t="n">
        <f aca="false">$E98*(BS18-BS14)</f>
        <v>0</v>
      </c>
      <c r="BT98" s="47" t="n">
        <f aca="false">$E98*(BT18-BT14)</f>
        <v>0</v>
      </c>
      <c r="BU98" s="47" t="n">
        <f aca="false">$E98*(BU18-BU14)</f>
        <v>0</v>
      </c>
      <c r="BV98" s="47" t="n">
        <f aca="false">$E98*(BV18-BV14)</f>
        <v>0</v>
      </c>
      <c r="BW98" s="47" t="n">
        <f aca="false">$E98*(BW18-BW14)</f>
        <v>0</v>
      </c>
      <c r="BX98" s="47" t="n">
        <f aca="false">$E98*(BX18-BX14)</f>
        <v>0</v>
      </c>
      <c r="BY98" s="47" t="n">
        <f aca="false">$E98*(BY18-BY14)</f>
        <v>0</v>
      </c>
      <c r="BZ98" s="47" t="n">
        <f aca="false">$E98*(BZ18-BZ14)</f>
        <v>0</v>
      </c>
      <c r="CA98" s="47" t="n">
        <f aca="false">$E98*(CA18-CA14)</f>
        <v>0</v>
      </c>
      <c r="CB98" s="47" t="n">
        <f aca="false">$E98*(CB18-CB14)</f>
        <v>0</v>
      </c>
      <c r="CC98" s="47" t="n">
        <f aca="false">$E98*(CC18-CC14)</f>
        <v>0</v>
      </c>
      <c r="CD98" s="47" t="n">
        <f aca="false">$E98*(CD18-CD14)</f>
        <v>0</v>
      </c>
      <c r="CE98" s="47" t="n">
        <f aca="false">$E98*(CE18-CE14)</f>
        <v>0</v>
      </c>
      <c r="CF98" s="47" t="n">
        <f aca="false">$E98*(CF18-CF14)</f>
        <v>0</v>
      </c>
      <c r="CG98" s="47" t="n">
        <f aca="false">$E98*(CG18-CG14)</f>
        <v>0</v>
      </c>
      <c r="CH98" s="47" t="n">
        <f aca="false">$E98*(CH18-CH14)</f>
        <v>0</v>
      </c>
      <c r="CI98" s="47" t="n">
        <f aca="false">$E98*(CI18-CI14)</f>
        <v>0</v>
      </c>
      <c r="CJ98" s="47" t="n">
        <f aca="false">$E98*(CJ18-CJ14)</f>
        <v>0</v>
      </c>
      <c r="CK98" s="47" t="n">
        <f aca="false">$E98*(CK18-CK14)</f>
        <v>0</v>
      </c>
      <c r="CL98" s="47" t="n">
        <f aca="false">$E98*(CL18-CL14)</f>
        <v>0</v>
      </c>
      <c r="CM98" s="47" t="n">
        <f aca="false">$E98*(CM18-CM14)</f>
        <v>0</v>
      </c>
      <c r="CN98" s="47" t="n">
        <f aca="false">$E98*(CN18-CN14)</f>
        <v>0</v>
      </c>
      <c r="CO98" s="47" t="n">
        <f aca="false">$E98*(CO18-CO14)</f>
        <v>0</v>
      </c>
      <c r="CP98" s="47" t="n">
        <f aca="false">$E98*(CP18-CP14)</f>
        <v>0</v>
      </c>
      <c r="CQ98" s="47" t="n">
        <f aca="false">$E98*(CQ18-CQ14)</f>
        <v>0</v>
      </c>
      <c r="CR98" s="47" t="n">
        <f aca="false">$E98*(CR18-CR14)</f>
        <v>0</v>
      </c>
      <c r="CS98" s="47" t="n">
        <f aca="false">$E98*(CS18-CS14)</f>
        <v>1135.47210281793</v>
      </c>
      <c r="CT98" s="47" t="n">
        <f aca="false">$E98*(CT18-CT14)</f>
        <v>0</v>
      </c>
      <c r="CU98" s="47" t="n">
        <f aca="false">$E98*(CU18-CU14)</f>
        <v>0</v>
      </c>
      <c r="CV98" s="47" t="n">
        <f aca="false">$E98*(CV18-CV14)</f>
        <v>0</v>
      </c>
      <c r="CW98" s="47" t="n">
        <f aca="false">$E98*(CW18-CW14)</f>
        <v>0</v>
      </c>
      <c r="CX98" s="47" t="n">
        <f aca="false">$E98*(CX18-CX14)</f>
        <v>0</v>
      </c>
      <c r="CY98" s="47" t="n">
        <f aca="false">$E98*(CY18-CY14)</f>
        <v>0</v>
      </c>
      <c r="CZ98" s="47" t="n">
        <f aca="false">$E98*(CZ18-CZ14)</f>
        <v>0</v>
      </c>
      <c r="DA98" s="47" t="n">
        <f aca="false">$E98*(DA18-DA14)</f>
        <v>0</v>
      </c>
      <c r="DB98" s="47" t="n">
        <f aca="false">$E98*(DB18-DB14)</f>
        <v>0</v>
      </c>
      <c r="DC98" s="47" t="n">
        <f aca="false">$E98*(DC18-DC14)</f>
        <v>0</v>
      </c>
      <c r="DD98" s="47" t="n">
        <f aca="false">$E98*(DD18-DD14)</f>
        <v>0</v>
      </c>
      <c r="DE98" s="47" t="n">
        <f aca="false">$E98*(DE18-DE14)</f>
        <v>0</v>
      </c>
      <c r="DF98" s="47" t="n">
        <f aca="false">$E98*(DF18-DF14)</f>
        <v>0</v>
      </c>
      <c r="DG98" s="47" t="n">
        <f aca="false">$E98*(DG18-DG14)</f>
        <v>0</v>
      </c>
      <c r="DH98" s="47" t="n">
        <f aca="false">$E98*(DH18-DH14)</f>
        <v>0</v>
      </c>
      <c r="DI98" s="47" t="n">
        <f aca="false">$E98*(DI18-DI14)</f>
        <v>0</v>
      </c>
      <c r="DJ98" s="47" t="n">
        <f aca="false">$E98*(DJ18-DJ14)</f>
        <v>0</v>
      </c>
      <c r="DK98" s="47" t="n">
        <f aca="false">$E98*(DK18-DK14)</f>
        <v>0</v>
      </c>
      <c r="DL98" s="47" t="n">
        <f aca="false">$E98*(DL18-DL14)</f>
        <v>0</v>
      </c>
      <c r="DM98" s="47" t="n">
        <f aca="false">$E98*(DM18-DM14)</f>
        <v>0</v>
      </c>
      <c r="DN98" s="47" t="n">
        <f aca="false">$E98*(DN18-DN14)</f>
        <v>0</v>
      </c>
      <c r="DO98" s="47" t="n">
        <f aca="false">$E98*(DO18-DO14)</f>
        <v>0</v>
      </c>
      <c r="DP98" s="47" t="n">
        <f aca="false">$E98*(DP18-DP14)</f>
        <v>0</v>
      </c>
      <c r="DQ98" s="47" t="n">
        <f aca="false">$E98*(DQ18-DQ14)</f>
        <v>0</v>
      </c>
      <c r="DR98" s="47" t="n">
        <f aca="false">$E98*(DR18-DR14)</f>
        <v>0</v>
      </c>
      <c r="DS98" s="47" t="n">
        <f aca="false">$E98*(DS18-DS14)</f>
        <v>0</v>
      </c>
      <c r="DT98" s="47" t="n">
        <f aca="false">$E98*(DT18-DT14)</f>
        <v>0</v>
      </c>
      <c r="DU98" s="47" t="n">
        <f aca="false">$E98*(DU18-DU14)</f>
        <v>0</v>
      </c>
      <c r="DV98" s="47" t="n">
        <f aca="false">$E98*(DV18-DV14)</f>
        <v>0</v>
      </c>
      <c r="DW98" s="47" t="n">
        <f aca="false">$E98*(DW18-DW14)</f>
        <v>0</v>
      </c>
      <c r="DX98" s="47" t="n">
        <f aca="false">$E98*(DX18-DX14)</f>
        <v>0</v>
      </c>
      <c r="DY98" s="47" t="n">
        <f aca="false">$E98*(DY18-DY14)</f>
        <v>0</v>
      </c>
      <c r="DZ98" s="47" t="n">
        <f aca="false">$E98*(DZ18-DZ14)</f>
        <v>0</v>
      </c>
      <c r="EA98" s="47" t="n">
        <f aca="false">$E98*(EA18-EA14)</f>
        <v>0</v>
      </c>
      <c r="EB98" s="47" t="n">
        <f aca="false">$E98*(EB18-EB14)</f>
        <v>0</v>
      </c>
      <c r="EC98" s="47" t="n">
        <f aca="false">$E98*(EC18-EC14)</f>
        <v>0</v>
      </c>
      <c r="ED98" s="47" t="n">
        <f aca="false">$E98*(ED18-ED14)</f>
        <v>0</v>
      </c>
      <c r="EE98" s="47" t="n">
        <f aca="false">$E98*(EE18-EE14)</f>
        <v>0</v>
      </c>
      <c r="EF98" s="47" t="n">
        <f aca="false">$E98*(EF18-EF14)</f>
        <v>0</v>
      </c>
      <c r="EG98" s="47" t="n">
        <f aca="false">$E98*(EG18-EG14)</f>
        <v>0</v>
      </c>
      <c r="EH98" s="47" t="n">
        <f aca="false">$E98*(EH18-EH14)</f>
        <v>0</v>
      </c>
      <c r="EI98" s="47" t="n">
        <f aca="false">$E98*(EI18-EI14)</f>
        <v>0</v>
      </c>
      <c r="EJ98" s="47" t="n">
        <f aca="false">$E98*(EJ18-EJ14)</f>
        <v>0</v>
      </c>
      <c r="EK98" s="47" t="n">
        <f aca="false">$E98*(EK18-EK14)</f>
        <v>0</v>
      </c>
      <c r="EL98" s="47" t="n">
        <f aca="false">$E98*(EL18-EL14)</f>
        <v>0</v>
      </c>
      <c r="EM98" s="47" t="n">
        <f aca="false">$E98*(EM18-EM14)</f>
        <v>0</v>
      </c>
      <c r="EN98" s="47" t="n">
        <f aca="false">$E98*(EN18-EN14)</f>
        <v>0</v>
      </c>
      <c r="EO98" s="47" t="n">
        <f aca="false">$E98*(EO18-EO14)</f>
        <v>0</v>
      </c>
    </row>
    <row r="99" customFormat="false" ht="15" hidden="false" customHeight="false" outlineLevel="0" collapsed="false">
      <c r="C99" s="0" t="s">
        <v>444</v>
      </c>
      <c r="D99" s="11" t="s">
        <v>13</v>
      </c>
      <c r="E99" s="52" t="n">
        <f aca="false">MIN($J99:$EO99)</f>
        <v>1.92694591063623</v>
      </c>
      <c r="J99" s="52" t="str">
        <f aca="false">IF(J90&lt;0,J83/-J90,"")</f>
        <v/>
      </c>
      <c r="K99" s="52" t="str">
        <f aca="false">IF(K90&lt;0,K83/-K90,"")</f>
        <v/>
      </c>
      <c r="L99" s="52" t="str">
        <f aca="false">IF(L90&lt;0,L83/-L90,"")</f>
        <v/>
      </c>
      <c r="M99" s="52" t="str">
        <f aca="false">IF(M90&lt;0,M83/-M90,"")</f>
        <v/>
      </c>
      <c r="N99" s="52" t="str">
        <f aca="false">IF(N90&lt;0,N83/-N90,"")</f>
        <v/>
      </c>
      <c r="O99" s="52" t="str">
        <f aca="false">IF(O90&lt;0,O83/-O90,"")</f>
        <v/>
      </c>
      <c r="P99" s="52" t="str">
        <f aca="false">IF(P90&lt;0,P83/-P90,"")</f>
        <v/>
      </c>
      <c r="Q99" s="52" t="str">
        <f aca="false">IF(Q90&lt;0,Q83/-Q90,"")</f>
        <v/>
      </c>
      <c r="R99" s="52" t="str">
        <f aca="false">IF(R90&lt;0,R83/-R90,"")</f>
        <v/>
      </c>
      <c r="S99" s="52" t="str">
        <f aca="false">IF(S90&lt;0,S83/-S90,"")</f>
        <v/>
      </c>
      <c r="T99" s="52" t="str">
        <f aca="false">IF(T90&lt;0,T83/-T90,"")</f>
        <v/>
      </c>
      <c r="U99" s="52" t="str">
        <f aca="false">IF(U90&lt;0,U83/-U90,"")</f>
        <v/>
      </c>
      <c r="V99" s="52" t="str">
        <f aca="false">IF(V90&lt;0,V83/-V90,"")</f>
        <v/>
      </c>
      <c r="W99" s="52" t="str">
        <f aca="false">IF(W90&lt;0,W83/-W90,"")</f>
        <v/>
      </c>
      <c r="X99" s="52" t="str">
        <f aca="false">IF(X90&lt;0,X83/-X90,"")</f>
        <v/>
      </c>
      <c r="Y99" s="52" t="str">
        <f aca="false">IF(Y90&lt;0,Y83/-Y90,"")</f>
        <v/>
      </c>
      <c r="Z99" s="52" t="n">
        <f aca="false">IF(Z90&lt;0,Z83/-Z90,"")</f>
        <v>1.92694591063623</v>
      </c>
      <c r="AA99" s="52" t="n">
        <f aca="false">IF(AA90&lt;0,AA83/-AA90,"")</f>
        <v>1.92694591063623</v>
      </c>
      <c r="AB99" s="52" t="n">
        <f aca="false">IF(AB90&lt;0,AB83/-AB90,"")</f>
        <v>1.92694591063623</v>
      </c>
      <c r="AC99" s="52" t="n">
        <f aca="false">IF(AC90&lt;0,AC83/-AC90,"")</f>
        <v>1.92694591063623</v>
      </c>
      <c r="AD99" s="52" t="n">
        <f aca="false">IF(AD90&lt;0,AD83/-AD90,"")</f>
        <v>1.92694591063623</v>
      </c>
      <c r="AE99" s="52" t="n">
        <f aca="false">IF(AE90&lt;0,AE83/-AE90,"")</f>
        <v>1.92694591063623</v>
      </c>
      <c r="AF99" s="52" t="n">
        <f aca="false">IF(AF90&lt;0,AF83/-AF90,"")</f>
        <v>1.92694591063623</v>
      </c>
      <c r="AG99" s="52" t="n">
        <f aca="false">IF(AG90&lt;0,AG83/-AG90,"")</f>
        <v>1.92694591063623</v>
      </c>
      <c r="AH99" s="52" t="n">
        <f aca="false">IF(AH90&lt;0,AH83/-AH90,"")</f>
        <v>1.92694591063623</v>
      </c>
      <c r="AI99" s="52" t="n">
        <f aca="false">IF(AI90&lt;0,AI83/-AI90,"")</f>
        <v>1.92694591063623</v>
      </c>
      <c r="AJ99" s="52" t="n">
        <f aca="false">IF(AJ90&lt;0,AJ83/-AJ90,"")</f>
        <v>1.92694591063623</v>
      </c>
      <c r="AK99" s="52" t="n">
        <f aca="false">IF(AK90&lt;0,AK83/-AK90,"")</f>
        <v>1.92694591063623</v>
      </c>
      <c r="AL99" s="52" t="n">
        <f aca="false">IF(AL90&lt;0,AL83/-AL90,"")</f>
        <v>1.92694591063623</v>
      </c>
      <c r="AM99" s="52" t="n">
        <f aca="false">IF(AM90&lt;0,AM83/-AM90,"")</f>
        <v>1.92694591063623</v>
      </c>
      <c r="AN99" s="52" t="n">
        <f aca="false">IF(AN90&lt;0,AN83/-AN90,"")</f>
        <v>1.92694591063623</v>
      </c>
      <c r="AO99" s="52" t="n">
        <f aca="false">IF(AO90&lt;0,AO83/-AO90,"")</f>
        <v>1.92694591063623</v>
      </c>
      <c r="AP99" s="52" t="n">
        <f aca="false">IF(AP90&lt;0,AP83/-AP90,"")</f>
        <v>1.92694591063623</v>
      </c>
      <c r="AQ99" s="52" t="n">
        <f aca="false">IF(AQ90&lt;0,AQ83/-AQ90,"")</f>
        <v>1.92694591063623</v>
      </c>
      <c r="AR99" s="52" t="n">
        <f aca="false">IF(AR90&lt;0,AR83/-AR90,"")</f>
        <v>1.92694591063623</v>
      </c>
      <c r="AS99" s="52" t="n">
        <f aca="false">IF(AS90&lt;0,AS83/-AS90,"")</f>
        <v>1.92694591063623</v>
      </c>
      <c r="AT99" s="52" t="n">
        <f aca="false">IF(AT90&lt;0,AT83/-AT90,"")</f>
        <v>1.92694591063623</v>
      </c>
      <c r="AU99" s="52" t="n">
        <f aca="false">IF(AU90&lt;0,AU83/-AU90,"")</f>
        <v>1.92694591063623</v>
      </c>
      <c r="AV99" s="52" t="n">
        <f aca="false">IF(AV90&lt;0,AV83/-AV90,"")</f>
        <v>1.92694591063623</v>
      </c>
      <c r="AW99" s="52" t="n">
        <f aca="false">IF(AW90&lt;0,AW83/-AW90,"")</f>
        <v>1.92694591063623</v>
      </c>
      <c r="AX99" s="52" t="n">
        <f aca="false">IF(AX90&lt;0,AX83/-AX90,"")</f>
        <v>1.92694591063623</v>
      </c>
      <c r="AY99" s="52" t="n">
        <f aca="false">IF(AY90&lt;0,AY83/-AY90,"")</f>
        <v>1.92694591063623</v>
      </c>
      <c r="AZ99" s="52" t="n">
        <f aca="false">IF(AZ90&lt;0,AZ83/-AZ90,"")</f>
        <v>1.92694591063623</v>
      </c>
      <c r="BA99" s="52" t="n">
        <f aca="false">IF(BA90&lt;0,BA83/-BA90,"")</f>
        <v>1.92694591063623</v>
      </c>
      <c r="BB99" s="52" t="n">
        <f aca="false">IF(BB90&lt;0,BB83/-BB90,"")</f>
        <v>1.92694591063623</v>
      </c>
      <c r="BC99" s="52" t="n">
        <f aca="false">IF(BC90&lt;0,BC83/-BC90,"")</f>
        <v>1.92694591063623</v>
      </c>
      <c r="BD99" s="52" t="n">
        <f aca="false">IF(BD90&lt;0,BD83/-BD90,"")</f>
        <v>1.92694591063623</v>
      </c>
      <c r="BE99" s="52" t="n">
        <f aca="false">IF(BE90&lt;0,BE83/-BE90,"")</f>
        <v>1.92694591063623</v>
      </c>
      <c r="BF99" s="52" t="n">
        <f aca="false">IF(BF90&lt;0,BF83/-BF90,"")</f>
        <v>1.92694591063623</v>
      </c>
      <c r="BG99" s="52" t="n">
        <f aca="false">IF(BG90&lt;0,BG83/-BG90,"")</f>
        <v>1.92694591063623</v>
      </c>
      <c r="BH99" s="52" t="n">
        <f aca="false">IF(BH90&lt;0,BH83/-BH90,"")</f>
        <v>1.92694591063623</v>
      </c>
      <c r="BI99" s="52" t="n">
        <f aca="false">IF(BI90&lt;0,BI83/-BI90,"")</f>
        <v>1.92694591063623</v>
      </c>
      <c r="BJ99" s="52" t="n">
        <f aca="false">IF(BJ90&lt;0,BJ83/-BJ90,"")</f>
        <v>1.92694591063623</v>
      </c>
      <c r="BK99" s="52" t="n">
        <f aca="false">IF(BK90&lt;0,BK83/-BK90,"")</f>
        <v>1.92694591063623</v>
      </c>
      <c r="BL99" s="52" t="n">
        <f aca="false">IF(BL90&lt;0,BL83/-BL90,"")</f>
        <v>1.92694591063623</v>
      </c>
      <c r="BM99" s="52" t="n">
        <f aca="false">IF(BM90&lt;0,BM83/-BM90,"")</f>
        <v>1.92694591063623</v>
      </c>
      <c r="BN99" s="52" t="n">
        <f aca="false">IF(BN90&lt;0,BN83/-BN90,"")</f>
        <v>1.92694591063623</v>
      </c>
      <c r="BO99" s="52" t="n">
        <f aca="false">IF(BO90&lt;0,BO83/-BO90,"")</f>
        <v>1.92694591063623</v>
      </c>
      <c r="BP99" s="52" t="n">
        <f aca="false">IF(BP90&lt;0,BP83/-BP90,"")</f>
        <v>1.92694591063623</v>
      </c>
      <c r="BQ99" s="52" t="n">
        <f aca="false">IF(BQ90&lt;0,BQ83/-BQ90,"")</f>
        <v>1.92694591063623</v>
      </c>
      <c r="BR99" s="52" t="n">
        <f aca="false">IF(BR90&lt;0,BR83/-BR90,"")</f>
        <v>1.92694591063623</v>
      </c>
      <c r="BS99" s="52" t="n">
        <f aca="false">IF(BS90&lt;0,BS83/-BS90,"")</f>
        <v>1.92694591063623</v>
      </c>
      <c r="BT99" s="52" t="n">
        <f aca="false">IF(BT90&lt;0,BT83/-BT90,"")</f>
        <v>1.92694591063623</v>
      </c>
      <c r="BU99" s="52" t="n">
        <f aca="false">IF(BU90&lt;0,BU83/-BU90,"")</f>
        <v>1.92694591063623</v>
      </c>
      <c r="BV99" s="52" t="n">
        <f aca="false">IF(BV90&lt;0,BV83/-BV90,"")</f>
        <v>1.92694591063623</v>
      </c>
      <c r="BW99" s="52" t="n">
        <f aca="false">IF(BW90&lt;0,BW83/-BW90,"")</f>
        <v>1.92694591063623</v>
      </c>
      <c r="BX99" s="52" t="n">
        <f aca="false">IF(BX90&lt;0,BX83/-BX90,"")</f>
        <v>1.92694591063623</v>
      </c>
      <c r="BY99" s="52" t="n">
        <f aca="false">IF(BY90&lt;0,BY83/-BY90,"")</f>
        <v>1.92694591063623</v>
      </c>
      <c r="BZ99" s="52" t="n">
        <f aca="false">IF(BZ90&lt;0,BZ83/-BZ90,"")</f>
        <v>1.92694591063623</v>
      </c>
      <c r="CA99" s="52" t="n">
        <f aca="false">IF(CA90&lt;0,CA83/-CA90,"")</f>
        <v>1.92694591063623</v>
      </c>
      <c r="CB99" s="52" t="n">
        <f aca="false">IF(CB90&lt;0,CB83/-CB90,"")</f>
        <v>1.92694591063623</v>
      </c>
      <c r="CC99" s="52" t="n">
        <f aca="false">IF(CC90&lt;0,CC83/-CC90,"")</f>
        <v>1.92694591063623</v>
      </c>
      <c r="CD99" s="52" t="n">
        <f aca="false">IF(CD90&lt;0,CD83/-CD90,"")</f>
        <v>1.92694591063623</v>
      </c>
      <c r="CE99" s="52" t="n">
        <f aca="false">IF(CE90&lt;0,CE83/-CE90,"")</f>
        <v>1.92694591063623</v>
      </c>
      <c r="CF99" s="52" t="n">
        <f aca="false">IF(CF90&lt;0,CF83/-CF90,"")</f>
        <v>1.92694591063623</v>
      </c>
      <c r="CG99" s="52" t="n">
        <f aca="false">IF(CG90&lt;0,CG83/-CG90,"")</f>
        <v>1.92694591063623</v>
      </c>
      <c r="CH99" s="52" t="n">
        <f aca="false">IF(CH90&lt;0,CH83/-CH90,"")</f>
        <v>1.92694591063623</v>
      </c>
      <c r="CI99" s="52" t="n">
        <f aca="false">IF(CI90&lt;0,CI83/-CI90,"")</f>
        <v>1.92694591063623</v>
      </c>
      <c r="CJ99" s="52" t="n">
        <f aca="false">IF(CJ90&lt;0,CJ83/-CJ90,"")</f>
        <v>1.92694591063623</v>
      </c>
      <c r="CK99" s="52" t="n">
        <f aca="false">IF(CK90&lt;0,CK83/-CK90,"")</f>
        <v>1.92694591063623</v>
      </c>
      <c r="CL99" s="52" t="n">
        <f aca="false">IF(CL90&lt;0,CL83/-CL90,"")</f>
        <v>1.92694591063623</v>
      </c>
      <c r="CM99" s="52" t="n">
        <f aca="false">IF(CM90&lt;0,CM83/-CM90,"")</f>
        <v>1.92694591063623</v>
      </c>
      <c r="CN99" s="52" t="n">
        <f aca="false">IF(CN90&lt;0,CN83/-CN90,"")</f>
        <v>1.92694591063623</v>
      </c>
      <c r="CO99" s="52" t="n">
        <f aca="false">IF(CO90&lt;0,CO83/-CO90,"")</f>
        <v>1.92694591063623</v>
      </c>
      <c r="CP99" s="52" t="n">
        <f aca="false">IF(CP90&lt;0,CP83/-CP90,"")</f>
        <v>1.92694591063623</v>
      </c>
      <c r="CQ99" s="52" t="n">
        <f aca="false">IF(CQ90&lt;0,CQ83/-CQ90,"")</f>
        <v>1.92694591063623</v>
      </c>
      <c r="CR99" s="52" t="n">
        <f aca="false">IF(CR90&lt;0,CR83/-CR90,"")</f>
        <v>1.92694591063623</v>
      </c>
      <c r="CS99" s="52" t="n">
        <f aca="false">IF(CS90&lt;0,CS83/-CS90,"")</f>
        <v>1.92694591063623</v>
      </c>
      <c r="CT99" s="52" t="str">
        <f aca="false">IF(CT90&lt;0,CT83/-CT90,"")</f>
        <v/>
      </c>
      <c r="CU99" s="52" t="str">
        <f aca="false">IF(CU90&lt;0,CU83/-CU90,"")</f>
        <v/>
      </c>
      <c r="CV99" s="52" t="str">
        <f aca="false">IF(CV90&lt;0,CV83/-CV90,"")</f>
        <v/>
      </c>
      <c r="CW99" s="52" t="str">
        <f aca="false">IF(CW90&lt;0,CW83/-CW90,"")</f>
        <v/>
      </c>
      <c r="CX99" s="52" t="str">
        <f aca="false">IF(CX90&lt;0,CX83/-CX90,"")</f>
        <v/>
      </c>
      <c r="CY99" s="52" t="str">
        <f aca="false">IF(CY90&lt;0,CY83/-CY90,"")</f>
        <v/>
      </c>
      <c r="CZ99" s="52" t="str">
        <f aca="false">IF(CZ90&lt;0,CZ83/-CZ90,"")</f>
        <v/>
      </c>
      <c r="DA99" s="52" t="str">
        <f aca="false">IF(DA90&lt;0,DA83/-DA90,"")</f>
        <v/>
      </c>
      <c r="DB99" s="52" t="str">
        <f aca="false">IF(DB90&lt;0,DB83/-DB90,"")</f>
        <v/>
      </c>
      <c r="DC99" s="52" t="str">
        <f aca="false">IF(DC90&lt;0,DC83/-DC90,"")</f>
        <v/>
      </c>
      <c r="DD99" s="52" t="str">
        <f aca="false">IF(DD90&lt;0,DD83/-DD90,"")</f>
        <v/>
      </c>
      <c r="DE99" s="52" t="str">
        <f aca="false">IF(DE90&lt;0,DE83/-DE90,"")</f>
        <v/>
      </c>
      <c r="DF99" s="52" t="str">
        <f aca="false">IF(DF90&lt;0,DF83/-DF90,"")</f>
        <v/>
      </c>
      <c r="DG99" s="52" t="str">
        <f aca="false">IF(DG90&lt;0,DG83/-DG90,"")</f>
        <v/>
      </c>
      <c r="DH99" s="52" t="str">
        <f aca="false">IF(DH90&lt;0,DH83/-DH90,"")</f>
        <v/>
      </c>
      <c r="DI99" s="52" t="str">
        <f aca="false">IF(DI90&lt;0,DI83/-DI90,"")</f>
        <v/>
      </c>
      <c r="DJ99" s="52" t="str">
        <f aca="false">IF(DJ90&lt;0,DJ83/-DJ90,"")</f>
        <v/>
      </c>
      <c r="DK99" s="52" t="str">
        <f aca="false">IF(DK90&lt;0,DK83/-DK90,"")</f>
        <v/>
      </c>
      <c r="DL99" s="52" t="str">
        <f aca="false">IF(DL90&lt;0,DL83/-DL90,"")</f>
        <v/>
      </c>
      <c r="DM99" s="52" t="str">
        <f aca="false">IF(DM90&lt;0,DM83/-DM90,"")</f>
        <v/>
      </c>
      <c r="DN99" s="52" t="str">
        <f aca="false">IF(DN90&lt;0,DN83/-DN90,"")</f>
        <v/>
      </c>
      <c r="DO99" s="52" t="str">
        <f aca="false">IF(DO90&lt;0,DO83/-DO90,"")</f>
        <v/>
      </c>
      <c r="DP99" s="52" t="str">
        <f aca="false">IF(DP90&lt;0,DP83/-DP90,"")</f>
        <v/>
      </c>
      <c r="DQ99" s="52" t="str">
        <f aca="false">IF(DQ90&lt;0,DQ83/-DQ90,"")</f>
        <v/>
      </c>
      <c r="DR99" s="52" t="str">
        <f aca="false">IF(DR90&lt;0,DR83/-DR90,"")</f>
        <v/>
      </c>
      <c r="DS99" s="52" t="str">
        <f aca="false">IF(DS90&lt;0,DS83/-DS90,"")</f>
        <v/>
      </c>
      <c r="DT99" s="52" t="str">
        <f aca="false">IF(DT90&lt;0,DT83/-DT90,"")</f>
        <v/>
      </c>
      <c r="DU99" s="52" t="str">
        <f aca="false">IF(DU90&lt;0,DU83/-DU90,"")</f>
        <v/>
      </c>
      <c r="DV99" s="52" t="str">
        <f aca="false">IF(DV90&lt;0,DV83/-DV90,"")</f>
        <v/>
      </c>
      <c r="DW99" s="52" t="str">
        <f aca="false">IF(DW90&lt;0,DW83/-DW90,"")</f>
        <v/>
      </c>
      <c r="DX99" s="52" t="str">
        <f aca="false">IF(DX90&lt;0,DX83/-DX90,"")</f>
        <v/>
      </c>
      <c r="DY99" s="52" t="str">
        <f aca="false">IF(DY90&lt;0,DY83/-DY90,"")</f>
        <v/>
      </c>
      <c r="DZ99" s="52" t="str">
        <f aca="false">IF(DZ90&lt;0,DZ83/-DZ90,"")</f>
        <v/>
      </c>
      <c r="EA99" s="52" t="str">
        <f aca="false">IF(EA90&lt;0,EA83/-EA90,"")</f>
        <v/>
      </c>
      <c r="EB99" s="52" t="str">
        <f aca="false">IF(EB90&lt;0,EB83/-EB90,"")</f>
        <v/>
      </c>
      <c r="EC99" s="52" t="str">
        <f aca="false">IF(EC90&lt;0,EC83/-EC90,"")</f>
        <v/>
      </c>
      <c r="ED99" s="52" t="str">
        <f aca="false">IF(ED90&lt;0,ED83/-ED90,"")</f>
        <v/>
      </c>
      <c r="EE99" s="52" t="str">
        <f aca="false">IF(EE90&lt;0,EE83/-EE90,"")</f>
        <v/>
      </c>
      <c r="EF99" s="52" t="str">
        <f aca="false">IF(EF90&lt;0,EF83/-EF90,"")</f>
        <v/>
      </c>
      <c r="EG99" s="52" t="str">
        <f aca="false">IF(EG90&lt;0,EG83/-EG90,"")</f>
        <v/>
      </c>
      <c r="EH99" s="52" t="str">
        <f aca="false">IF(EH90&lt;0,EH83/-EH90,"")</f>
        <v/>
      </c>
      <c r="EI99" s="52" t="str">
        <f aca="false">IF(EI90&lt;0,EI83/-EI90,"")</f>
        <v/>
      </c>
      <c r="EJ99" s="52" t="str">
        <f aca="false">IF(EJ90&lt;0,EJ83/-EJ90,"")</f>
        <v/>
      </c>
      <c r="EK99" s="52" t="str">
        <f aca="false">IF(EK90&lt;0,EK83/-EK90,"")</f>
        <v/>
      </c>
      <c r="EL99" s="52" t="str">
        <f aca="false">IF(EL90&lt;0,EL83/-EL90,"")</f>
        <v/>
      </c>
      <c r="EM99" s="52" t="str">
        <f aca="false">IF(EM90&lt;0,EM83/-EM90,"")</f>
        <v/>
      </c>
      <c r="EN99" s="52" t="str">
        <f aca="false">IF(EN90&lt;0,EN83/-EN90,"")</f>
        <v/>
      </c>
      <c r="EO99" s="52" t="str">
        <f aca="false">IF(EO90&lt;0,EO83/-EO90,"")</f>
        <v/>
      </c>
    </row>
    <row r="101" customFormat="false" ht="15" hidden="false" customHeight="false" outlineLevel="0" collapsed="false">
      <c r="A101" s="9" t="s">
        <v>13</v>
      </c>
      <c r="B101" s="9"/>
      <c r="C101" s="9" t="s">
        <v>445</v>
      </c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/>
      <c r="BO101" s="9"/>
      <c r="BP101" s="9"/>
      <c r="BQ101" s="9"/>
      <c r="BR101" s="9"/>
      <c r="BS101" s="9"/>
      <c r="BT101" s="9"/>
      <c r="BU101" s="9"/>
      <c r="BV101" s="9"/>
      <c r="BW101" s="9"/>
      <c r="BX101" s="9"/>
      <c r="BY101" s="9"/>
      <c r="BZ101" s="9"/>
      <c r="CA101" s="9"/>
      <c r="CB101" s="9"/>
      <c r="CC101" s="9"/>
      <c r="CD101" s="9"/>
      <c r="CE101" s="9"/>
      <c r="CF101" s="9"/>
      <c r="CG101" s="9"/>
      <c r="CH101" s="9"/>
      <c r="CI101" s="9"/>
      <c r="CJ101" s="9"/>
      <c r="CK101" s="9"/>
      <c r="CL101" s="9"/>
      <c r="CM101" s="9"/>
      <c r="CN101" s="9"/>
      <c r="CO101" s="9"/>
      <c r="CP101" s="9"/>
      <c r="CQ101" s="9"/>
      <c r="CR101" s="9"/>
      <c r="CS101" s="9"/>
      <c r="CT101" s="9"/>
      <c r="CU101" s="9"/>
      <c r="CV101" s="9"/>
      <c r="CW101" s="9"/>
      <c r="CX101" s="9"/>
      <c r="CY101" s="9"/>
      <c r="CZ101" s="9"/>
      <c r="DA101" s="9"/>
      <c r="DB101" s="9"/>
      <c r="DC101" s="9"/>
      <c r="DD101" s="9"/>
      <c r="DE101" s="9"/>
      <c r="DF101" s="9"/>
      <c r="DG101" s="9"/>
      <c r="DH101" s="9"/>
      <c r="DI101" s="9"/>
      <c r="DJ101" s="9"/>
      <c r="DK101" s="9"/>
      <c r="DL101" s="9"/>
      <c r="DM101" s="9"/>
      <c r="DN101" s="9"/>
      <c r="DO101" s="9"/>
      <c r="DP101" s="9"/>
      <c r="DQ101" s="9"/>
      <c r="DR101" s="9"/>
      <c r="DS101" s="9"/>
      <c r="DT101" s="9"/>
      <c r="DU101" s="9"/>
      <c r="DV101" s="9"/>
      <c r="DW101" s="9"/>
      <c r="DX101" s="9"/>
      <c r="DY101" s="9"/>
      <c r="DZ101" s="9"/>
      <c r="EA101" s="9"/>
      <c r="EB101" s="9"/>
      <c r="EC101" s="9"/>
      <c r="ED101" s="9"/>
      <c r="EE101" s="9"/>
      <c r="EF101" s="9"/>
      <c r="EG101" s="9"/>
      <c r="EH101" s="9"/>
      <c r="EI101" s="9"/>
      <c r="EJ101" s="9"/>
      <c r="EK101" s="9"/>
      <c r="EL101" s="9"/>
      <c r="EM101" s="9"/>
      <c r="EN101" s="9"/>
      <c r="EO101" s="9"/>
    </row>
    <row r="102" customFormat="false" ht="15" hidden="false" customHeight="false" outlineLevel="0" collapsed="false">
      <c r="C102" s="0" t="s">
        <v>446</v>
      </c>
      <c r="D102" s="11" t="s">
        <v>33</v>
      </c>
      <c r="E102" s="47" t="n">
        <f aca="false">$I93-($I64+$I54+$I65+$I51+$I44+$I45+$I46)</f>
        <v>81960.5087748383</v>
      </c>
      <c r="I102" s="47" t="n">
        <f aca="false">SUM(J102:EO102)</f>
        <v>-81960.5087748383</v>
      </c>
      <c r="J102" s="47" t="n">
        <f aca="false">-$E102*J19</f>
        <v>-0</v>
      </c>
      <c r="K102" s="47" t="n">
        <f aca="false">-$E102*K19</f>
        <v>-0</v>
      </c>
      <c r="L102" s="47" t="n">
        <f aca="false">-$E102*L19</f>
        <v>-0</v>
      </c>
      <c r="M102" s="47" t="n">
        <f aca="false">-$E102*M19</f>
        <v>-0</v>
      </c>
      <c r="N102" s="47" t="n">
        <f aca="false">-$E102*N19</f>
        <v>-0</v>
      </c>
      <c r="O102" s="47" t="n">
        <f aca="false">-$E102*O19</f>
        <v>-0</v>
      </c>
      <c r="P102" s="47" t="n">
        <f aca="false">-$E102*P19</f>
        <v>-0</v>
      </c>
      <c r="Q102" s="47" t="n">
        <f aca="false">-$E102*Q19</f>
        <v>-0</v>
      </c>
      <c r="R102" s="47" t="n">
        <f aca="false">-$E102*R19</f>
        <v>-0</v>
      </c>
      <c r="S102" s="47" t="n">
        <f aca="false">-$E102*S19</f>
        <v>-0</v>
      </c>
      <c r="T102" s="47" t="n">
        <f aca="false">-$E102*T19</f>
        <v>-0</v>
      </c>
      <c r="U102" s="47" t="n">
        <f aca="false">-$E102*U19</f>
        <v>-0</v>
      </c>
      <c r="V102" s="47" t="n">
        <f aca="false">-$E102*V19</f>
        <v>-0</v>
      </c>
      <c r="W102" s="47" t="n">
        <f aca="false">-$E102*W19</f>
        <v>-0</v>
      </c>
      <c r="X102" s="47" t="n">
        <f aca="false">-$E102*X19</f>
        <v>-0</v>
      </c>
      <c r="Y102" s="47" t="n">
        <f aca="false">-$E102*Y19</f>
        <v>-0</v>
      </c>
      <c r="Z102" s="47" t="n">
        <f aca="false">-$E102*Z19</f>
        <v>-1032.21995992952</v>
      </c>
      <c r="AA102" s="47" t="n">
        <f aca="false">-$E102*AA19</f>
        <v>-1009.78039558322</v>
      </c>
      <c r="AB102" s="47" t="n">
        <f aca="false">-$E102*AB19</f>
        <v>-1021.00017775637</v>
      </c>
      <c r="AC102" s="47" t="n">
        <f aca="false">-$E102*AC19</f>
        <v>-1032.21995992952</v>
      </c>
      <c r="AD102" s="47" t="n">
        <f aca="false">-$E102*AD19</f>
        <v>-1032.21995992952</v>
      </c>
      <c r="AE102" s="47" t="n">
        <f aca="false">-$E102*AE19</f>
        <v>-1021.00017775637</v>
      </c>
      <c r="AF102" s="47" t="n">
        <f aca="false">-$E102*AF19</f>
        <v>-1021.00017775637</v>
      </c>
      <c r="AG102" s="47" t="n">
        <f aca="false">-$E102*AG19</f>
        <v>-1032.21995992952</v>
      </c>
      <c r="AH102" s="47" t="n">
        <f aca="false">-$E102*AH19</f>
        <v>-1032.21995992952</v>
      </c>
      <c r="AI102" s="47" t="n">
        <f aca="false">-$E102*AI19</f>
        <v>-1009.78039558322</v>
      </c>
      <c r="AJ102" s="47" t="n">
        <f aca="false">-$E102*AJ19</f>
        <v>-1021.00017775637</v>
      </c>
      <c r="AK102" s="47" t="n">
        <f aca="false">-$E102*AK19</f>
        <v>-1032.21995992952</v>
      </c>
      <c r="AL102" s="47" t="n">
        <f aca="false">-$E102*AL19</f>
        <v>-1032.21995992952</v>
      </c>
      <c r="AM102" s="47" t="n">
        <f aca="false">-$E102*AM19</f>
        <v>-1009.78039558322</v>
      </c>
      <c r="AN102" s="47" t="n">
        <f aca="false">-$E102*AN19</f>
        <v>-1021.00017775637</v>
      </c>
      <c r="AO102" s="47" t="n">
        <f aca="false">-$E102*AO19</f>
        <v>-1032.21995992952</v>
      </c>
      <c r="AP102" s="47" t="n">
        <f aca="false">-$E102*AP19</f>
        <v>-1032.21995992952</v>
      </c>
      <c r="AQ102" s="47" t="n">
        <f aca="false">-$E102*AQ19</f>
        <v>-1009.78039558322</v>
      </c>
      <c r="AR102" s="47" t="n">
        <f aca="false">-$E102*AR19</f>
        <v>-1021.00017775637</v>
      </c>
      <c r="AS102" s="47" t="n">
        <f aca="false">-$E102*AS19</f>
        <v>-1032.21995992952</v>
      </c>
      <c r="AT102" s="47" t="n">
        <f aca="false">-$E102*AT19</f>
        <v>-1032.21995992952</v>
      </c>
      <c r="AU102" s="47" t="n">
        <f aca="false">-$E102*AU19</f>
        <v>-1021.00017775637</v>
      </c>
      <c r="AV102" s="47" t="n">
        <f aca="false">-$E102*AV19</f>
        <v>-1021.00017775637</v>
      </c>
      <c r="AW102" s="47" t="n">
        <f aca="false">-$E102*AW19</f>
        <v>-1032.21995992952</v>
      </c>
      <c r="AX102" s="47" t="n">
        <f aca="false">-$E102*AX19</f>
        <v>-1032.21995992952</v>
      </c>
      <c r="AY102" s="47" t="n">
        <f aca="false">-$E102*AY19</f>
        <v>-1009.78039558322</v>
      </c>
      <c r="AZ102" s="47" t="n">
        <f aca="false">-$E102*AZ19</f>
        <v>-1021.00017775637</v>
      </c>
      <c r="BA102" s="47" t="n">
        <f aca="false">-$E102*BA19</f>
        <v>-1032.21995992952</v>
      </c>
      <c r="BB102" s="47" t="n">
        <f aca="false">-$E102*BB19</f>
        <v>-1032.21995992952</v>
      </c>
      <c r="BC102" s="47" t="n">
        <f aca="false">-$E102*BC19</f>
        <v>-1009.78039558322</v>
      </c>
      <c r="BD102" s="47" t="n">
        <f aca="false">-$E102*BD19</f>
        <v>-1021.00017775637</v>
      </c>
      <c r="BE102" s="47" t="n">
        <f aca="false">-$E102*BE19</f>
        <v>-1032.21995992952</v>
      </c>
      <c r="BF102" s="47" t="n">
        <f aca="false">-$E102*BF19</f>
        <v>-1032.21995992952</v>
      </c>
      <c r="BG102" s="47" t="n">
        <f aca="false">-$E102*BG19</f>
        <v>-1009.78039558322</v>
      </c>
      <c r="BH102" s="47" t="n">
        <f aca="false">-$E102*BH19</f>
        <v>-1021.00017775637</v>
      </c>
      <c r="BI102" s="47" t="n">
        <f aca="false">-$E102*BI19</f>
        <v>-1032.21995992952</v>
      </c>
      <c r="BJ102" s="47" t="n">
        <f aca="false">-$E102*BJ19</f>
        <v>-1032.21995992952</v>
      </c>
      <c r="BK102" s="47" t="n">
        <f aca="false">-$E102*BK19</f>
        <v>-1021.00017775637</v>
      </c>
      <c r="BL102" s="47" t="n">
        <f aca="false">-$E102*BL19</f>
        <v>-1021.00017775637</v>
      </c>
      <c r="BM102" s="47" t="n">
        <f aca="false">-$E102*BM19</f>
        <v>-1032.21995992952</v>
      </c>
      <c r="BN102" s="47" t="n">
        <f aca="false">-$E102*BN19</f>
        <v>-1032.21995992952</v>
      </c>
      <c r="BO102" s="47" t="n">
        <f aca="false">-$E102*BO19</f>
        <v>-1009.78039558322</v>
      </c>
      <c r="BP102" s="47" t="n">
        <f aca="false">-$E102*BP19</f>
        <v>-1021.00017775637</v>
      </c>
      <c r="BQ102" s="47" t="n">
        <f aca="false">-$E102*BQ19</f>
        <v>-1032.21995992952</v>
      </c>
      <c r="BR102" s="47" t="n">
        <f aca="false">-$E102*BR19</f>
        <v>-1032.21995992952</v>
      </c>
      <c r="BS102" s="47" t="n">
        <f aca="false">-$E102*BS19</f>
        <v>-1009.78039558322</v>
      </c>
      <c r="BT102" s="47" t="n">
        <f aca="false">-$E102*BT19</f>
        <v>-1021.00017775637</v>
      </c>
      <c r="BU102" s="47" t="n">
        <f aca="false">-$E102*BU19</f>
        <v>-1032.21995992952</v>
      </c>
      <c r="BV102" s="47" t="n">
        <f aca="false">-$E102*BV19</f>
        <v>-1032.21995992952</v>
      </c>
      <c r="BW102" s="47" t="n">
        <f aca="false">-$E102*BW19</f>
        <v>-1009.78039558322</v>
      </c>
      <c r="BX102" s="47" t="n">
        <f aca="false">-$E102*BX19</f>
        <v>-1021.00017775637</v>
      </c>
      <c r="BY102" s="47" t="n">
        <f aca="false">-$E102*BY19</f>
        <v>-1032.21995992952</v>
      </c>
      <c r="BZ102" s="47" t="n">
        <f aca="false">-$E102*BZ19</f>
        <v>-1032.21995992952</v>
      </c>
      <c r="CA102" s="47" t="n">
        <f aca="false">-$E102*CA19</f>
        <v>-1021.00017775637</v>
      </c>
      <c r="CB102" s="47" t="n">
        <f aca="false">-$E102*CB19</f>
        <v>-1021.00017775637</v>
      </c>
      <c r="CC102" s="47" t="n">
        <f aca="false">-$E102*CC19</f>
        <v>-1032.21995992952</v>
      </c>
      <c r="CD102" s="47" t="n">
        <f aca="false">-$E102*CD19</f>
        <v>-1032.21995992952</v>
      </c>
      <c r="CE102" s="47" t="n">
        <f aca="false">-$E102*CE19</f>
        <v>-1009.78039558322</v>
      </c>
      <c r="CF102" s="47" t="n">
        <f aca="false">-$E102*CF19</f>
        <v>-1021.00017775637</v>
      </c>
      <c r="CG102" s="47" t="n">
        <f aca="false">-$E102*CG19</f>
        <v>-1032.21995992952</v>
      </c>
      <c r="CH102" s="47" t="n">
        <f aca="false">-$E102*CH19</f>
        <v>-1032.21995992952</v>
      </c>
      <c r="CI102" s="47" t="n">
        <f aca="false">-$E102*CI19</f>
        <v>-1009.78039558322</v>
      </c>
      <c r="CJ102" s="47" t="n">
        <f aca="false">-$E102*CJ19</f>
        <v>-1021.00017775637</v>
      </c>
      <c r="CK102" s="47" t="n">
        <f aca="false">-$E102*CK19</f>
        <v>-1032.21995992952</v>
      </c>
      <c r="CL102" s="47" t="n">
        <f aca="false">-$E102*CL19</f>
        <v>-1032.21995992952</v>
      </c>
      <c r="CM102" s="47" t="n">
        <f aca="false">-$E102*CM19</f>
        <v>-1009.78039558322</v>
      </c>
      <c r="CN102" s="47" t="n">
        <f aca="false">-$E102*CN19</f>
        <v>-1021.00017775637</v>
      </c>
      <c r="CO102" s="47" t="n">
        <f aca="false">-$E102*CO19</f>
        <v>-1032.21995992952</v>
      </c>
      <c r="CP102" s="47" t="n">
        <f aca="false">-$E102*CP19</f>
        <v>-1032.21995992952</v>
      </c>
      <c r="CQ102" s="47" t="n">
        <f aca="false">-$E102*CQ19</f>
        <v>-1021.00017775637</v>
      </c>
      <c r="CR102" s="47" t="n">
        <f aca="false">-$E102*CR19</f>
        <v>-1021.00017775637</v>
      </c>
      <c r="CS102" s="47" t="n">
        <f aca="false">-$E102*CS19</f>
        <v>-1032.21995992952</v>
      </c>
      <c r="CT102" s="47" t="n">
        <f aca="false">-$E102*CT19</f>
        <v>-1032.21995992952</v>
      </c>
      <c r="CU102" s="47" t="n">
        <f aca="false">-$E102*CU19</f>
        <v>-1009.78039558322</v>
      </c>
      <c r="CV102" s="47" t="n">
        <f aca="false">-$E102*CV19</f>
        <v>-1021.00017775637</v>
      </c>
      <c r="CW102" s="47" t="n">
        <f aca="false">-$E102*CW19</f>
        <v>-1032.21995992952</v>
      </c>
      <c r="CX102" s="47" t="n">
        <f aca="false">-$E102*CX19</f>
        <v>-1032.21995992952</v>
      </c>
      <c r="CY102" s="47" t="n">
        <f aca="false">-$E102*CY19</f>
        <v>-1009.78039558322</v>
      </c>
      <c r="CZ102" s="47" t="n">
        <f aca="false">-$E102*CZ19</f>
        <v>-1021.00017775637</v>
      </c>
      <c r="DA102" s="47" t="n">
        <f aca="false">-$E102*DA19</f>
        <v>-1032.21995992952</v>
      </c>
      <c r="DB102" s="47" t="n">
        <f aca="false">-$E102*DB19</f>
        <v>-0</v>
      </c>
      <c r="DC102" s="47" t="n">
        <f aca="false">-$E102*DC19</f>
        <v>-0</v>
      </c>
      <c r="DD102" s="47" t="n">
        <f aca="false">-$E102*DD19</f>
        <v>-0</v>
      </c>
      <c r="DE102" s="47" t="n">
        <f aca="false">-$E102*DE19</f>
        <v>-0</v>
      </c>
      <c r="DF102" s="47" t="n">
        <f aca="false">-$E102*DF19</f>
        <v>-0</v>
      </c>
      <c r="DG102" s="47" t="n">
        <f aca="false">-$E102*DG19</f>
        <v>-0</v>
      </c>
      <c r="DH102" s="47" t="n">
        <f aca="false">-$E102*DH19</f>
        <v>-0</v>
      </c>
      <c r="DI102" s="47" t="n">
        <f aca="false">-$E102*DI19</f>
        <v>-0</v>
      </c>
      <c r="DJ102" s="47" t="n">
        <f aca="false">-$E102*DJ19</f>
        <v>-0</v>
      </c>
      <c r="DK102" s="47" t="n">
        <f aca="false">-$E102*DK19</f>
        <v>-0</v>
      </c>
      <c r="DL102" s="47" t="n">
        <f aca="false">-$E102*DL19</f>
        <v>-0</v>
      </c>
      <c r="DM102" s="47" t="n">
        <f aca="false">-$E102*DM19</f>
        <v>-0</v>
      </c>
      <c r="DN102" s="47" t="n">
        <f aca="false">-$E102*DN19</f>
        <v>-0</v>
      </c>
      <c r="DO102" s="47" t="n">
        <f aca="false">-$E102*DO19</f>
        <v>-0</v>
      </c>
      <c r="DP102" s="47" t="n">
        <f aca="false">-$E102*DP19</f>
        <v>-0</v>
      </c>
      <c r="DQ102" s="47" t="n">
        <f aca="false">-$E102*DQ19</f>
        <v>-0</v>
      </c>
      <c r="DR102" s="47" t="n">
        <f aca="false">-$E102*DR19</f>
        <v>-0</v>
      </c>
      <c r="DS102" s="47" t="n">
        <f aca="false">-$E102*DS19</f>
        <v>-0</v>
      </c>
      <c r="DT102" s="47" t="n">
        <f aca="false">-$E102*DT19</f>
        <v>-0</v>
      </c>
      <c r="DU102" s="47" t="n">
        <f aca="false">-$E102*DU19</f>
        <v>-0</v>
      </c>
      <c r="DV102" s="47" t="n">
        <f aca="false">-$E102*DV19</f>
        <v>-0</v>
      </c>
      <c r="DW102" s="47" t="n">
        <f aca="false">-$E102*DW19</f>
        <v>-0</v>
      </c>
      <c r="DX102" s="47" t="n">
        <f aca="false">-$E102*DX19</f>
        <v>-0</v>
      </c>
      <c r="DY102" s="47" t="n">
        <f aca="false">-$E102*DY19</f>
        <v>-0</v>
      </c>
      <c r="DZ102" s="47" t="n">
        <f aca="false">-$E102*DZ19</f>
        <v>-0</v>
      </c>
      <c r="EA102" s="47" t="n">
        <f aca="false">-$E102*EA19</f>
        <v>-0</v>
      </c>
      <c r="EB102" s="47" t="n">
        <f aca="false">-$E102*EB19</f>
        <v>-0</v>
      </c>
      <c r="EC102" s="47" t="n">
        <f aca="false">-$E102*EC19</f>
        <v>-0</v>
      </c>
      <c r="ED102" s="47" t="n">
        <f aca="false">-$E102*ED19</f>
        <v>-0</v>
      </c>
      <c r="EE102" s="47" t="n">
        <f aca="false">-$E102*EE19</f>
        <v>-0</v>
      </c>
      <c r="EF102" s="47" t="n">
        <f aca="false">-$E102*EF19</f>
        <v>-0</v>
      </c>
      <c r="EG102" s="47" t="n">
        <f aca="false">-$E102*EG19</f>
        <v>-0</v>
      </c>
      <c r="EH102" s="47" t="n">
        <f aca="false">-$E102*EH19</f>
        <v>-0</v>
      </c>
      <c r="EI102" s="47" t="n">
        <f aca="false">-$E102*EI19</f>
        <v>-0</v>
      </c>
      <c r="EJ102" s="47" t="n">
        <f aca="false">-$E102*EJ19</f>
        <v>-0</v>
      </c>
      <c r="EK102" s="47" t="n">
        <f aca="false">-$E102*EK19</f>
        <v>-0</v>
      </c>
      <c r="EL102" s="47" t="n">
        <f aca="false">-$E102*EL19</f>
        <v>-0</v>
      </c>
      <c r="EM102" s="47" t="n">
        <f aca="false">-$E102*EM19</f>
        <v>-0</v>
      </c>
      <c r="EN102" s="47" t="n">
        <f aca="false">-$E102*EN19</f>
        <v>-0</v>
      </c>
      <c r="EO102" s="47" t="n">
        <f aca="false">-$E102*EO19</f>
        <v>-0</v>
      </c>
    </row>
    <row r="103" customFormat="false" ht="15" hidden="false" customHeight="false" outlineLevel="0" collapsed="false">
      <c r="C103" s="0" t="s">
        <v>447</v>
      </c>
      <c r="D103" s="11" t="s">
        <v>33</v>
      </c>
      <c r="I103" s="47" t="n">
        <f aca="false">SUM(J103:EO103)</f>
        <v>163027.382792808</v>
      </c>
      <c r="J103" s="47" t="n">
        <f aca="false">J79+J102+J89+J96+J97+J48+J55</f>
        <v>-12.8099380746857</v>
      </c>
      <c r="K103" s="47" t="n">
        <f aca="false">K79+K102+K89+K96+K97+K48+K55</f>
        <v>-19.6746856821167</v>
      </c>
      <c r="L103" s="47" t="n">
        <f aca="false">L79+L102+L89+L96+L97+L48+L55</f>
        <v>-33.1554888346782</v>
      </c>
      <c r="M103" s="47" t="n">
        <f aca="false">M79+M102+M89+M96+M97+M48+M55</f>
        <v>-33.5198348658285</v>
      </c>
      <c r="N103" s="47" t="n">
        <f aca="false">N79+N102+N89+N96+N97+N48+N55</f>
        <v>-33.5198348658285</v>
      </c>
      <c r="O103" s="47" t="n">
        <f aca="false">O79+O102+O89+O96+O97+O48+O55</f>
        <v>-33.1554888346782</v>
      </c>
      <c r="P103" s="47" t="n">
        <f aca="false">P79+P102+P89+P96+P97+P48+P55</f>
        <v>-33.1554888346782</v>
      </c>
      <c r="Q103" s="47" t="n">
        <f aca="false">Q79+Q102+Q89+Q96+Q97+Q48+Q55</f>
        <v>-33.5198348658285</v>
      </c>
      <c r="R103" s="47" t="n">
        <f aca="false">R79+R102+R89+R96+R97+R48+R55</f>
        <v>-1138.3266555051</v>
      </c>
      <c r="S103" s="47" t="n">
        <f aca="false">S79+S102+S89+S96+S97+S48+S55</f>
        <v>-176.709668837772</v>
      </c>
      <c r="T103" s="47" t="n">
        <f aca="false">T79+T102+T89+T96+T97+T48+T55</f>
        <v>-153.642236893986</v>
      </c>
      <c r="U103" s="47" t="n">
        <f aca="false">U79+U102+U89+U96+U97+U48+U55</f>
        <v>-142.836793482006</v>
      </c>
      <c r="V103" s="47" t="n">
        <f aca="false">V79+V102+V89+V96+V97+V48+V55</f>
        <v>-130.205679119086</v>
      </c>
      <c r="W103" s="47" t="n">
        <f aca="false">W79+W102+W89+W96+W97+W48+W55</f>
        <v>-116.060527129856</v>
      </c>
      <c r="X103" s="47" t="n">
        <f aca="false">X79+X102+X89+X96+X97+X48+X55</f>
        <v>-105.127873675643</v>
      </c>
      <c r="Y103" s="47" t="n">
        <f aca="false">Y79+Y102+Y89+Y96+Y97+Y48+Y55</f>
        <v>-93.7893053931319</v>
      </c>
      <c r="Z103" s="47" t="n">
        <f aca="false">Z79+Z102+Z89+Z96+Z97+Z48+Z55</f>
        <v>502.606292480273</v>
      </c>
      <c r="AA103" s="47" t="n">
        <f aca="false">AA79+AA102+AA89+AA96+AA97+AA48+AA55</f>
        <v>497.17961203877</v>
      </c>
      <c r="AB103" s="47" t="n">
        <f aca="false">AB79+AB102+AB89+AB96+AB97+AB48+AB55</f>
        <v>515.750165110817</v>
      </c>
      <c r="AC103" s="47" t="n">
        <f aca="false">AC79+AC102+AC89+AC96+AC97+AC48+AC55</f>
        <v>534.542227488171</v>
      </c>
      <c r="AD103" s="47" t="n">
        <f aca="false">AD79+AD102+AD89+AD96+AD97+AD48+AD55</f>
        <v>532.571649971722</v>
      </c>
      <c r="AE103" s="47" t="n">
        <f aca="false">AE79+AE102+AE89+AE96+AE97+AE48+AE55</f>
        <v>540.223216569071</v>
      </c>
      <c r="AF103" s="47" t="n">
        <f aca="false">AF79+AF102+AF89+AF96+AF97+AF48+AF55</f>
        <v>546.30568612279</v>
      </c>
      <c r="AG103" s="47" t="n">
        <f aca="false">AG79+AG102+AG89+AG96+AG97+AG48+AG55</f>
        <v>565.503273677104</v>
      </c>
      <c r="AH103" s="47" t="n">
        <f aca="false">AH79+AH102+AH89+AH96+AH97+AH48+AH55</f>
        <v>563.820128289297</v>
      </c>
      <c r="AI103" s="47" t="n">
        <f aca="false">AI79+AI102+AI89+AI96+AI97+AI48+AI55</f>
        <v>558.418217772796</v>
      </c>
      <c r="AJ103" s="47" t="n">
        <f aca="false">AJ79+AJ102+AJ89+AJ96+AJ97+AJ48+AJ55</f>
        <v>610.793713056465</v>
      </c>
      <c r="AK103" s="47" t="n">
        <f aca="false">AK79+AK102+AK89+AK96+AK97+AK48+AK55</f>
        <v>630.796763847092</v>
      </c>
      <c r="AL103" s="47" t="n">
        <f aca="false">AL79+AL102+AL89+AL96+AL97+AL48+AL55</f>
        <v>629.435536162084</v>
      </c>
      <c r="AM103" s="47" t="n">
        <f aca="false">AM79+AM102+AM89+AM96+AM97+AM48+AM55</f>
        <v>623.45365825787</v>
      </c>
      <c r="AN103" s="47" t="n">
        <f aca="false">AN79+AN102+AN89+AN96+AN97+AN48+AN55</f>
        <v>643.646689061662</v>
      </c>
      <c r="AO103" s="47" t="n">
        <f aca="false">AO79+AO102+AO89+AO96+AO97+AO48+AO55</f>
        <v>664.071696436966</v>
      </c>
      <c r="AP103" s="47" t="n">
        <f aca="false">AP79+AP102+AP89+AP96+AP97+AP48+AP55</f>
        <v>663.01857480866</v>
      </c>
      <c r="AQ103" s="47" t="n">
        <f aca="false">AQ79+AQ102+AQ89+AQ96+AQ97+AQ48+AQ55</f>
        <v>657.104216287188</v>
      </c>
      <c r="AR103" s="47" t="n">
        <f aca="false">AR79+AR102+AR89+AR96+AR97+AR48+AR55</f>
        <v>677.72803012249</v>
      </c>
      <c r="AS103" s="47" t="n">
        <f aca="false">AS79+AS102+AS89+AS96+AS97+AS48+AS55</f>
        <v>698.588563314684</v>
      </c>
      <c r="AT103" s="47" t="n">
        <f aca="false">AT79+AT102+AT89+AT96+AT97+AT48+AT55</f>
        <v>697.859487983214</v>
      </c>
      <c r="AU103" s="47" t="n">
        <f aca="false">AU79+AU102+AU89+AU96+AU97+AU48+AU55</f>
        <v>705.695777514496</v>
      </c>
      <c r="AV103" s="47" t="n">
        <f aca="false">AV79+AV102+AV89+AV96+AV97+AV48+AV55</f>
        <v>713.248350492743</v>
      </c>
      <c r="AW103" s="47" t="n">
        <f aca="false">AW79+AW102+AW89+AW96+AW97+AW48+AW55</f>
        <v>734.56045032706</v>
      </c>
      <c r="AX103" s="47" t="n">
        <f aca="false">AX79+AX102+AX89+AX96+AX97+AX48+AX55</f>
        <v>734.173950139249</v>
      </c>
      <c r="AY103" s="47" t="n">
        <f aca="false">AY79+AY102+AY89+AY96+AY97+AY48+AY55</f>
        <v>728.438009801012</v>
      </c>
      <c r="AZ103" s="47" t="n">
        <f aca="false">AZ79+AZ102+AZ89+AZ96+AZ97+AZ48+AZ55</f>
        <v>749.968041148196</v>
      </c>
      <c r="BA103" s="47" t="n">
        <f aca="false">BA79+BA102+BA89+BA96+BA97+BA48+BA55</f>
        <v>771.744854090154</v>
      </c>
      <c r="BB103" s="47" t="n">
        <f aca="false">BB79+BB102+BB89+BB96+BB97+BB48+BB55</f>
        <v>771.716618965401</v>
      </c>
      <c r="BC103" s="47" t="n">
        <f aca="false">BC79+BC102+BC89+BC96+BC97+BC48+BC55</f>
        <v>766.091245729481</v>
      </c>
      <c r="BD103" s="47" t="n">
        <f aca="false">BD79+BD102+BD89+BD96+BD97+BD48+BD55</f>
        <v>788.09627371151</v>
      </c>
      <c r="BE103" s="47" t="n">
        <f aca="false">BE79+BE102+BE89+BE96+BE97+BE48+BE55</f>
        <v>810.353398576586</v>
      </c>
      <c r="BF103" s="47" t="n">
        <f aca="false">BF79+BF102+BF89+BF96+BF97+BF48+BF55</f>
        <v>810.701692348056</v>
      </c>
      <c r="BG103" s="47" t="n">
        <f aca="false">BG79+BG102+BG89+BG96+BG97+BG48+BG55</f>
        <v>805.202718321359</v>
      </c>
      <c r="BH103" s="47" t="n">
        <f aca="false">BH79+BH102+BH89+BH96+BH97+BH48+BH55</f>
        <v>827.698876392838</v>
      </c>
      <c r="BI103" s="47" t="n">
        <f aca="false">BI79+BI102+BI89+BI96+BI97+BI48+BI55</f>
        <v>850.452655176542</v>
      </c>
      <c r="BJ103" s="47" t="n">
        <f aca="false">BJ79+BJ102+BJ89+BJ96+BJ97+BJ48+BJ55</f>
        <v>851.196588534018</v>
      </c>
      <c r="BK103" s="47" t="n">
        <f aca="false">BK79+BK102+BK89+BK96+BK97+BK48+BK55</f>
        <v>859.73399132703</v>
      </c>
      <c r="BL103" s="47" t="n">
        <f aca="false">BL79+BL102+BL89+BL96+BL97+BL48+BL55</f>
        <v>868.999649601847</v>
      </c>
      <c r="BM103" s="47" t="n">
        <f aca="false">BM79+BM102+BM89+BM96+BM97+BM48+BM55</f>
        <v>892.269048812667</v>
      </c>
      <c r="BN103" s="47" t="n">
        <f aca="false">BN79+BN102+BN89+BN96+BN97+BN48+BN55</f>
        <v>893.430485595192</v>
      </c>
      <c r="BO103" s="47" t="n">
        <f aca="false">BO79+BO102+BO89+BO96+BO97+BO48+BO55</f>
        <v>888.236997567865</v>
      </c>
      <c r="BP103" s="47" t="n">
        <f aca="false">BP79+BP102+BP89+BP96+BP97+BP48+BP55</f>
        <v>911.768846361616</v>
      </c>
      <c r="BQ103" s="47" t="n">
        <f aca="false">BQ79+BQ102+BQ89+BQ96+BQ97+BQ48+BQ55</f>
        <v>935.570051352578</v>
      </c>
      <c r="BR103" s="47" t="n">
        <f aca="false">BR79+BR102+BR89+BR96+BR97+BR48+BR55</f>
        <v>937.168141069903</v>
      </c>
      <c r="BS103" s="47" t="n">
        <f aca="false">BS79+BS102+BS89+BS96+BS97+BS48+BS55</f>
        <v>932.153694264309</v>
      </c>
      <c r="BT103" s="47" t="n">
        <f aca="false">BT79+BT102+BT89+BT96+BT97+BT48+BT55</f>
        <v>956.229941667114</v>
      </c>
      <c r="BU103" s="47" t="n">
        <f aca="false">BU79+BU102+BU89+BU96+BU97+BU48+BU55</f>
        <v>980.581756161439</v>
      </c>
      <c r="BV103" s="47" t="n">
        <f aca="false">BV79+BV102+BV89+BV96+BV97+BV48+BV55</f>
        <v>982.638400531062</v>
      </c>
      <c r="BW103" s="47" t="n">
        <f aca="false">BW79+BW102+BW89+BW96+BW97+BW48+BW55</f>
        <v>977.82233854842</v>
      </c>
      <c r="BX103" s="47" t="n">
        <f aca="false">BX79+BX102+BX89+BX96+BX97+BX48+BX55</f>
        <v>1002.46243943542</v>
      </c>
      <c r="BY103" s="47" t="n">
        <f aca="false">BY79+BY102+BY89+BY96+BY97+BY48+BY55</f>
        <v>1027.38456876696</v>
      </c>
      <c r="BZ103" s="47" t="n">
        <f aca="false">BZ79+BZ102+BZ89+BZ96+BZ97+BZ48+BZ55</f>
        <v>1029.92268723356</v>
      </c>
      <c r="CA103" s="47" t="n">
        <f aca="false">CA79+CA102+CA89+CA96+CA97+CA48+CA55</f>
        <v>1039.39603696313</v>
      </c>
      <c r="CB103" s="47" t="n">
        <f aca="false">CB79+CB102+CB89+CB96+CB97+CB48+CB55</f>
        <v>1050.70552580401</v>
      </c>
      <c r="CC103" s="47" t="n">
        <f aca="false">CC79+CC102+CC89+CC96+CC97+CC48+CC55</f>
        <v>1076.22047851409</v>
      </c>
      <c r="CD103" s="47" t="n">
        <f aca="false">CD79+CD102+CD89+CD96+CD97+CD48+CD55</f>
        <v>1079.2659353105</v>
      </c>
      <c r="CE103" s="47" t="n">
        <f aca="false">CE79+CE102+CE89+CE96+CE97+CE48+CE55</f>
        <v>1074.91056394856</v>
      </c>
      <c r="CF103" s="47" t="n">
        <f aca="false">CF79+CF102+CF89+CF96+CF97+CF48+CF55</f>
        <v>1100.7424444056</v>
      </c>
      <c r="CG103" s="47" t="n">
        <f aca="false">CG79+CG102+CG89+CG96+CG97+CG48+CG55</f>
        <v>1126.8700979182</v>
      </c>
      <c r="CH103" s="47" t="n">
        <f aca="false">CH79+CH102+CH89+CH96+CH97+CH48+CH55</f>
        <v>1130.44620585838</v>
      </c>
      <c r="CI103" s="47" t="n">
        <f aca="false">CI79+CI102+CI89+CI96+CI97+CI48+CI55</f>
        <v>1126.35344643902</v>
      </c>
      <c r="CJ103" s="47" t="n">
        <f aca="false">CJ79+CJ102+CJ89+CJ96+CJ97+CJ48+CJ55</f>
        <v>1152.81343166155</v>
      </c>
      <c r="CK103" s="47" t="n">
        <f aca="false">CK79+CK102+CK89+CK96+CK97+CK48+CK55</f>
        <v>1179.57647662403</v>
      </c>
      <c r="CL103" s="47" t="n">
        <f aca="false">CL79+CL102+CL89+CL96+CL97+CL48+CL55</f>
        <v>1183.70950926518</v>
      </c>
      <c r="CM103" s="47" t="n">
        <f aca="false">CM79+CM102+CM89+CM96+CM97+CM48+CM55</f>
        <v>1179.9029454597</v>
      </c>
      <c r="CN103" s="47" t="n">
        <f aca="false">CN79+CN102+CN89+CN96+CN97+CN48+CN55</f>
        <v>1207.01451858963</v>
      </c>
      <c r="CO103" s="47" t="n">
        <f aca="false">CO79+CO102+CO89+CO96+CO97+CO48+CO55</f>
        <v>1234.4367391994</v>
      </c>
      <c r="CP103" s="47" t="n">
        <f aca="false">CP79+CP102+CP89+CP96+CP97+CP48+CP55</f>
        <v>1239.15419369567</v>
      </c>
      <c r="CQ103" s="47" t="n">
        <f aca="false">CQ79+CQ102+CQ89+CQ96+CQ97+CQ48+CQ55</f>
        <v>1249.85367117829</v>
      </c>
      <c r="CR103" s="47" t="n">
        <f aca="false">CR79+CR102+CR89+CR96+CR97+CR48+CR55</f>
        <v>1263.6029539471</v>
      </c>
      <c r="CS103" s="47" t="n">
        <f aca="false">CS79+CS102+CS89+CS96+CS97+CS48+CS55</f>
        <v>1291.71114772144</v>
      </c>
      <c r="CT103" s="47" t="n">
        <f aca="false">CT79+CT102+CT89+CT96+CT97+CT48+CT55</f>
        <v>1297.04369056414</v>
      </c>
      <c r="CU103" s="47" t="n">
        <f aca="false">CU79+CU102+CU89+CU96+CU97+CU48+CU55</f>
        <v>1279.53442872586</v>
      </c>
      <c r="CV103" s="47" t="n">
        <f aca="false">CV79+CV102+CV89+CV96+CV97+CV48+CV55</f>
        <v>1293.75147793392</v>
      </c>
      <c r="CW103" s="47" t="n">
        <f aca="false">CW79+CW102+CW89+CW96+CW97+CW48+CW55</f>
        <v>1307.96852714199</v>
      </c>
      <c r="CX103" s="47" t="n">
        <f aca="false">CX79+CX102+CX89+CX96+CX97+CX48+CX55</f>
        <v>1299.0123028964</v>
      </c>
      <c r="CY103" s="47" t="n">
        <f aca="false">CY79+CY102+CY89+CY96+CY97+CY48+CY55</f>
        <v>1281.16277551773</v>
      </c>
      <c r="CZ103" s="47" t="n">
        <f aca="false">CZ79+CZ102+CZ89+CZ96+CZ97+CZ48+CZ55</f>
        <v>1295.39791746793</v>
      </c>
      <c r="DA103" s="47" t="n">
        <f aca="false">DA79+DA102+DA89+DA96+DA97+DA48+DA55</f>
        <v>1309.63305941813</v>
      </c>
      <c r="DB103" s="47" t="n">
        <f aca="false">DB79+DB102+DB89+DB96+DB97+DB48+DB55</f>
        <v>2332.84341003562</v>
      </c>
      <c r="DC103" s="47" t="n">
        <f aca="false">DC79+DC102+DC89+DC96+DC97+DC48+DC55</f>
        <v>2292.21074162574</v>
      </c>
      <c r="DD103" s="47" t="n">
        <f aca="false">DD79+DD102+DD89+DD96+DD97+DD48+DD55</f>
        <v>2317.67974986603</v>
      </c>
      <c r="DE103" s="47" t="n">
        <f aca="false">DE79+DE102+DE89+DE96+DE97+DE48+DE55</f>
        <v>2343.14875810631</v>
      </c>
      <c r="DF103" s="47" t="n">
        <f aca="false">DF79+DF102+DF89+DF96+DF97+DF48+DF55</f>
        <v>2334.08566032166</v>
      </c>
      <c r="DG103" s="47" t="n">
        <f aca="false">DG79+DG102+DG89+DG96+DG97+DG48+DG55</f>
        <v>2318.58501268533</v>
      </c>
      <c r="DH103" s="47" t="n">
        <f aca="false">DH79+DH102+DH89+DH96+DH97+DH48+DH55</f>
        <v>2318.58501268533</v>
      </c>
      <c r="DI103" s="47" t="n">
        <f aca="false">DI79+DI102+DI89+DI96+DI97+DI48+DI55</f>
        <v>2344.06396886868</v>
      </c>
      <c r="DJ103" s="47" t="n">
        <f aca="false">DJ79+DJ102+DJ89+DJ96+DJ97+DJ48+DJ55</f>
        <v>2334.94728416399</v>
      </c>
      <c r="DK103" s="47" t="n">
        <f aca="false">DK79+DK102+DK89+DK96+DK97+DK48+DK55</f>
        <v>2293.61733770569</v>
      </c>
      <c r="DL103" s="47" t="n">
        <f aca="false">DL79+DL102+DL89+DL96+DL97+DL48+DL55</f>
        <v>2319.10197479131</v>
      </c>
      <c r="DM103" s="47" t="n">
        <f aca="false">DM79+DM102+DM89+DM96+DM97+DM48+DM55</f>
        <v>2344.58661187693</v>
      </c>
      <c r="DN103" s="47" t="n">
        <f aca="false">DN79+DN102+DN89+DN96+DN97+DN48+DN55</f>
        <v>2335.41624692326</v>
      </c>
      <c r="DO103" s="47" t="n">
        <f aca="false">DO79+DO102+DO89+DO96+DO97+DO48+DO55</f>
        <v>2293.73250114924</v>
      </c>
      <c r="DP103" s="47" t="n">
        <f aca="false">DP79+DP102+DP89+DP96+DP97+DP48+DP55</f>
        <v>2319.21841782868</v>
      </c>
      <c r="DQ103" s="47" t="n">
        <f aca="false">DQ79+DQ102+DQ89+DQ96+DQ97+DQ48+DQ55</f>
        <v>2344.70433450812</v>
      </c>
      <c r="DR103" s="47" t="n">
        <f aca="false">DR79+DR102+DR89+DR96+DR97+DR48+DR55</f>
        <v>2335.4802012586</v>
      </c>
      <c r="DS103" s="47" t="n">
        <f aca="false">DS79+DS102+DS89+DS96+DS97+DS48+DS55</f>
        <v>2293.43914907761</v>
      </c>
      <c r="DT103" s="47" t="n">
        <f aca="false">DT79+DT102+DT89+DT96+DT97+DT48+DT55</f>
        <v>2318.92180628959</v>
      </c>
      <c r="DU103" s="47" t="n">
        <f aca="false">DU79+DU102+DU89+DU96+DU97+DU48+DU55</f>
        <v>2344.40446350156</v>
      </c>
      <c r="DV103" s="47" t="n">
        <f aca="false">DV79+DV102+DV89+DV96+DV97+DV48+DV55</f>
        <v>2335.12647935891</v>
      </c>
      <c r="DW103" s="47" t="n">
        <f aca="false">DW79+DW102+DW89+DW96+DW97+DW48+DW55</f>
        <v>2318.19927963646</v>
      </c>
      <c r="DX103" s="47" t="n">
        <f aca="false">DX79+DX102+DX89+DX96+DX97+DX48+DX55</f>
        <v>2318.19927963646</v>
      </c>
      <c r="DY103" s="47" t="n">
        <f aca="false">DY79+DY102+DY89+DY96+DY97+DY48+DY55</f>
        <v>2343.6739969951</v>
      </c>
      <c r="DZ103" s="47" t="n">
        <f aca="false">DZ79+DZ102+DZ89+DZ96+DZ97+DZ48+DZ55</f>
        <v>2334.34208498317</v>
      </c>
      <c r="EA103" s="47" t="n">
        <f aca="false">EA79+EA102+EA89+EA96+EA97+EA48+EA55</f>
        <v>2291.57569209672</v>
      </c>
      <c r="EB103" s="47" t="n">
        <f aca="false">EB79+EB102+EB89+EB96+EB97+EB48+EB55</f>
        <v>2317.03764423113</v>
      </c>
      <c r="EC103" s="47" t="n">
        <f aca="false">EC79+EC102+EC89+EC96+EC97+EC48+EC55</f>
        <v>2342.49959636554</v>
      </c>
      <c r="ED103" s="47" t="n">
        <f aca="false">ED79+ED102+ED89+ED96+ED97+ED48+ED55</f>
        <v>2333.11368530497</v>
      </c>
      <c r="EE103" s="47" t="n">
        <f aca="false">EE79+EE102+EE89+EE96+EE97+EE48+EE55</f>
        <v>2289.97915226266</v>
      </c>
      <c r="EF103" s="47" t="n">
        <f aca="false">EF79+EF102+EF89+EF96+EF97+EF48+EF55</f>
        <v>2315.42336506558</v>
      </c>
      <c r="EG103" s="47" t="n">
        <f aca="false">EG79+EG102+EG89+EG96+EG97+EG48+EG55</f>
        <v>2340.8675778685</v>
      </c>
      <c r="EH103" s="47" t="n">
        <f aca="false">EH79+EH102+EH89+EH96+EH97+EH48+EH55</f>
        <v>2331.42760255663</v>
      </c>
      <c r="EI103" s="47" t="n">
        <f aca="false">EI79+EI102+EI89+EI96+EI97+EI48+EI55</f>
        <v>2287.92121050596</v>
      </c>
      <c r="EJ103" s="47" t="n">
        <f aca="false">EJ79+EJ102+EJ89+EJ96+EJ97+EJ48+EJ55</f>
        <v>2313.34255728936</v>
      </c>
      <c r="EK103" s="47" t="n">
        <f aca="false">EK79+EK102+EK89+EK96+EK97+EK48+EK55</f>
        <v>2338.76390407276</v>
      </c>
      <c r="EL103" s="47" t="n">
        <f aca="false">EL79+EL102+EL89+EL96+EL97+EL48+EL55</f>
        <v>2329.26980546783</v>
      </c>
      <c r="EM103" s="47" t="n">
        <f aca="false">EM79+EM102+EM89+EM96+EM97+EM48+EM55</f>
        <v>2310.78097752876</v>
      </c>
      <c r="EN103" s="47" t="n">
        <f aca="false">EN79+EN102+EN89+EN96+EN97+EN48+EN55</f>
        <v>2310.78097752876</v>
      </c>
      <c r="EO103" s="47" t="n">
        <f aca="false">EO79+EO102+EO89+EO96+EO97+EO48+EO55</f>
        <v>2336.17417508402</v>
      </c>
    </row>
    <row r="104" customFormat="false" ht="15" hidden="false" customHeight="false" outlineLevel="0" collapsed="false">
      <c r="C104" s="0" t="s">
        <v>448</v>
      </c>
      <c r="D104" s="11" t="s">
        <v>33</v>
      </c>
      <c r="J104" s="18" t="n">
        <f aca="false">I108</f>
        <v>0</v>
      </c>
      <c r="K104" s="18" t="n">
        <f aca="false">J108</f>
        <v>12.8099380746857</v>
      </c>
      <c r="L104" s="18" t="n">
        <f aca="false">K108</f>
        <v>32.4846237568024</v>
      </c>
      <c r="M104" s="18" t="n">
        <f aca="false">L108</f>
        <v>65.6401125914806</v>
      </c>
      <c r="N104" s="18" t="n">
        <f aca="false">M108</f>
        <v>99.1599474573091</v>
      </c>
      <c r="O104" s="18" t="n">
        <f aca="false">N108</f>
        <v>132.679782323138</v>
      </c>
      <c r="P104" s="18" t="n">
        <f aca="false">O108</f>
        <v>165.835271157816</v>
      </c>
      <c r="Q104" s="18" t="n">
        <f aca="false">P108</f>
        <v>198.990759992494</v>
      </c>
      <c r="R104" s="18" t="n">
        <f aca="false">Q108</f>
        <v>232.510594858322</v>
      </c>
      <c r="S104" s="18" t="n">
        <f aca="false">R108</f>
        <v>1370.83725036342</v>
      </c>
      <c r="T104" s="18" t="n">
        <f aca="false">S108</f>
        <v>1547.54691920119</v>
      </c>
      <c r="U104" s="18" t="n">
        <f aca="false">T108</f>
        <v>1701.18915609518</v>
      </c>
      <c r="V104" s="18" t="n">
        <f aca="false">U108</f>
        <v>1844.02594957718</v>
      </c>
      <c r="W104" s="18" t="n">
        <f aca="false">V108</f>
        <v>1974.23162869627</v>
      </c>
      <c r="X104" s="18" t="n">
        <f aca="false">W108</f>
        <v>2090.29215582612</v>
      </c>
      <c r="Y104" s="18" t="n">
        <f aca="false">X108</f>
        <v>2195.42002950177</v>
      </c>
      <c r="Z104" s="18" t="n">
        <f aca="false">Y108</f>
        <v>2289.2093348949</v>
      </c>
      <c r="AA104" s="18" t="n">
        <f aca="false">Z108</f>
        <v>2037.90618865476</v>
      </c>
      <c r="AB104" s="18" t="n">
        <f aca="false">AA108</f>
        <v>1789.31638263538</v>
      </c>
      <c r="AC104" s="18" t="n">
        <f aca="false">AB108</f>
        <v>1531.44130007997</v>
      </c>
      <c r="AD104" s="18" t="n">
        <f aca="false">AC108</f>
        <v>1264.17018633588</v>
      </c>
      <c r="AE104" s="18" t="n">
        <f aca="false">AD108</f>
        <v>997.884361350022</v>
      </c>
      <c r="AF104" s="18" t="n">
        <f aca="false">AE108</f>
        <v>727.772753065486</v>
      </c>
      <c r="AG104" s="18" t="n">
        <f aca="false">AF108</f>
        <v>454.619910004091</v>
      </c>
      <c r="AH104" s="18" t="n">
        <f aca="false">AG108</f>
        <v>171.868273165539</v>
      </c>
      <c r="AI104" s="18" t="n">
        <f aca="false">AH108</f>
        <v>0</v>
      </c>
      <c r="AJ104" s="18" t="n">
        <f aca="false">AI108</f>
        <v>0</v>
      </c>
      <c r="AK104" s="18" t="n">
        <f aca="false">AJ108</f>
        <v>0</v>
      </c>
      <c r="AL104" s="18" t="n">
        <f aca="false">AK108</f>
        <v>0</v>
      </c>
      <c r="AM104" s="18" t="n">
        <f aca="false">AL108</f>
        <v>0</v>
      </c>
      <c r="AN104" s="18" t="n">
        <f aca="false">AM108</f>
        <v>0</v>
      </c>
      <c r="AO104" s="18" t="n">
        <f aca="false">AN108</f>
        <v>0</v>
      </c>
      <c r="AP104" s="18" t="n">
        <f aca="false">AO108</f>
        <v>0</v>
      </c>
      <c r="AQ104" s="18" t="n">
        <f aca="false">AP108</f>
        <v>0</v>
      </c>
      <c r="AR104" s="18" t="n">
        <f aca="false">AQ108</f>
        <v>0</v>
      </c>
      <c r="AS104" s="18" t="n">
        <f aca="false">AR108</f>
        <v>0</v>
      </c>
      <c r="AT104" s="18" t="n">
        <f aca="false">AS108</f>
        <v>0</v>
      </c>
      <c r="AU104" s="18" t="n">
        <f aca="false">AT108</f>
        <v>0</v>
      </c>
      <c r="AV104" s="18" t="n">
        <f aca="false">AU108</f>
        <v>0</v>
      </c>
      <c r="AW104" s="18" t="n">
        <f aca="false">AV108</f>
        <v>0</v>
      </c>
      <c r="AX104" s="18" t="n">
        <f aca="false">AW108</f>
        <v>0</v>
      </c>
      <c r="AY104" s="18" t="n">
        <f aca="false">AX108</f>
        <v>0</v>
      </c>
      <c r="AZ104" s="18" t="n">
        <f aca="false">AY108</f>
        <v>0</v>
      </c>
      <c r="BA104" s="18" t="n">
        <f aca="false">AZ108</f>
        <v>0</v>
      </c>
      <c r="BB104" s="18" t="n">
        <f aca="false">BA108</f>
        <v>0</v>
      </c>
      <c r="BC104" s="18" t="n">
        <f aca="false">BB108</f>
        <v>0</v>
      </c>
      <c r="BD104" s="18" t="n">
        <f aca="false">BC108</f>
        <v>0</v>
      </c>
      <c r="BE104" s="18" t="n">
        <f aca="false">BD108</f>
        <v>0</v>
      </c>
      <c r="BF104" s="18" t="n">
        <f aca="false">BE108</f>
        <v>0</v>
      </c>
      <c r="BG104" s="18" t="n">
        <f aca="false">BF108</f>
        <v>0</v>
      </c>
      <c r="BH104" s="18" t="n">
        <f aca="false">BG108</f>
        <v>0</v>
      </c>
      <c r="BI104" s="18" t="n">
        <f aca="false">BH108</f>
        <v>0</v>
      </c>
      <c r="BJ104" s="18" t="n">
        <f aca="false">BI108</f>
        <v>0</v>
      </c>
      <c r="BK104" s="18" t="n">
        <f aca="false">BJ108</f>
        <v>0</v>
      </c>
      <c r="BL104" s="18" t="n">
        <f aca="false">BK108</f>
        <v>0</v>
      </c>
      <c r="BM104" s="18" t="n">
        <f aca="false">BL108</f>
        <v>0</v>
      </c>
      <c r="BN104" s="18" t="n">
        <f aca="false">BM108</f>
        <v>0</v>
      </c>
      <c r="BO104" s="18" t="n">
        <f aca="false">BN108</f>
        <v>0</v>
      </c>
      <c r="BP104" s="18" t="n">
        <f aca="false">BO108</f>
        <v>0</v>
      </c>
      <c r="BQ104" s="18" t="n">
        <f aca="false">BP108</f>
        <v>0</v>
      </c>
      <c r="BR104" s="18" t="n">
        <f aca="false">BQ108</f>
        <v>0</v>
      </c>
      <c r="BS104" s="18" t="n">
        <f aca="false">BR108</f>
        <v>0</v>
      </c>
      <c r="BT104" s="18" t="n">
        <f aca="false">BS108</f>
        <v>0</v>
      </c>
      <c r="BU104" s="18" t="n">
        <f aca="false">BT108</f>
        <v>0</v>
      </c>
      <c r="BV104" s="18" t="n">
        <f aca="false">BU108</f>
        <v>0</v>
      </c>
      <c r="BW104" s="18" t="n">
        <f aca="false">BV108</f>
        <v>0</v>
      </c>
      <c r="BX104" s="18" t="n">
        <f aca="false">BW108</f>
        <v>0</v>
      </c>
      <c r="BY104" s="18" t="n">
        <f aca="false">BX108</f>
        <v>0</v>
      </c>
      <c r="BZ104" s="18" t="n">
        <f aca="false">BY108</f>
        <v>0</v>
      </c>
      <c r="CA104" s="18" t="n">
        <f aca="false">BZ108</f>
        <v>0</v>
      </c>
      <c r="CB104" s="18" t="n">
        <f aca="false">CA108</f>
        <v>0</v>
      </c>
      <c r="CC104" s="18" t="n">
        <f aca="false">CB108</f>
        <v>0</v>
      </c>
      <c r="CD104" s="18" t="n">
        <f aca="false">CC108</f>
        <v>0</v>
      </c>
      <c r="CE104" s="18" t="n">
        <f aca="false">CD108</f>
        <v>0</v>
      </c>
      <c r="CF104" s="18" t="n">
        <f aca="false">CE108</f>
        <v>0</v>
      </c>
      <c r="CG104" s="18" t="n">
        <f aca="false">CF108</f>
        <v>0</v>
      </c>
      <c r="CH104" s="18" t="n">
        <f aca="false">CG108</f>
        <v>0</v>
      </c>
      <c r="CI104" s="18" t="n">
        <f aca="false">CH108</f>
        <v>0</v>
      </c>
      <c r="CJ104" s="18" t="n">
        <f aca="false">CI108</f>
        <v>0</v>
      </c>
      <c r="CK104" s="18" t="n">
        <f aca="false">CJ108</f>
        <v>0</v>
      </c>
      <c r="CL104" s="18" t="n">
        <f aca="false">CK108</f>
        <v>0</v>
      </c>
      <c r="CM104" s="18" t="n">
        <f aca="false">CL108</f>
        <v>0</v>
      </c>
      <c r="CN104" s="18" t="n">
        <f aca="false">CM108</f>
        <v>0</v>
      </c>
      <c r="CO104" s="18" t="n">
        <f aca="false">CN108</f>
        <v>0</v>
      </c>
      <c r="CP104" s="18" t="n">
        <f aca="false">CO108</f>
        <v>0</v>
      </c>
      <c r="CQ104" s="18" t="n">
        <f aca="false">CP108</f>
        <v>0</v>
      </c>
      <c r="CR104" s="18" t="n">
        <f aca="false">CQ108</f>
        <v>0</v>
      </c>
      <c r="CS104" s="18" t="n">
        <f aca="false">CR108</f>
        <v>0</v>
      </c>
      <c r="CT104" s="18" t="n">
        <f aca="false">CS108</f>
        <v>0</v>
      </c>
      <c r="CU104" s="18" t="n">
        <f aca="false">CT108</f>
        <v>0</v>
      </c>
      <c r="CV104" s="18" t="n">
        <f aca="false">CU108</f>
        <v>0</v>
      </c>
      <c r="CW104" s="18" t="n">
        <f aca="false">CV108</f>
        <v>0</v>
      </c>
      <c r="CX104" s="18" t="n">
        <f aca="false">CW108</f>
        <v>0</v>
      </c>
      <c r="CY104" s="18" t="n">
        <f aca="false">CX108</f>
        <v>0</v>
      </c>
      <c r="CZ104" s="18" t="n">
        <f aca="false">CY108</f>
        <v>0</v>
      </c>
      <c r="DA104" s="18" t="n">
        <f aca="false">CZ108</f>
        <v>0</v>
      </c>
      <c r="DB104" s="18" t="n">
        <f aca="false">DA108</f>
        <v>0</v>
      </c>
      <c r="DC104" s="18" t="n">
        <f aca="false">DB108</f>
        <v>0</v>
      </c>
      <c r="DD104" s="18" t="n">
        <f aca="false">DC108</f>
        <v>0</v>
      </c>
      <c r="DE104" s="18" t="n">
        <f aca="false">DD108</f>
        <v>0</v>
      </c>
      <c r="DF104" s="18" t="n">
        <f aca="false">DE108</f>
        <v>0</v>
      </c>
      <c r="DG104" s="18" t="n">
        <f aca="false">DF108</f>
        <v>0</v>
      </c>
      <c r="DH104" s="18" t="n">
        <f aca="false">DG108</f>
        <v>0</v>
      </c>
      <c r="DI104" s="18" t="n">
        <f aca="false">DH108</f>
        <v>0</v>
      </c>
      <c r="DJ104" s="18" t="n">
        <f aca="false">DI108</f>
        <v>0</v>
      </c>
      <c r="DK104" s="18" t="n">
        <f aca="false">DJ108</f>
        <v>0</v>
      </c>
      <c r="DL104" s="18" t="n">
        <f aca="false">DK108</f>
        <v>0</v>
      </c>
      <c r="DM104" s="18" t="n">
        <f aca="false">DL108</f>
        <v>0</v>
      </c>
      <c r="DN104" s="18" t="n">
        <f aca="false">DM108</f>
        <v>0</v>
      </c>
      <c r="DO104" s="18" t="n">
        <f aca="false">DN108</f>
        <v>0</v>
      </c>
      <c r="DP104" s="18" t="n">
        <f aca="false">DO108</f>
        <v>0</v>
      </c>
      <c r="DQ104" s="18" t="n">
        <f aca="false">DP108</f>
        <v>0</v>
      </c>
      <c r="DR104" s="18" t="n">
        <f aca="false">DQ108</f>
        <v>0</v>
      </c>
      <c r="DS104" s="18" t="n">
        <f aca="false">DR108</f>
        <v>0</v>
      </c>
      <c r="DT104" s="18" t="n">
        <f aca="false">DS108</f>
        <v>0</v>
      </c>
      <c r="DU104" s="18" t="n">
        <f aca="false">DT108</f>
        <v>0</v>
      </c>
      <c r="DV104" s="18" t="n">
        <f aca="false">DU108</f>
        <v>0</v>
      </c>
      <c r="DW104" s="18" t="n">
        <f aca="false">DV108</f>
        <v>0</v>
      </c>
      <c r="DX104" s="18" t="n">
        <f aca="false">DW108</f>
        <v>0</v>
      </c>
      <c r="DY104" s="18" t="n">
        <f aca="false">DX108</f>
        <v>0</v>
      </c>
      <c r="DZ104" s="18" t="n">
        <f aca="false">DY108</f>
        <v>0</v>
      </c>
      <c r="EA104" s="18" t="n">
        <f aca="false">DZ108</f>
        <v>0</v>
      </c>
      <c r="EB104" s="18" t="n">
        <f aca="false">EA108</f>
        <v>0</v>
      </c>
      <c r="EC104" s="18" t="n">
        <f aca="false">EB108</f>
        <v>0</v>
      </c>
      <c r="ED104" s="18" t="n">
        <f aca="false">EC108</f>
        <v>0</v>
      </c>
      <c r="EE104" s="18" t="n">
        <f aca="false">ED108</f>
        <v>0</v>
      </c>
      <c r="EF104" s="18" t="n">
        <f aca="false">EE108</f>
        <v>0</v>
      </c>
      <c r="EG104" s="18" t="n">
        <f aca="false">EF108</f>
        <v>0</v>
      </c>
      <c r="EH104" s="18" t="n">
        <f aca="false">EG108</f>
        <v>0</v>
      </c>
      <c r="EI104" s="18" t="n">
        <f aca="false">EH108</f>
        <v>0</v>
      </c>
      <c r="EJ104" s="18" t="n">
        <f aca="false">EI108</f>
        <v>0</v>
      </c>
      <c r="EK104" s="18" t="n">
        <f aca="false">EJ108</f>
        <v>0</v>
      </c>
      <c r="EL104" s="18" t="n">
        <f aca="false">EK108</f>
        <v>0</v>
      </c>
      <c r="EM104" s="18" t="n">
        <f aca="false">EL108</f>
        <v>0</v>
      </c>
      <c r="EN104" s="18" t="n">
        <f aca="false">EM108</f>
        <v>0</v>
      </c>
      <c r="EO104" s="18" t="n">
        <f aca="false">EN108</f>
        <v>0</v>
      </c>
    </row>
    <row r="105" customFormat="false" ht="15" hidden="false" customHeight="false" outlineLevel="0" collapsed="false">
      <c r="C105" s="0" t="s">
        <v>449</v>
      </c>
      <c r="D105" s="11" t="s">
        <v>33</v>
      </c>
      <c r="I105" s="47" t="n">
        <f aca="false">SUM(J105:EO105)</f>
        <v>2289.2093348949</v>
      </c>
      <c r="J105" s="47" t="n">
        <f aca="false">MAX(0,-J103)</f>
        <v>12.8099380746857</v>
      </c>
      <c r="K105" s="47" t="n">
        <f aca="false">MAX(0,-K103)</f>
        <v>19.6746856821167</v>
      </c>
      <c r="L105" s="47" t="n">
        <f aca="false">MAX(0,-L103)</f>
        <v>33.1554888346782</v>
      </c>
      <c r="M105" s="47" t="n">
        <f aca="false">MAX(0,-M103)</f>
        <v>33.5198348658285</v>
      </c>
      <c r="N105" s="47" t="n">
        <f aca="false">MAX(0,-N103)</f>
        <v>33.5198348658285</v>
      </c>
      <c r="O105" s="47" t="n">
        <f aca="false">MAX(0,-O103)</f>
        <v>33.1554888346782</v>
      </c>
      <c r="P105" s="47" t="n">
        <f aca="false">MAX(0,-P103)</f>
        <v>33.1554888346782</v>
      </c>
      <c r="Q105" s="47" t="n">
        <f aca="false">MAX(0,-Q103)</f>
        <v>33.5198348658285</v>
      </c>
      <c r="R105" s="47" t="n">
        <f aca="false">MAX(0,-R103)</f>
        <v>1138.3266555051</v>
      </c>
      <c r="S105" s="47" t="n">
        <f aca="false">MAX(0,-S103)</f>
        <v>176.709668837772</v>
      </c>
      <c r="T105" s="47" t="n">
        <f aca="false">MAX(0,-T103)</f>
        <v>153.642236893986</v>
      </c>
      <c r="U105" s="47" t="n">
        <f aca="false">MAX(0,-U103)</f>
        <v>142.836793482006</v>
      </c>
      <c r="V105" s="47" t="n">
        <f aca="false">MAX(0,-V103)</f>
        <v>130.205679119086</v>
      </c>
      <c r="W105" s="47" t="n">
        <f aca="false">MAX(0,-W103)</f>
        <v>116.060527129856</v>
      </c>
      <c r="X105" s="47" t="n">
        <f aca="false">MAX(0,-X103)</f>
        <v>105.127873675643</v>
      </c>
      <c r="Y105" s="47" t="n">
        <f aca="false">MAX(0,-Y103)</f>
        <v>93.7893053931319</v>
      </c>
      <c r="Z105" s="47" t="n">
        <f aca="false">MAX(0,-Z103)</f>
        <v>0</v>
      </c>
      <c r="AA105" s="47" t="n">
        <f aca="false">MAX(0,-AA103)</f>
        <v>0</v>
      </c>
      <c r="AB105" s="47" t="n">
        <f aca="false">MAX(0,-AB103)</f>
        <v>0</v>
      </c>
      <c r="AC105" s="47" t="n">
        <f aca="false">MAX(0,-AC103)</f>
        <v>0</v>
      </c>
      <c r="AD105" s="47" t="n">
        <f aca="false">MAX(0,-AD103)</f>
        <v>0</v>
      </c>
      <c r="AE105" s="47" t="n">
        <f aca="false">MAX(0,-AE103)</f>
        <v>0</v>
      </c>
      <c r="AF105" s="47" t="n">
        <f aca="false">MAX(0,-AF103)</f>
        <v>0</v>
      </c>
      <c r="AG105" s="47" t="n">
        <f aca="false">MAX(0,-AG103)</f>
        <v>0</v>
      </c>
      <c r="AH105" s="47" t="n">
        <f aca="false">MAX(0,-AH103)</f>
        <v>0</v>
      </c>
      <c r="AI105" s="47" t="n">
        <f aca="false">MAX(0,-AI103)</f>
        <v>0</v>
      </c>
      <c r="AJ105" s="47" t="n">
        <f aca="false">MAX(0,-AJ103)</f>
        <v>0</v>
      </c>
      <c r="AK105" s="47" t="n">
        <f aca="false">MAX(0,-AK103)</f>
        <v>0</v>
      </c>
      <c r="AL105" s="47" t="n">
        <f aca="false">MAX(0,-AL103)</f>
        <v>0</v>
      </c>
      <c r="AM105" s="47" t="n">
        <f aca="false">MAX(0,-AM103)</f>
        <v>0</v>
      </c>
      <c r="AN105" s="47" t="n">
        <f aca="false">MAX(0,-AN103)</f>
        <v>0</v>
      </c>
      <c r="AO105" s="47" t="n">
        <f aca="false">MAX(0,-AO103)</f>
        <v>0</v>
      </c>
      <c r="AP105" s="47" t="n">
        <f aca="false">MAX(0,-AP103)</f>
        <v>0</v>
      </c>
      <c r="AQ105" s="47" t="n">
        <f aca="false">MAX(0,-AQ103)</f>
        <v>0</v>
      </c>
      <c r="AR105" s="47" t="n">
        <f aca="false">MAX(0,-AR103)</f>
        <v>0</v>
      </c>
      <c r="AS105" s="47" t="n">
        <f aca="false">MAX(0,-AS103)</f>
        <v>0</v>
      </c>
      <c r="AT105" s="47" t="n">
        <f aca="false">MAX(0,-AT103)</f>
        <v>0</v>
      </c>
      <c r="AU105" s="47" t="n">
        <f aca="false">MAX(0,-AU103)</f>
        <v>0</v>
      </c>
      <c r="AV105" s="47" t="n">
        <f aca="false">MAX(0,-AV103)</f>
        <v>0</v>
      </c>
      <c r="AW105" s="47" t="n">
        <f aca="false">MAX(0,-AW103)</f>
        <v>0</v>
      </c>
      <c r="AX105" s="47" t="n">
        <f aca="false">MAX(0,-AX103)</f>
        <v>0</v>
      </c>
      <c r="AY105" s="47" t="n">
        <f aca="false">MAX(0,-AY103)</f>
        <v>0</v>
      </c>
      <c r="AZ105" s="47" t="n">
        <f aca="false">MAX(0,-AZ103)</f>
        <v>0</v>
      </c>
      <c r="BA105" s="47" t="n">
        <f aca="false">MAX(0,-BA103)</f>
        <v>0</v>
      </c>
      <c r="BB105" s="47" t="n">
        <f aca="false">MAX(0,-BB103)</f>
        <v>0</v>
      </c>
      <c r="BC105" s="47" t="n">
        <f aca="false">MAX(0,-BC103)</f>
        <v>0</v>
      </c>
      <c r="BD105" s="47" t="n">
        <f aca="false">MAX(0,-BD103)</f>
        <v>0</v>
      </c>
      <c r="BE105" s="47" t="n">
        <f aca="false">MAX(0,-BE103)</f>
        <v>0</v>
      </c>
      <c r="BF105" s="47" t="n">
        <f aca="false">MAX(0,-BF103)</f>
        <v>0</v>
      </c>
      <c r="BG105" s="47" t="n">
        <f aca="false">MAX(0,-BG103)</f>
        <v>0</v>
      </c>
      <c r="BH105" s="47" t="n">
        <f aca="false">MAX(0,-BH103)</f>
        <v>0</v>
      </c>
      <c r="BI105" s="47" t="n">
        <f aca="false">MAX(0,-BI103)</f>
        <v>0</v>
      </c>
      <c r="BJ105" s="47" t="n">
        <f aca="false">MAX(0,-BJ103)</f>
        <v>0</v>
      </c>
      <c r="BK105" s="47" t="n">
        <f aca="false">MAX(0,-BK103)</f>
        <v>0</v>
      </c>
      <c r="BL105" s="47" t="n">
        <f aca="false">MAX(0,-BL103)</f>
        <v>0</v>
      </c>
      <c r="BM105" s="47" t="n">
        <f aca="false">MAX(0,-BM103)</f>
        <v>0</v>
      </c>
      <c r="BN105" s="47" t="n">
        <f aca="false">MAX(0,-BN103)</f>
        <v>0</v>
      </c>
      <c r="BO105" s="47" t="n">
        <f aca="false">MAX(0,-BO103)</f>
        <v>0</v>
      </c>
      <c r="BP105" s="47" t="n">
        <f aca="false">MAX(0,-BP103)</f>
        <v>0</v>
      </c>
      <c r="BQ105" s="47" t="n">
        <f aca="false">MAX(0,-BQ103)</f>
        <v>0</v>
      </c>
      <c r="BR105" s="47" t="n">
        <f aca="false">MAX(0,-BR103)</f>
        <v>0</v>
      </c>
      <c r="BS105" s="47" t="n">
        <f aca="false">MAX(0,-BS103)</f>
        <v>0</v>
      </c>
      <c r="BT105" s="47" t="n">
        <f aca="false">MAX(0,-BT103)</f>
        <v>0</v>
      </c>
      <c r="BU105" s="47" t="n">
        <f aca="false">MAX(0,-BU103)</f>
        <v>0</v>
      </c>
      <c r="BV105" s="47" t="n">
        <f aca="false">MAX(0,-BV103)</f>
        <v>0</v>
      </c>
      <c r="BW105" s="47" t="n">
        <f aca="false">MAX(0,-BW103)</f>
        <v>0</v>
      </c>
      <c r="BX105" s="47" t="n">
        <f aca="false">MAX(0,-BX103)</f>
        <v>0</v>
      </c>
      <c r="BY105" s="47" t="n">
        <f aca="false">MAX(0,-BY103)</f>
        <v>0</v>
      </c>
      <c r="BZ105" s="47" t="n">
        <f aca="false">MAX(0,-BZ103)</f>
        <v>0</v>
      </c>
      <c r="CA105" s="47" t="n">
        <f aca="false">MAX(0,-CA103)</f>
        <v>0</v>
      </c>
      <c r="CB105" s="47" t="n">
        <f aca="false">MAX(0,-CB103)</f>
        <v>0</v>
      </c>
      <c r="CC105" s="47" t="n">
        <f aca="false">MAX(0,-CC103)</f>
        <v>0</v>
      </c>
      <c r="CD105" s="47" t="n">
        <f aca="false">MAX(0,-CD103)</f>
        <v>0</v>
      </c>
      <c r="CE105" s="47" t="n">
        <f aca="false">MAX(0,-CE103)</f>
        <v>0</v>
      </c>
      <c r="CF105" s="47" t="n">
        <f aca="false">MAX(0,-CF103)</f>
        <v>0</v>
      </c>
      <c r="CG105" s="47" t="n">
        <f aca="false">MAX(0,-CG103)</f>
        <v>0</v>
      </c>
      <c r="CH105" s="47" t="n">
        <f aca="false">MAX(0,-CH103)</f>
        <v>0</v>
      </c>
      <c r="CI105" s="47" t="n">
        <f aca="false">MAX(0,-CI103)</f>
        <v>0</v>
      </c>
      <c r="CJ105" s="47" t="n">
        <f aca="false">MAX(0,-CJ103)</f>
        <v>0</v>
      </c>
      <c r="CK105" s="47" t="n">
        <f aca="false">MAX(0,-CK103)</f>
        <v>0</v>
      </c>
      <c r="CL105" s="47" t="n">
        <f aca="false">MAX(0,-CL103)</f>
        <v>0</v>
      </c>
      <c r="CM105" s="47" t="n">
        <f aca="false">MAX(0,-CM103)</f>
        <v>0</v>
      </c>
      <c r="CN105" s="47" t="n">
        <f aca="false">MAX(0,-CN103)</f>
        <v>0</v>
      </c>
      <c r="CO105" s="47" t="n">
        <f aca="false">MAX(0,-CO103)</f>
        <v>0</v>
      </c>
      <c r="CP105" s="47" t="n">
        <f aca="false">MAX(0,-CP103)</f>
        <v>0</v>
      </c>
      <c r="CQ105" s="47" t="n">
        <f aca="false">MAX(0,-CQ103)</f>
        <v>0</v>
      </c>
      <c r="CR105" s="47" t="n">
        <f aca="false">MAX(0,-CR103)</f>
        <v>0</v>
      </c>
      <c r="CS105" s="47" t="n">
        <f aca="false">MAX(0,-CS103)</f>
        <v>0</v>
      </c>
      <c r="CT105" s="47" t="n">
        <f aca="false">MAX(0,-CT103)</f>
        <v>0</v>
      </c>
      <c r="CU105" s="47" t="n">
        <f aca="false">MAX(0,-CU103)</f>
        <v>0</v>
      </c>
      <c r="CV105" s="47" t="n">
        <f aca="false">MAX(0,-CV103)</f>
        <v>0</v>
      </c>
      <c r="CW105" s="47" t="n">
        <f aca="false">MAX(0,-CW103)</f>
        <v>0</v>
      </c>
      <c r="CX105" s="47" t="n">
        <f aca="false">MAX(0,-CX103)</f>
        <v>0</v>
      </c>
      <c r="CY105" s="47" t="n">
        <f aca="false">MAX(0,-CY103)</f>
        <v>0</v>
      </c>
      <c r="CZ105" s="47" t="n">
        <f aca="false">MAX(0,-CZ103)</f>
        <v>0</v>
      </c>
      <c r="DA105" s="47" t="n">
        <f aca="false">MAX(0,-DA103)</f>
        <v>0</v>
      </c>
      <c r="DB105" s="47" t="n">
        <f aca="false">MAX(0,-DB103)</f>
        <v>0</v>
      </c>
      <c r="DC105" s="47" t="n">
        <f aca="false">MAX(0,-DC103)</f>
        <v>0</v>
      </c>
      <c r="DD105" s="47" t="n">
        <f aca="false">MAX(0,-DD103)</f>
        <v>0</v>
      </c>
      <c r="DE105" s="47" t="n">
        <f aca="false">MAX(0,-DE103)</f>
        <v>0</v>
      </c>
      <c r="DF105" s="47" t="n">
        <f aca="false">MAX(0,-DF103)</f>
        <v>0</v>
      </c>
      <c r="DG105" s="47" t="n">
        <f aca="false">MAX(0,-DG103)</f>
        <v>0</v>
      </c>
      <c r="DH105" s="47" t="n">
        <f aca="false">MAX(0,-DH103)</f>
        <v>0</v>
      </c>
      <c r="DI105" s="47" t="n">
        <f aca="false">MAX(0,-DI103)</f>
        <v>0</v>
      </c>
      <c r="DJ105" s="47" t="n">
        <f aca="false">MAX(0,-DJ103)</f>
        <v>0</v>
      </c>
      <c r="DK105" s="47" t="n">
        <f aca="false">MAX(0,-DK103)</f>
        <v>0</v>
      </c>
      <c r="DL105" s="47" t="n">
        <f aca="false">MAX(0,-DL103)</f>
        <v>0</v>
      </c>
      <c r="DM105" s="47" t="n">
        <f aca="false">MAX(0,-DM103)</f>
        <v>0</v>
      </c>
      <c r="DN105" s="47" t="n">
        <f aca="false">MAX(0,-DN103)</f>
        <v>0</v>
      </c>
      <c r="DO105" s="47" t="n">
        <f aca="false">MAX(0,-DO103)</f>
        <v>0</v>
      </c>
      <c r="DP105" s="47" t="n">
        <f aca="false">MAX(0,-DP103)</f>
        <v>0</v>
      </c>
      <c r="DQ105" s="47" t="n">
        <f aca="false">MAX(0,-DQ103)</f>
        <v>0</v>
      </c>
      <c r="DR105" s="47" t="n">
        <f aca="false">MAX(0,-DR103)</f>
        <v>0</v>
      </c>
      <c r="DS105" s="47" t="n">
        <f aca="false">MAX(0,-DS103)</f>
        <v>0</v>
      </c>
      <c r="DT105" s="47" t="n">
        <f aca="false">MAX(0,-DT103)</f>
        <v>0</v>
      </c>
      <c r="DU105" s="47" t="n">
        <f aca="false">MAX(0,-DU103)</f>
        <v>0</v>
      </c>
      <c r="DV105" s="47" t="n">
        <f aca="false">MAX(0,-DV103)</f>
        <v>0</v>
      </c>
      <c r="DW105" s="47" t="n">
        <f aca="false">MAX(0,-DW103)</f>
        <v>0</v>
      </c>
      <c r="DX105" s="47" t="n">
        <f aca="false">MAX(0,-DX103)</f>
        <v>0</v>
      </c>
      <c r="DY105" s="47" t="n">
        <f aca="false">MAX(0,-DY103)</f>
        <v>0</v>
      </c>
      <c r="DZ105" s="47" t="n">
        <f aca="false">MAX(0,-DZ103)</f>
        <v>0</v>
      </c>
      <c r="EA105" s="47" t="n">
        <f aca="false">MAX(0,-EA103)</f>
        <v>0</v>
      </c>
      <c r="EB105" s="47" t="n">
        <f aca="false">MAX(0,-EB103)</f>
        <v>0</v>
      </c>
      <c r="EC105" s="47" t="n">
        <f aca="false">MAX(0,-EC103)</f>
        <v>0</v>
      </c>
      <c r="ED105" s="47" t="n">
        <f aca="false">MAX(0,-ED103)</f>
        <v>0</v>
      </c>
      <c r="EE105" s="47" t="n">
        <f aca="false">MAX(0,-EE103)</f>
        <v>0</v>
      </c>
      <c r="EF105" s="47" t="n">
        <f aca="false">MAX(0,-EF103)</f>
        <v>0</v>
      </c>
      <c r="EG105" s="47" t="n">
        <f aca="false">MAX(0,-EG103)</f>
        <v>0</v>
      </c>
      <c r="EH105" s="47" t="n">
        <f aca="false">MAX(0,-EH103)</f>
        <v>0</v>
      </c>
      <c r="EI105" s="47" t="n">
        <f aca="false">MAX(0,-EI103)</f>
        <v>0</v>
      </c>
      <c r="EJ105" s="47" t="n">
        <f aca="false">MAX(0,-EJ103)</f>
        <v>0</v>
      </c>
      <c r="EK105" s="47" t="n">
        <f aca="false">MAX(0,-EK103)</f>
        <v>0</v>
      </c>
      <c r="EL105" s="47" t="n">
        <f aca="false">MAX(0,-EL103)</f>
        <v>0</v>
      </c>
      <c r="EM105" s="47" t="n">
        <f aca="false">MAX(0,-EM103)</f>
        <v>0</v>
      </c>
      <c r="EN105" s="47" t="n">
        <f aca="false">MAX(0,-EN103)</f>
        <v>0</v>
      </c>
      <c r="EO105" s="47" t="n">
        <f aca="false">MAX(0,-EO103)</f>
        <v>0</v>
      </c>
    </row>
    <row r="106" customFormat="false" ht="15" hidden="false" customHeight="false" outlineLevel="0" collapsed="false">
      <c r="C106" s="0" t="s">
        <v>450</v>
      </c>
      <c r="D106" s="11" t="s">
        <v>33</v>
      </c>
      <c r="I106" s="47" t="n">
        <f aca="false">SUM(J106:EO106)</f>
        <v>-2289.2093348949</v>
      </c>
      <c r="J106" s="47" t="n">
        <f aca="false">-MIN(J104,In_Loss_Cap*MAX(0,J103))</f>
        <v>-0</v>
      </c>
      <c r="K106" s="47" t="n">
        <f aca="false">-MIN(K104,In_Loss_Cap*MAX(0,K103))</f>
        <v>-0</v>
      </c>
      <c r="L106" s="47" t="n">
        <f aca="false">-MIN(L104,In_Loss_Cap*MAX(0,L103))</f>
        <v>-0</v>
      </c>
      <c r="M106" s="47" t="n">
        <f aca="false">-MIN(M104,In_Loss_Cap*MAX(0,M103))</f>
        <v>-0</v>
      </c>
      <c r="N106" s="47" t="n">
        <f aca="false">-MIN(N104,In_Loss_Cap*MAX(0,N103))</f>
        <v>-0</v>
      </c>
      <c r="O106" s="47" t="n">
        <f aca="false">-MIN(O104,In_Loss_Cap*MAX(0,O103))</f>
        <v>-0</v>
      </c>
      <c r="P106" s="47" t="n">
        <f aca="false">-MIN(P104,In_Loss_Cap*MAX(0,P103))</f>
        <v>-0</v>
      </c>
      <c r="Q106" s="47" t="n">
        <f aca="false">-MIN(Q104,In_Loss_Cap*MAX(0,Q103))</f>
        <v>-0</v>
      </c>
      <c r="R106" s="47" t="n">
        <f aca="false">-MIN(R104,In_Loss_Cap*MAX(0,R103))</f>
        <v>-0</v>
      </c>
      <c r="S106" s="47" t="n">
        <f aca="false">-MIN(S104,In_Loss_Cap*MAX(0,S103))</f>
        <v>-0</v>
      </c>
      <c r="T106" s="47" t="n">
        <f aca="false">-MIN(T104,In_Loss_Cap*MAX(0,T103))</f>
        <v>-0</v>
      </c>
      <c r="U106" s="47" t="n">
        <f aca="false">-MIN(U104,In_Loss_Cap*MAX(0,U103))</f>
        <v>-0</v>
      </c>
      <c r="V106" s="47" t="n">
        <f aca="false">-MIN(V104,In_Loss_Cap*MAX(0,V103))</f>
        <v>-0</v>
      </c>
      <c r="W106" s="47" t="n">
        <f aca="false">-MIN(W104,In_Loss_Cap*MAX(0,W103))</f>
        <v>-0</v>
      </c>
      <c r="X106" s="47" t="n">
        <f aca="false">-MIN(X104,In_Loss_Cap*MAX(0,X103))</f>
        <v>-0</v>
      </c>
      <c r="Y106" s="47" t="n">
        <f aca="false">-MIN(Y104,In_Loss_Cap*MAX(0,Y103))</f>
        <v>-0</v>
      </c>
      <c r="Z106" s="47" t="n">
        <f aca="false">-MIN(Z104,In_Loss_Cap*MAX(0,Z103))</f>
        <v>-251.303146240137</v>
      </c>
      <c r="AA106" s="47" t="n">
        <f aca="false">-MIN(AA104,In_Loss_Cap*MAX(0,AA103))</f>
        <v>-248.589806019385</v>
      </c>
      <c r="AB106" s="47" t="n">
        <f aca="false">-MIN(AB104,In_Loss_Cap*MAX(0,AB103))</f>
        <v>-257.875082555408</v>
      </c>
      <c r="AC106" s="47" t="n">
        <f aca="false">-MIN(AC104,In_Loss_Cap*MAX(0,AC103))</f>
        <v>-267.271113744086</v>
      </c>
      <c r="AD106" s="47" t="n">
        <f aca="false">-MIN(AD104,In_Loss_Cap*MAX(0,AD103))</f>
        <v>-266.285824985861</v>
      </c>
      <c r="AE106" s="47" t="n">
        <f aca="false">-MIN(AE104,In_Loss_Cap*MAX(0,AE103))</f>
        <v>-270.111608284536</v>
      </c>
      <c r="AF106" s="47" t="n">
        <f aca="false">-MIN(AF104,In_Loss_Cap*MAX(0,AF103))</f>
        <v>-273.152843061395</v>
      </c>
      <c r="AG106" s="47" t="n">
        <f aca="false">-MIN(AG104,In_Loss_Cap*MAX(0,AG103))</f>
        <v>-282.751636838552</v>
      </c>
      <c r="AH106" s="47" t="n">
        <f aca="false">-MIN(AH104,In_Loss_Cap*MAX(0,AH103))</f>
        <v>-171.868273165539</v>
      </c>
      <c r="AI106" s="47" t="n">
        <f aca="false">-MIN(AI104,In_Loss_Cap*MAX(0,AI103))</f>
        <v>-0</v>
      </c>
      <c r="AJ106" s="47" t="n">
        <f aca="false">-MIN(AJ104,In_Loss_Cap*MAX(0,AJ103))</f>
        <v>-0</v>
      </c>
      <c r="AK106" s="47" t="n">
        <f aca="false">-MIN(AK104,In_Loss_Cap*MAX(0,AK103))</f>
        <v>-0</v>
      </c>
      <c r="AL106" s="47" t="n">
        <f aca="false">-MIN(AL104,In_Loss_Cap*MAX(0,AL103))</f>
        <v>-0</v>
      </c>
      <c r="AM106" s="47" t="n">
        <f aca="false">-MIN(AM104,In_Loss_Cap*MAX(0,AM103))</f>
        <v>-0</v>
      </c>
      <c r="AN106" s="47" t="n">
        <f aca="false">-MIN(AN104,In_Loss_Cap*MAX(0,AN103))</f>
        <v>-0</v>
      </c>
      <c r="AO106" s="47" t="n">
        <f aca="false">-MIN(AO104,In_Loss_Cap*MAX(0,AO103))</f>
        <v>-0</v>
      </c>
      <c r="AP106" s="47" t="n">
        <f aca="false">-MIN(AP104,In_Loss_Cap*MAX(0,AP103))</f>
        <v>-0</v>
      </c>
      <c r="AQ106" s="47" t="n">
        <f aca="false">-MIN(AQ104,In_Loss_Cap*MAX(0,AQ103))</f>
        <v>-0</v>
      </c>
      <c r="AR106" s="47" t="n">
        <f aca="false">-MIN(AR104,In_Loss_Cap*MAX(0,AR103))</f>
        <v>-0</v>
      </c>
      <c r="AS106" s="47" t="n">
        <f aca="false">-MIN(AS104,In_Loss_Cap*MAX(0,AS103))</f>
        <v>-0</v>
      </c>
      <c r="AT106" s="47" t="n">
        <f aca="false">-MIN(AT104,In_Loss_Cap*MAX(0,AT103))</f>
        <v>-0</v>
      </c>
      <c r="AU106" s="47" t="n">
        <f aca="false">-MIN(AU104,In_Loss_Cap*MAX(0,AU103))</f>
        <v>-0</v>
      </c>
      <c r="AV106" s="47" t="n">
        <f aca="false">-MIN(AV104,In_Loss_Cap*MAX(0,AV103))</f>
        <v>-0</v>
      </c>
      <c r="AW106" s="47" t="n">
        <f aca="false">-MIN(AW104,In_Loss_Cap*MAX(0,AW103))</f>
        <v>-0</v>
      </c>
      <c r="AX106" s="47" t="n">
        <f aca="false">-MIN(AX104,In_Loss_Cap*MAX(0,AX103))</f>
        <v>-0</v>
      </c>
      <c r="AY106" s="47" t="n">
        <f aca="false">-MIN(AY104,In_Loss_Cap*MAX(0,AY103))</f>
        <v>-0</v>
      </c>
      <c r="AZ106" s="47" t="n">
        <f aca="false">-MIN(AZ104,In_Loss_Cap*MAX(0,AZ103))</f>
        <v>-0</v>
      </c>
      <c r="BA106" s="47" t="n">
        <f aca="false">-MIN(BA104,In_Loss_Cap*MAX(0,BA103))</f>
        <v>-0</v>
      </c>
      <c r="BB106" s="47" t="n">
        <f aca="false">-MIN(BB104,In_Loss_Cap*MAX(0,BB103))</f>
        <v>-0</v>
      </c>
      <c r="BC106" s="47" t="n">
        <f aca="false">-MIN(BC104,In_Loss_Cap*MAX(0,BC103))</f>
        <v>-0</v>
      </c>
      <c r="BD106" s="47" t="n">
        <f aca="false">-MIN(BD104,In_Loss_Cap*MAX(0,BD103))</f>
        <v>-0</v>
      </c>
      <c r="BE106" s="47" t="n">
        <f aca="false">-MIN(BE104,In_Loss_Cap*MAX(0,BE103))</f>
        <v>-0</v>
      </c>
      <c r="BF106" s="47" t="n">
        <f aca="false">-MIN(BF104,In_Loss_Cap*MAX(0,BF103))</f>
        <v>-0</v>
      </c>
      <c r="BG106" s="47" t="n">
        <f aca="false">-MIN(BG104,In_Loss_Cap*MAX(0,BG103))</f>
        <v>-0</v>
      </c>
      <c r="BH106" s="47" t="n">
        <f aca="false">-MIN(BH104,In_Loss_Cap*MAX(0,BH103))</f>
        <v>-0</v>
      </c>
      <c r="BI106" s="47" t="n">
        <f aca="false">-MIN(BI104,In_Loss_Cap*MAX(0,BI103))</f>
        <v>-0</v>
      </c>
      <c r="BJ106" s="47" t="n">
        <f aca="false">-MIN(BJ104,In_Loss_Cap*MAX(0,BJ103))</f>
        <v>-0</v>
      </c>
      <c r="BK106" s="47" t="n">
        <f aca="false">-MIN(BK104,In_Loss_Cap*MAX(0,BK103))</f>
        <v>-0</v>
      </c>
      <c r="BL106" s="47" t="n">
        <f aca="false">-MIN(BL104,In_Loss_Cap*MAX(0,BL103))</f>
        <v>-0</v>
      </c>
      <c r="BM106" s="47" t="n">
        <f aca="false">-MIN(BM104,In_Loss_Cap*MAX(0,BM103))</f>
        <v>-0</v>
      </c>
      <c r="BN106" s="47" t="n">
        <f aca="false">-MIN(BN104,In_Loss_Cap*MAX(0,BN103))</f>
        <v>-0</v>
      </c>
      <c r="BO106" s="47" t="n">
        <f aca="false">-MIN(BO104,In_Loss_Cap*MAX(0,BO103))</f>
        <v>-0</v>
      </c>
      <c r="BP106" s="47" t="n">
        <f aca="false">-MIN(BP104,In_Loss_Cap*MAX(0,BP103))</f>
        <v>-0</v>
      </c>
      <c r="BQ106" s="47" t="n">
        <f aca="false">-MIN(BQ104,In_Loss_Cap*MAX(0,BQ103))</f>
        <v>-0</v>
      </c>
      <c r="BR106" s="47" t="n">
        <f aca="false">-MIN(BR104,In_Loss_Cap*MAX(0,BR103))</f>
        <v>-0</v>
      </c>
      <c r="BS106" s="47" t="n">
        <f aca="false">-MIN(BS104,In_Loss_Cap*MAX(0,BS103))</f>
        <v>-0</v>
      </c>
      <c r="BT106" s="47" t="n">
        <f aca="false">-MIN(BT104,In_Loss_Cap*MAX(0,BT103))</f>
        <v>-0</v>
      </c>
      <c r="BU106" s="47" t="n">
        <f aca="false">-MIN(BU104,In_Loss_Cap*MAX(0,BU103))</f>
        <v>-0</v>
      </c>
      <c r="BV106" s="47" t="n">
        <f aca="false">-MIN(BV104,In_Loss_Cap*MAX(0,BV103))</f>
        <v>-0</v>
      </c>
      <c r="BW106" s="47" t="n">
        <f aca="false">-MIN(BW104,In_Loss_Cap*MAX(0,BW103))</f>
        <v>-0</v>
      </c>
      <c r="BX106" s="47" t="n">
        <f aca="false">-MIN(BX104,In_Loss_Cap*MAX(0,BX103))</f>
        <v>-0</v>
      </c>
      <c r="BY106" s="47" t="n">
        <f aca="false">-MIN(BY104,In_Loss_Cap*MAX(0,BY103))</f>
        <v>-0</v>
      </c>
      <c r="BZ106" s="47" t="n">
        <f aca="false">-MIN(BZ104,In_Loss_Cap*MAX(0,BZ103))</f>
        <v>-0</v>
      </c>
      <c r="CA106" s="47" t="n">
        <f aca="false">-MIN(CA104,In_Loss_Cap*MAX(0,CA103))</f>
        <v>-0</v>
      </c>
      <c r="CB106" s="47" t="n">
        <f aca="false">-MIN(CB104,In_Loss_Cap*MAX(0,CB103))</f>
        <v>-0</v>
      </c>
      <c r="CC106" s="47" t="n">
        <f aca="false">-MIN(CC104,In_Loss_Cap*MAX(0,CC103))</f>
        <v>-0</v>
      </c>
      <c r="CD106" s="47" t="n">
        <f aca="false">-MIN(CD104,In_Loss_Cap*MAX(0,CD103))</f>
        <v>-0</v>
      </c>
      <c r="CE106" s="47" t="n">
        <f aca="false">-MIN(CE104,In_Loss_Cap*MAX(0,CE103))</f>
        <v>-0</v>
      </c>
      <c r="CF106" s="47" t="n">
        <f aca="false">-MIN(CF104,In_Loss_Cap*MAX(0,CF103))</f>
        <v>-0</v>
      </c>
      <c r="CG106" s="47" t="n">
        <f aca="false">-MIN(CG104,In_Loss_Cap*MAX(0,CG103))</f>
        <v>-0</v>
      </c>
      <c r="CH106" s="47" t="n">
        <f aca="false">-MIN(CH104,In_Loss_Cap*MAX(0,CH103))</f>
        <v>-0</v>
      </c>
      <c r="CI106" s="47" t="n">
        <f aca="false">-MIN(CI104,In_Loss_Cap*MAX(0,CI103))</f>
        <v>-0</v>
      </c>
      <c r="CJ106" s="47" t="n">
        <f aca="false">-MIN(CJ104,In_Loss_Cap*MAX(0,CJ103))</f>
        <v>-0</v>
      </c>
      <c r="CK106" s="47" t="n">
        <f aca="false">-MIN(CK104,In_Loss_Cap*MAX(0,CK103))</f>
        <v>-0</v>
      </c>
      <c r="CL106" s="47" t="n">
        <f aca="false">-MIN(CL104,In_Loss_Cap*MAX(0,CL103))</f>
        <v>-0</v>
      </c>
      <c r="CM106" s="47" t="n">
        <f aca="false">-MIN(CM104,In_Loss_Cap*MAX(0,CM103))</f>
        <v>-0</v>
      </c>
      <c r="CN106" s="47" t="n">
        <f aca="false">-MIN(CN104,In_Loss_Cap*MAX(0,CN103))</f>
        <v>-0</v>
      </c>
      <c r="CO106" s="47" t="n">
        <f aca="false">-MIN(CO104,In_Loss_Cap*MAX(0,CO103))</f>
        <v>-0</v>
      </c>
      <c r="CP106" s="47" t="n">
        <f aca="false">-MIN(CP104,In_Loss_Cap*MAX(0,CP103))</f>
        <v>-0</v>
      </c>
      <c r="CQ106" s="47" t="n">
        <f aca="false">-MIN(CQ104,In_Loss_Cap*MAX(0,CQ103))</f>
        <v>-0</v>
      </c>
      <c r="CR106" s="47" t="n">
        <f aca="false">-MIN(CR104,In_Loss_Cap*MAX(0,CR103))</f>
        <v>-0</v>
      </c>
      <c r="CS106" s="47" t="n">
        <f aca="false">-MIN(CS104,In_Loss_Cap*MAX(0,CS103))</f>
        <v>-0</v>
      </c>
      <c r="CT106" s="47" t="n">
        <f aca="false">-MIN(CT104,In_Loss_Cap*MAX(0,CT103))</f>
        <v>-0</v>
      </c>
      <c r="CU106" s="47" t="n">
        <f aca="false">-MIN(CU104,In_Loss_Cap*MAX(0,CU103))</f>
        <v>-0</v>
      </c>
      <c r="CV106" s="47" t="n">
        <f aca="false">-MIN(CV104,In_Loss_Cap*MAX(0,CV103))</f>
        <v>-0</v>
      </c>
      <c r="CW106" s="47" t="n">
        <f aca="false">-MIN(CW104,In_Loss_Cap*MAX(0,CW103))</f>
        <v>-0</v>
      </c>
      <c r="CX106" s="47" t="n">
        <f aca="false">-MIN(CX104,In_Loss_Cap*MAX(0,CX103))</f>
        <v>-0</v>
      </c>
      <c r="CY106" s="47" t="n">
        <f aca="false">-MIN(CY104,In_Loss_Cap*MAX(0,CY103))</f>
        <v>-0</v>
      </c>
      <c r="CZ106" s="47" t="n">
        <f aca="false">-MIN(CZ104,In_Loss_Cap*MAX(0,CZ103))</f>
        <v>-0</v>
      </c>
      <c r="DA106" s="47" t="n">
        <f aca="false">-MIN(DA104,In_Loss_Cap*MAX(0,DA103))</f>
        <v>-0</v>
      </c>
      <c r="DB106" s="47" t="n">
        <f aca="false">-MIN(DB104,In_Loss_Cap*MAX(0,DB103))</f>
        <v>-0</v>
      </c>
      <c r="DC106" s="47" t="n">
        <f aca="false">-MIN(DC104,In_Loss_Cap*MAX(0,DC103))</f>
        <v>-0</v>
      </c>
      <c r="DD106" s="47" t="n">
        <f aca="false">-MIN(DD104,In_Loss_Cap*MAX(0,DD103))</f>
        <v>-0</v>
      </c>
      <c r="DE106" s="47" t="n">
        <f aca="false">-MIN(DE104,In_Loss_Cap*MAX(0,DE103))</f>
        <v>-0</v>
      </c>
      <c r="DF106" s="47" t="n">
        <f aca="false">-MIN(DF104,In_Loss_Cap*MAX(0,DF103))</f>
        <v>-0</v>
      </c>
      <c r="DG106" s="47" t="n">
        <f aca="false">-MIN(DG104,In_Loss_Cap*MAX(0,DG103))</f>
        <v>-0</v>
      </c>
      <c r="DH106" s="47" t="n">
        <f aca="false">-MIN(DH104,In_Loss_Cap*MAX(0,DH103))</f>
        <v>-0</v>
      </c>
      <c r="DI106" s="47" t="n">
        <f aca="false">-MIN(DI104,In_Loss_Cap*MAX(0,DI103))</f>
        <v>-0</v>
      </c>
      <c r="DJ106" s="47" t="n">
        <f aca="false">-MIN(DJ104,In_Loss_Cap*MAX(0,DJ103))</f>
        <v>-0</v>
      </c>
      <c r="DK106" s="47" t="n">
        <f aca="false">-MIN(DK104,In_Loss_Cap*MAX(0,DK103))</f>
        <v>-0</v>
      </c>
      <c r="DL106" s="47" t="n">
        <f aca="false">-MIN(DL104,In_Loss_Cap*MAX(0,DL103))</f>
        <v>-0</v>
      </c>
      <c r="DM106" s="47" t="n">
        <f aca="false">-MIN(DM104,In_Loss_Cap*MAX(0,DM103))</f>
        <v>-0</v>
      </c>
      <c r="DN106" s="47" t="n">
        <f aca="false">-MIN(DN104,In_Loss_Cap*MAX(0,DN103))</f>
        <v>-0</v>
      </c>
      <c r="DO106" s="47" t="n">
        <f aca="false">-MIN(DO104,In_Loss_Cap*MAX(0,DO103))</f>
        <v>-0</v>
      </c>
      <c r="DP106" s="47" t="n">
        <f aca="false">-MIN(DP104,In_Loss_Cap*MAX(0,DP103))</f>
        <v>-0</v>
      </c>
      <c r="DQ106" s="47" t="n">
        <f aca="false">-MIN(DQ104,In_Loss_Cap*MAX(0,DQ103))</f>
        <v>-0</v>
      </c>
      <c r="DR106" s="47" t="n">
        <f aca="false">-MIN(DR104,In_Loss_Cap*MAX(0,DR103))</f>
        <v>-0</v>
      </c>
      <c r="DS106" s="47" t="n">
        <f aca="false">-MIN(DS104,In_Loss_Cap*MAX(0,DS103))</f>
        <v>-0</v>
      </c>
      <c r="DT106" s="47" t="n">
        <f aca="false">-MIN(DT104,In_Loss_Cap*MAX(0,DT103))</f>
        <v>-0</v>
      </c>
      <c r="DU106" s="47" t="n">
        <f aca="false">-MIN(DU104,In_Loss_Cap*MAX(0,DU103))</f>
        <v>-0</v>
      </c>
      <c r="DV106" s="47" t="n">
        <f aca="false">-MIN(DV104,In_Loss_Cap*MAX(0,DV103))</f>
        <v>-0</v>
      </c>
      <c r="DW106" s="47" t="n">
        <f aca="false">-MIN(DW104,In_Loss_Cap*MAX(0,DW103))</f>
        <v>-0</v>
      </c>
      <c r="DX106" s="47" t="n">
        <f aca="false">-MIN(DX104,In_Loss_Cap*MAX(0,DX103))</f>
        <v>-0</v>
      </c>
      <c r="DY106" s="47" t="n">
        <f aca="false">-MIN(DY104,In_Loss_Cap*MAX(0,DY103))</f>
        <v>-0</v>
      </c>
      <c r="DZ106" s="47" t="n">
        <f aca="false">-MIN(DZ104,In_Loss_Cap*MAX(0,DZ103))</f>
        <v>-0</v>
      </c>
      <c r="EA106" s="47" t="n">
        <f aca="false">-MIN(EA104,In_Loss_Cap*MAX(0,EA103))</f>
        <v>-0</v>
      </c>
      <c r="EB106" s="47" t="n">
        <f aca="false">-MIN(EB104,In_Loss_Cap*MAX(0,EB103))</f>
        <v>-0</v>
      </c>
      <c r="EC106" s="47" t="n">
        <f aca="false">-MIN(EC104,In_Loss_Cap*MAX(0,EC103))</f>
        <v>-0</v>
      </c>
      <c r="ED106" s="47" t="n">
        <f aca="false">-MIN(ED104,In_Loss_Cap*MAX(0,ED103))</f>
        <v>-0</v>
      </c>
      <c r="EE106" s="47" t="n">
        <f aca="false">-MIN(EE104,In_Loss_Cap*MAX(0,EE103))</f>
        <v>-0</v>
      </c>
      <c r="EF106" s="47" t="n">
        <f aca="false">-MIN(EF104,In_Loss_Cap*MAX(0,EF103))</f>
        <v>-0</v>
      </c>
      <c r="EG106" s="47" t="n">
        <f aca="false">-MIN(EG104,In_Loss_Cap*MAX(0,EG103))</f>
        <v>-0</v>
      </c>
      <c r="EH106" s="47" t="n">
        <f aca="false">-MIN(EH104,In_Loss_Cap*MAX(0,EH103))</f>
        <v>-0</v>
      </c>
      <c r="EI106" s="47" t="n">
        <f aca="false">-MIN(EI104,In_Loss_Cap*MAX(0,EI103))</f>
        <v>-0</v>
      </c>
      <c r="EJ106" s="47" t="n">
        <f aca="false">-MIN(EJ104,In_Loss_Cap*MAX(0,EJ103))</f>
        <v>-0</v>
      </c>
      <c r="EK106" s="47" t="n">
        <f aca="false">-MIN(EK104,In_Loss_Cap*MAX(0,EK103))</f>
        <v>-0</v>
      </c>
      <c r="EL106" s="47" t="n">
        <f aca="false">-MIN(EL104,In_Loss_Cap*MAX(0,EL103))</f>
        <v>-0</v>
      </c>
      <c r="EM106" s="47" t="n">
        <f aca="false">-MIN(EM104,In_Loss_Cap*MAX(0,EM103))</f>
        <v>-0</v>
      </c>
      <c r="EN106" s="47" t="n">
        <f aca="false">-MIN(EN104,In_Loss_Cap*MAX(0,EN103))</f>
        <v>-0</v>
      </c>
      <c r="EO106" s="47" t="n">
        <f aca="false">-MIN(EO104,In_Loss_Cap*MAX(0,EO103))</f>
        <v>-0</v>
      </c>
    </row>
    <row r="107" customFormat="false" ht="15" hidden="false" customHeight="false" outlineLevel="0" collapsed="false">
      <c r="C107" s="0" t="s">
        <v>451</v>
      </c>
      <c r="D107" s="11" t="s">
        <v>33</v>
      </c>
      <c r="E107" s="45" t="n">
        <f aca="false">EDATE(In_NTP,In_Loss_Years*Months_In_Year)</f>
        <v>48852</v>
      </c>
      <c r="I107" s="47" t="n">
        <f aca="false">SUM(J107:EO107)</f>
        <v>0</v>
      </c>
      <c r="J107" s="47" t="n">
        <f aca="false">-(J104+J105+J106)*N(AND(J$3&lt;=$E107,J$4&gt;=$E107))</f>
        <v>-0</v>
      </c>
      <c r="K107" s="47" t="n">
        <f aca="false">-(K104+K105+K106)*N(AND(K$3&lt;=$E107,K$4&gt;=$E107))</f>
        <v>-0</v>
      </c>
      <c r="L107" s="47" t="n">
        <f aca="false">-(L104+L105+L106)*N(AND(L$3&lt;=$E107,L$4&gt;=$E107))</f>
        <v>-0</v>
      </c>
      <c r="M107" s="47" t="n">
        <f aca="false">-(M104+M105+M106)*N(AND(M$3&lt;=$E107,M$4&gt;=$E107))</f>
        <v>-0</v>
      </c>
      <c r="N107" s="47" t="n">
        <f aca="false">-(N104+N105+N106)*N(AND(N$3&lt;=$E107,N$4&gt;=$E107))</f>
        <v>-0</v>
      </c>
      <c r="O107" s="47" t="n">
        <f aca="false">-(O104+O105+O106)*N(AND(O$3&lt;=$E107,O$4&gt;=$E107))</f>
        <v>-0</v>
      </c>
      <c r="P107" s="47" t="n">
        <f aca="false">-(P104+P105+P106)*N(AND(P$3&lt;=$E107,P$4&gt;=$E107))</f>
        <v>-0</v>
      </c>
      <c r="Q107" s="47" t="n">
        <f aca="false">-(Q104+Q105+Q106)*N(AND(Q$3&lt;=$E107,Q$4&gt;=$E107))</f>
        <v>-0</v>
      </c>
      <c r="R107" s="47" t="n">
        <f aca="false">-(R104+R105+R106)*N(AND(R$3&lt;=$E107,R$4&gt;=$E107))</f>
        <v>-0</v>
      </c>
      <c r="S107" s="47" t="n">
        <f aca="false">-(S104+S105+S106)*N(AND(S$3&lt;=$E107,S$4&gt;=$E107))</f>
        <v>-0</v>
      </c>
      <c r="T107" s="47" t="n">
        <f aca="false">-(T104+T105+T106)*N(AND(T$3&lt;=$E107,T$4&gt;=$E107))</f>
        <v>-0</v>
      </c>
      <c r="U107" s="47" t="n">
        <f aca="false">-(U104+U105+U106)*N(AND(U$3&lt;=$E107,U$4&gt;=$E107))</f>
        <v>-0</v>
      </c>
      <c r="V107" s="47" t="n">
        <f aca="false">-(V104+V105+V106)*N(AND(V$3&lt;=$E107,V$4&gt;=$E107))</f>
        <v>-0</v>
      </c>
      <c r="W107" s="47" t="n">
        <f aca="false">-(W104+W105+W106)*N(AND(W$3&lt;=$E107,W$4&gt;=$E107))</f>
        <v>-0</v>
      </c>
      <c r="X107" s="47" t="n">
        <f aca="false">-(X104+X105+X106)*N(AND(X$3&lt;=$E107,X$4&gt;=$E107))</f>
        <v>-0</v>
      </c>
      <c r="Y107" s="47" t="n">
        <f aca="false">-(Y104+Y105+Y106)*N(AND(Y$3&lt;=$E107,Y$4&gt;=$E107))</f>
        <v>-0</v>
      </c>
      <c r="Z107" s="47" t="n">
        <f aca="false">-(Z104+Z105+Z106)*N(AND(Z$3&lt;=$E107,Z$4&gt;=$E107))</f>
        <v>-0</v>
      </c>
      <c r="AA107" s="47" t="n">
        <f aca="false">-(AA104+AA105+AA106)*N(AND(AA$3&lt;=$E107,AA$4&gt;=$E107))</f>
        <v>-0</v>
      </c>
      <c r="AB107" s="47" t="n">
        <f aca="false">-(AB104+AB105+AB106)*N(AND(AB$3&lt;=$E107,AB$4&gt;=$E107))</f>
        <v>-0</v>
      </c>
      <c r="AC107" s="47" t="n">
        <f aca="false">-(AC104+AC105+AC106)*N(AND(AC$3&lt;=$E107,AC$4&gt;=$E107))</f>
        <v>-0</v>
      </c>
      <c r="AD107" s="47" t="n">
        <f aca="false">-(AD104+AD105+AD106)*N(AND(AD$3&lt;=$E107,AD$4&gt;=$E107))</f>
        <v>-0</v>
      </c>
      <c r="AE107" s="47" t="n">
        <f aca="false">-(AE104+AE105+AE106)*N(AND(AE$3&lt;=$E107,AE$4&gt;=$E107))</f>
        <v>-0</v>
      </c>
      <c r="AF107" s="47" t="n">
        <f aca="false">-(AF104+AF105+AF106)*N(AND(AF$3&lt;=$E107,AF$4&gt;=$E107))</f>
        <v>-0</v>
      </c>
      <c r="AG107" s="47" t="n">
        <f aca="false">-(AG104+AG105+AG106)*N(AND(AG$3&lt;=$E107,AG$4&gt;=$E107))</f>
        <v>-0</v>
      </c>
      <c r="AH107" s="47" t="n">
        <f aca="false">-(AH104+AH105+AH106)*N(AND(AH$3&lt;=$E107,AH$4&gt;=$E107))</f>
        <v>-0</v>
      </c>
      <c r="AI107" s="47" t="n">
        <f aca="false">-(AI104+AI105+AI106)*N(AND(AI$3&lt;=$E107,AI$4&gt;=$E107))</f>
        <v>-0</v>
      </c>
      <c r="AJ107" s="47" t="n">
        <f aca="false">-(AJ104+AJ105+AJ106)*N(AND(AJ$3&lt;=$E107,AJ$4&gt;=$E107))</f>
        <v>-0</v>
      </c>
      <c r="AK107" s="47" t="n">
        <f aca="false">-(AK104+AK105+AK106)*N(AND(AK$3&lt;=$E107,AK$4&gt;=$E107))</f>
        <v>-0</v>
      </c>
      <c r="AL107" s="47" t="n">
        <f aca="false">-(AL104+AL105+AL106)*N(AND(AL$3&lt;=$E107,AL$4&gt;=$E107))</f>
        <v>-0</v>
      </c>
      <c r="AM107" s="47" t="n">
        <f aca="false">-(AM104+AM105+AM106)*N(AND(AM$3&lt;=$E107,AM$4&gt;=$E107))</f>
        <v>-0</v>
      </c>
      <c r="AN107" s="47" t="n">
        <f aca="false">-(AN104+AN105+AN106)*N(AND(AN$3&lt;=$E107,AN$4&gt;=$E107))</f>
        <v>-0</v>
      </c>
      <c r="AO107" s="47" t="n">
        <f aca="false">-(AO104+AO105+AO106)*N(AND(AO$3&lt;=$E107,AO$4&gt;=$E107))</f>
        <v>-0</v>
      </c>
      <c r="AP107" s="47" t="n">
        <f aca="false">-(AP104+AP105+AP106)*N(AND(AP$3&lt;=$E107,AP$4&gt;=$E107))</f>
        <v>-0</v>
      </c>
      <c r="AQ107" s="47" t="n">
        <f aca="false">-(AQ104+AQ105+AQ106)*N(AND(AQ$3&lt;=$E107,AQ$4&gt;=$E107))</f>
        <v>-0</v>
      </c>
      <c r="AR107" s="47" t="n">
        <f aca="false">-(AR104+AR105+AR106)*N(AND(AR$3&lt;=$E107,AR$4&gt;=$E107))</f>
        <v>-0</v>
      </c>
      <c r="AS107" s="47" t="n">
        <f aca="false">-(AS104+AS105+AS106)*N(AND(AS$3&lt;=$E107,AS$4&gt;=$E107))</f>
        <v>-0</v>
      </c>
      <c r="AT107" s="47" t="n">
        <f aca="false">-(AT104+AT105+AT106)*N(AND(AT$3&lt;=$E107,AT$4&gt;=$E107))</f>
        <v>-0</v>
      </c>
      <c r="AU107" s="47" t="n">
        <f aca="false">-(AU104+AU105+AU106)*N(AND(AU$3&lt;=$E107,AU$4&gt;=$E107))</f>
        <v>-0</v>
      </c>
      <c r="AV107" s="47" t="n">
        <f aca="false">-(AV104+AV105+AV106)*N(AND(AV$3&lt;=$E107,AV$4&gt;=$E107))</f>
        <v>-0</v>
      </c>
      <c r="AW107" s="47" t="n">
        <f aca="false">-(AW104+AW105+AW106)*N(AND(AW$3&lt;=$E107,AW$4&gt;=$E107))</f>
        <v>-0</v>
      </c>
      <c r="AX107" s="47" t="n">
        <f aca="false">-(AX104+AX105+AX106)*N(AND(AX$3&lt;=$E107,AX$4&gt;=$E107))</f>
        <v>-0</v>
      </c>
      <c r="AY107" s="47" t="n">
        <f aca="false">-(AY104+AY105+AY106)*N(AND(AY$3&lt;=$E107,AY$4&gt;=$E107))</f>
        <v>-0</v>
      </c>
      <c r="AZ107" s="47" t="n">
        <f aca="false">-(AZ104+AZ105+AZ106)*N(AND(AZ$3&lt;=$E107,AZ$4&gt;=$E107))</f>
        <v>-0</v>
      </c>
      <c r="BA107" s="47" t="n">
        <f aca="false">-(BA104+BA105+BA106)*N(AND(BA$3&lt;=$E107,BA$4&gt;=$E107))</f>
        <v>-0</v>
      </c>
      <c r="BB107" s="47" t="n">
        <f aca="false">-(BB104+BB105+BB106)*N(AND(BB$3&lt;=$E107,BB$4&gt;=$E107))</f>
        <v>-0</v>
      </c>
      <c r="BC107" s="47" t="n">
        <f aca="false">-(BC104+BC105+BC106)*N(AND(BC$3&lt;=$E107,BC$4&gt;=$E107))</f>
        <v>-0</v>
      </c>
      <c r="BD107" s="47" t="n">
        <f aca="false">-(BD104+BD105+BD106)*N(AND(BD$3&lt;=$E107,BD$4&gt;=$E107))</f>
        <v>-0</v>
      </c>
      <c r="BE107" s="47" t="n">
        <f aca="false">-(BE104+BE105+BE106)*N(AND(BE$3&lt;=$E107,BE$4&gt;=$E107))</f>
        <v>-0</v>
      </c>
      <c r="BF107" s="47" t="n">
        <f aca="false">-(BF104+BF105+BF106)*N(AND(BF$3&lt;=$E107,BF$4&gt;=$E107))</f>
        <v>-0</v>
      </c>
      <c r="BG107" s="47" t="n">
        <f aca="false">-(BG104+BG105+BG106)*N(AND(BG$3&lt;=$E107,BG$4&gt;=$E107))</f>
        <v>-0</v>
      </c>
      <c r="BH107" s="47" t="n">
        <f aca="false">-(BH104+BH105+BH106)*N(AND(BH$3&lt;=$E107,BH$4&gt;=$E107))</f>
        <v>-0</v>
      </c>
      <c r="BI107" s="47" t="n">
        <f aca="false">-(BI104+BI105+BI106)*N(AND(BI$3&lt;=$E107,BI$4&gt;=$E107))</f>
        <v>-0</v>
      </c>
      <c r="BJ107" s="47" t="n">
        <f aca="false">-(BJ104+BJ105+BJ106)*N(AND(BJ$3&lt;=$E107,BJ$4&gt;=$E107))</f>
        <v>-0</v>
      </c>
      <c r="BK107" s="47" t="n">
        <f aca="false">-(BK104+BK105+BK106)*N(AND(BK$3&lt;=$E107,BK$4&gt;=$E107))</f>
        <v>-0</v>
      </c>
      <c r="BL107" s="47" t="n">
        <f aca="false">-(BL104+BL105+BL106)*N(AND(BL$3&lt;=$E107,BL$4&gt;=$E107))</f>
        <v>-0</v>
      </c>
      <c r="BM107" s="47" t="n">
        <f aca="false">-(BM104+BM105+BM106)*N(AND(BM$3&lt;=$E107,BM$4&gt;=$E107))</f>
        <v>-0</v>
      </c>
      <c r="BN107" s="47" t="n">
        <f aca="false">-(BN104+BN105+BN106)*N(AND(BN$3&lt;=$E107,BN$4&gt;=$E107))</f>
        <v>-0</v>
      </c>
      <c r="BO107" s="47" t="n">
        <f aca="false">-(BO104+BO105+BO106)*N(AND(BO$3&lt;=$E107,BO$4&gt;=$E107))</f>
        <v>-0</v>
      </c>
      <c r="BP107" s="47" t="n">
        <f aca="false">-(BP104+BP105+BP106)*N(AND(BP$3&lt;=$E107,BP$4&gt;=$E107))</f>
        <v>-0</v>
      </c>
      <c r="BQ107" s="47" t="n">
        <f aca="false">-(BQ104+BQ105+BQ106)*N(AND(BQ$3&lt;=$E107,BQ$4&gt;=$E107))</f>
        <v>-0</v>
      </c>
      <c r="BR107" s="47" t="n">
        <f aca="false">-(BR104+BR105+BR106)*N(AND(BR$3&lt;=$E107,BR$4&gt;=$E107))</f>
        <v>-0</v>
      </c>
      <c r="BS107" s="47" t="n">
        <f aca="false">-(BS104+BS105+BS106)*N(AND(BS$3&lt;=$E107,BS$4&gt;=$E107))</f>
        <v>-0</v>
      </c>
      <c r="BT107" s="47" t="n">
        <f aca="false">-(BT104+BT105+BT106)*N(AND(BT$3&lt;=$E107,BT$4&gt;=$E107))</f>
        <v>-0</v>
      </c>
      <c r="BU107" s="47" t="n">
        <f aca="false">-(BU104+BU105+BU106)*N(AND(BU$3&lt;=$E107,BU$4&gt;=$E107))</f>
        <v>-0</v>
      </c>
      <c r="BV107" s="47" t="n">
        <f aca="false">-(BV104+BV105+BV106)*N(AND(BV$3&lt;=$E107,BV$4&gt;=$E107))</f>
        <v>-0</v>
      </c>
      <c r="BW107" s="47" t="n">
        <f aca="false">-(BW104+BW105+BW106)*N(AND(BW$3&lt;=$E107,BW$4&gt;=$E107))</f>
        <v>-0</v>
      </c>
      <c r="BX107" s="47" t="n">
        <f aca="false">-(BX104+BX105+BX106)*N(AND(BX$3&lt;=$E107,BX$4&gt;=$E107))</f>
        <v>-0</v>
      </c>
      <c r="BY107" s="47" t="n">
        <f aca="false">-(BY104+BY105+BY106)*N(AND(BY$3&lt;=$E107,BY$4&gt;=$E107))</f>
        <v>-0</v>
      </c>
      <c r="BZ107" s="47" t="n">
        <f aca="false">-(BZ104+BZ105+BZ106)*N(AND(BZ$3&lt;=$E107,BZ$4&gt;=$E107))</f>
        <v>-0</v>
      </c>
      <c r="CA107" s="47" t="n">
        <f aca="false">-(CA104+CA105+CA106)*N(AND(CA$3&lt;=$E107,CA$4&gt;=$E107))</f>
        <v>-0</v>
      </c>
      <c r="CB107" s="47" t="n">
        <f aca="false">-(CB104+CB105+CB106)*N(AND(CB$3&lt;=$E107,CB$4&gt;=$E107))</f>
        <v>-0</v>
      </c>
      <c r="CC107" s="47" t="n">
        <f aca="false">-(CC104+CC105+CC106)*N(AND(CC$3&lt;=$E107,CC$4&gt;=$E107))</f>
        <v>-0</v>
      </c>
      <c r="CD107" s="47" t="n">
        <f aca="false">-(CD104+CD105+CD106)*N(AND(CD$3&lt;=$E107,CD$4&gt;=$E107))</f>
        <v>-0</v>
      </c>
      <c r="CE107" s="47" t="n">
        <f aca="false">-(CE104+CE105+CE106)*N(AND(CE$3&lt;=$E107,CE$4&gt;=$E107))</f>
        <v>-0</v>
      </c>
      <c r="CF107" s="47" t="n">
        <f aca="false">-(CF104+CF105+CF106)*N(AND(CF$3&lt;=$E107,CF$4&gt;=$E107))</f>
        <v>-0</v>
      </c>
      <c r="CG107" s="47" t="n">
        <f aca="false">-(CG104+CG105+CG106)*N(AND(CG$3&lt;=$E107,CG$4&gt;=$E107))</f>
        <v>-0</v>
      </c>
      <c r="CH107" s="47" t="n">
        <f aca="false">-(CH104+CH105+CH106)*N(AND(CH$3&lt;=$E107,CH$4&gt;=$E107))</f>
        <v>-0</v>
      </c>
      <c r="CI107" s="47" t="n">
        <f aca="false">-(CI104+CI105+CI106)*N(AND(CI$3&lt;=$E107,CI$4&gt;=$E107))</f>
        <v>-0</v>
      </c>
      <c r="CJ107" s="47" t="n">
        <f aca="false">-(CJ104+CJ105+CJ106)*N(AND(CJ$3&lt;=$E107,CJ$4&gt;=$E107))</f>
        <v>-0</v>
      </c>
      <c r="CK107" s="47" t="n">
        <f aca="false">-(CK104+CK105+CK106)*N(AND(CK$3&lt;=$E107,CK$4&gt;=$E107))</f>
        <v>-0</v>
      </c>
      <c r="CL107" s="47" t="n">
        <f aca="false">-(CL104+CL105+CL106)*N(AND(CL$3&lt;=$E107,CL$4&gt;=$E107))</f>
        <v>-0</v>
      </c>
      <c r="CM107" s="47" t="n">
        <f aca="false">-(CM104+CM105+CM106)*N(AND(CM$3&lt;=$E107,CM$4&gt;=$E107))</f>
        <v>-0</v>
      </c>
      <c r="CN107" s="47" t="n">
        <f aca="false">-(CN104+CN105+CN106)*N(AND(CN$3&lt;=$E107,CN$4&gt;=$E107))</f>
        <v>-0</v>
      </c>
      <c r="CO107" s="47" t="n">
        <f aca="false">-(CO104+CO105+CO106)*N(AND(CO$3&lt;=$E107,CO$4&gt;=$E107))</f>
        <v>-0</v>
      </c>
      <c r="CP107" s="47" t="n">
        <f aca="false">-(CP104+CP105+CP106)*N(AND(CP$3&lt;=$E107,CP$4&gt;=$E107))</f>
        <v>-0</v>
      </c>
      <c r="CQ107" s="47" t="n">
        <f aca="false">-(CQ104+CQ105+CQ106)*N(AND(CQ$3&lt;=$E107,CQ$4&gt;=$E107))</f>
        <v>-0</v>
      </c>
      <c r="CR107" s="47" t="n">
        <f aca="false">-(CR104+CR105+CR106)*N(AND(CR$3&lt;=$E107,CR$4&gt;=$E107))</f>
        <v>-0</v>
      </c>
      <c r="CS107" s="47" t="n">
        <f aca="false">-(CS104+CS105+CS106)*N(AND(CS$3&lt;=$E107,CS$4&gt;=$E107))</f>
        <v>-0</v>
      </c>
      <c r="CT107" s="47" t="n">
        <f aca="false">-(CT104+CT105+CT106)*N(AND(CT$3&lt;=$E107,CT$4&gt;=$E107))</f>
        <v>-0</v>
      </c>
      <c r="CU107" s="47" t="n">
        <f aca="false">-(CU104+CU105+CU106)*N(AND(CU$3&lt;=$E107,CU$4&gt;=$E107))</f>
        <v>-0</v>
      </c>
      <c r="CV107" s="47" t="n">
        <f aca="false">-(CV104+CV105+CV106)*N(AND(CV$3&lt;=$E107,CV$4&gt;=$E107))</f>
        <v>-0</v>
      </c>
      <c r="CW107" s="47" t="n">
        <f aca="false">-(CW104+CW105+CW106)*N(AND(CW$3&lt;=$E107,CW$4&gt;=$E107))</f>
        <v>-0</v>
      </c>
      <c r="CX107" s="47" t="n">
        <f aca="false">-(CX104+CX105+CX106)*N(AND(CX$3&lt;=$E107,CX$4&gt;=$E107))</f>
        <v>-0</v>
      </c>
      <c r="CY107" s="47" t="n">
        <f aca="false">-(CY104+CY105+CY106)*N(AND(CY$3&lt;=$E107,CY$4&gt;=$E107))</f>
        <v>-0</v>
      </c>
      <c r="CZ107" s="47" t="n">
        <f aca="false">-(CZ104+CZ105+CZ106)*N(AND(CZ$3&lt;=$E107,CZ$4&gt;=$E107))</f>
        <v>-0</v>
      </c>
      <c r="DA107" s="47" t="n">
        <f aca="false">-(DA104+DA105+DA106)*N(AND(DA$3&lt;=$E107,DA$4&gt;=$E107))</f>
        <v>-0</v>
      </c>
      <c r="DB107" s="47" t="n">
        <f aca="false">-(DB104+DB105+DB106)*N(AND(DB$3&lt;=$E107,DB$4&gt;=$E107))</f>
        <v>-0</v>
      </c>
      <c r="DC107" s="47" t="n">
        <f aca="false">-(DC104+DC105+DC106)*N(AND(DC$3&lt;=$E107,DC$4&gt;=$E107))</f>
        <v>-0</v>
      </c>
      <c r="DD107" s="47" t="n">
        <f aca="false">-(DD104+DD105+DD106)*N(AND(DD$3&lt;=$E107,DD$4&gt;=$E107))</f>
        <v>-0</v>
      </c>
      <c r="DE107" s="47" t="n">
        <f aca="false">-(DE104+DE105+DE106)*N(AND(DE$3&lt;=$E107,DE$4&gt;=$E107))</f>
        <v>-0</v>
      </c>
      <c r="DF107" s="47" t="n">
        <f aca="false">-(DF104+DF105+DF106)*N(AND(DF$3&lt;=$E107,DF$4&gt;=$E107))</f>
        <v>-0</v>
      </c>
      <c r="DG107" s="47" t="n">
        <f aca="false">-(DG104+DG105+DG106)*N(AND(DG$3&lt;=$E107,DG$4&gt;=$E107))</f>
        <v>-0</v>
      </c>
      <c r="DH107" s="47" t="n">
        <f aca="false">-(DH104+DH105+DH106)*N(AND(DH$3&lt;=$E107,DH$4&gt;=$E107))</f>
        <v>-0</v>
      </c>
      <c r="DI107" s="47" t="n">
        <f aca="false">-(DI104+DI105+DI106)*N(AND(DI$3&lt;=$E107,DI$4&gt;=$E107))</f>
        <v>-0</v>
      </c>
      <c r="DJ107" s="47" t="n">
        <f aca="false">-(DJ104+DJ105+DJ106)*N(AND(DJ$3&lt;=$E107,DJ$4&gt;=$E107))</f>
        <v>-0</v>
      </c>
      <c r="DK107" s="47" t="n">
        <f aca="false">-(DK104+DK105+DK106)*N(AND(DK$3&lt;=$E107,DK$4&gt;=$E107))</f>
        <v>-0</v>
      </c>
      <c r="DL107" s="47" t="n">
        <f aca="false">-(DL104+DL105+DL106)*N(AND(DL$3&lt;=$E107,DL$4&gt;=$E107))</f>
        <v>-0</v>
      </c>
      <c r="DM107" s="47" t="n">
        <f aca="false">-(DM104+DM105+DM106)*N(AND(DM$3&lt;=$E107,DM$4&gt;=$E107))</f>
        <v>-0</v>
      </c>
      <c r="DN107" s="47" t="n">
        <f aca="false">-(DN104+DN105+DN106)*N(AND(DN$3&lt;=$E107,DN$4&gt;=$E107))</f>
        <v>-0</v>
      </c>
      <c r="DO107" s="47" t="n">
        <f aca="false">-(DO104+DO105+DO106)*N(AND(DO$3&lt;=$E107,DO$4&gt;=$E107))</f>
        <v>-0</v>
      </c>
      <c r="DP107" s="47" t="n">
        <f aca="false">-(DP104+DP105+DP106)*N(AND(DP$3&lt;=$E107,DP$4&gt;=$E107))</f>
        <v>-0</v>
      </c>
      <c r="DQ107" s="47" t="n">
        <f aca="false">-(DQ104+DQ105+DQ106)*N(AND(DQ$3&lt;=$E107,DQ$4&gt;=$E107))</f>
        <v>-0</v>
      </c>
      <c r="DR107" s="47" t="n">
        <f aca="false">-(DR104+DR105+DR106)*N(AND(DR$3&lt;=$E107,DR$4&gt;=$E107))</f>
        <v>-0</v>
      </c>
      <c r="DS107" s="47" t="n">
        <f aca="false">-(DS104+DS105+DS106)*N(AND(DS$3&lt;=$E107,DS$4&gt;=$E107))</f>
        <v>-0</v>
      </c>
      <c r="DT107" s="47" t="n">
        <f aca="false">-(DT104+DT105+DT106)*N(AND(DT$3&lt;=$E107,DT$4&gt;=$E107))</f>
        <v>-0</v>
      </c>
      <c r="DU107" s="47" t="n">
        <f aca="false">-(DU104+DU105+DU106)*N(AND(DU$3&lt;=$E107,DU$4&gt;=$E107))</f>
        <v>-0</v>
      </c>
      <c r="DV107" s="47" t="n">
        <f aca="false">-(DV104+DV105+DV106)*N(AND(DV$3&lt;=$E107,DV$4&gt;=$E107))</f>
        <v>-0</v>
      </c>
      <c r="DW107" s="47" t="n">
        <f aca="false">-(DW104+DW105+DW106)*N(AND(DW$3&lt;=$E107,DW$4&gt;=$E107))</f>
        <v>-0</v>
      </c>
      <c r="DX107" s="47" t="n">
        <f aca="false">-(DX104+DX105+DX106)*N(AND(DX$3&lt;=$E107,DX$4&gt;=$E107))</f>
        <v>-0</v>
      </c>
      <c r="DY107" s="47" t="n">
        <f aca="false">-(DY104+DY105+DY106)*N(AND(DY$3&lt;=$E107,DY$4&gt;=$E107))</f>
        <v>-0</v>
      </c>
      <c r="DZ107" s="47" t="n">
        <f aca="false">-(DZ104+DZ105+DZ106)*N(AND(DZ$3&lt;=$E107,DZ$4&gt;=$E107))</f>
        <v>-0</v>
      </c>
      <c r="EA107" s="47" t="n">
        <f aca="false">-(EA104+EA105+EA106)*N(AND(EA$3&lt;=$E107,EA$4&gt;=$E107))</f>
        <v>-0</v>
      </c>
      <c r="EB107" s="47" t="n">
        <f aca="false">-(EB104+EB105+EB106)*N(AND(EB$3&lt;=$E107,EB$4&gt;=$E107))</f>
        <v>-0</v>
      </c>
      <c r="EC107" s="47" t="n">
        <f aca="false">-(EC104+EC105+EC106)*N(AND(EC$3&lt;=$E107,EC$4&gt;=$E107))</f>
        <v>-0</v>
      </c>
      <c r="ED107" s="47" t="n">
        <f aca="false">-(ED104+ED105+ED106)*N(AND(ED$3&lt;=$E107,ED$4&gt;=$E107))</f>
        <v>-0</v>
      </c>
      <c r="EE107" s="47" t="n">
        <f aca="false">-(EE104+EE105+EE106)*N(AND(EE$3&lt;=$E107,EE$4&gt;=$E107))</f>
        <v>-0</v>
      </c>
      <c r="EF107" s="47" t="n">
        <f aca="false">-(EF104+EF105+EF106)*N(AND(EF$3&lt;=$E107,EF$4&gt;=$E107))</f>
        <v>-0</v>
      </c>
      <c r="EG107" s="47" t="n">
        <f aca="false">-(EG104+EG105+EG106)*N(AND(EG$3&lt;=$E107,EG$4&gt;=$E107))</f>
        <v>-0</v>
      </c>
      <c r="EH107" s="47" t="n">
        <f aca="false">-(EH104+EH105+EH106)*N(AND(EH$3&lt;=$E107,EH$4&gt;=$E107))</f>
        <v>-0</v>
      </c>
      <c r="EI107" s="47" t="n">
        <f aca="false">-(EI104+EI105+EI106)*N(AND(EI$3&lt;=$E107,EI$4&gt;=$E107))</f>
        <v>-0</v>
      </c>
      <c r="EJ107" s="47" t="n">
        <f aca="false">-(EJ104+EJ105+EJ106)*N(AND(EJ$3&lt;=$E107,EJ$4&gt;=$E107))</f>
        <v>-0</v>
      </c>
      <c r="EK107" s="47" t="n">
        <f aca="false">-(EK104+EK105+EK106)*N(AND(EK$3&lt;=$E107,EK$4&gt;=$E107))</f>
        <v>-0</v>
      </c>
      <c r="EL107" s="47" t="n">
        <f aca="false">-(EL104+EL105+EL106)*N(AND(EL$3&lt;=$E107,EL$4&gt;=$E107))</f>
        <v>-0</v>
      </c>
      <c r="EM107" s="47" t="n">
        <f aca="false">-(EM104+EM105+EM106)*N(AND(EM$3&lt;=$E107,EM$4&gt;=$E107))</f>
        <v>-0</v>
      </c>
      <c r="EN107" s="47" t="n">
        <f aca="false">-(EN104+EN105+EN106)*N(AND(EN$3&lt;=$E107,EN$4&gt;=$E107))</f>
        <v>-0</v>
      </c>
      <c r="EO107" s="47" t="n">
        <f aca="false">-(EO104+EO105+EO106)*N(AND(EO$3&lt;=$E107,EO$4&gt;=$E107))</f>
        <v>-0</v>
      </c>
    </row>
    <row r="108" customFormat="false" ht="15" hidden="false" customHeight="false" outlineLevel="0" collapsed="false">
      <c r="C108" s="0" t="s">
        <v>452</v>
      </c>
      <c r="D108" s="11" t="s">
        <v>33</v>
      </c>
      <c r="I108" s="58"/>
      <c r="J108" s="47" t="n">
        <f aca="false">SUM(J104:J107)</f>
        <v>12.8099380746857</v>
      </c>
      <c r="K108" s="47" t="n">
        <f aca="false">SUM(K104:K107)</f>
        <v>32.4846237568024</v>
      </c>
      <c r="L108" s="47" t="n">
        <f aca="false">SUM(L104:L107)</f>
        <v>65.6401125914806</v>
      </c>
      <c r="M108" s="47" t="n">
        <f aca="false">SUM(M104:M107)</f>
        <v>99.1599474573091</v>
      </c>
      <c r="N108" s="47" t="n">
        <f aca="false">SUM(N104:N107)</f>
        <v>132.679782323138</v>
      </c>
      <c r="O108" s="47" t="n">
        <f aca="false">SUM(O104:O107)</f>
        <v>165.835271157816</v>
      </c>
      <c r="P108" s="47" t="n">
        <f aca="false">SUM(P104:P107)</f>
        <v>198.990759992494</v>
      </c>
      <c r="Q108" s="47" t="n">
        <f aca="false">SUM(Q104:Q107)</f>
        <v>232.510594858322</v>
      </c>
      <c r="R108" s="47" t="n">
        <f aca="false">SUM(R104:R107)</f>
        <v>1370.83725036342</v>
      </c>
      <c r="S108" s="47" t="n">
        <f aca="false">SUM(S104:S107)</f>
        <v>1547.54691920119</v>
      </c>
      <c r="T108" s="47" t="n">
        <f aca="false">SUM(T104:T107)</f>
        <v>1701.18915609518</v>
      </c>
      <c r="U108" s="47" t="n">
        <f aca="false">SUM(U104:U107)</f>
        <v>1844.02594957718</v>
      </c>
      <c r="V108" s="47" t="n">
        <f aca="false">SUM(V104:V107)</f>
        <v>1974.23162869627</v>
      </c>
      <c r="W108" s="47" t="n">
        <f aca="false">SUM(W104:W107)</f>
        <v>2090.29215582612</v>
      </c>
      <c r="X108" s="47" t="n">
        <f aca="false">SUM(X104:X107)</f>
        <v>2195.42002950177</v>
      </c>
      <c r="Y108" s="47" t="n">
        <f aca="false">SUM(Y104:Y107)</f>
        <v>2289.2093348949</v>
      </c>
      <c r="Z108" s="47" t="n">
        <f aca="false">SUM(Z104:Z107)</f>
        <v>2037.90618865476</v>
      </c>
      <c r="AA108" s="47" t="n">
        <f aca="false">SUM(AA104:AA107)</f>
        <v>1789.31638263538</v>
      </c>
      <c r="AB108" s="47" t="n">
        <f aca="false">SUM(AB104:AB107)</f>
        <v>1531.44130007997</v>
      </c>
      <c r="AC108" s="47" t="n">
        <f aca="false">SUM(AC104:AC107)</f>
        <v>1264.17018633588</v>
      </c>
      <c r="AD108" s="47" t="n">
        <f aca="false">SUM(AD104:AD107)</f>
        <v>997.884361350022</v>
      </c>
      <c r="AE108" s="47" t="n">
        <f aca="false">SUM(AE104:AE107)</f>
        <v>727.772753065486</v>
      </c>
      <c r="AF108" s="47" t="n">
        <f aca="false">SUM(AF104:AF107)</f>
        <v>454.619910004091</v>
      </c>
      <c r="AG108" s="47" t="n">
        <f aca="false">SUM(AG104:AG107)</f>
        <v>171.868273165539</v>
      </c>
      <c r="AH108" s="47" t="n">
        <f aca="false">SUM(AH104:AH107)</f>
        <v>0</v>
      </c>
      <c r="AI108" s="47" t="n">
        <f aca="false">SUM(AI104:AI107)</f>
        <v>0</v>
      </c>
      <c r="AJ108" s="47" t="n">
        <f aca="false">SUM(AJ104:AJ107)</f>
        <v>0</v>
      </c>
      <c r="AK108" s="47" t="n">
        <f aca="false">SUM(AK104:AK107)</f>
        <v>0</v>
      </c>
      <c r="AL108" s="47" t="n">
        <f aca="false">SUM(AL104:AL107)</f>
        <v>0</v>
      </c>
      <c r="AM108" s="47" t="n">
        <f aca="false">SUM(AM104:AM107)</f>
        <v>0</v>
      </c>
      <c r="AN108" s="47" t="n">
        <f aca="false">SUM(AN104:AN107)</f>
        <v>0</v>
      </c>
      <c r="AO108" s="47" t="n">
        <f aca="false">SUM(AO104:AO107)</f>
        <v>0</v>
      </c>
      <c r="AP108" s="47" t="n">
        <f aca="false">SUM(AP104:AP107)</f>
        <v>0</v>
      </c>
      <c r="AQ108" s="47" t="n">
        <f aca="false">SUM(AQ104:AQ107)</f>
        <v>0</v>
      </c>
      <c r="AR108" s="47" t="n">
        <f aca="false">SUM(AR104:AR107)</f>
        <v>0</v>
      </c>
      <c r="AS108" s="47" t="n">
        <f aca="false">SUM(AS104:AS107)</f>
        <v>0</v>
      </c>
      <c r="AT108" s="47" t="n">
        <f aca="false">SUM(AT104:AT107)</f>
        <v>0</v>
      </c>
      <c r="AU108" s="47" t="n">
        <f aca="false">SUM(AU104:AU107)</f>
        <v>0</v>
      </c>
      <c r="AV108" s="47" t="n">
        <f aca="false">SUM(AV104:AV107)</f>
        <v>0</v>
      </c>
      <c r="AW108" s="47" t="n">
        <f aca="false">SUM(AW104:AW107)</f>
        <v>0</v>
      </c>
      <c r="AX108" s="47" t="n">
        <f aca="false">SUM(AX104:AX107)</f>
        <v>0</v>
      </c>
      <c r="AY108" s="47" t="n">
        <f aca="false">SUM(AY104:AY107)</f>
        <v>0</v>
      </c>
      <c r="AZ108" s="47" t="n">
        <f aca="false">SUM(AZ104:AZ107)</f>
        <v>0</v>
      </c>
      <c r="BA108" s="47" t="n">
        <f aca="false">SUM(BA104:BA107)</f>
        <v>0</v>
      </c>
      <c r="BB108" s="47" t="n">
        <f aca="false">SUM(BB104:BB107)</f>
        <v>0</v>
      </c>
      <c r="BC108" s="47" t="n">
        <f aca="false">SUM(BC104:BC107)</f>
        <v>0</v>
      </c>
      <c r="BD108" s="47" t="n">
        <f aca="false">SUM(BD104:BD107)</f>
        <v>0</v>
      </c>
      <c r="BE108" s="47" t="n">
        <f aca="false">SUM(BE104:BE107)</f>
        <v>0</v>
      </c>
      <c r="BF108" s="47" t="n">
        <f aca="false">SUM(BF104:BF107)</f>
        <v>0</v>
      </c>
      <c r="BG108" s="47" t="n">
        <f aca="false">SUM(BG104:BG107)</f>
        <v>0</v>
      </c>
      <c r="BH108" s="47" t="n">
        <f aca="false">SUM(BH104:BH107)</f>
        <v>0</v>
      </c>
      <c r="BI108" s="47" t="n">
        <f aca="false">SUM(BI104:BI107)</f>
        <v>0</v>
      </c>
      <c r="BJ108" s="47" t="n">
        <f aca="false">SUM(BJ104:BJ107)</f>
        <v>0</v>
      </c>
      <c r="BK108" s="47" t="n">
        <f aca="false">SUM(BK104:BK107)</f>
        <v>0</v>
      </c>
      <c r="BL108" s="47" t="n">
        <f aca="false">SUM(BL104:BL107)</f>
        <v>0</v>
      </c>
      <c r="BM108" s="47" t="n">
        <f aca="false">SUM(BM104:BM107)</f>
        <v>0</v>
      </c>
      <c r="BN108" s="47" t="n">
        <f aca="false">SUM(BN104:BN107)</f>
        <v>0</v>
      </c>
      <c r="BO108" s="47" t="n">
        <f aca="false">SUM(BO104:BO107)</f>
        <v>0</v>
      </c>
      <c r="BP108" s="47" t="n">
        <f aca="false">SUM(BP104:BP107)</f>
        <v>0</v>
      </c>
      <c r="BQ108" s="47" t="n">
        <f aca="false">SUM(BQ104:BQ107)</f>
        <v>0</v>
      </c>
      <c r="BR108" s="47" t="n">
        <f aca="false">SUM(BR104:BR107)</f>
        <v>0</v>
      </c>
      <c r="BS108" s="47" t="n">
        <f aca="false">SUM(BS104:BS107)</f>
        <v>0</v>
      </c>
      <c r="BT108" s="47" t="n">
        <f aca="false">SUM(BT104:BT107)</f>
        <v>0</v>
      </c>
      <c r="BU108" s="47" t="n">
        <f aca="false">SUM(BU104:BU107)</f>
        <v>0</v>
      </c>
      <c r="BV108" s="47" t="n">
        <f aca="false">SUM(BV104:BV107)</f>
        <v>0</v>
      </c>
      <c r="BW108" s="47" t="n">
        <f aca="false">SUM(BW104:BW107)</f>
        <v>0</v>
      </c>
      <c r="BX108" s="47" t="n">
        <f aca="false">SUM(BX104:BX107)</f>
        <v>0</v>
      </c>
      <c r="BY108" s="47" t="n">
        <f aca="false">SUM(BY104:BY107)</f>
        <v>0</v>
      </c>
      <c r="BZ108" s="47" t="n">
        <f aca="false">SUM(BZ104:BZ107)</f>
        <v>0</v>
      </c>
      <c r="CA108" s="47" t="n">
        <f aca="false">SUM(CA104:CA107)</f>
        <v>0</v>
      </c>
      <c r="CB108" s="47" t="n">
        <f aca="false">SUM(CB104:CB107)</f>
        <v>0</v>
      </c>
      <c r="CC108" s="47" t="n">
        <f aca="false">SUM(CC104:CC107)</f>
        <v>0</v>
      </c>
      <c r="CD108" s="47" t="n">
        <f aca="false">SUM(CD104:CD107)</f>
        <v>0</v>
      </c>
      <c r="CE108" s="47" t="n">
        <f aca="false">SUM(CE104:CE107)</f>
        <v>0</v>
      </c>
      <c r="CF108" s="47" t="n">
        <f aca="false">SUM(CF104:CF107)</f>
        <v>0</v>
      </c>
      <c r="CG108" s="47" t="n">
        <f aca="false">SUM(CG104:CG107)</f>
        <v>0</v>
      </c>
      <c r="CH108" s="47" t="n">
        <f aca="false">SUM(CH104:CH107)</f>
        <v>0</v>
      </c>
      <c r="CI108" s="47" t="n">
        <f aca="false">SUM(CI104:CI107)</f>
        <v>0</v>
      </c>
      <c r="CJ108" s="47" t="n">
        <f aca="false">SUM(CJ104:CJ107)</f>
        <v>0</v>
      </c>
      <c r="CK108" s="47" t="n">
        <f aca="false">SUM(CK104:CK107)</f>
        <v>0</v>
      </c>
      <c r="CL108" s="47" t="n">
        <f aca="false">SUM(CL104:CL107)</f>
        <v>0</v>
      </c>
      <c r="CM108" s="47" t="n">
        <f aca="false">SUM(CM104:CM107)</f>
        <v>0</v>
      </c>
      <c r="CN108" s="47" t="n">
        <f aca="false">SUM(CN104:CN107)</f>
        <v>0</v>
      </c>
      <c r="CO108" s="47" t="n">
        <f aca="false">SUM(CO104:CO107)</f>
        <v>0</v>
      </c>
      <c r="CP108" s="47" t="n">
        <f aca="false">SUM(CP104:CP107)</f>
        <v>0</v>
      </c>
      <c r="CQ108" s="47" t="n">
        <f aca="false">SUM(CQ104:CQ107)</f>
        <v>0</v>
      </c>
      <c r="CR108" s="47" t="n">
        <f aca="false">SUM(CR104:CR107)</f>
        <v>0</v>
      </c>
      <c r="CS108" s="47" t="n">
        <f aca="false">SUM(CS104:CS107)</f>
        <v>0</v>
      </c>
      <c r="CT108" s="47" t="n">
        <f aca="false">SUM(CT104:CT107)</f>
        <v>0</v>
      </c>
      <c r="CU108" s="47" t="n">
        <f aca="false">SUM(CU104:CU107)</f>
        <v>0</v>
      </c>
      <c r="CV108" s="47" t="n">
        <f aca="false">SUM(CV104:CV107)</f>
        <v>0</v>
      </c>
      <c r="CW108" s="47" t="n">
        <f aca="false">SUM(CW104:CW107)</f>
        <v>0</v>
      </c>
      <c r="CX108" s="47" t="n">
        <f aca="false">SUM(CX104:CX107)</f>
        <v>0</v>
      </c>
      <c r="CY108" s="47" t="n">
        <f aca="false">SUM(CY104:CY107)</f>
        <v>0</v>
      </c>
      <c r="CZ108" s="47" t="n">
        <f aca="false">SUM(CZ104:CZ107)</f>
        <v>0</v>
      </c>
      <c r="DA108" s="47" t="n">
        <f aca="false">SUM(DA104:DA107)</f>
        <v>0</v>
      </c>
      <c r="DB108" s="47" t="n">
        <f aca="false">SUM(DB104:DB107)</f>
        <v>0</v>
      </c>
      <c r="DC108" s="47" t="n">
        <f aca="false">SUM(DC104:DC107)</f>
        <v>0</v>
      </c>
      <c r="DD108" s="47" t="n">
        <f aca="false">SUM(DD104:DD107)</f>
        <v>0</v>
      </c>
      <c r="DE108" s="47" t="n">
        <f aca="false">SUM(DE104:DE107)</f>
        <v>0</v>
      </c>
      <c r="DF108" s="47" t="n">
        <f aca="false">SUM(DF104:DF107)</f>
        <v>0</v>
      </c>
      <c r="DG108" s="47" t="n">
        <f aca="false">SUM(DG104:DG107)</f>
        <v>0</v>
      </c>
      <c r="DH108" s="47" t="n">
        <f aca="false">SUM(DH104:DH107)</f>
        <v>0</v>
      </c>
      <c r="DI108" s="47" t="n">
        <f aca="false">SUM(DI104:DI107)</f>
        <v>0</v>
      </c>
      <c r="DJ108" s="47" t="n">
        <f aca="false">SUM(DJ104:DJ107)</f>
        <v>0</v>
      </c>
      <c r="DK108" s="47" t="n">
        <f aca="false">SUM(DK104:DK107)</f>
        <v>0</v>
      </c>
      <c r="DL108" s="47" t="n">
        <f aca="false">SUM(DL104:DL107)</f>
        <v>0</v>
      </c>
      <c r="DM108" s="47" t="n">
        <f aca="false">SUM(DM104:DM107)</f>
        <v>0</v>
      </c>
      <c r="DN108" s="47" t="n">
        <f aca="false">SUM(DN104:DN107)</f>
        <v>0</v>
      </c>
      <c r="DO108" s="47" t="n">
        <f aca="false">SUM(DO104:DO107)</f>
        <v>0</v>
      </c>
      <c r="DP108" s="47" t="n">
        <f aca="false">SUM(DP104:DP107)</f>
        <v>0</v>
      </c>
      <c r="DQ108" s="47" t="n">
        <f aca="false">SUM(DQ104:DQ107)</f>
        <v>0</v>
      </c>
      <c r="DR108" s="47" t="n">
        <f aca="false">SUM(DR104:DR107)</f>
        <v>0</v>
      </c>
      <c r="DS108" s="47" t="n">
        <f aca="false">SUM(DS104:DS107)</f>
        <v>0</v>
      </c>
      <c r="DT108" s="47" t="n">
        <f aca="false">SUM(DT104:DT107)</f>
        <v>0</v>
      </c>
      <c r="DU108" s="47" t="n">
        <f aca="false">SUM(DU104:DU107)</f>
        <v>0</v>
      </c>
      <c r="DV108" s="47" t="n">
        <f aca="false">SUM(DV104:DV107)</f>
        <v>0</v>
      </c>
      <c r="DW108" s="47" t="n">
        <f aca="false">SUM(DW104:DW107)</f>
        <v>0</v>
      </c>
      <c r="DX108" s="47" t="n">
        <f aca="false">SUM(DX104:DX107)</f>
        <v>0</v>
      </c>
      <c r="DY108" s="47" t="n">
        <f aca="false">SUM(DY104:DY107)</f>
        <v>0</v>
      </c>
      <c r="DZ108" s="47" t="n">
        <f aca="false">SUM(DZ104:DZ107)</f>
        <v>0</v>
      </c>
      <c r="EA108" s="47" t="n">
        <f aca="false">SUM(EA104:EA107)</f>
        <v>0</v>
      </c>
      <c r="EB108" s="47" t="n">
        <f aca="false">SUM(EB104:EB107)</f>
        <v>0</v>
      </c>
      <c r="EC108" s="47" t="n">
        <f aca="false">SUM(EC104:EC107)</f>
        <v>0</v>
      </c>
      <c r="ED108" s="47" t="n">
        <f aca="false">SUM(ED104:ED107)</f>
        <v>0</v>
      </c>
      <c r="EE108" s="47" t="n">
        <f aca="false">SUM(EE104:EE107)</f>
        <v>0</v>
      </c>
      <c r="EF108" s="47" t="n">
        <f aca="false">SUM(EF104:EF107)</f>
        <v>0</v>
      </c>
      <c r="EG108" s="47" t="n">
        <f aca="false">SUM(EG104:EG107)</f>
        <v>0</v>
      </c>
      <c r="EH108" s="47" t="n">
        <f aca="false">SUM(EH104:EH107)</f>
        <v>0</v>
      </c>
      <c r="EI108" s="47" t="n">
        <f aca="false">SUM(EI104:EI107)</f>
        <v>0</v>
      </c>
      <c r="EJ108" s="47" t="n">
        <f aca="false">SUM(EJ104:EJ107)</f>
        <v>0</v>
      </c>
      <c r="EK108" s="47" t="n">
        <f aca="false">SUM(EK104:EK107)</f>
        <v>0</v>
      </c>
      <c r="EL108" s="47" t="n">
        <f aca="false">SUM(EL104:EL107)</f>
        <v>0</v>
      </c>
      <c r="EM108" s="47" t="n">
        <f aca="false">SUM(EM104:EM107)</f>
        <v>0</v>
      </c>
      <c r="EN108" s="47" t="n">
        <f aca="false">SUM(EN104:EN107)</f>
        <v>0</v>
      </c>
      <c r="EO108" s="47" t="n">
        <f aca="false">SUM(EO104:EO107)</f>
        <v>0</v>
      </c>
    </row>
    <row r="109" customFormat="false" ht="15" hidden="false" customHeight="false" outlineLevel="0" collapsed="false">
      <c r="C109" s="0" t="s">
        <v>453</v>
      </c>
      <c r="D109" s="11" t="s">
        <v>33</v>
      </c>
      <c r="J109" s="47" t="n">
        <f aca="false">-In_CIT*(MAX(0,J103)+J106)</f>
        <v>-0</v>
      </c>
      <c r="K109" s="47" t="n">
        <f aca="false">-In_CIT*(MAX(0,K103)+K106)</f>
        <v>-0</v>
      </c>
      <c r="L109" s="47" t="n">
        <f aca="false">-In_CIT*(MAX(0,L103)+L106)</f>
        <v>-0</v>
      </c>
      <c r="M109" s="47" t="n">
        <f aca="false">-In_CIT*(MAX(0,M103)+M106)</f>
        <v>-0</v>
      </c>
      <c r="N109" s="47" t="n">
        <f aca="false">-In_CIT*(MAX(0,N103)+N106)</f>
        <v>-0</v>
      </c>
      <c r="O109" s="47" t="n">
        <f aca="false">-In_CIT*(MAX(0,O103)+O106)</f>
        <v>-0</v>
      </c>
      <c r="P109" s="47" t="n">
        <f aca="false">-In_CIT*(MAX(0,P103)+P106)</f>
        <v>-0</v>
      </c>
      <c r="Q109" s="47" t="n">
        <f aca="false">-In_CIT*(MAX(0,Q103)+Q106)</f>
        <v>-0</v>
      </c>
      <c r="R109" s="47" t="n">
        <f aca="false">-In_CIT*(MAX(0,R103)+R106)</f>
        <v>-0</v>
      </c>
      <c r="S109" s="47" t="n">
        <f aca="false">-In_CIT*(MAX(0,S103)+S106)</f>
        <v>-0</v>
      </c>
      <c r="T109" s="47" t="n">
        <f aca="false">-In_CIT*(MAX(0,T103)+T106)</f>
        <v>-0</v>
      </c>
      <c r="U109" s="47" t="n">
        <f aca="false">-In_CIT*(MAX(0,U103)+U106)</f>
        <v>-0</v>
      </c>
      <c r="V109" s="47" t="n">
        <f aca="false">-In_CIT*(MAX(0,V103)+V106)</f>
        <v>-0</v>
      </c>
      <c r="W109" s="47" t="n">
        <f aca="false">-In_CIT*(MAX(0,W103)+W106)</f>
        <v>-0</v>
      </c>
      <c r="X109" s="47" t="n">
        <f aca="false">-In_CIT*(MAX(0,X103)+X106)</f>
        <v>-0</v>
      </c>
      <c r="Y109" s="47" t="n">
        <f aca="false">-In_CIT*(MAX(0,Y103)+Y106)</f>
        <v>-0</v>
      </c>
      <c r="Z109" s="47" t="n">
        <f aca="false">-In_CIT*(MAX(0,Z103)+Z106)</f>
        <v>-22.6172831616123</v>
      </c>
      <c r="AA109" s="47" t="n">
        <f aca="false">-In_CIT*(MAX(0,AA103)+AA106)</f>
        <v>-22.3730825417446</v>
      </c>
      <c r="AB109" s="47" t="n">
        <f aca="false">-In_CIT*(MAX(0,AB103)+AB106)</f>
        <v>-23.2087574299868</v>
      </c>
      <c r="AC109" s="47" t="n">
        <f aca="false">-In_CIT*(MAX(0,AC103)+AC106)</f>
        <v>-24.0544002369677</v>
      </c>
      <c r="AD109" s="47" t="n">
        <f aca="false">-In_CIT*(MAX(0,AD103)+AD106)</f>
        <v>-23.9657242487275</v>
      </c>
      <c r="AE109" s="47" t="n">
        <f aca="false">-In_CIT*(MAX(0,AE103)+AE106)</f>
        <v>-24.3100447456082</v>
      </c>
      <c r="AF109" s="47" t="n">
        <f aca="false">-In_CIT*(MAX(0,AF103)+AF106)</f>
        <v>-24.5837558755256</v>
      </c>
      <c r="AG109" s="47" t="n">
        <f aca="false">-In_CIT*(MAX(0,AG103)+AG106)</f>
        <v>-25.4476473154697</v>
      </c>
      <c r="AH109" s="47" t="n">
        <f aca="false">-In_CIT*(MAX(0,AH103)+AH106)</f>
        <v>-35.2756669611382</v>
      </c>
      <c r="AI109" s="47" t="n">
        <f aca="false">-In_CIT*(MAX(0,AI103)+AI106)</f>
        <v>-50.2576395995516</v>
      </c>
      <c r="AJ109" s="47" t="n">
        <f aca="false">-In_CIT*(MAX(0,AJ103)+AJ106)</f>
        <v>-54.9714341750819</v>
      </c>
      <c r="AK109" s="47" t="n">
        <f aca="false">-In_CIT*(MAX(0,AK103)+AK106)</f>
        <v>-56.7717087462383</v>
      </c>
      <c r="AL109" s="47" t="n">
        <f aca="false">-In_CIT*(MAX(0,AL103)+AL106)</f>
        <v>-56.6491982545875</v>
      </c>
      <c r="AM109" s="47" t="n">
        <f aca="false">-In_CIT*(MAX(0,AM103)+AM106)</f>
        <v>-56.1108292432083</v>
      </c>
      <c r="AN109" s="47" t="n">
        <f aca="false">-In_CIT*(MAX(0,AN103)+AN106)</f>
        <v>-57.9282020155496</v>
      </c>
      <c r="AO109" s="47" t="n">
        <f aca="false">-In_CIT*(MAX(0,AO103)+AO106)</f>
        <v>-59.7664526793269</v>
      </c>
      <c r="AP109" s="47" t="n">
        <f aca="false">-In_CIT*(MAX(0,AP103)+AP106)</f>
        <v>-59.6716717327794</v>
      </c>
      <c r="AQ109" s="47" t="n">
        <f aca="false">-In_CIT*(MAX(0,AQ103)+AQ106)</f>
        <v>-59.139379465847</v>
      </c>
      <c r="AR109" s="47" t="n">
        <f aca="false">-In_CIT*(MAX(0,AR103)+AR106)</f>
        <v>-60.9955227110241</v>
      </c>
      <c r="AS109" s="47" t="n">
        <f aca="false">-In_CIT*(MAX(0,AS103)+AS106)</f>
        <v>-62.8729706983216</v>
      </c>
      <c r="AT109" s="47" t="n">
        <f aca="false">-In_CIT*(MAX(0,AT103)+AT106)</f>
        <v>-62.8073539184892</v>
      </c>
      <c r="AU109" s="47" t="n">
        <f aca="false">-In_CIT*(MAX(0,AU103)+AU106)</f>
        <v>-63.5126199763046</v>
      </c>
      <c r="AV109" s="47" t="n">
        <f aca="false">-In_CIT*(MAX(0,AV103)+AV106)</f>
        <v>-64.1923515443469</v>
      </c>
      <c r="AW109" s="47" t="n">
        <f aca="false">-In_CIT*(MAX(0,AW103)+AW106)</f>
        <v>-66.1104405294354</v>
      </c>
      <c r="AX109" s="47" t="n">
        <f aca="false">-In_CIT*(MAX(0,AX103)+AX106)</f>
        <v>-66.0756555125324</v>
      </c>
      <c r="AY109" s="47" t="n">
        <f aca="false">-In_CIT*(MAX(0,AY103)+AY106)</f>
        <v>-65.5594208820911</v>
      </c>
      <c r="AZ109" s="47" t="n">
        <f aca="false">-In_CIT*(MAX(0,AZ103)+AZ106)</f>
        <v>-67.4971237033376</v>
      </c>
      <c r="BA109" s="47" t="n">
        <f aca="false">-In_CIT*(MAX(0,BA103)+BA106)</f>
        <v>-69.4570368681139</v>
      </c>
      <c r="BB109" s="47" t="n">
        <f aca="false">-In_CIT*(MAX(0,BB103)+BB106)</f>
        <v>-69.4544957068861</v>
      </c>
      <c r="BC109" s="47" t="n">
        <f aca="false">-In_CIT*(MAX(0,BC103)+BC106)</f>
        <v>-68.9482121156533</v>
      </c>
      <c r="BD109" s="47" t="n">
        <f aca="false">-In_CIT*(MAX(0,BD103)+BD106)</f>
        <v>-70.9286646340359</v>
      </c>
      <c r="BE109" s="47" t="n">
        <f aca="false">-In_CIT*(MAX(0,BE103)+BE106)</f>
        <v>-72.9318058718927</v>
      </c>
      <c r="BF109" s="47" t="n">
        <f aca="false">-In_CIT*(MAX(0,BF103)+BF106)</f>
        <v>-72.963152311325</v>
      </c>
      <c r="BG109" s="47" t="n">
        <f aca="false">-In_CIT*(MAX(0,BG103)+BG106)</f>
        <v>-72.4682446489223</v>
      </c>
      <c r="BH109" s="47" t="n">
        <f aca="false">-In_CIT*(MAX(0,BH103)+BH106)</f>
        <v>-74.4928988753554</v>
      </c>
      <c r="BI109" s="47" t="n">
        <f aca="false">-In_CIT*(MAX(0,BI103)+BI106)</f>
        <v>-76.5407389658888</v>
      </c>
      <c r="BJ109" s="47" t="n">
        <f aca="false">-In_CIT*(MAX(0,BJ103)+BJ106)</f>
        <v>-76.6076929680616</v>
      </c>
      <c r="BK109" s="47" t="n">
        <f aca="false">-In_CIT*(MAX(0,BK103)+BK106)</f>
        <v>-77.3760592194327</v>
      </c>
      <c r="BL109" s="47" t="n">
        <f aca="false">-In_CIT*(MAX(0,BL103)+BL106)</f>
        <v>-78.2099684641662</v>
      </c>
      <c r="BM109" s="47" t="n">
        <f aca="false">-In_CIT*(MAX(0,BM103)+BM106)</f>
        <v>-80.30421439314</v>
      </c>
      <c r="BN109" s="47" t="n">
        <f aca="false">-In_CIT*(MAX(0,BN103)+BN106)</f>
        <v>-80.4087437035672</v>
      </c>
      <c r="BO109" s="47" t="n">
        <f aca="false">-In_CIT*(MAX(0,BO103)+BO106)</f>
        <v>-79.9413297811079</v>
      </c>
      <c r="BP109" s="47" t="n">
        <f aca="false">-In_CIT*(MAX(0,BP103)+BP106)</f>
        <v>-82.0591961725455</v>
      </c>
      <c r="BQ109" s="47" t="n">
        <f aca="false">-In_CIT*(MAX(0,BQ103)+BQ106)</f>
        <v>-84.201304621732</v>
      </c>
      <c r="BR109" s="47" t="n">
        <f aca="false">-In_CIT*(MAX(0,BR103)+BR106)</f>
        <v>-84.3451326962913</v>
      </c>
      <c r="BS109" s="47" t="n">
        <f aca="false">-In_CIT*(MAX(0,BS103)+BS106)</f>
        <v>-83.8938324837878</v>
      </c>
      <c r="BT109" s="47" t="n">
        <f aca="false">-In_CIT*(MAX(0,BT103)+BT106)</f>
        <v>-86.0606947500402</v>
      </c>
      <c r="BU109" s="47" t="n">
        <f aca="false">-In_CIT*(MAX(0,BU103)+BU106)</f>
        <v>-88.2523580545295</v>
      </c>
      <c r="BV109" s="47" t="n">
        <f aca="false">-In_CIT*(MAX(0,BV103)+BV106)</f>
        <v>-88.4374560477956</v>
      </c>
      <c r="BW109" s="47" t="n">
        <f aca="false">-In_CIT*(MAX(0,BW103)+BW106)</f>
        <v>-88.0040104693578</v>
      </c>
      <c r="BX109" s="47" t="n">
        <f aca="false">-In_CIT*(MAX(0,BX103)+BX106)</f>
        <v>-90.2216195491879</v>
      </c>
      <c r="BY109" s="47" t="n">
        <f aca="false">-In_CIT*(MAX(0,BY103)+BY106)</f>
        <v>-92.464611189026</v>
      </c>
      <c r="BZ109" s="47" t="n">
        <f aca="false">-In_CIT*(MAX(0,BZ103)+BZ106)</f>
        <v>-92.6930418510203</v>
      </c>
      <c r="CA109" s="47" t="n">
        <f aca="false">-In_CIT*(MAX(0,CA103)+CA106)</f>
        <v>-93.5456433266818</v>
      </c>
      <c r="CB109" s="47" t="n">
        <f aca="false">-In_CIT*(MAX(0,CB103)+CB106)</f>
        <v>-94.5634973223607</v>
      </c>
      <c r="CC109" s="47" t="n">
        <f aca="false">-In_CIT*(MAX(0,CC103)+CC106)</f>
        <v>-96.8598430662678</v>
      </c>
      <c r="CD109" s="47" t="n">
        <f aca="false">-In_CIT*(MAX(0,CD103)+CD106)</f>
        <v>-97.1339341779453</v>
      </c>
      <c r="CE109" s="47" t="n">
        <f aca="false">-In_CIT*(MAX(0,CE103)+CE106)</f>
        <v>-96.7419507553706</v>
      </c>
      <c r="CF109" s="47" t="n">
        <f aca="false">-In_CIT*(MAX(0,CF103)+CF106)</f>
        <v>-99.0668199965043</v>
      </c>
      <c r="CG109" s="47" t="n">
        <f aca="false">-In_CIT*(MAX(0,CG103)+CG106)</f>
        <v>-101.418308812638</v>
      </c>
      <c r="CH109" s="47" t="n">
        <f aca="false">-In_CIT*(MAX(0,CH103)+CH106)</f>
        <v>-101.740158527254</v>
      </c>
      <c r="CI109" s="47" t="n">
        <f aca="false">-In_CIT*(MAX(0,CI103)+CI106)</f>
        <v>-101.371810179511</v>
      </c>
      <c r="CJ109" s="47" t="n">
        <f aca="false">-In_CIT*(MAX(0,CJ103)+CJ106)</f>
        <v>-103.753208849539</v>
      </c>
      <c r="CK109" s="47" t="n">
        <f aca="false">-In_CIT*(MAX(0,CK103)+CK106)</f>
        <v>-106.161882896163</v>
      </c>
      <c r="CL109" s="47" t="n">
        <f aca="false">-In_CIT*(MAX(0,CL103)+CL106)</f>
        <v>-106.533855833866</v>
      </c>
      <c r="CM109" s="47" t="n">
        <f aca="false">-In_CIT*(MAX(0,CM103)+CM106)</f>
        <v>-106.191265091373</v>
      </c>
      <c r="CN109" s="47" t="n">
        <f aca="false">-In_CIT*(MAX(0,CN103)+CN106)</f>
        <v>-108.631306673067</v>
      </c>
      <c r="CO109" s="47" t="n">
        <f aca="false">-In_CIT*(MAX(0,CO103)+CO106)</f>
        <v>-111.099306527946</v>
      </c>
      <c r="CP109" s="47" t="n">
        <f aca="false">-In_CIT*(MAX(0,CP103)+CP106)</f>
        <v>-111.52387743261</v>
      </c>
      <c r="CQ109" s="47" t="n">
        <f aca="false">-In_CIT*(MAX(0,CQ103)+CQ106)</f>
        <v>-112.486830406046</v>
      </c>
      <c r="CR109" s="47" t="n">
        <f aca="false">-In_CIT*(MAX(0,CR103)+CR106)</f>
        <v>-113.724265855239</v>
      </c>
      <c r="CS109" s="47" t="n">
        <f aca="false">-In_CIT*(MAX(0,CS103)+CS106)</f>
        <v>-116.254003294929</v>
      </c>
      <c r="CT109" s="47" t="n">
        <f aca="false">-In_CIT*(MAX(0,CT103)+CT106)</f>
        <v>-116.733932150773</v>
      </c>
      <c r="CU109" s="47" t="n">
        <f aca="false">-In_CIT*(MAX(0,CU103)+CU106)</f>
        <v>-115.158098585327</v>
      </c>
      <c r="CV109" s="47" t="n">
        <f aca="false">-In_CIT*(MAX(0,CV103)+CV106)</f>
        <v>-116.437633014053</v>
      </c>
      <c r="CW109" s="47" t="n">
        <f aca="false">-In_CIT*(MAX(0,CW103)+CW106)</f>
        <v>-117.717167442779</v>
      </c>
      <c r="CX109" s="47" t="n">
        <f aca="false">-In_CIT*(MAX(0,CX103)+CX106)</f>
        <v>-116.911107260676</v>
      </c>
      <c r="CY109" s="47" t="n">
        <f aca="false">-In_CIT*(MAX(0,CY103)+CY106)</f>
        <v>-115.304649796596</v>
      </c>
      <c r="CZ109" s="47" t="n">
        <f aca="false">-In_CIT*(MAX(0,CZ103)+CZ106)</f>
        <v>-116.585812572114</v>
      </c>
      <c r="DA109" s="47" t="n">
        <f aca="false">-In_CIT*(MAX(0,DA103)+DA106)</f>
        <v>-117.866975347631</v>
      </c>
      <c r="DB109" s="47" t="n">
        <f aca="false">-In_CIT*(MAX(0,DB103)+DB106)</f>
        <v>-209.955906903205</v>
      </c>
      <c r="DC109" s="47" t="n">
        <f aca="false">-In_CIT*(MAX(0,DC103)+DC106)</f>
        <v>-206.298966746317</v>
      </c>
      <c r="DD109" s="47" t="n">
        <f aca="false">-In_CIT*(MAX(0,DD103)+DD106)</f>
        <v>-208.591177487943</v>
      </c>
      <c r="DE109" s="47" t="n">
        <f aca="false">-In_CIT*(MAX(0,DE103)+DE106)</f>
        <v>-210.883388229568</v>
      </c>
      <c r="DF109" s="47" t="n">
        <f aca="false">-In_CIT*(MAX(0,DF103)+DF106)</f>
        <v>-210.067709428949</v>
      </c>
      <c r="DG109" s="47" t="n">
        <f aca="false">-In_CIT*(MAX(0,DG103)+DG106)</f>
        <v>-208.67265114168</v>
      </c>
      <c r="DH109" s="47" t="n">
        <f aca="false">-In_CIT*(MAX(0,DH103)+DH106)</f>
        <v>-208.67265114168</v>
      </c>
      <c r="DI109" s="47" t="n">
        <f aca="false">-In_CIT*(MAX(0,DI103)+DI106)</f>
        <v>-210.965757198182</v>
      </c>
      <c r="DJ109" s="47" t="n">
        <f aca="false">-In_CIT*(MAX(0,DJ103)+DJ106)</f>
        <v>-210.145255574759</v>
      </c>
      <c r="DK109" s="47" t="n">
        <f aca="false">-In_CIT*(MAX(0,DK103)+DK106)</f>
        <v>-206.425560393512</v>
      </c>
      <c r="DL109" s="47" t="n">
        <f aca="false">-In_CIT*(MAX(0,DL103)+DL106)</f>
        <v>-208.719177731218</v>
      </c>
      <c r="DM109" s="47" t="n">
        <f aca="false">-In_CIT*(MAX(0,DM103)+DM106)</f>
        <v>-211.012795068924</v>
      </c>
      <c r="DN109" s="47" t="n">
        <f aca="false">-In_CIT*(MAX(0,DN103)+DN106)</f>
        <v>-210.187462223093</v>
      </c>
      <c r="DO109" s="47" t="n">
        <f aca="false">-In_CIT*(MAX(0,DO103)+DO106)</f>
        <v>-206.435925103432</v>
      </c>
      <c r="DP109" s="47" t="n">
        <f aca="false">-In_CIT*(MAX(0,DP103)+DP106)</f>
        <v>-208.729657604581</v>
      </c>
      <c r="DQ109" s="47" t="n">
        <f aca="false">-In_CIT*(MAX(0,DQ103)+DQ106)</f>
        <v>-211.02339010573</v>
      </c>
      <c r="DR109" s="47" t="n">
        <f aca="false">-In_CIT*(MAX(0,DR103)+DR106)</f>
        <v>-210.193218113274</v>
      </c>
      <c r="DS109" s="47" t="n">
        <f aca="false">-In_CIT*(MAX(0,DS103)+DS106)</f>
        <v>-206.409523416985</v>
      </c>
      <c r="DT109" s="47" t="n">
        <f aca="false">-In_CIT*(MAX(0,DT103)+DT106)</f>
        <v>-208.702962566063</v>
      </c>
      <c r="DU109" s="47" t="n">
        <f aca="false">-In_CIT*(MAX(0,DU103)+DU106)</f>
        <v>-210.996401715141</v>
      </c>
      <c r="DV109" s="47" t="n">
        <f aca="false">-In_CIT*(MAX(0,DV103)+DV106)</f>
        <v>-210.161383142302</v>
      </c>
      <c r="DW109" s="47" t="n">
        <f aca="false">-In_CIT*(MAX(0,DW103)+DW106)</f>
        <v>-208.637935167281</v>
      </c>
      <c r="DX109" s="47" t="n">
        <f aca="false">-In_CIT*(MAX(0,DX103)+DX106)</f>
        <v>-208.637935167281</v>
      </c>
      <c r="DY109" s="47" t="n">
        <f aca="false">-In_CIT*(MAX(0,DY103)+DY106)</f>
        <v>-210.930659729559</v>
      </c>
      <c r="DZ109" s="47" t="n">
        <f aca="false">-In_CIT*(MAX(0,DZ103)+DZ106)</f>
        <v>-210.090787648485</v>
      </c>
      <c r="EA109" s="47" t="n">
        <f aca="false">-In_CIT*(MAX(0,EA103)+EA106)</f>
        <v>-206.241812288705</v>
      </c>
      <c r="EB109" s="47" t="n">
        <f aca="false">-In_CIT*(MAX(0,EB103)+EB106)</f>
        <v>-208.533387980802</v>
      </c>
      <c r="EC109" s="47" t="n">
        <f aca="false">-In_CIT*(MAX(0,EC103)+EC106)</f>
        <v>-210.824963672898</v>
      </c>
      <c r="ED109" s="47" t="n">
        <f aca="false">-In_CIT*(MAX(0,ED103)+ED106)</f>
        <v>-209.980231677447</v>
      </c>
      <c r="EE109" s="47" t="n">
        <f aca="false">-In_CIT*(MAX(0,EE103)+EE106)</f>
        <v>-206.098123703639</v>
      </c>
      <c r="EF109" s="47" t="n">
        <f aca="false">-In_CIT*(MAX(0,EF103)+EF106)</f>
        <v>-208.388102855902</v>
      </c>
      <c r="EG109" s="47" t="n">
        <f aca="false">-In_CIT*(MAX(0,EG103)+EG106)</f>
        <v>-210.678082008165</v>
      </c>
      <c r="EH109" s="47" t="n">
        <f aca="false">-In_CIT*(MAX(0,EH103)+EH106)</f>
        <v>-209.828484230097</v>
      </c>
      <c r="EI109" s="47" t="n">
        <f aca="false">-In_CIT*(MAX(0,EI103)+EI106)</f>
        <v>-205.912908945537</v>
      </c>
      <c r="EJ109" s="47" t="n">
        <f aca="false">-In_CIT*(MAX(0,EJ103)+EJ106)</f>
        <v>-208.200830156043</v>
      </c>
      <c r="EK109" s="47" t="n">
        <f aca="false">-In_CIT*(MAX(0,EK103)+EK106)</f>
        <v>-210.488751366549</v>
      </c>
      <c r="EL109" s="47" t="n">
        <f aca="false">-In_CIT*(MAX(0,EL103)+EL106)</f>
        <v>-209.634282492105</v>
      </c>
      <c r="EM109" s="47" t="n">
        <f aca="false">-In_CIT*(MAX(0,EM103)+EM106)</f>
        <v>-207.970287977588</v>
      </c>
      <c r="EN109" s="47" t="n">
        <f aca="false">-In_CIT*(MAX(0,EN103)+EN106)</f>
        <v>-207.970287977588</v>
      </c>
      <c r="EO109" s="47" t="n">
        <f aca="false">-In_CIT*(MAX(0,EO103)+EO106)</f>
        <v>-210.255675757562</v>
      </c>
    </row>
    <row r="110" customFormat="false" ht="15" hidden="false" customHeight="false" outlineLevel="0" collapsed="false">
      <c r="C110" s="0" t="s">
        <v>454</v>
      </c>
      <c r="D110" s="11" t="s">
        <v>33</v>
      </c>
      <c r="I110" s="47" t="n">
        <f aca="false">SUM(J110:EO110)</f>
        <v>1.1817558487337E-008</v>
      </c>
      <c r="J110" s="47" t="n">
        <f aca="false">ABS(J109-J82)</f>
        <v>0</v>
      </c>
      <c r="K110" s="47" t="n">
        <f aca="false">ABS(K109-K82)</f>
        <v>0</v>
      </c>
      <c r="L110" s="47" t="n">
        <f aca="false">ABS(L109-L82)</f>
        <v>0</v>
      </c>
      <c r="M110" s="47" t="n">
        <f aca="false">ABS(M109-M82)</f>
        <v>0</v>
      </c>
      <c r="N110" s="47" t="n">
        <f aca="false">ABS(N109-N82)</f>
        <v>0</v>
      </c>
      <c r="O110" s="47" t="n">
        <f aca="false">ABS(O109-O82)</f>
        <v>0</v>
      </c>
      <c r="P110" s="47" t="n">
        <f aca="false">ABS(P109-P82)</f>
        <v>0</v>
      </c>
      <c r="Q110" s="47" t="n">
        <f aca="false">ABS(Q109-Q82)</f>
        <v>0</v>
      </c>
      <c r="R110" s="47" t="n">
        <f aca="false">ABS(R109-R82)</f>
        <v>0</v>
      </c>
      <c r="S110" s="47" t="n">
        <f aca="false">ABS(S109-S82)</f>
        <v>0</v>
      </c>
      <c r="T110" s="47" t="n">
        <f aca="false">ABS(T109-T82)</f>
        <v>0</v>
      </c>
      <c r="U110" s="47" t="n">
        <f aca="false">ABS(U109-U82)</f>
        <v>0</v>
      </c>
      <c r="V110" s="47" t="n">
        <f aca="false">ABS(V109-V82)</f>
        <v>0</v>
      </c>
      <c r="W110" s="47" t="n">
        <f aca="false">ABS(W109-W82)</f>
        <v>0</v>
      </c>
      <c r="X110" s="47" t="n">
        <f aca="false">ABS(X109-X82)</f>
        <v>0</v>
      </c>
      <c r="Y110" s="47" t="n">
        <f aca="false">ABS(Y109-Y82)</f>
        <v>0</v>
      </c>
      <c r="Z110" s="47" t="n">
        <f aca="false">ABS(Z109-Z82)</f>
        <v>0</v>
      </c>
      <c r="AA110" s="47" t="n">
        <f aca="false">ABS(AA109-AA82)</f>
        <v>2.75690581474919E-012</v>
      </c>
      <c r="AB110" s="47" t="n">
        <f aca="false">ABS(AB109-AB82)</f>
        <v>5.78026515540842E-012</v>
      </c>
      <c r="AC110" s="47" t="n">
        <f aca="false">ABS(AC109-AC82)</f>
        <v>9.14823772291129E-012</v>
      </c>
      <c r="AD110" s="47" t="n">
        <f aca="false">ABS(AD109-AD82)</f>
        <v>1.28466126625426E-011</v>
      </c>
      <c r="AE110" s="47" t="n">
        <f aca="false">ABS(AE109-AE82)</f>
        <v>1.6829204696478E-011</v>
      </c>
      <c r="AF110" s="47" t="n">
        <f aca="false">ABS(AF109-AF82)</f>
        <v>2.11102246794326E-011</v>
      </c>
      <c r="AG110" s="47" t="n">
        <f aca="false">ABS(AG109-AG82)</f>
        <v>2.567901447037E-011</v>
      </c>
      <c r="AH110" s="47" t="n">
        <f aca="false">ABS(AH109-AH82)</f>
        <v>1.55253587763582E-010</v>
      </c>
      <c r="AI110" s="47" t="n">
        <f aca="false">ABS(AI109-AI82)</f>
        <v>9.01039243217383E-011</v>
      </c>
      <c r="AJ110" s="47" t="n">
        <f aca="false">ABS(AJ109-AJ82)</f>
        <v>1.03838715403981E-010</v>
      </c>
      <c r="AK110" s="47" t="n">
        <f aca="false">ABS(AK109-AK82)</f>
        <v>1.18099308110686E-010</v>
      </c>
      <c r="AL110" s="47" t="n">
        <f aca="false">ABS(AL109-AL82)</f>
        <v>1.32722277612629E-010</v>
      </c>
      <c r="AM110" s="47" t="n">
        <f aca="false">ABS(AM109-AM82)</f>
        <v>1.47544199080585E-010</v>
      </c>
      <c r="AN110" s="47" t="n">
        <f aca="false">ABS(AN109-AN82)</f>
        <v>1.62394542257971E-010</v>
      </c>
      <c r="AO110" s="47" t="n">
        <f aca="false">ABS(AO109-AO82)</f>
        <v>1.7726620171743E-010</v>
      </c>
      <c r="AP110" s="47" t="n">
        <f aca="false">ABS(AP109-AP82)</f>
        <v>1.92102334040101E-010</v>
      </c>
      <c r="AQ110" s="47" t="n">
        <f aca="false">ABS(AQ109-AQ82)</f>
        <v>2.06682670977898E-010</v>
      </c>
      <c r="AR110" s="47" t="n">
        <f aca="false">ABS(AR109-AR82)</f>
        <v>2.20857998556312E-010</v>
      </c>
      <c r="AS110" s="47" t="n">
        <f aca="false">ABS(AS109-AS82)</f>
        <v>2.346354222027E-010</v>
      </c>
      <c r="AT110" s="47" t="n">
        <f aca="false">ABS(AT109-AT82)</f>
        <v>2.47950993070845E-010</v>
      </c>
      <c r="AU110" s="47" t="n">
        <f aca="false">ABS(AU109-AU82)</f>
        <v>2.60605759194732E-010</v>
      </c>
      <c r="AV110" s="47" t="n">
        <f aca="false">ABS(AV109-AV82)</f>
        <v>2.72507350018714E-010</v>
      </c>
      <c r="AW110" s="47" t="n">
        <f aca="false">ABS(AW109-AW82)</f>
        <v>2.83577605841856E-010</v>
      </c>
      <c r="AX110" s="47" t="n">
        <f aca="false">ABS(AX109-AX82)</f>
        <v>2.93823632091517E-010</v>
      </c>
      <c r="AY110" s="47" t="n">
        <f aca="false">ABS(AY109-AY82)</f>
        <v>3.03089109365828E-010</v>
      </c>
      <c r="AZ110" s="47" t="n">
        <f aca="false">ABS(AZ109-AZ82)</f>
        <v>3.11217718262924E-010</v>
      </c>
      <c r="BA110" s="47" t="n">
        <f aca="false">ABS(BA109-BA82)</f>
        <v>3.18266302201664E-010</v>
      </c>
      <c r="BB110" s="47" t="n">
        <f aca="false">ABS(BB109-BB82)</f>
        <v>3.24234861182049E-010</v>
      </c>
      <c r="BC110" s="47" t="n">
        <f aca="false">ABS(BC109-BC82)</f>
        <v>3.28981286656926E-010</v>
      </c>
      <c r="BD110" s="47" t="n">
        <f aca="false">ABS(BD109-BD82)</f>
        <v>3.32391891788575E-010</v>
      </c>
      <c r="BE110" s="47" t="n">
        <f aca="false">ABS(BE109-BE82)</f>
        <v>3.34566152560001E-010</v>
      </c>
      <c r="BF110" s="47" t="n">
        <f aca="false">ABS(BF109-BF82)</f>
        <v>3.35504068971204E-010</v>
      </c>
      <c r="BG110" s="47" t="n">
        <f aca="false">ABS(BG109-BG82)</f>
        <v>3.35134586748609E-010</v>
      </c>
      <c r="BH110" s="47" t="n">
        <f aca="false">ABS(BH109-BH82)</f>
        <v>3.33358229909209E-010</v>
      </c>
      <c r="BI110" s="47" t="n">
        <f aca="false">ABS(BI109-BI82)</f>
        <v>3.30373950419016E-010</v>
      </c>
      <c r="BJ110" s="47" t="n">
        <f aca="false">ABS(BJ109-BJ82)</f>
        <v>3.26110694004456E-010</v>
      </c>
      <c r="BK110" s="47" t="n">
        <f aca="false">ABS(BK109-BK82)</f>
        <v>3.20639514939103E-010</v>
      </c>
      <c r="BL110" s="47" t="n">
        <f aca="false">ABS(BL109-BL82)</f>
        <v>3.13917780658812E-010</v>
      </c>
      <c r="BM110" s="47" t="n">
        <f aca="false">ABS(BM109-BM82)</f>
        <v>3.0604496714659E-010</v>
      </c>
      <c r="BN110" s="47" t="n">
        <f aca="false">ABS(BN109-BN82)</f>
        <v>2.97148972094874E-010</v>
      </c>
      <c r="BO110" s="47" t="n">
        <f aca="false">ABS(BO109-BO82)</f>
        <v>2.87187162939517E-010</v>
      </c>
      <c r="BP110" s="47" t="n">
        <f aca="false">ABS(BP109-BP82)</f>
        <v>2.76202172244666E-010</v>
      </c>
      <c r="BQ110" s="47" t="n">
        <f aca="false">ABS(BQ109-BQ82)</f>
        <v>2.64392951976333E-010</v>
      </c>
      <c r="BR110" s="47" t="n">
        <f aca="false">ABS(BR109-BR82)</f>
        <v>2.5184476726281E-010</v>
      </c>
      <c r="BS110" s="47" t="n">
        <f aca="false">ABS(BS109-BS82)</f>
        <v>2.38614461522957E-010</v>
      </c>
      <c r="BT110" s="47" t="n">
        <f aca="false">ABS(BT109-BT82)</f>
        <v>2.24716245611489E-010</v>
      </c>
      <c r="BU110" s="47" t="n">
        <f aca="false">ABS(BU109-BU82)</f>
        <v>2.1037749320385E-010</v>
      </c>
      <c r="BV110" s="47" t="n">
        <f aca="false">ABS(BV109-BV82)</f>
        <v>1.95726101992477E-010</v>
      </c>
      <c r="BW110" s="47" t="n">
        <f aca="false">ABS(BW109-BW82)</f>
        <v>1.80847337105661E-010</v>
      </c>
      <c r="BX110" s="47" t="n">
        <f aca="false">ABS(BX109-BX82)</f>
        <v>1.65726987688686E-010</v>
      </c>
      <c r="BY110" s="47" t="n">
        <f aca="false">ABS(BY109-BY82)</f>
        <v>1.50635059981141E-010</v>
      </c>
      <c r="BZ110" s="47" t="n">
        <f aca="false">ABS(BZ109-BZ82)</f>
        <v>1.35685240820749E-010</v>
      </c>
      <c r="CA110" s="47" t="n">
        <f aca="false">ABS(CA109-CA82)</f>
        <v>1.20934373626369E-010</v>
      </c>
      <c r="CB110" s="47" t="n">
        <f aca="false">ABS(CB109-CB82)</f>
        <v>1.06467723526293E-010</v>
      </c>
      <c r="CC110" s="47" t="n">
        <f aca="false">ABS(CC109-CC82)</f>
        <v>9.24700316318194E-011</v>
      </c>
      <c r="CD110" s="47" t="n">
        <f aca="false">ABS(CD109-CD82)</f>
        <v>7.90265630712383E-011</v>
      </c>
      <c r="CE110" s="47" t="n">
        <f aca="false">ABS(CE109-CE82)</f>
        <v>6.62510046822717E-011</v>
      </c>
      <c r="CF110" s="47" t="n">
        <f aca="false">ABS(CF109-CF82)</f>
        <v>5.40723021913436E-011</v>
      </c>
      <c r="CG110" s="47" t="n">
        <f aca="false">ABS(CG109-CG82)</f>
        <v>4.27888835474732E-011</v>
      </c>
      <c r="CH110" s="47" t="n">
        <f aca="false">ABS(CH109-CH82)</f>
        <v>3.2500224733667E-011</v>
      </c>
      <c r="CI110" s="47" t="n">
        <f aca="false">ABS(CI109-CI82)</f>
        <v>2.31636931857793E-011</v>
      </c>
      <c r="CJ110" s="47" t="n">
        <f aca="false">ABS(CJ109-CJ82)</f>
        <v>1.48361323226709E-011</v>
      </c>
      <c r="CK110" s="47" t="n">
        <f aca="false">ABS(CK109-CK82)</f>
        <v>7.64543983677868E-012</v>
      </c>
      <c r="CL110" s="47" t="n">
        <f aca="false">ABS(CL109-CL82)</f>
        <v>1.73372427525464E-012</v>
      </c>
      <c r="CM110" s="47" t="n">
        <f aca="false">ABS(CM109-CM82)</f>
        <v>2.98427949019242E-012</v>
      </c>
      <c r="CN110" s="47" t="n">
        <f aca="false">ABS(CN109-CN82)</f>
        <v>6.50857145956252E-012</v>
      </c>
      <c r="CO110" s="47" t="n">
        <f aca="false">ABS(CO109-CO82)</f>
        <v>8.73967564984923E-012</v>
      </c>
      <c r="CP110" s="47" t="n">
        <f aca="false">ABS(CP109-CP82)</f>
        <v>9.57811607804615E-012</v>
      </c>
      <c r="CQ110" s="47" t="n">
        <f aca="false">ABS(CQ109-CQ82)</f>
        <v>9.10915787244448E-012</v>
      </c>
      <c r="CR110" s="47" t="n">
        <f aca="false">ABS(CR109-CR82)</f>
        <v>7.36122274247464E-012</v>
      </c>
      <c r="CS110" s="47" t="n">
        <f aca="false">ABS(CS109-CS82)</f>
        <v>4.33431068813661E-012</v>
      </c>
      <c r="CT110" s="47" t="n">
        <f aca="false">ABS(CT109-CT82)</f>
        <v>0</v>
      </c>
      <c r="CU110" s="47" t="n">
        <f aca="false">ABS(CU109-CU82)</f>
        <v>0</v>
      </c>
      <c r="CV110" s="47" t="n">
        <f aca="false">ABS(CV109-CV82)</f>
        <v>0</v>
      </c>
      <c r="CW110" s="47" t="n">
        <f aca="false">ABS(CW109-CW82)</f>
        <v>0</v>
      </c>
      <c r="CX110" s="47" t="n">
        <f aca="false">ABS(CX109-CX82)</f>
        <v>0</v>
      </c>
      <c r="CY110" s="47" t="n">
        <f aca="false">ABS(CY109-CY82)</f>
        <v>0</v>
      </c>
      <c r="CZ110" s="47" t="n">
        <f aca="false">ABS(CZ109-CZ82)</f>
        <v>0</v>
      </c>
      <c r="DA110" s="47" t="n">
        <f aca="false">ABS(DA109-DA82)</f>
        <v>0</v>
      </c>
      <c r="DB110" s="47" t="n">
        <f aca="false">ABS(DB109-DB82)</f>
        <v>0</v>
      </c>
      <c r="DC110" s="47" t="n">
        <f aca="false">ABS(DC109-DC82)</f>
        <v>0</v>
      </c>
      <c r="DD110" s="47" t="n">
        <f aca="false">ABS(DD109-DD82)</f>
        <v>0</v>
      </c>
      <c r="DE110" s="47" t="n">
        <f aca="false">ABS(DE109-DE82)</f>
        <v>0</v>
      </c>
      <c r="DF110" s="47" t="n">
        <f aca="false">ABS(DF109-DF82)</f>
        <v>0</v>
      </c>
      <c r="DG110" s="47" t="n">
        <f aca="false">ABS(DG109-DG82)</f>
        <v>0</v>
      </c>
      <c r="DH110" s="47" t="n">
        <f aca="false">ABS(DH109-DH82)</f>
        <v>0</v>
      </c>
      <c r="DI110" s="47" t="n">
        <f aca="false">ABS(DI109-DI82)</f>
        <v>0</v>
      </c>
      <c r="DJ110" s="47" t="n">
        <f aca="false">ABS(DJ109-DJ82)</f>
        <v>0</v>
      </c>
      <c r="DK110" s="47" t="n">
        <f aca="false">ABS(DK109-DK82)</f>
        <v>0</v>
      </c>
      <c r="DL110" s="47" t="n">
        <f aca="false">ABS(DL109-DL82)</f>
        <v>0</v>
      </c>
      <c r="DM110" s="47" t="n">
        <f aca="false">ABS(DM109-DM82)</f>
        <v>0</v>
      </c>
      <c r="DN110" s="47" t="n">
        <f aca="false">ABS(DN109-DN82)</f>
        <v>0</v>
      </c>
      <c r="DO110" s="47" t="n">
        <f aca="false">ABS(DO109-DO82)</f>
        <v>0</v>
      </c>
      <c r="DP110" s="47" t="n">
        <f aca="false">ABS(DP109-DP82)</f>
        <v>0</v>
      </c>
      <c r="DQ110" s="47" t="n">
        <f aca="false">ABS(DQ109-DQ82)</f>
        <v>0</v>
      </c>
      <c r="DR110" s="47" t="n">
        <f aca="false">ABS(DR109-DR82)</f>
        <v>0</v>
      </c>
      <c r="DS110" s="47" t="n">
        <f aca="false">ABS(DS109-DS82)</f>
        <v>0</v>
      </c>
      <c r="DT110" s="47" t="n">
        <f aca="false">ABS(DT109-DT82)</f>
        <v>0</v>
      </c>
      <c r="DU110" s="47" t="n">
        <f aca="false">ABS(DU109-DU82)</f>
        <v>0</v>
      </c>
      <c r="DV110" s="47" t="n">
        <f aca="false">ABS(DV109-DV82)</f>
        <v>0</v>
      </c>
      <c r="DW110" s="47" t="n">
        <f aca="false">ABS(DW109-DW82)</f>
        <v>0</v>
      </c>
      <c r="DX110" s="47" t="n">
        <f aca="false">ABS(DX109-DX82)</f>
        <v>0</v>
      </c>
      <c r="DY110" s="47" t="n">
        <f aca="false">ABS(DY109-DY82)</f>
        <v>0</v>
      </c>
      <c r="DZ110" s="47" t="n">
        <f aca="false">ABS(DZ109-DZ82)</f>
        <v>0</v>
      </c>
      <c r="EA110" s="47" t="n">
        <f aca="false">ABS(EA109-EA82)</f>
        <v>0</v>
      </c>
      <c r="EB110" s="47" t="n">
        <f aca="false">ABS(EB109-EB82)</f>
        <v>0</v>
      </c>
      <c r="EC110" s="47" t="n">
        <f aca="false">ABS(EC109-EC82)</f>
        <v>0</v>
      </c>
      <c r="ED110" s="47" t="n">
        <f aca="false">ABS(ED109-ED82)</f>
        <v>0</v>
      </c>
      <c r="EE110" s="47" t="n">
        <f aca="false">ABS(EE109-EE82)</f>
        <v>0</v>
      </c>
      <c r="EF110" s="47" t="n">
        <f aca="false">ABS(EF109-EF82)</f>
        <v>0</v>
      </c>
      <c r="EG110" s="47" t="n">
        <f aca="false">ABS(EG109-EG82)</f>
        <v>0</v>
      </c>
      <c r="EH110" s="47" t="n">
        <f aca="false">ABS(EH109-EH82)</f>
        <v>0</v>
      </c>
      <c r="EI110" s="47" t="n">
        <f aca="false">ABS(EI109-EI82)</f>
        <v>0</v>
      </c>
      <c r="EJ110" s="47" t="n">
        <f aca="false">ABS(EJ109-EJ82)</f>
        <v>0</v>
      </c>
      <c r="EK110" s="47" t="n">
        <f aca="false">ABS(EK109-EK82)</f>
        <v>0</v>
      </c>
      <c r="EL110" s="47" t="n">
        <f aca="false">ABS(EL109-EL82)</f>
        <v>0</v>
      </c>
      <c r="EM110" s="47" t="n">
        <f aca="false">ABS(EM109-EM82)</f>
        <v>0</v>
      </c>
      <c r="EN110" s="47" t="n">
        <f aca="false">ABS(EN109-EN82)</f>
        <v>0</v>
      </c>
      <c r="EO110" s="47" t="n">
        <f aca="false">ABS(EO109-EO82)</f>
        <v>0</v>
      </c>
    </row>
    <row r="112" customFormat="false" ht="15" hidden="false" customHeight="false" outlineLevel="0" collapsed="false">
      <c r="A112" s="9" t="s">
        <v>13</v>
      </c>
      <c r="B112" s="9"/>
      <c r="C112" s="9" t="s">
        <v>455</v>
      </c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  <c r="AL112" s="9"/>
      <c r="AM112" s="9"/>
      <c r="AN112" s="9"/>
      <c r="AO112" s="9"/>
      <c r="AP112" s="9"/>
      <c r="AQ112" s="9"/>
      <c r="AR112" s="9"/>
      <c r="AS112" s="9"/>
      <c r="AT112" s="9"/>
      <c r="AU112" s="9"/>
      <c r="AV112" s="9"/>
      <c r="AW112" s="9"/>
      <c r="AX112" s="9"/>
      <c r="AY112" s="9"/>
      <c r="AZ112" s="9"/>
      <c r="BA112" s="9"/>
      <c r="BB112" s="9"/>
      <c r="BC112" s="9"/>
      <c r="BD112" s="9"/>
      <c r="BE112" s="9"/>
      <c r="BF112" s="9"/>
      <c r="BG112" s="9"/>
      <c r="BH112" s="9"/>
      <c r="BI112" s="9"/>
      <c r="BJ112" s="9"/>
      <c r="BK112" s="9"/>
      <c r="BL112" s="9"/>
      <c r="BM112" s="9"/>
      <c r="BN112" s="9"/>
      <c r="BO112" s="9"/>
      <c r="BP112" s="9"/>
      <c r="BQ112" s="9"/>
      <c r="BR112" s="9"/>
      <c r="BS112" s="9"/>
      <c r="BT112" s="9"/>
      <c r="BU112" s="9"/>
      <c r="BV112" s="9"/>
      <c r="BW112" s="9"/>
      <c r="BX112" s="9"/>
      <c r="BY112" s="9"/>
      <c r="BZ112" s="9"/>
      <c r="CA112" s="9"/>
      <c r="CB112" s="9"/>
      <c r="CC112" s="9"/>
      <c r="CD112" s="9"/>
      <c r="CE112" s="9"/>
      <c r="CF112" s="9"/>
      <c r="CG112" s="9"/>
      <c r="CH112" s="9"/>
      <c r="CI112" s="9"/>
      <c r="CJ112" s="9"/>
      <c r="CK112" s="9"/>
      <c r="CL112" s="9"/>
      <c r="CM112" s="9"/>
      <c r="CN112" s="9"/>
      <c r="CO112" s="9"/>
      <c r="CP112" s="9"/>
      <c r="CQ112" s="9"/>
      <c r="CR112" s="9"/>
      <c r="CS112" s="9"/>
      <c r="CT112" s="9"/>
      <c r="CU112" s="9"/>
      <c r="CV112" s="9"/>
      <c r="CW112" s="9"/>
      <c r="CX112" s="9"/>
      <c r="CY112" s="9"/>
      <c r="CZ112" s="9"/>
      <c r="DA112" s="9"/>
      <c r="DB112" s="9"/>
      <c r="DC112" s="9"/>
      <c r="DD112" s="9"/>
      <c r="DE112" s="9"/>
      <c r="DF112" s="9"/>
      <c r="DG112" s="9"/>
      <c r="DH112" s="9"/>
      <c r="DI112" s="9"/>
      <c r="DJ112" s="9"/>
      <c r="DK112" s="9"/>
      <c r="DL112" s="9"/>
      <c r="DM112" s="9"/>
      <c r="DN112" s="9"/>
      <c r="DO112" s="9"/>
      <c r="DP112" s="9"/>
      <c r="DQ112" s="9"/>
      <c r="DR112" s="9"/>
      <c r="DS112" s="9"/>
      <c r="DT112" s="9"/>
      <c r="DU112" s="9"/>
      <c r="DV112" s="9"/>
      <c r="DW112" s="9"/>
      <c r="DX112" s="9"/>
      <c r="DY112" s="9"/>
      <c r="DZ112" s="9"/>
      <c r="EA112" s="9"/>
      <c r="EB112" s="9"/>
      <c r="EC112" s="9"/>
      <c r="ED112" s="9"/>
      <c r="EE112" s="9"/>
      <c r="EF112" s="9"/>
      <c r="EG112" s="9"/>
      <c r="EH112" s="9"/>
      <c r="EI112" s="9"/>
      <c r="EJ112" s="9"/>
      <c r="EK112" s="9"/>
      <c r="EL112" s="9"/>
      <c r="EM112" s="9"/>
      <c r="EN112" s="9"/>
      <c r="EO112" s="9"/>
    </row>
    <row r="113" customFormat="false" ht="15" hidden="false" customHeight="false" outlineLevel="0" collapsed="false">
      <c r="C113" s="0" t="s">
        <v>93</v>
      </c>
      <c r="D113" s="11" t="s">
        <v>33</v>
      </c>
      <c r="E113" s="47" t="n">
        <f aca="false">-($I44+$I45+$I46)</f>
        <v>5150</v>
      </c>
    </row>
    <row r="114" customFormat="false" ht="15" hidden="false" customHeight="false" outlineLevel="0" collapsed="false">
      <c r="C114" s="0" t="s">
        <v>94</v>
      </c>
      <c r="D114" s="11" t="s">
        <v>33</v>
      </c>
      <c r="E114" s="47" t="n">
        <f aca="false">-($I48+$I51+$E55)</f>
        <v>1114.92155376243</v>
      </c>
    </row>
    <row r="115" customFormat="false" ht="15" hidden="false" customHeight="false" outlineLevel="0" collapsed="false">
      <c r="C115" s="0" t="s">
        <v>95</v>
      </c>
      <c r="D115" s="11" t="s">
        <v>33</v>
      </c>
      <c r="E115" s="47" t="n">
        <f aca="false">-$I64</f>
        <v>63116.25</v>
      </c>
    </row>
    <row r="116" customFormat="false" ht="15" hidden="false" customHeight="false" outlineLevel="0" collapsed="false">
      <c r="C116" s="0" t="s">
        <v>96</v>
      </c>
      <c r="D116" s="11" t="s">
        <v>33</v>
      </c>
      <c r="E116" s="47" t="n">
        <f aca="false">-$I54</f>
        <v>8154.82315068493</v>
      </c>
    </row>
    <row r="117" customFormat="false" ht="15" hidden="false" customHeight="false" outlineLevel="0" collapsed="false">
      <c r="C117" s="0" t="s">
        <v>97</v>
      </c>
      <c r="D117" s="11" t="s">
        <v>33</v>
      </c>
      <c r="E117" s="47" t="n">
        <f aca="false">-$I65</f>
        <v>2500</v>
      </c>
    </row>
    <row r="118" customFormat="false" ht="15" hidden="false" customHeight="false" outlineLevel="0" collapsed="false">
      <c r="C118" s="0" t="s">
        <v>98</v>
      </c>
      <c r="D118" s="11" t="s">
        <v>33</v>
      </c>
      <c r="E118" s="47" t="n">
        <f aca="false">$I93-$I96-$I97</f>
        <v>3873.55320775171</v>
      </c>
    </row>
    <row r="119" customFormat="false" ht="15" hidden="false" customHeight="false" outlineLevel="0" collapsed="false">
      <c r="C119" s="0" t="s">
        <v>99</v>
      </c>
      <c r="D119" s="11" t="s">
        <v>33</v>
      </c>
      <c r="E119" s="47" t="n">
        <f aca="false">-SUMIF($J$4:$EO$4,"&lt;="&amp;In_COD,$J79:$EO79)</f>
        <v>340.170197534084</v>
      </c>
    </row>
    <row r="120" customFormat="false" ht="15" hidden="false" customHeight="false" outlineLevel="0" collapsed="false">
      <c r="C120" s="25" t="s">
        <v>100</v>
      </c>
      <c r="D120" s="11" t="s">
        <v>33</v>
      </c>
      <c r="E120" s="56" t="n">
        <f aca="false">SUM($E113:$E119)</f>
        <v>84249.7181097332</v>
      </c>
    </row>
    <row r="121" customFormat="false" ht="15" hidden="false" customHeight="false" outlineLevel="0" collapsed="false">
      <c r="C121" s="0" t="s">
        <v>456</v>
      </c>
      <c r="D121" s="11" t="s">
        <v>33</v>
      </c>
      <c r="E121" s="47" t="n">
        <f aca="false">$E120-$E95</f>
        <v>30186.9696362648</v>
      </c>
      <c r="F121" s="47" t="n">
        <f aca="false">$E121+$E98</f>
        <v>31322.4417390827</v>
      </c>
    </row>
    <row r="122" customFormat="false" ht="15" hidden="false" customHeight="false" outlineLevel="0" collapsed="false">
      <c r="C122" s="0" t="s">
        <v>104</v>
      </c>
      <c r="D122" s="11" t="s">
        <v>27</v>
      </c>
      <c r="E122" s="48" t="n">
        <f aca="false">$E95/$E120</f>
        <v>0.641696490937252</v>
      </c>
    </row>
    <row r="124" customFormat="false" ht="15" hidden="false" customHeight="false" outlineLevel="0" collapsed="false">
      <c r="A124" s="9" t="s">
        <v>13</v>
      </c>
      <c r="B124" s="9"/>
      <c r="C124" s="9" t="s">
        <v>120</v>
      </c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9"/>
      <c r="AL124" s="9"/>
      <c r="AM124" s="9"/>
      <c r="AN124" s="9"/>
      <c r="AO124" s="9"/>
      <c r="AP124" s="9"/>
      <c r="AQ124" s="9"/>
      <c r="AR124" s="9"/>
      <c r="AS124" s="9"/>
      <c r="AT124" s="9"/>
      <c r="AU124" s="9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9"/>
      <c r="BH124" s="9"/>
      <c r="BI124" s="9"/>
      <c r="BJ124" s="9"/>
      <c r="BK124" s="9"/>
      <c r="BL124" s="9"/>
      <c r="BM124" s="9"/>
      <c r="BN124" s="9"/>
      <c r="BO124" s="9"/>
      <c r="BP124" s="9"/>
      <c r="BQ124" s="9"/>
      <c r="BR124" s="9"/>
      <c r="BS124" s="9"/>
      <c r="BT124" s="9"/>
      <c r="BU124" s="9"/>
      <c r="BV124" s="9"/>
      <c r="BW124" s="9"/>
      <c r="BX124" s="9"/>
      <c r="BY124" s="9"/>
      <c r="BZ124" s="9"/>
      <c r="CA124" s="9"/>
      <c r="CB124" s="9"/>
      <c r="CC124" s="9"/>
      <c r="CD124" s="9"/>
      <c r="CE124" s="9"/>
      <c r="CF124" s="9"/>
      <c r="CG124" s="9"/>
      <c r="CH124" s="9"/>
      <c r="CI124" s="9"/>
      <c r="CJ124" s="9"/>
      <c r="CK124" s="9"/>
      <c r="CL124" s="9"/>
      <c r="CM124" s="9"/>
      <c r="CN124" s="9"/>
      <c r="CO124" s="9"/>
      <c r="CP124" s="9"/>
      <c r="CQ124" s="9"/>
      <c r="CR124" s="9"/>
      <c r="CS124" s="9"/>
      <c r="CT124" s="9"/>
      <c r="CU124" s="9"/>
      <c r="CV124" s="9"/>
      <c r="CW124" s="9"/>
      <c r="CX124" s="9"/>
      <c r="CY124" s="9"/>
      <c r="CZ124" s="9"/>
      <c r="DA124" s="9"/>
      <c r="DB124" s="9"/>
      <c r="DC124" s="9"/>
      <c r="DD124" s="9"/>
      <c r="DE124" s="9"/>
      <c r="DF124" s="9"/>
      <c r="DG124" s="9"/>
      <c r="DH124" s="9"/>
      <c r="DI124" s="9"/>
      <c r="DJ124" s="9"/>
      <c r="DK124" s="9"/>
      <c r="DL124" s="9"/>
      <c r="DM124" s="9"/>
      <c r="DN124" s="9"/>
      <c r="DO124" s="9"/>
      <c r="DP124" s="9"/>
      <c r="DQ124" s="9"/>
      <c r="DR124" s="9"/>
      <c r="DS124" s="9"/>
      <c r="DT124" s="9"/>
      <c r="DU124" s="9"/>
      <c r="DV124" s="9"/>
      <c r="DW124" s="9"/>
      <c r="DX124" s="9"/>
      <c r="DY124" s="9"/>
      <c r="DZ124" s="9"/>
      <c r="EA124" s="9"/>
      <c r="EB124" s="9"/>
      <c r="EC124" s="9"/>
      <c r="ED124" s="9"/>
      <c r="EE124" s="9"/>
      <c r="EF124" s="9"/>
      <c r="EG124" s="9"/>
      <c r="EH124" s="9"/>
      <c r="EI124" s="9"/>
      <c r="EJ124" s="9"/>
      <c r="EK124" s="9"/>
      <c r="EL124" s="9"/>
      <c r="EM124" s="9"/>
      <c r="EN124" s="9"/>
      <c r="EO124" s="9"/>
    </row>
    <row r="125" customFormat="false" ht="15" hidden="false" customHeight="false" outlineLevel="0" collapsed="false">
      <c r="C125" s="0" t="s">
        <v>457</v>
      </c>
      <c r="D125" s="11" t="s">
        <v>33</v>
      </c>
      <c r="I125" s="47" t="n">
        <f aca="false">SUM(J125:EO125)</f>
        <v>-30186.9696362648</v>
      </c>
      <c r="J125" s="47" t="n">
        <f aca="false">(J59+J66+J92+J96+J97+J79)*(J$4&lt;=In_COD)</f>
        <v>-4662.80993807469</v>
      </c>
      <c r="K125" s="47" t="n">
        <f aca="false">(K59+K66+K92+K96+K97+K79)*(K$4&lt;=In_COD)</f>
        <v>-706.535577057768</v>
      </c>
      <c r="L125" s="47" t="n">
        <f aca="false">(L59+L66+L92+L96+L97+L79)*(L$4&lt;=In_COD)</f>
        <v>-104.360496659404</v>
      </c>
      <c r="M125" s="47" t="n">
        <f aca="false">(M59+M66+M92+M96+M97+M79)*(M$4&lt;=In_COD)</f>
        <v>-105.507315304013</v>
      </c>
      <c r="N125" s="47" t="n">
        <f aca="false">(N59+N66+N92+N96+N97+N79)*(N$4&lt;=In_COD)</f>
        <v>-105.507315304013</v>
      </c>
      <c r="O125" s="47" t="n">
        <f aca="false">(O59+O66+O92+O96+O97+O79)*(O$4&lt;=In_COD)</f>
        <v>-104.360496659404</v>
      </c>
      <c r="P125" s="47" t="n">
        <f aca="false">(P59+P66+P92+P96+P97+P79)*(P$4&lt;=In_COD)</f>
        <v>-104.360496659404</v>
      </c>
      <c r="Q125" s="47" t="n">
        <f aca="false">(Q59+Q66+Q92+Q96+Q97+Q79)*(Q$4&lt;=In_COD)</f>
        <v>-105.507315304013</v>
      </c>
      <c r="R125" s="47" t="n">
        <f aca="false">(R59+R66+R92+R96+R97+R79)*(R$4&lt;=In_COD)</f>
        <v>-3524.63966920373</v>
      </c>
      <c r="S125" s="47" t="n">
        <f aca="false">(S59+S66+S92+S96+S97+S79)*(S$4&lt;=In_COD)</f>
        <v>-4957.59325787887</v>
      </c>
      <c r="T125" s="47" t="n">
        <f aca="false">(T59+T66+T92+T96+T97+T79)*(T$4&lt;=In_COD)</f>
        <v>-2514.01706566111</v>
      </c>
      <c r="U125" s="47" t="n">
        <f aca="false">(U59+U66+U92+U96+U97+U79)*(U$4&lt;=In_COD)</f>
        <v>-2529.14980718064</v>
      </c>
      <c r="V125" s="47" t="n">
        <f aca="false">(V59+V66+V92+V96+V97+V79)*(V$4&lt;=In_COD)</f>
        <v>-2516.51869281772</v>
      </c>
      <c r="W125" s="47" t="n">
        <f aca="false">(W59+W66+W92+W96+W97+W79)*(W$4&lt;=In_COD)</f>
        <v>-2450.49717096547</v>
      </c>
      <c r="X125" s="47" t="n">
        <f aca="false">(X59+X66+X92+X96+X97+X79)*(X$4&lt;=In_COD)</f>
        <v>-2465.50270244277</v>
      </c>
      <c r="Y125" s="47" t="n">
        <f aca="false">(Y59+Y66+Y92+Y96+Y97+Y79)*(Y$4&lt;=In_COD)</f>
        <v>-3230.10231909176</v>
      </c>
      <c r="Z125" s="47" t="n">
        <f aca="false">(Z59+Z66+Z92+Z96+Z97+Z79)*(Z$4&lt;=In_COD)</f>
        <v>0</v>
      </c>
      <c r="AA125" s="47" t="n">
        <f aca="false">(AA59+AA66+AA92+AA96+AA97+AA79)*(AA$4&lt;=In_COD)</f>
        <v>0</v>
      </c>
      <c r="AB125" s="47" t="n">
        <f aca="false">(AB59+AB66+AB92+AB96+AB97+AB79)*(AB$4&lt;=In_COD)</f>
        <v>0</v>
      </c>
      <c r="AC125" s="47" t="n">
        <f aca="false">(AC59+AC66+AC92+AC96+AC97+AC79)*(AC$4&lt;=In_COD)</f>
        <v>0</v>
      </c>
      <c r="AD125" s="47" t="n">
        <f aca="false">(AD59+AD66+AD92+AD96+AD97+AD79)*(AD$4&lt;=In_COD)</f>
        <v>0</v>
      </c>
      <c r="AE125" s="47" t="n">
        <f aca="false">(AE59+AE66+AE92+AE96+AE97+AE79)*(AE$4&lt;=In_COD)</f>
        <v>0</v>
      </c>
      <c r="AF125" s="47" t="n">
        <f aca="false">(AF59+AF66+AF92+AF96+AF97+AF79)*(AF$4&lt;=In_COD)</f>
        <v>0</v>
      </c>
      <c r="AG125" s="47" t="n">
        <f aca="false">(AG59+AG66+AG92+AG96+AG97+AG79)*(AG$4&lt;=In_COD)</f>
        <v>0</v>
      </c>
      <c r="AH125" s="47" t="n">
        <f aca="false">(AH59+AH66+AH92+AH96+AH97+AH79)*(AH$4&lt;=In_COD)</f>
        <v>0</v>
      </c>
      <c r="AI125" s="47" t="n">
        <f aca="false">(AI59+AI66+AI92+AI96+AI97+AI79)*(AI$4&lt;=In_COD)</f>
        <v>0</v>
      </c>
      <c r="AJ125" s="47" t="n">
        <f aca="false">(AJ59+AJ66+AJ92+AJ96+AJ97+AJ79)*(AJ$4&lt;=In_COD)</f>
        <v>0</v>
      </c>
      <c r="AK125" s="47" t="n">
        <f aca="false">(AK59+AK66+AK92+AK96+AK97+AK79)*(AK$4&lt;=In_COD)</f>
        <v>0</v>
      </c>
      <c r="AL125" s="47" t="n">
        <f aca="false">(AL59+AL66+AL92+AL96+AL97+AL79)*(AL$4&lt;=In_COD)</f>
        <v>0</v>
      </c>
      <c r="AM125" s="47" t="n">
        <f aca="false">(AM59+AM66+AM92+AM96+AM97+AM79)*(AM$4&lt;=In_COD)</f>
        <v>0</v>
      </c>
      <c r="AN125" s="47" t="n">
        <f aca="false">(AN59+AN66+AN92+AN96+AN97+AN79)*(AN$4&lt;=In_COD)</f>
        <v>0</v>
      </c>
      <c r="AO125" s="47" t="n">
        <f aca="false">(AO59+AO66+AO92+AO96+AO97+AO79)*(AO$4&lt;=In_COD)</f>
        <v>0</v>
      </c>
      <c r="AP125" s="47" t="n">
        <f aca="false">(AP59+AP66+AP92+AP96+AP97+AP79)*(AP$4&lt;=In_COD)</f>
        <v>0</v>
      </c>
      <c r="AQ125" s="47" t="n">
        <f aca="false">(AQ59+AQ66+AQ92+AQ96+AQ97+AQ79)*(AQ$4&lt;=In_COD)</f>
        <v>0</v>
      </c>
      <c r="AR125" s="47" t="n">
        <f aca="false">(AR59+AR66+AR92+AR96+AR97+AR79)*(AR$4&lt;=In_COD)</f>
        <v>0</v>
      </c>
      <c r="AS125" s="47" t="n">
        <f aca="false">(AS59+AS66+AS92+AS96+AS97+AS79)*(AS$4&lt;=In_COD)</f>
        <v>0</v>
      </c>
      <c r="AT125" s="47" t="n">
        <f aca="false">(AT59+AT66+AT92+AT96+AT97+AT79)*(AT$4&lt;=In_COD)</f>
        <v>0</v>
      </c>
      <c r="AU125" s="47" t="n">
        <f aca="false">(AU59+AU66+AU92+AU96+AU97+AU79)*(AU$4&lt;=In_COD)</f>
        <v>0</v>
      </c>
      <c r="AV125" s="47" t="n">
        <f aca="false">(AV59+AV66+AV92+AV96+AV97+AV79)*(AV$4&lt;=In_COD)</f>
        <v>0</v>
      </c>
      <c r="AW125" s="47" t="n">
        <f aca="false">(AW59+AW66+AW92+AW96+AW97+AW79)*(AW$4&lt;=In_COD)</f>
        <v>0</v>
      </c>
      <c r="AX125" s="47" t="n">
        <f aca="false">(AX59+AX66+AX92+AX96+AX97+AX79)*(AX$4&lt;=In_COD)</f>
        <v>0</v>
      </c>
      <c r="AY125" s="47" t="n">
        <f aca="false">(AY59+AY66+AY92+AY96+AY97+AY79)*(AY$4&lt;=In_COD)</f>
        <v>0</v>
      </c>
      <c r="AZ125" s="47" t="n">
        <f aca="false">(AZ59+AZ66+AZ92+AZ96+AZ97+AZ79)*(AZ$4&lt;=In_COD)</f>
        <v>0</v>
      </c>
      <c r="BA125" s="47" t="n">
        <f aca="false">(BA59+BA66+BA92+BA96+BA97+BA79)*(BA$4&lt;=In_COD)</f>
        <v>0</v>
      </c>
      <c r="BB125" s="47" t="n">
        <f aca="false">(BB59+BB66+BB92+BB96+BB97+BB79)*(BB$4&lt;=In_COD)</f>
        <v>0</v>
      </c>
      <c r="BC125" s="47" t="n">
        <f aca="false">(BC59+BC66+BC92+BC96+BC97+BC79)*(BC$4&lt;=In_COD)</f>
        <v>0</v>
      </c>
      <c r="BD125" s="47" t="n">
        <f aca="false">(BD59+BD66+BD92+BD96+BD97+BD79)*(BD$4&lt;=In_COD)</f>
        <v>0</v>
      </c>
      <c r="BE125" s="47" t="n">
        <f aca="false">(BE59+BE66+BE92+BE96+BE97+BE79)*(BE$4&lt;=In_COD)</f>
        <v>0</v>
      </c>
      <c r="BF125" s="47" t="n">
        <f aca="false">(BF59+BF66+BF92+BF96+BF97+BF79)*(BF$4&lt;=In_COD)</f>
        <v>0</v>
      </c>
      <c r="BG125" s="47" t="n">
        <f aca="false">(BG59+BG66+BG92+BG96+BG97+BG79)*(BG$4&lt;=In_COD)</f>
        <v>0</v>
      </c>
      <c r="BH125" s="47" t="n">
        <f aca="false">(BH59+BH66+BH92+BH96+BH97+BH79)*(BH$4&lt;=In_COD)</f>
        <v>0</v>
      </c>
      <c r="BI125" s="47" t="n">
        <f aca="false">(BI59+BI66+BI92+BI96+BI97+BI79)*(BI$4&lt;=In_COD)</f>
        <v>0</v>
      </c>
      <c r="BJ125" s="47" t="n">
        <f aca="false">(BJ59+BJ66+BJ92+BJ96+BJ97+BJ79)*(BJ$4&lt;=In_COD)</f>
        <v>0</v>
      </c>
      <c r="BK125" s="47" t="n">
        <f aca="false">(BK59+BK66+BK92+BK96+BK97+BK79)*(BK$4&lt;=In_COD)</f>
        <v>0</v>
      </c>
      <c r="BL125" s="47" t="n">
        <f aca="false">(BL59+BL66+BL92+BL96+BL97+BL79)*(BL$4&lt;=In_COD)</f>
        <v>0</v>
      </c>
      <c r="BM125" s="47" t="n">
        <f aca="false">(BM59+BM66+BM92+BM96+BM97+BM79)*(BM$4&lt;=In_COD)</f>
        <v>0</v>
      </c>
      <c r="BN125" s="47" t="n">
        <f aca="false">(BN59+BN66+BN92+BN96+BN97+BN79)*(BN$4&lt;=In_COD)</f>
        <v>0</v>
      </c>
      <c r="BO125" s="47" t="n">
        <f aca="false">(BO59+BO66+BO92+BO96+BO97+BO79)*(BO$4&lt;=In_COD)</f>
        <v>0</v>
      </c>
      <c r="BP125" s="47" t="n">
        <f aca="false">(BP59+BP66+BP92+BP96+BP97+BP79)*(BP$4&lt;=In_COD)</f>
        <v>0</v>
      </c>
      <c r="BQ125" s="47" t="n">
        <f aca="false">(BQ59+BQ66+BQ92+BQ96+BQ97+BQ79)*(BQ$4&lt;=In_COD)</f>
        <v>0</v>
      </c>
      <c r="BR125" s="47" t="n">
        <f aca="false">(BR59+BR66+BR92+BR96+BR97+BR79)*(BR$4&lt;=In_COD)</f>
        <v>0</v>
      </c>
      <c r="BS125" s="47" t="n">
        <f aca="false">(BS59+BS66+BS92+BS96+BS97+BS79)*(BS$4&lt;=In_COD)</f>
        <v>0</v>
      </c>
      <c r="BT125" s="47" t="n">
        <f aca="false">(BT59+BT66+BT92+BT96+BT97+BT79)*(BT$4&lt;=In_COD)</f>
        <v>0</v>
      </c>
      <c r="BU125" s="47" t="n">
        <f aca="false">(BU59+BU66+BU92+BU96+BU97+BU79)*(BU$4&lt;=In_COD)</f>
        <v>0</v>
      </c>
      <c r="BV125" s="47" t="n">
        <f aca="false">(BV59+BV66+BV92+BV96+BV97+BV79)*(BV$4&lt;=In_COD)</f>
        <v>0</v>
      </c>
      <c r="BW125" s="47" t="n">
        <f aca="false">(BW59+BW66+BW92+BW96+BW97+BW79)*(BW$4&lt;=In_COD)</f>
        <v>0</v>
      </c>
      <c r="BX125" s="47" t="n">
        <f aca="false">(BX59+BX66+BX92+BX96+BX97+BX79)*(BX$4&lt;=In_COD)</f>
        <v>0</v>
      </c>
      <c r="BY125" s="47" t="n">
        <f aca="false">(BY59+BY66+BY92+BY96+BY97+BY79)*(BY$4&lt;=In_COD)</f>
        <v>0</v>
      </c>
      <c r="BZ125" s="47" t="n">
        <f aca="false">(BZ59+BZ66+BZ92+BZ96+BZ97+BZ79)*(BZ$4&lt;=In_COD)</f>
        <v>0</v>
      </c>
      <c r="CA125" s="47" t="n">
        <f aca="false">(CA59+CA66+CA92+CA96+CA97+CA79)*(CA$4&lt;=In_COD)</f>
        <v>0</v>
      </c>
      <c r="CB125" s="47" t="n">
        <f aca="false">(CB59+CB66+CB92+CB96+CB97+CB79)*(CB$4&lt;=In_COD)</f>
        <v>0</v>
      </c>
      <c r="CC125" s="47" t="n">
        <f aca="false">(CC59+CC66+CC92+CC96+CC97+CC79)*(CC$4&lt;=In_COD)</f>
        <v>0</v>
      </c>
      <c r="CD125" s="47" t="n">
        <f aca="false">(CD59+CD66+CD92+CD96+CD97+CD79)*(CD$4&lt;=In_COD)</f>
        <v>0</v>
      </c>
      <c r="CE125" s="47" t="n">
        <f aca="false">(CE59+CE66+CE92+CE96+CE97+CE79)*(CE$4&lt;=In_COD)</f>
        <v>0</v>
      </c>
      <c r="CF125" s="47" t="n">
        <f aca="false">(CF59+CF66+CF92+CF96+CF97+CF79)*(CF$4&lt;=In_COD)</f>
        <v>0</v>
      </c>
      <c r="CG125" s="47" t="n">
        <f aca="false">(CG59+CG66+CG92+CG96+CG97+CG79)*(CG$4&lt;=In_COD)</f>
        <v>0</v>
      </c>
      <c r="CH125" s="47" t="n">
        <f aca="false">(CH59+CH66+CH92+CH96+CH97+CH79)*(CH$4&lt;=In_COD)</f>
        <v>0</v>
      </c>
      <c r="CI125" s="47" t="n">
        <f aca="false">(CI59+CI66+CI92+CI96+CI97+CI79)*(CI$4&lt;=In_COD)</f>
        <v>0</v>
      </c>
      <c r="CJ125" s="47" t="n">
        <f aca="false">(CJ59+CJ66+CJ92+CJ96+CJ97+CJ79)*(CJ$4&lt;=In_COD)</f>
        <v>0</v>
      </c>
      <c r="CK125" s="47" t="n">
        <f aca="false">(CK59+CK66+CK92+CK96+CK97+CK79)*(CK$4&lt;=In_COD)</f>
        <v>0</v>
      </c>
      <c r="CL125" s="47" t="n">
        <f aca="false">(CL59+CL66+CL92+CL96+CL97+CL79)*(CL$4&lt;=In_COD)</f>
        <v>0</v>
      </c>
      <c r="CM125" s="47" t="n">
        <f aca="false">(CM59+CM66+CM92+CM96+CM97+CM79)*(CM$4&lt;=In_COD)</f>
        <v>0</v>
      </c>
      <c r="CN125" s="47" t="n">
        <f aca="false">(CN59+CN66+CN92+CN96+CN97+CN79)*(CN$4&lt;=In_COD)</f>
        <v>0</v>
      </c>
      <c r="CO125" s="47" t="n">
        <f aca="false">(CO59+CO66+CO92+CO96+CO97+CO79)*(CO$4&lt;=In_COD)</f>
        <v>0</v>
      </c>
      <c r="CP125" s="47" t="n">
        <f aca="false">(CP59+CP66+CP92+CP96+CP97+CP79)*(CP$4&lt;=In_COD)</f>
        <v>0</v>
      </c>
      <c r="CQ125" s="47" t="n">
        <f aca="false">(CQ59+CQ66+CQ92+CQ96+CQ97+CQ79)*(CQ$4&lt;=In_COD)</f>
        <v>0</v>
      </c>
      <c r="CR125" s="47" t="n">
        <f aca="false">(CR59+CR66+CR92+CR96+CR97+CR79)*(CR$4&lt;=In_COD)</f>
        <v>0</v>
      </c>
      <c r="CS125" s="47" t="n">
        <f aca="false">(CS59+CS66+CS92+CS96+CS97+CS79)*(CS$4&lt;=In_COD)</f>
        <v>0</v>
      </c>
      <c r="CT125" s="47" t="n">
        <f aca="false">(CT59+CT66+CT92+CT96+CT97+CT79)*(CT$4&lt;=In_COD)</f>
        <v>0</v>
      </c>
      <c r="CU125" s="47" t="n">
        <f aca="false">(CU59+CU66+CU92+CU96+CU97+CU79)*(CU$4&lt;=In_COD)</f>
        <v>0</v>
      </c>
      <c r="CV125" s="47" t="n">
        <f aca="false">(CV59+CV66+CV92+CV96+CV97+CV79)*(CV$4&lt;=In_COD)</f>
        <v>0</v>
      </c>
      <c r="CW125" s="47" t="n">
        <f aca="false">(CW59+CW66+CW92+CW96+CW97+CW79)*(CW$4&lt;=In_COD)</f>
        <v>0</v>
      </c>
      <c r="CX125" s="47" t="n">
        <f aca="false">(CX59+CX66+CX92+CX96+CX97+CX79)*(CX$4&lt;=In_COD)</f>
        <v>0</v>
      </c>
      <c r="CY125" s="47" t="n">
        <f aca="false">(CY59+CY66+CY92+CY96+CY97+CY79)*(CY$4&lt;=In_COD)</f>
        <v>0</v>
      </c>
      <c r="CZ125" s="47" t="n">
        <f aca="false">(CZ59+CZ66+CZ92+CZ96+CZ97+CZ79)*(CZ$4&lt;=In_COD)</f>
        <v>0</v>
      </c>
      <c r="DA125" s="47" t="n">
        <f aca="false">(DA59+DA66+DA92+DA96+DA97+DA79)*(DA$4&lt;=In_COD)</f>
        <v>0</v>
      </c>
      <c r="DB125" s="47" t="n">
        <f aca="false">(DB59+DB66+DB92+DB96+DB97+DB79)*(DB$4&lt;=In_COD)</f>
        <v>0</v>
      </c>
      <c r="DC125" s="47" t="n">
        <f aca="false">(DC59+DC66+DC92+DC96+DC97+DC79)*(DC$4&lt;=In_COD)</f>
        <v>0</v>
      </c>
      <c r="DD125" s="47" t="n">
        <f aca="false">(DD59+DD66+DD92+DD96+DD97+DD79)*(DD$4&lt;=In_COD)</f>
        <v>0</v>
      </c>
      <c r="DE125" s="47" t="n">
        <f aca="false">(DE59+DE66+DE92+DE96+DE97+DE79)*(DE$4&lt;=In_COD)</f>
        <v>0</v>
      </c>
      <c r="DF125" s="47" t="n">
        <f aca="false">(DF59+DF66+DF92+DF96+DF97+DF79)*(DF$4&lt;=In_COD)</f>
        <v>0</v>
      </c>
      <c r="DG125" s="47" t="n">
        <f aca="false">(DG59+DG66+DG92+DG96+DG97+DG79)*(DG$4&lt;=In_COD)</f>
        <v>0</v>
      </c>
      <c r="DH125" s="47" t="n">
        <f aca="false">(DH59+DH66+DH92+DH96+DH97+DH79)*(DH$4&lt;=In_COD)</f>
        <v>0</v>
      </c>
      <c r="DI125" s="47" t="n">
        <f aca="false">(DI59+DI66+DI92+DI96+DI97+DI79)*(DI$4&lt;=In_COD)</f>
        <v>0</v>
      </c>
      <c r="DJ125" s="47" t="n">
        <f aca="false">(DJ59+DJ66+DJ92+DJ96+DJ97+DJ79)*(DJ$4&lt;=In_COD)</f>
        <v>0</v>
      </c>
      <c r="DK125" s="47" t="n">
        <f aca="false">(DK59+DK66+DK92+DK96+DK97+DK79)*(DK$4&lt;=In_COD)</f>
        <v>0</v>
      </c>
      <c r="DL125" s="47" t="n">
        <f aca="false">(DL59+DL66+DL92+DL96+DL97+DL79)*(DL$4&lt;=In_COD)</f>
        <v>0</v>
      </c>
      <c r="DM125" s="47" t="n">
        <f aca="false">(DM59+DM66+DM92+DM96+DM97+DM79)*(DM$4&lt;=In_COD)</f>
        <v>0</v>
      </c>
      <c r="DN125" s="47" t="n">
        <f aca="false">(DN59+DN66+DN92+DN96+DN97+DN79)*(DN$4&lt;=In_COD)</f>
        <v>0</v>
      </c>
      <c r="DO125" s="47" t="n">
        <f aca="false">(DO59+DO66+DO92+DO96+DO97+DO79)*(DO$4&lt;=In_COD)</f>
        <v>0</v>
      </c>
      <c r="DP125" s="47" t="n">
        <f aca="false">(DP59+DP66+DP92+DP96+DP97+DP79)*(DP$4&lt;=In_COD)</f>
        <v>0</v>
      </c>
      <c r="DQ125" s="47" t="n">
        <f aca="false">(DQ59+DQ66+DQ92+DQ96+DQ97+DQ79)*(DQ$4&lt;=In_COD)</f>
        <v>0</v>
      </c>
      <c r="DR125" s="47" t="n">
        <f aca="false">(DR59+DR66+DR92+DR96+DR97+DR79)*(DR$4&lt;=In_COD)</f>
        <v>0</v>
      </c>
      <c r="DS125" s="47" t="n">
        <f aca="false">(DS59+DS66+DS92+DS96+DS97+DS79)*(DS$4&lt;=In_COD)</f>
        <v>0</v>
      </c>
      <c r="DT125" s="47" t="n">
        <f aca="false">(DT59+DT66+DT92+DT96+DT97+DT79)*(DT$4&lt;=In_COD)</f>
        <v>0</v>
      </c>
      <c r="DU125" s="47" t="n">
        <f aca="false">(DU59+DU66+DU92+DU96+DU97+DU79)*(DU$4&lt;=In_COD)</f>
        <v>0</v>
      </c>
      <c r="DV125" s="47" t="n">
        <f aca="false">(DV59+DV66+DV92+DV96+DV97+DV79)*(DV$4&lt;=In_COD)</f>
        <v>0</v>
      </c>
      <c r="DW125" s="47" t="n">
        <f aca="false">(DW59+DW66+DW92+DW96+DW97+DW79)*(DW$4&lt;=In_COD)</f>
        <v>0</v>
      </c>
      <c r="DX125" s="47" t="n">
        <f aca="false">(DX59+DX66+DX92+DX96+DX97+DX79)*(DX$4&lt;=In_COD)</f>
        <v>0</v>
      </c>
      <c r="DY125" s="47" t="n">
        <f aca="false">(DY59+DY66+DY92+DY96+DY97+DY79)*(DY$4&lt;=In_COD)</f>
        <v>0</v>
      </c>
      <c r="DZ125" s="47" t="n">
        <f aca="false">(DZ59+DZ66+DZ92+DZ96+DZ97+DZ79)*(DZ$4&lt;=In_COD)</f>
        <v>0</v>
      </c>
      <c r="EA125" s="47" t="n">
        <f aca="false">(EA59+EA66+EA92+EA96+EA97+EA79)*(EA$4&lt;=In_COD)</f>
        <v>0</v>
      </c>
      <c r="EB125" s="47" t="n">
        <f aca="false">(EB59+EB66+EB92+EB96+EB97+EB79)*(EB$4&lt;=In_COD)</f>
        <v>0</v>
      </c>
      <c r="EC125" s="47" t="n">
        <f aca="false">(EC59+EC66+EC92+EC96+EC97+EC79)*(EC$4&lt;=In_COD)</f>
        <v>0</v>
      </c>
      <c r="ED125" s="47" t="n">
        <f aca="false">(ED59+ED66+ED92+ED96+ED97+ED79)*(ED$4&lt;=In_COD)</f>
        <v>0</v>
      </c>
      <c r="EE125" s="47" t="n">
        <f aca="false">(EE59+EE66+EE92+EE96+EE97+EE79)*(EE$4&lt;=In_COD)</f>
        <v>0</v>
      </c>
      <c r="EF125" s="47" t="n">
        <f aca="false">(EF59+EF66+EF92+EF96+EF97+EF79)*(EF$4&lt;=In_COD)</f>
        <v>0</v>
      </c>
      <c r="EG125" s="47" t="n">
        <f aca="false">(EG59+EG66+EG92+EG96+EG97+EG79)*(EG$4&lt;=In_COD)</f>
        <v>0</v>
      </c>
      <c r="EH125" s="47" t="n">
        <f aca="false">(EH59+EH66+EH92+EH96+EH97+EH79)*(EH$4&lt;=In_COD)</f>
        <v>0</v>
      </c>
      <c r="EI125" s="47" t="n">
        <f aca="false">(EI59+EI66+EI92+EI96+EI97+EI79)*(EI$4&lt;=In_COD)</f>
        <v>0</v>
      </c>
      <c r="EJ125" s="47" t="n">
        <f aca="false">(EJ59+EJ66+EJ92+EJ96+EJ97+EJ79)*(EJ$4&lt;=In_COD)</f>
        <v>0</v>
      </c>
      <c r="EK125" s="47" t="n">
        <f aca="false">(EK59+EK66+EK92+EK96+EK97+EK79)*(EK$4&lt;=In_COD)</f>
        <v>0</v>
      </c>
      <c r="EL125" s="47" t="n">
        <f aca="false">(EL59+EL66+EL92+EL96+EL97+EL79)*(EL$4&lt;=In_COD)</f>
        <v>0</v>
      </c>
      <c r="EM125" s="47" t="n">
        <f aca="false">(EM59+EM66+EM92+EM96+EM97+EM79)*(EM$4&lt;=In_COD)</f>
        <v>0</v>
      </c>
      <c r="EN125" s="47" t="n">
        <f aca="false">(EN59+EN66+EN92+EN96+EN97+EN79)*(EN$4&lt;=In_COD)</f>
        <v>0</v>
      </c>
      <c r="EO125" s="47" t="n">
        <f aca="false">(EO59+EO66+EO92+EO96+EO97+EO79)*(EO$4&lt;=In_COD)</f>
        <v>0</v>
      </c>
    </row>
    <row r="126" customFormat="false" ht="15" hidden="false" customHeight="false" outlineLevel="0" collapsed="false">
      <c r="C126" s="0" t="s">
        <v>458</v>
      </c>
      <c r="D126" s="11" t="s">
        <v>33</v>
      </c>
      <c r="E126" s="47" t="n">
        <f aca="false">IF($E38=1,In_COD_Price,In_COD_Price_CN)*$F24*(1-$E27)</f>
        <v>114975</v>
      </c>
    </row>
    <row r="127" customFormat="false" ht="15" hidden="false" customHeight="false" outlineLevel="0" collapsed="false">
      <c r="C127" s="0" t="s">
        <v>459</v>
      </c>
      <c r="D127" s="11" t="s">
        <v>33</v>
      </c>
      <c r="E127" s="47" t="n">
        <f aca="false">$E126+$I58-$E95-In_Sale_Costs</f>
        <v>60412.2515265316</v>
      </c>
    </row>
    <row r="128" customFormat="false" ht="15" hidden="false" customHeight="false" outlineLevel="0" collapsed="false">
      <c r="C128" s="0" t="s">
        <v>123</v>
      </c>
      <c r="D128" s="11" t="s">
        <v>33</v>
      </c>
      <c r="E128" s="47" t="n">
        <f aca="false">-In_CIT*In_Sale_Gain_Taxed*MAX(0,$E127+$I125)</f>
        <v>-0</v>
      </c>
    </row>
    <row r="129" customFormat="false" ht="15" hidden="false" customHeight="false" outlineLevel="0" collapsed="false">
      <c r="C129" s="25" t="s">
        <v>460</v>
      </c>
      <c r="D129" s="11" t="s">
        <v>33</v>
      </c>
      <c r="I129" s="56" t="n">
        <f aca="false">SUM(J129:EO129)</f>
        <v>30225.2818902668</v>
      </c>
      <c r="J129" s="56" t="n">
        <f aca="false">J125+($E127+$E128)*J14</f>
        <v>-4662.80993807469</v>
      </c>
      <c r="K129" s="56" t="n">
        <f aca="false">K125+($E127+$E128)*K14</f>
        <v>-706.535577057768</v>
      </c>
      <c r="L129" s="56" t="n">
        <f aca="false">L125+($E127+$E128)*L14</f>
        <v>-104.360496659404</v>
      </c>
      <c r="M129" s="56" t="n">
        <f aca="false">M125+($E127+$E128)*M14</f>
        <v>-105.507315304013</v>
      </c>
      <c r="N129" s="56" t="n">
        <f aca="false">N125+($E127+$E128)*N14</f>
        <v>-105.507315304013</v>
      </c>
      <c r="O129" s="56" t="n">
        <f aca="false">O125+($E127+$E128)*O14</f>
        <v>-104.360496659404</v>
      </c>
      <c r="P129" s="56" t="n">
        <f aca="false">P125+($E127+$E128)*P14</f>
        <v>-104.360496659404</v>
      </c>
      <c r="Q129" s="56" t="n">
        <f aca="false">Q125+($E127+$E128)*Q14</f>
        <v>-105.507315304013</v>
      </c>
      <c r="R129" s="56" t="n">
        <f aca="false">R125+($E127+$E128)*R14</f>
        <v>-3524.63966920373</v>
      </c>
      <c r="S129" s="56" t="n">
        <f aca="false">S125+($E127+$E128)*S14</f>
        <v>-4957.59325787887</v>
      </c>
      <c r="T129" s="56" t="n">
        <f aca="false">T125+($E127+$E128)*T14</f>
        <v>-2514.01706566111</v>
      </c>
      <c r="U129" s="56" t="n">
        <f aca="false">U125+($E127+$E128)*U14</f>
        <v>-2529.14980718064</v>
      </c>
      <c r="V129" s="56" t="n">
        <f aca="false">V125+($E127+$E128)*V14</f>
        <v>-2516.51869281772</v>
      </c>
      <c r="W129" s="56" t="n">
        <f aca="false">W125+($E127+$E128)*W14</f>
        <v>-2450.49717096547</v>
      </c>
      <c r="X129" s="56" t="n">
        <f aca="false">X125+($E127+$E128)*X14</f>
        <v>-2465.50270244277</v>
      </c>
      <c r="Y129" s="56" t="n">
        <f aca="false">Y125+($E127+$E128)*Y14</f>
        <v>57182.1492074399</v>
      </c>
      <c r="Z129" s="56" t="n">
        <f aca="false">Z125+($E127+$E128)*Z14</f>
        <v>0</v>
      </c>
      <c r="AA129" s="56" t="n">
        <f aca="false">AA125+($E127+$E128)*AA14</f>
        <v>0</v>
      </c>
      <c r="AB129" s="56" t="n">
        <f aca="false">AB125+($E127+$E128)*AB14</f>
        <v>0</v>
      </c>
      <c r="AC129" s="56" t="n">
        <f aca="false">AC125+($E127+$E128)*AC14</f>
        <v>0</v>
      </c>
      <c r="AD129" s="56" t="n">
        <f aca="false">AD125+($E127+$E128)*AD14</f>
        <v>0</v>
      </c>
      <c r="AE129" s="56" t="n">
        <f aca="false">AE125+($E127+$E128)*AE14</f>
        <v>0</v>
      </c>
      <c r="AF129" s="56" t="n">
        <f aca="false">AF125+($E127+$E128)*AF14</f>
        <v>0</v>
      </c>
      <c r="AG129" s="56" t="n">
        <f aca="false">AG125+($E127+$E128)*AG14</f>
        <v>0</v>
      </c>
      <c r="AH129" s="56" t="n">
        <f aca="false">AH125+($E127+$E128)*AH14</f>
        <v>0</v>
      </c>
      <c r="AI129" s="56" t="n">
        <f aca="false">AI125+($E127+$E128)*AI14</f>
        <v>0</v>
      </c>
      <c r="AJ129" s="56" t="n">
        <f aca="false">AJ125+($E127+$E128)*AJ14</f>
        <v>0</v>
      </c>
      <c r="AK129" s="56" t="n">
        <f aca="false">AK125+($E127+$E128)*AK14</f>
        <v>0</v>
      </c>
      <c r="AL129" s="56" t="n">
        <f aca="false">AL125+($E127+$E128)*AL14</f>
        <v>0</v>
      </c>
      <c r="AM129" s="56" t="n">
        <f aca="false">AM125+($E127+$E128)*AM14</f>
        <v>0</v>
      </c>
      <c r="AN129" s="56" t="n">
        <f aca="false">AN125+($E127+$E128)*AN14</f>
        <v>0</v>
      </c>
      <c r="AO129" s="56" t="n">
        <f aca="false">AO125+($E127+$E128)*AO14</f>
        <v>0</v>
      </c>
      <c r="AP129" s="56" t="n">
        <f aca="false">AP125+($E127+$E128)*AP14</f>
        <v>0</v>
      </c>
      <c r="AQ129" s="56" t="n">
        <f aca="false">AQ125+($E127+$E128)*AQ14</f>
        <v>0</v>
      </c>
      <c r="AR129" s="56" t="n">
        <f aca="false">AR125+($E127+$E128)*AR14</f>
        <v>0</v>
      </c>
      <c r="AS129" s="56" t="n">
        <f aca="false">AS125+($E127+$E128)*AS14</f>
        <v>0</v>
      </c>
      <c r="AT129" s="56" t="n">
        <f aca="false">AT125+($E127+$E128)*AT14</f>
        <v>0</v>
      </c>
      <c r="AU129" s="56" t="n">
        <f aca="false">AU125+($E127+$E128)*AU14</f>
        <v>0</v>
      </c>
      <c r="AV129" s="56" t="n">
        <f aca="false">AV125+($E127+$E128)*AV14</f>
        <v>0</v>
      </c>
      <c r="AW129" s="56" t="n">
        <f aca="false">AW125+($E127+$E128)*AW14</f>
        <v>0</v>
      </c>
      <c r="AX129" s="56" t="n">
        <f aca="false">AX125+($E127+$E128)*AX14</f>
        <v>0</v>
      </c>
      <c r="AY129" s="56" t="n">
        <f aca="false">AY125+($E127+$E128)*AY14</f>
        <v>0</v>
      </c>
      <c r="AZ129" s="56" t="n">
        <f aca="false">AZ125+($E127+$E128)*AZ14</f>
        <v>0</v>
      </c>
      <c r="BA129" s="56" t="n">
        <f aca="false">BA125+($E127+$E128)*BA14</f>
        <v>0</v>
      </c>
      <c r="BB129" s="56" t="n">
        <f aca="false">BB125+($E127+$E128)*BB14</f>
        <v>0</v>
      </c>
      <c r="BC129" s="56" t="n">
        <f aca="false">BC125+($E127+$E128)*BC14</f>
        <v>0</v>
      </c>
      <c r="BD129" s="56" t="n">
        <f aca="false">BD125+($E127+$E128)*BD14</f>
        <v>0</v>
      </c>
      <c r="BE129" s="56" t="n">
        <f aca="false">BE125+($E127+$E128)*BE14</f>
        <v>0</v>
      </c>
      <c r="BF129" s="56" t="n">
        <f aca="false">BF125+($E127+$E128)*BF14</f>
        <v>0</v>
      </c>
      <c r="BG129" s="56" t="n">
        <f aca="false">BG125+($E127+$E128)*BG14</f>
        <v>0</v>
      </c>
      <c r="BH129" s="56" t="n">
        <f aca="false">BH125+($E127+$E128)*BH14</f>
        <v>0</v>
      </c>
      <c r="BI129" s="56" t="n">
        <f aca="false">BI125+($E127+$E128)*BI14</f>
        <v>0</v>
      </c>
      <c r="BJ129" s="56" t="n">
        <f aca="false">BJ125+($E127+$E128)*BJ14</f>
        <v>0</v>
      </c>
      <c r="BK129" s="56" t="n">
        <f aca="false">BK125+($E127+$E128)*BK14</f>
        <v>0</v>
      </c>
      <c r="BL129" s="56" t="n">
        <f aca="false">BL125+($E127+$E128)*BL14</f>
        <v>0</v>
      </c>
      <c r="BM129" s="56" t="n">
        <f aca="false">BM125+($E127+$E128)*BM14</f>
        <v>0</v>
      </c>
      <c r="BN129" s="56" t="n">
        <f aca="false">BN125+($E127+$E128)*BN14</f>
        <v>0</v>
      </c>
      <c r="BO129" s="56" t="n">
        <f aca="false">BO125+($E127+$E128)*BO14</f>
        <v>0</v>
      </c>
      <c r="BP129" s="56" t="n">
        <f aca="false">BP125+($E127+$E128)*BP14</f>
        <v>0</v>
      </c>
      <c r="BQ129" s="56" t="n">
        <f aca="false">BQ125+($E127+$E128)*BQ14</f>
        <v>0</v>
      </c>
      <c r="BR129" s="56" t="n">
        <f aca="false">BR125+($E127+$E128)*BR14</f>
        <v>0</v>
      </c>
      <c r="BS129" s="56" t="n">
        <f aca="false">BS125+($E127+$E128)*BS14</f>
        <v>0</v>
      </c>
      <c r="BT129" s="56" t="n">
        <f aca="false">BT125+($E127+$E128)*BT14</f>
        <v>0</v>
      </c>
      <c r="BU129" s="56" t="n">
        <f aca="false">BU125+($E127+$E128)*BU14</f>
        <v>0</v>
      </c>
      <c r="BV129" s="56" t="n">
        <f aca="false">BV125+($E127+$E128)*BV14</f>
        <v>0</v>
      </c>
      <c r="BW129" s="56" t="n">
        <f aca="false">BW125+($E127+$E128)*BW14</f>
        <v>0</v>
      </c>
      <c r="BX129" s="56" t="n">
        <f aca="false">BX125+($E127+$E128)*BX14</f>
        <v>0</v>
      </c>
      <c r="BY129" s="56" t="n">
        <f aca="false">BY125+($E127+$E128)*BY14</f>
        <v>0</v>
      </c>
      <c r="BZ129" s="56" t="n">
        <f aca="false">BZ125+($E127+$E128)*BZ14</f>
        <v>0</v>
      </c>
      <c r="CA129" s="56" t="n">
        <f aca="false">CA125+($E127+$E128)*CA14</f>
        <v>0</v>
      </c>
      <c r="CB129" s="56" t="n">
        <f aca="false">CB125+($E127+$E128)*CB14</f>
        <v>0</v>
      </c>
      <c r="CC129" s="56" t="n">
        <f aca="false">CC125+($E127+$E128)*CC14</f>
        <v>0</v>
      </c>
      <c r="CD129" s="56" t="n">
        <f aca="false">CD125+($E127+$E128)*CD14</f>
        <v>0</v>
      </c>
      <c r="CE129" s="56" t="n">
        <f aca="false">CE125+($E127+$E128)*CE14</f>
        <v>0</v>
      </c>
      <c r="CF129" s="56" t="n">
        <f aca="false">CF125+($E127+$E128)*CF14</f>
        <v>0</v>
      </c>
      <c r="CG129" s="56" t="n">
        <f aca="false">CG125+($E127+$E128)*CG14</f>
        <v>0</v>
      </c>
      <c r="CH129" s="56" t="n">
        <f aca="false">CH125+($E127+$E128)*CH14</f>
        <v>0</v>
      </c>
      <c r="CI129" s="56" t="n">
        <f aca="false">CI125+($E127+$E128)*CI14</f>
        <v>0</v>
      </c>
      <c r="CJ129" s="56" t="n">
        <f aca="false">CJ125+($E127+$E128)*CJ14</f>
        <v>0</v>
      </c>
      <c r="CK129" s="56" t="n">
        <f aca="false">CK125+($E127+$E128)*CK14</f>
        <v>0</v>
      </c>
      <c r="CL129" s="56" t="n">
        <f aca="false">CL125+($E127+$E128)*CL14</f>
        <v>0</v>
      </c>
      <c r="CM129" s="56" t="n">
        <f aca="false">CM125+($E127+$E128)*CM14</f>
        <v>0</v>
      </c>
      <c r="CN129" s="56" t="n">
        <f aca="false">CN125+($E127+$E128)*CN14</f>
        <v>0</v>
      </c>
      <c r="CO129" s="56" t="n">
        <f aca="false">CO125+($E127+$E128)*CO14</f>
        <v>0</v>
      </c>
      <c r="CP129" s="56" t="n">
        <f aca="false">CP125+($E127+$E128)*CP14</f>
        <v>0</v>
      </c>
      <c r="CQ129" s="56" t="n">
        <f aca="false">CQ125+($E127+$E128)*CQ14</f>
        <v>0</v>
      </c>
      <c r="CR129" s="56" t="n">
        <f aca="false">CR125+($E127+$E128)*CR14</f>
        <v>0</v>
      </c>
      <c r="CS129" s="56" t="n">
        <f aca="false">CS125+($E127+$E128)*CS14</f>
        <v>0</v>
      </c>
      <c r="CT129" s="56" t="n">
        <f aca="false">CT125+($E127+$E128)*CT14</f>
        <v>0</v>
      </c>
      <c r="CU129" s="56" t="n">
        <f aca="false">CU125+($E127+$E128)*CU14</f>
        <v>0</v>
      </c>
      <c r="CV129" s="56" t="n">
        <f aca="false">CV125+($E127+$E128)*CV14</f>
        <v>0</v>
      </c>
      <c r="CW129" s="56" t="n">
        <f aca="false">CW125+($E127+$E128)*CW14</f>
        <v>0</v>
      </c>
      <c r="CX129" s="56" t="n">
        <f aca="false">CX125+($E127+$E128)*CX14</f>
        <v>0</v>
      </c>
      <c r="CY129" s="56" t="n">
        <f aca="false">CY125+($E127+$E128)*CY14</f>
        <v>0</v>
      </c>
      <c r="CZ129" s="56" t="n">
        <f aca="false">CZ125+($E127+$E128)*CZ14</f>
        <v>0</v>
      </c>
      <c r="DA129" s="56" t="n">
        <f aca="false">DA125+($E127+$E128)*DA14</f>
        <v>0</v>
      </c>
      <c r="DB129" s="56" t="n">
        <f aca="false">DB125+($E127+$E128)*DB14</f>
        <v>0</v>
      </c>
      <c r="DC129" s="56" t="n">
        <f aca="false">DC125+($E127+$E128)*DC14</f>
        <v>0</v>
      </c>
      <c r="DD129" s="56" t="n">
        <f aca="false">DD125+($E127+$E128)*DD14</f>
        <v>0</v>
      </c>
      <c r="DE129" s="56" t="n">
        <f aca="false">DE125+($E127+$E128)*DE14</f>
        <v>0</v>
      </c>
      <c r="DF129" s="56" t="n">
        <f aca="false">DF125+($E127+$E128)*DF14</f>
        <v>0</v>
      </c>
      <c r="DG129" s="56" t="n">
        <f aca="false">DG125+($E127+$E128)*DG14</f>
        <v>0</v>
      </c>
      <c r="DH129" s="56" t="n">
        <f aca="false">DH125+($E127+$E128)*DH14</f>
        <v>0</v>
      </c>
      <c r="DI129" s="56" t="n">
        <f aca="false">DI125+($E127+$E128)*DI14</f>
        <v>0</v>
      </c>
      <c r="DJ129" s="56" t="n">
        <f aca="false">DJ125+($E127+$E128)*DJ14</f>
        <v>0</v>
      </c>
      <c r="DK129" s="56" t="n">
        <f aca="false">DK125+($E127+$E128)*DK14</f>
        <v>0</v>
      </c>
      <c r="DL129" s="56" t="n">
        <f aca="false">DL125+($E127+$E128)*DL14</f>
        <v>0</v>
      </c>
      <c r="DM129" s="56" t="n">
        <f aca="false">DM125+($E127+$E128)*DM14</f>
        <v>0</v>
      </c>
      <c r="DN129" s="56" t="n">
        <f aca="false">DN125+($E127+$E128)*DN14</f>
        <v>0</v>
      </c>
      <c r="DO129" s="56" t="n">
        <f aca="false">DO125+($E127+$E128)*DO14</f>
        <v>0</v>
      </c>
      <c r="DP129" s="56" t="n">
        <f aca="false">DP125+($E127+$E128)*DP14</f>
        <v>0</v>
      </c>
      <c r="DQ129" s="56" t="n">
        <f aca="false">DQ125+($E127+$E128)*DQ14</f>
        <v>0</v>
      </c>
      <c r="DR129" s="56" t="n">
        <f aca="false">DR125+($E127+$E128)*DR14</f>
        <v>0</v>
      </c>
      <c r="DS129" s="56" t="n">
        <f aca="false">DS125+($E127+$E128)*DS14</f>
        <v>0</v>
      </c>
      <c r="DT129" s="56" t="n">
        <f aca="false">DT125+($E127+$E128)*DT14</f>
        <v>0</v>
      </c>
      <c r="DU129" s="56" t="n">
        <f aca="false">DU125+($E127+$E128)*DU14</f>
        <v>0</v>
      </c>
      <c r="DV129" s="56" t="n">
        <f aca="false">DV125+($E127+$E128)*DV14</f>
        <v>0</v>
      </c>
      <c r="DW129" s="56" t="n">
        <f aca="false">DW125+($E127+$E128)*DW14</f>
        <v>0</v>
      </c>
      <c r="DX129" s="56" t="n">
        <f aca="false">DX125+($E127+$E128)*DX14</f>
        <v>0</v>
      </c>
      <c r="DY129" s="56" t="n">
        <f aca="false">DY125+($E127+$E128)*DY14</f>
        <v>0</v>
      </c>
      <c r="DZ129" s="56" t="n">
        <f aca="false">DZ125+($E127+$E128)*DZ14</f>
        <v>0</v>
      </c>
      <c r="EA129" s="56" t="n">
        <f aca="false">EA125+($E127+$E128)*EA14</f>
        <v>0</v>
      </c>
      <c r="EB129" s="56" t="n">
        <f aca="false">EB125+($E127+$E128)*EB14</f>
        <v>0</v>
      </c>
      <c r="EC129" s="56" t="n">
        <f aca="false">EC125+($E127+$E128)*EC14</f>
        <v>0</v>
      </c>
      <c r="ED129" s="56" t="n">
        <f aca="false">ED125+($E127+$E128)*ED14</f>
        <v>0</v>
      </c>
      <c r="EE129" s="56" t="n">
        <f aca="false">EE125+($E127+$E128)*EE14</f>
        <v>0</v>
      </c>
      <c r="EF129" s="56" t="n">
        <f aca="false">EF125+($E127+$E128)*EF14</f>
        <v>0</v>
      </c>
      <c r="EG129" s="56" t="n">
        <f aca="false">EG125+($E127+$E128)*EG14</f>
        <v>0</v>
      </c>
      <c r="EH129" s="56" t="n">
        <f aca="false">EH125+($E127+$E128)*EH14</f>
        <v>0</v>
      </c>
      <c r="EI129" s="56" t="n">
        <f aca="false">EI125+($E127+$E128)*EI14</f>
        <v>0</v>
      </c>
      <c r="EJ129" s="56" t="n">
        <f aca="false">EJ125+($E127+$E128)*EJ14</f>
        <v>0</v>
      </c>
      <c r="EK129" s="56" t="n">
        <f aca="false">EK125+($E127+$E128)*EK14</f>
        <v>0</v>
      </c>
      <c r="EL129" s="56" t="n">
        <f aca="false">EL125+($E127+$E128)*EL14</f>
        <v>0</v>
      </c>
      <c r="EM129" s="56" t="n">
        <f aca="false">EM125+($E127+$E128)*EM14</f>
        <v>0</v>
      </c>
      <c r="EN129" s="56" t="n">
        <f aca="false">EN125+($E127+$E128)*EN14</f>
        <v>0</v>
      </c>
      <c r="EO129" s="56" t="n">
        <f aca="false">EO125+($E127+$E128)*EO14</f>
        <v>0</v>
      </c>
    </row>
    <row r="130" customFormat="false" ht="15" hidden="false" customHeight="false" outlineLevel="0" collapsed="false">
      <c r="C130" s="25" t="s">
        <v>84</v>
      </c>
      <c r="D130" s="11" t="s">
        <v>27</v>
      </c>
      <c r="E130" s="33" t="n">
        <f aca="false">XIRR($J129:$EO129,$J$4:$EO$4)</f>
        <v>0.47383720841244</v>
      </c>
    </row>
    <row r="131" customFormat="false" ht="15" hidden="false" customHeight="false" outlineLevel="0" collapsed="false">
      <c r="C131" s="25" t="s">
        <v>85</v>
      </c>
      <c r="D131" s="11" t="s">
        <v>13</v>
      </c>
      <c r="E131" s="59" t="n">
        <f aca="false">($E127+$E128)/-$I125</f>
        <v>2.00126916528766</v>
      </c>
    </row>
    <row r="132" customFormat="false" ht="15" hidden="false" customHeight="false" outlineLevel="0" collapsed="false">
      <c r="C132" s="25" t="s">
        <v>86</v>
      </c>
      <c r="D132" s="11" t="s">
        <v>33</v>
      </c>
      <c r="E132" s="56" t="n">
        <f aca="false">XNPV(In_Discount_Rate,$J129:$EO129,$J$4:$EO$4)</f>
        <v>19810.3623570828</v>
      </c>
    </row>
    <row r="134" customFormat="false" ht="15" hidden="false" customHeight="false" outlineLevel="0" collapsed="false">
      <c r="A134" s="9" t="s">
        <v>13</v>
      </c>
      <c r="B134" s="9"/>
      <c r="C134" s="9" t="s">
        <v>461</v>
      </c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  <c r="CJ134" s="9"/>
      <c r="CK134" s="9"/>
      <c r="CL134" s="9"/>
      <c r="CM134" s="9"/>
      <c r="CN134" s="9"/>
      <c r="CO134" s="9"/>
      <c r="CP134" s="9"/>
      <c r="CQ134" s="9"/>
      <c r="CR134" s="9"/>
      <c r="CS134" s="9"/>
      <c r="CT134" s="9"/>
      <c r="CU134" s="9"/>
      <c r="CV134" s="9"/>
      <c r="CW134" s="9"/>
      <c r="CX134" s="9"/>
      <c r="CY134" s="9"/>
      <c r="CZ134" s="9"/>
      <c r="DA134" s="9"/>
      <c r="DB134" s="9"/>
      <c r="DC134" s="9"/>
      <c r="DD134" s="9"/>
      <c r="DE134" s="9"/>
      <c r="DF134" s="9"/>
      <c r="DG134" s="9"/>
      <c r="DH134" s="9"/>
      <c r="DI134" s="9"/>
      <c r="DJ134" s="9"/>
      <c r="DK134" s="9"/>
      <c r="DL134" s="9"/>
      <c r="DM134" s="9"/>
      <c r="DN134" s="9"/>
      <c r="DO134" s="9"/>
      <c r="DP134" s="9"/>
      <c r="DQ134" s="9"/>
      <c r="DR134" s="9"/>
      <c r="DS134" s="9"/>
      <c r="DT134" s="9"/>
      <c r="DU134" s="9"/>
      <c r="DV134" s="9"/>
      <c r="DW134" s="9"/>
      <c r="DX134" s="9"/>
      <c r="DY134" s="9"/>
      <c r="DZ134" s="9"/>
      <c r="EA134" s="9"/>
      <c r="EB134" s="9"/>
      <c r="EC134" s="9"/>
      <c r="ED134" s="9"/>
      <c r="EE134" s="9"/>
      <c r="EF134" s="9"/>
      <c r="EG134" s="9"/>
      <c r="EH134" s="9"/>
      <c r="EI134" s="9"/>
      <c r="EJ134" s="9"/>
      <c r="EK134" s="9"/>
      <c r="EL134" s="9"/>
      <c r="EM134" s="9"/>
      <c r="EN134" s="9"/>
      <c r="EO134" s="9"/>
    </row>
    <row r="135" customFormat="false" ht="15" hidden="false" customHeight="false" outlineLevel="0" collapsed="false">
      <c r="C135" s="0" t="s">
        <v>462</v>
      </c>
      <c r="D135" s="11" t="s">
        <v>33</v>
      </c>
      <c r="I135" s="47" t="n">
        <f aca="false">SUM(J135:EO135)</f>
        <v>180550.185940602</v>
      </c>
      <c r="J135" s="47" t="n">
        <f aca="false">J59+J66+J79+J58+J109</f>
        <v>-4662.80993807469</v>
      </c>
      <c r="K135" s="47" t="n">
        <f aca="false">K59+K66+K79+K58+K109</f>
        <v>-706.535577057768</v>
      </c>
      <c r="L135" s="47" t="n">
        <f aca="false">L59+L66+L79+L58+L109</f>
        <v>-104.360496659404</v>
      </c>
      <c r="M135" s="47" t="n">
        <f aca="false">M59+M66+M79+M58+M109</f>
        <v>-105.507315304013</v>
      </c>
      <c r="N135" s="47" t="n">
        <f aca="false">N59+N66+N79+N58+N109</f>
        <v>-105.507315304013</v>
      </c>
      <c r="O135" s="47" t="n">
        <f aca="false">O59+O66+O79+O58+O109</f>
        <v>-104.360496659404</v>
      </c>
      <c r="P135" s="47" t="n">
        <f aca="false">P59+P66+P79+P58+P109</f>
        <v>-104.360496659404</v>
      </c>
      <c r="Q135" s="47" t="n">
        <f aca="false">Q59+Q66+Q79+Q58+Q109</f>
        <v>-105.507315304013</v>
      </c>
      <c r="R135" s="47" t="n">
        <f aca="false">R59+R66+R79+R58+R109</f>
        <v>-8029.46084763546</v>
      </c>
      <c r="S135" s="47" t="n">
        <f aca="false">S59+S66+S79+S58+S109</f>
        <v>-16010.74701985</v>
      </c>
      <c r="T135" s="47" t="n">
        <f aca="false">T59+T66+T79+T58+T109</f>
        <v>-7943.21191215576</v>
      </c>
      <c r="U135" s="47" t="n">
        <f aca="false">U59+U66+U79+U58+U109</f>
        <v>-8030.49995514649</v>
      </c>
      <c r="V135" s="47" t="n">
        <f aca="false">V59+V66+V79+V58+V109</f>
        <v>-8030.49995514649</v>
      </c>
      <c r="W135" s="47" t="n">
        <f aca="false">W59+W66+W79+W58+W109</f>
        <v>-7856.96580033778</v>
      </c>
      <c r="X135" s="47" t="n">
        <f aca="false">X59+X66+X79+X58+X109</f>
        <v>-7944.26542034153</v>
      </c>
      <c r="Y135" s="47" t="n">
        <f aca="false">Y59+Y66+Y79+Y58+Y109</f>
        <v>-10531.5650403453</v>
      </c>
      <c r="Z135" s="47" t="n">
        <f aca="false">Z59+Z66+Z79+Z58+Z109</f>
        <v>2187.99332516653</v>
      </c>
      <c r="AA135" s="47" t="n">
        <f aca="false">AA59+AA66+AA79+AA58+AA109</f>
        <v>2154.62518416236</v>
      </c>
      <c r="AB135" s="47" t="n">
        <f aca="false">AB59+AB66+AB79+AB58+AB109</f>
        <v>2177.97837890416</v>
      </c>
      <c r="AC135" s="47" t="n">
        <f aca="false">AC59+AC66+AC79+AC58+AC109</f>
        <v>2201.32160572723</v>
      </c>
      <c r="AD135" s="47" t="n">
        <f aca="false">AD59+AD66+AD79+AD58+AD109</f>
        <v>2193.39251576832</v>
      </c>
      <c r="AE135" s="47" t="n">
        <f aca="false">AE59+AE66+AE79+AE58+AE109</f>
        <v>2183.40863701236</v>
      </c>
      <c r="AF135" s="47" t="n">
        <f aca="false">AF59+AF66+AF79+AF58+AF109</f>
        <v>2183.13492588245</v>
      </c>
      <c r="AG135" s="47" t="n">
        <f aca="false">AG59+AG66+AG79+AG58+AG109</f>
        <v>2206.53167929699</v>
      </c>
      <c r="AH135" s="47" t="n">
        <f aca="false">AH59+AH66+AH79+AH58+AH109</f>
        <v>2188.63505678161</v>
      </c>
      <c r="AI135" s="47" t="n">
        <f aca="false">AI59+AI66+AI79+AI58+AI109</f>
        <v>2139.46242805892</v>
      </c>
      <c r="AJ135" s="47" t="n">
        <f aca="false">AJ59+AJ66+AJ79+AJ58+AJ109</f>
        <v>2192.23434529205</v>
      </c>
      <c r="AK135" s="47" t="n">
        <f aca="false">AK59+AK66+AK79+AK58+AK109</f>
        <v>2215.12863972602</v>
      </c>
      <c r="AL135" s="47" t="n">
        <f aca="false">AL59+AL66+AL79+AL58+AL109</f>
        <v>2207.13154115235</v>
      </c>
      <c r="AM135" s="47" t="n">
        <f aca="false">AM59+AM66+AM79+AM58+AM109</f>
        <v>2172.45748353688</v>
      </c>
      <c r="AN135" s="47" t="n">
        <f aca="false">AN59+AN66+AN79+AN58+AN109</f>
        <v>2195.40198090654</v>
      </c>
      <c r="AO135" s="47" t="n">
        <f aca="false">AO59+AO66+AO79+AO58+AO109</f>
        <v>2218.32560038477</v>
      </c>
      <c r="AP135" s="47" t="n">
        <f aca="false">AP59+AP66+AP79+AP58+AP109</f>
        <v>2210.24959945172</v>
      </c>
      <c r="AQ135" s="47" t="n">
        <f aca="false">AQ59+AQ66+AQ79+AQ58+AQ109</f>
        <v>2175.27372645327</v>
      </c>
      <c r="AR135" s="47" t="n">
        <f aca="false">AR59+AR66+AR79+AR58+AR109</f>
        <v>2198.24439549608</v>
      </c>
      <c r="AS135" s="47" t="n">
        <f aca="false">AS59+AS66+AS79+AS58+AS109</f>
        <v>2221.19375979677</v>
      </c>
      <c r="AT135" s="47" t="n">
        <f aca="false">AT59+AT66+AT79+AT58+AT109</f>
        <v>2213.03725802171</v>
      </c>
      <c r="AU135" s="47" t="n">
        <f aca="false">AU59+AU66+AU79+AU58+AU109</f>
        <v>2201.41470386998</v>
      </c>
      <c r="AV135" s="47" t="n">
        <f aca="false">AV59+AV66+AV79+AV58+AV109</f>
        <v>2200.73497230194</v>
      </c>
      <c r="AW135" s="47" t="n">
        <f aca="false">AW59+AW66+AW79+AW58+AW109</f>
        <v>2223.70619456791</v>
      </c>
      <c r="AX135" s="47" t="n">
        <f aca="false">AX59+AX66+AX79+AX58+AX109</f>
        <v>2215.46736335702</v>
      </c>
      <c r="AY135" s="47" t="n">
        <f aca="false">AY59+AY66+AY79+AY58+AY109</f>
        <v>2179.87583319099</v>
      </c>
      <c r="AZ135" s="47" t="n">
        <f aca="false">AZ59+AZ66+AZ79+AZ58+AZ109</f>
        <v>2202.88741097056</v>
      </c>
      <c r="BA135" s="47" t="n">
        <f aca="false">BA59+BA66+BA79+BA58+BA109</f>
        <v>2225.87677840659</v>
      </c>
      <c r="BB135" s="47" t="n">
        <f aca="false">BB59+BB66+BB79+BB58+BB109</f>
        <v>2217.55404764143</v>
      </c>
      <c r="BC135" s="47" t="n">
        <f aca="false">BC59+BC66+BC79+BC58+BC109</f>
        <v>2181.64863301947</v>
      </c>
      <c r="BD135" s="47" t="n">
        <f aca="false">BD59+BD66+BD79+BD58+BD109</f>
        <v>2204.6748121137</v>
      </c>
      <c r="BE135" s="47" t="n">
        <f aca="false">BE59+BE66+BE79+BE58+BE109</f>
        <v>2227.67830248846</v>
      </c>
      <c r="BF135" s="47" t="n">
        <f aca="false">BF59+BF66+BF79+BF58+BF109</f>
        <v>2219.26987348137</v>
      </c>
      <c r="BG135" s="47" t="n">
        <f aca="false">BG59+BG66+BG79+BG58+BG109</f>
        <v>2183.04634427821</v>
      </c>
      <c r="BH135" s="47" t="n">
        <f aca="false">BH59+BH66+BH79+BH58+BH109</f>
        <v>2206.08296326208</v>
      </c>
      <c r="BI135" s="47" t="n">
        <f aca="false">BI59+BI66+BI79+BI58+BI109</f>
        <v>2229.09639638185</v>
      </c>
      <c r="BJ135" s="47" t="n">
        <f aca="false">BJ59+BJ66+BJ79+BJ58+BJ109</f>
        <v>2220.600397425</v>
      </c>
      <c r="BK135" s="47" t="n">
        <f aca="false">BK59+BK66+BK79+BK58+BK109</f>
        <v>2207.91712436504</v>
      </c>
      <c r="BL135" s="47" t="n">
        <f aca="false">BL59+BL66+BL79+BL58+BL109</f>
        <v>2207.0832151203</v>
      </c>
      <c r="BM135" s="47" t="n">
        <f aca="false">BM59+BM66+BM79+BM58+BM109</f>
        <v>2230.10208109885</v>
      </c>
      <c r="BN135" s="47" t="n">
        <f aca="false">BN59+BN66+BN79+BN58+BN109</f>
        <v>2221.51639601459</v>
      </c>
      <c r="BO135" s="47" t="n">
        <f aca="false">BO59+BO66+BO79+BO58+BO109</f>
        <v>2184.64332750207</v>
      </c>
      <c r="BP135" s="47" t="n">
        <f aca="false">BP59+BP66+BP79+BP58+BP109</f>
        <v>2207.68751285822</v>
      </c>
      <c r="BQ135" s="47" t="n">
        <f aca="false">BQ59+BQ66+BQ79+BQ58+BQ109</f>
        <v>2230.70745615663</v>
      </c>
      <c r="BR135" s="47" t="n">
        <f aca="false">BR59+BR66+BR79+BR58+BR109</f>
        <v>2222.03021649019</v>
      </c>
      <c r="BS135" s="47" t="n">
        <f aca="false">BS59+BS66+BS79+BS58+BS109</f>
        <v>2184.8256492871</v>
      </c>
      <c r="BT135" s="47" t="n">
        <f aca="false">BT59+BT66+BT79+BT58+BT109</f>
        <v>2207.86678126275</v>
      </c>
      <c r="BU135" s="47" t="n">
        <f aca="false">BU59+BU66+BU79+BU58+BU109</f>
        <v>2230.88311220016</v>
      </c>
      <c r="BV135" s="47" t="n">
        <f aca="false">BV59+BV66+BV79+BV58+BV109</f>
        <v>2222.11220535385</v>
      </c>
      <c r="BW135" s="47" t="n">
        <f aca="false">BW59+BW66+BW79+BW58+BW109</f>
        <v>2184.57143714149</v>
      </c>
      <c r="BX135" s="47" t="n">
        <f aca="false">BX59+BX66+BX79+BX58+BX109</f>
        <v>2207.60466636845</v>
      </c>
      <c r="BY135" s="47" t="n">
        <f aca="false">BY59+BY66+BY79+BY58+BY109</f>
        <v>2230.6125130354</v>
      </c>
      <c r="BZ135" s="47" t="n">
        <f aca="false">BZ59+BZ66+BZ79+BZ58+BZ109</f>
        <v>2221.74573849739</v>
      </c>
      <c r="CA135" s="47" t="n">
        <f aca="false">CA59+CA66+CA79+CA58+CA109</f>
        <v>2207.88805477119</v>
      </c>
      <c r="CB135" s="47" t="n">
        <f aca="false">CB59+CB66+CB79+CB58+CB109</f>
        <v>2206.87020077551</v>
      </c>
      <c r="CC135" s="47" t="n">
        <f aca="false">CC59+CC66+CC79+CC58+CC109</f>
        <v>2229.86433523048</v>
      </c>
      <c r="CD135" s="47" t="n">
        <f aca="false">CD59+CD66+CD79+CD58+CD109</f>
        <v>2220.89923126799</v>
      </c>
      <c r="CE135" s="47" t="n">
        <f aca="false">CE59+CE66+CE79+CE58+CE109</f>
        <v>2182.67125963741</v>
      </c>
      <c r="CF135" s="47" t="n">
        <f aca="false">CF59+CF66+CF79+CF58+CF109</f>
        <v>2205.67320384508</v>
      </c>
      <c r="CG135" s="47" t="n">
        <f aca="false">CG59+CG66+CG79+CG58+CG109</f>
        <v>2228.64852847776</v>
      </c>
      <c r="CH135" s="47" t="n">
        <f aca="false">CH59+CH66+CH79+CH58+CH109</f>
        <v>2219.58286692746</v>
      </c>
      <c r="CI135" s="47" t="n">
        <f aca="false">CI59+CI66+CI79+CI58+CI109</f>
        <v>2181.00378122133</v>
      </c>
      <c r="CJ135" s="47" t="n">
        <f aca="false">CJ59+CJ66+CJ79+CJ58+CJ109</f>
        <v>2203.98211134464</v>
      </c>
      <c r="CK135" s="47" t="n">
        <f aca="false">CK59+CK66+CK79+CK58+CK109</f>
        <v>2226.93316609136</v>
      </c>
      <c r="CL135" s="47" t="n">
        <f aca="false">CL59+CL66+CL79+CL58+CL109</f>
        <v>2217.76445639979</v>
      </c>
      <c r="CM135" s="47" t="n">
        <f aca="false">CM59+CM66+CM79+CM58+CM109</f>
        <v>2178.82900443094</v>
      </c>
      <c r="CN135" s="47" t="n">
        <f aca="false">CN59+CN66+CN79+CN58+CN109</f>
        <v>2201.77807695505</v>
      </c>
      <c r="CO135" s="47" t="n">
        <f aca="false">CO59+CO66+CO79+CO58+CO109</f>
        <v>2224.69919120597</v>
      </c>
      <c r="CP135" s="47" t="n">
        <f aca="false">CP59+CP66+CP79+CP58+CP109</f>
        <v>2215.42483691102</v>
      </c>
      <c r="CQ135" s="47" t="n">
        <f aca="false">CQ59+CQ66+CQ79+CQ58+CQ109</f>
        <v>2200.26491315097</v>
      </c>
      <c r="CR135" s="47" t="n">
        <f aca="false">CR59+CR66+CR79+CR58+CR109</f>
        <v>2199.02747770178</v>
      </c>
      <c r="CS135" s="47" t="n">
        <f aca="false">CS59+CS66+CS79+CS58+CS109</f>
        <v>2221.91259458689</v>
      </c>
      <c r="CT135" s="47" t="n">
        <f aca="false">CT59+CT66+CT79+CT58+CT109</f>
        <v>2212.52971834289</v>
      </c>
      <c r="CU135" s="47" t="n">
        <f aca="false">CU59+CU66+CU79+CU58+CU109</f>
        <v>2174.15672572376</v>
      </c>
      <c r="CV135" s="47" t="n">
        <f aca="false">CV59+CV66+CV79+CV58+CV109</f>
        <v>2198.31402267624</v>
      </c>
      <c r="CW135" s="47" t="n">
        <f aca="false">CW59+CW66+CW79+CW58+CW109</f>
        <v>2222.47131962873</v>
      </c>
      <c r="CX135" s="47" t="n">
        <f aca="false">CX59+CX66+CX79+CX58+CX109</f>
        <v>2214.32115556524</v>
      </c>
      <c r="CY135" s="47" t="n">
        <f aca="false">CY59+CY66+CY79+CY58+CY109</f>
        <v>2175.63852130436</v>
      </c>
      <c r="CZ135" s="47" t="n">
        <f aca="false">CZ59+CZ66+CZ79+CZ58+CZ109</f>
        <v>2199.81228265219</v>
      </c>
      <c r="DA135" s="47" t="n">
        <f aca="false">DA59+DA66+DA79+DA58+DA109</f>
        <v>2223.98604400001</v>
      </c>
      <c r="DB135" s="47" t="n">
        <f aca="false">DB59+DB66+DB79+DB58+DB109</f>
        <v>2122.88750313241</v>
      </c>
      <c r="DC135" s="47" t="n">
        <f aca="false">DC59+DC66+DC79+DC58+DC109</f>
        <v>2085.91177487943</v>
      </c>
      <c r="DD135" s="47" t="n">
        <f aca="false">DD59+DD66+DD79+DD58+DD109</f>
        <v>2109.08857237809</v>
      </c>
      <c r="DE135" s="47" t="n">
        <f aca="false">DE59+DE66+DE79+DE58+DE109</f>
        <v>2132.26536987675</v>
      </c>
      <c r="DF135" s="47" t="n">
        <f aca="false">DF59+DF66+DF79+DF58+DF109</f>
        <v>2124.01795089271</v>
      </c>
      <c r="DG135" s="47" t="n">
        <f aca="false">DG59+DG66+DG79+DG58+DG109</f>
        <v>2109.91236154365</v>
      </c>
      <c r="DH135" s="47" t="n">
        <f aca="false">DH59+DH66+DH79+DH58+DH109</f>
        <v>2109.91236154365</v>
      </c>
      <c r="DI135" s="47" t="n">
        <f aca="false">DI59+DI66+DI79+DI58+DI109</f>
        <v>2133.09821167051</v>
      </c>
      <c r="DJ135" s="47" t="n">
        <f aca="false">DJ59+DJ66+DJ79+DJ58+DJ109</f>
        <v>2124.80202858923</v>
      </c>
      <c r="DK135" s="47" t="n">
        <f aca="false">DK59+DK66+DK79+DK58+DK109</f>
        <v>2087.19177731218</v>
      </c>
      <c r="DL135" s="47" t="n">
        <f aca="false">DL59+DL66+DL79+DL58+DL109</f>
        <v>2110.3827970601</v>
      </c>
      <c r="DM135" s="47" t="n">
        <f aca="false">DM59+DM66+DM79+DM58+DM109</f>
        <v>2133.57381680801</v>
      </c>
      <c r="DN135" s="47" t="n">
        <f aca="false">DN59+DN66+DN79+DN58+DN109</f>
        <v>2125.22878470017</v>
      </c>
      <c r="DO135" s="47" t="n">
        <f aca="false">DO59+DO66+DO79+DO58+DO109</f>
        <v>2087.29657604581</v>
      </c>
      <c r="DP135" s="47" t="n">
        <f aca="false">DP59+DP66+DP79+DP58+DP109</f>
        <v>2110.4887602241</v>
      </c>
      <c r="DQ135" s="47" t="n">
        <f aca="false">DQ59+DQ66+DQ79+DQ58+DQ109</f>
        <v>2133.68094440239</v>
      </c>
      <c r="DR135" s="47" t="n">
        <f aca="false">DR59+DR66+DR79+DR58+DR109</f>
        <v>2125.28698314533</v>
      </c>
      <c r="DS135" s="47" t="n">
        <f aca="false">DS59+DS66+DS79+DS58+DS109</f>
        <v>2087.02962566063</v>
      </c>
      <c r="DT135" s="47" t="n">
        <f aca="false">DT59+DT66+DT79+DT58+DT109</f>
        <v>2110.21884372353</v>
      </c>
      <c r="DU135" s="47" t="n">
        <f aca="false">DU59+DU66+DU79+DU58+DU109</f>
        <v>2133.40806178642</v>
      </c>
      <c r="DV135" s="47" t="n">
        <f aca="false">DV59+DV66+DV79+DV58+DV109</f>
        <v>2124.96509621661</v>
      </c>
      <c r="DW135" s="47" t="n">
        <f aca="false">DW59+DW66+DW79+DW58+DW109</f>
        <v>2109.56134446918</v>
      </c>
      <c r="DX135" s="47" t="n">
        <f aca="false">DX59+DX66+DX79+DX58+DX109</f>
        <v>2109.56134446918</v>
      </c>
      <c r="DY135" s="47" t="n">
        <f aca="false">DY59+DY66+DY79+DY58+DY109</f>
        <v>2132.74333726555</v>
      </c>
      <c r="DZ135" s="47" t="n">
        <f aca="false">DZ59+DZ66+DZ79+DZ58+DZ109</f>
        <v>2124.25129733469</v>
      </c>
      <c r="EA135" s="47" t="n">
        <f aca="false">EA59+EA66+EA79+EA58+EA109</f>
        <v>2085.33387980802</v>
      </c>
      <c r="EB135" s="47" t="n">
        <f aca="false">EB59+EB66+EB79+EB58+EB109</f>
        <v>2108.50425625033</v>
      </c>
      <c r="EC135" s="47" t="n">
        <f aca="false">EC59+EC66+EC79+EC58+EC109</f>
        <v>2131.67463269264</v>
      </c>
      <c r="ED135" s="47" t="n">
        <f aca="false">ED59+ED66+ED79+ED58+ED109</f>
        <v>2123.13345362752</v>
      </c>
      <c r="EE135" s="47" t="n">
        <f aca="false">EE59+EE66+EE79+EE58+EE109</f>
        <v>2083.88102855902</v>
      </c>
      <c r="EF135" s="47" t="n">
        <f aca="false">EF59+EF66+EF79+EF58+EF109</f>
        <v>2107.03526220968</v>
      </c>
      <c r="EG135" s="47" t="n">
        <f aca="false">EG59+EG66+EG79+EG58+EG109</f>
        <v>2130.18949586034</v>
      </c>
      <c r="EH135" s="47" t="n">
        <f aca="false">EH59+EH66+EH79+EH58+EH109</f>
        <v>2121.59911832654</v>
      </c>
      <c r="EI135" s="47" t="n">
        <f aca="false">EI59+EI66+EI79+EI58+EI109</f>
        <v>2082.00830156043</v>
      </c>
      <c r="EJ135" s="47" t="n">
        <f aca="false">EJ59+EJ66+EJ79+EJ58+EJ109</f>
        <v>2105.14172713332</v>
      </c>
      <c r="EK135" s="47" t="n">
        <f aca="false">EK59+EK66+EK79+EK58+EK109</f>
        <v>2128.27515270622</v>
      </c>
      <c r="EL135" s="47" t="n">
        <f aca="false">EL59+EL66+EL79+EL58+EL109</f>
        <v>2119.63552297573</v>
      </c>
      <c r="EM135" s="47" t="n">
        <f aca="false">EM59+EM66+EM79+EM58+EM109</f>
        <v>2102.81068955117</v>
      </c>
      <c r="EN135" s="47" t="n">
        <f aca="false">EN59+EN66+EN79+EN58+EN109</f>
        <v>2102.81068955117</v>
      </c>
      <c r="EO135" s="47" t="n">
        <f aca="false">EO59+EO66+EO79+EO58+EO109</f>
        <v>2125.91849932646</v>
      </c>
    </row>
    <row r="136" customFormat="false" ht="15" hidden="false" customHeight="false" outlineLevel="0" collapsed="false">
      <c r="C136" s="25" t="s">
        <v>91</v>
      </c>
      <c r="D136" s="11" t="s">
        <v>27</v>
      </c>
      <c r="E136" s="33" t="n">
        <f aca="false">XIRR($J135:$EO135,$J$4:$EO$4)</f>
        <v>0.0949295483894887</v>
      </c>
    </row>
    <row r="137" customFormat="false" ht="15" hidden="false" customHeight="false" outlineLevel="0" collapsed="false">
      <c r="C137" s="25" t="s">
        <v>463</v>
      </c>
      <c r="D137" s="11" t="s">
        <v>33</v>
      </c>
      <c r="I137" s="56" t="n">
        <f aca="false">SUM(J137:EO137)</f>
        <v>148354.918341456</v>
      </c>
      <c r="J137" s="56" t="n">
        <f aca="false">J59+J66+J92+J96+J97+J79+J90+J98+J58+J109</f>
        <v>-4662.80993807469</v>
      </c>
      <c r="K137" s="56" t="n">
        <f aca="false">K59+K66+K92+K96+K97+K79+K90+K98+K58+K109</f>
        <v>-706.535577057768</v>
      </c>
      <c r="L137" s="56" t="n">
        <f aca="false">L59+L66+L92+L96+L97+L79+L90+L98+L58+L109</f>
        <v>-104.360496659404</v>
      </c>
      <c r="M137" s="56" t="n">
        <f aca="false">M59+M66+M92+M96+M97+M79+M90+M98+M58+M109</f>
        <v>-105.507315304013</v>
      </c>
      <c r="N137" s="56" t="n">
        <f aca="false">N59+N66+N92+N96+N97+N79+N90+N98+N58+N109</f>
        <v>-105.507315304013</v>
      </c>
      <c r="O137" s="56" t="n">
        <f aca="false">O59+O66+O92+O96+O97+O79+O90+O98+O58+O109</f>
        <v>-104.360496659404</v>
      </c>
      <c r="P137" s="56" t="n">
        <f aca="false">P59+P66+P92+P96+P97+P79+P90+P98+P58+P109</f>
        <v>-104.360496659404</v>
      </c>
      <c r="Q137" s="56" t="n">
        <f aca="false">Q59+Q66+Q92+Q96+Q97+Q79+Q90+Q98+Q58+Q109</f>
        <v>-105.507315304013</v>
      </c>
      <c r="R137" s="56" t="n">
        <f aca="false">R59+R66+R92+R96+R97+R79+R90+R98+R58+R109</f>
        <v>-3524.63966920373</v>
      </c>
      <c r="S137" s="56" t="n">
        <f aca="false">S59+S66+S92+S96+S97+S79+S90+S98+S58+S109</f>
        <v>-4957.59325787887</v>
      </c>
      <c r="T137" s="56" t="n">
        <f aca="false">T59+T66+T92+T96+T97+T79+T90+T98+T58+T109</f>
        <v>-2514.01706566111</v>
      </c>
      <c r="U137" s="56" t="n">
        <f aca="false">U59+U66+U92+U96+U97+U79+U90+U98+U58+U109</f>
        <v>-2529.14980718064</v>
      </c>
      <c r="V137" s="56" t="n">
        <f aca="false">V59+V66+V92+V96+V97+V79+V90+V98+V58+V109</f>
        <v>-2516.51869281772</v>
      </c>
      <c r="W137" s="56" t="n">
        <f aca="false">W59+W66+W92+W96+W97+W79+W90+W98+W58+W109</f>
        <v>-2450.49717096547</v>
      </c>
      <c r="X137" s="56" t="n">
        <f aca="false">X59+X66+X92+X96+X97+X79+X90+X98+X58+X109</f>
        <v>-2465.50270244277</v>
      </c>
      <c r="Y137" s="56" t="n">
        <f aca="false">Y59+Y66+Y92+Y96+Y97+Y79+Y90+Y98+Y58+Y109</f>
        <v>-4365.5744219097</v>
      </c>
      <c r="Z137" s="56" t="n">
        <f aca="false">Z59+Z66+Z92+Z96+Z97+Z79+Z90+Z98+Z58+Z109</f>
        <v>1052.5212223486</v>
      </c>
      <c r="AA137" s="56" t="n">
        <f aca="false">AA59+AA66+AA92+AA96+AA97+AA79+AA90+AA98+AA58+AA109</f>
        <v>1036.46967586843</v>
      </c>
      <c r="AB137" s="56" t="n">
        <f aca="false">AB59+AB66+AB92+AB96+AB97+AB79+AB90+AB98+AB58+AB109</f>
        <v>1047.70359180075</v>
      </c>
      <c r="AC137" s="56" t="n">
        <f aca="false">AC59+AC66+AC92+AC96+AC97+AC79+AC90+AC98+AC58+AC109</f>
        <v>1058.93271272483</v>
      </c>
      <c r="AD137" s="56" t="n">
        <f aca="false">AD59+AD66+AD92+AD96+AD97+AD79+AD90+AD98+AD58+AD109</f>
        <v>1055.11847099033</v>
      </c>
      <c r="AE137" s="56" t="n">
        <f aca="false">AE59+AE66+AE92+AE96+AE97+AE79+AE90+AE98+AE58+AE109</f>
        <v>1050.31578528232</v>
      </c>
      <c r="AF137" s="56" t="n">
        <f aca="false">AF59+AF66+AF92+AF96+AF97+AF79+AF90+AF98+AF58+AF109</f>
        <v>1050.18411816537</v>
      </c>
      <c r="AG137" s="56" t="n">
        <f aca="false">AG59+AG66+AG92+AG96+AG97+AG79+AG90+AG98+AG58+AG109</f>
        <v>1061.43898773907</v>
      </c>
      <c r="AH137" s="56" t="n">
        <f aca="false">AH59+AH66+AH92+AH96+AH97+AH79+AH90+AH98+AH58+AH109</f>
        <v>1052.82992353901</v>
      </c>
      <c r="AI137" s="56" t="n">
        <f aca="false">AI59+AI66+AI92+AI96+AI97+AI79+AI90+AI98+AI58+AI109</f>
        <v>1029.17572190408</v>
      </c>
      <c r="AJ137" s="56" t="n">
        <f aca="false">AJ59+AJ66+AJ92+AJ96+AJ97+AJ79+AJ90+AJ98+AJ58+AJ109</f>
        <v>1054.56133994644</v>
      </c>
      <c r="AK137" s="56" t="n">
        <f aca="false">AK59+AK66+AK92+AK96+AK97+AK79+AK90+AK98+AK58+AK109</f>
        <v>1065.57450460527</v>
      </c>
      <c r="AL137" s="56" t="n">
        <f aca="false">AL59+AL66+AL92+AL96+AL97+AL79+AL90+AL98+AL58+AL109</f>
        <v>1061.72754772968</v>
      </c>
      <c r="AM137" s="56" t="n">
        <f aca="false">AM59+AM66+AM92+AM96+AM97+AM79+AM90+AM98+AM58+AM109</f>
        <v>1045.04779780292</v>
      </c>
      <c r="AN137" s="56" t="n">
        <f aca="false">AN59+AN66+AN92+AN96+AN97+AN79+AN90+AN98+AN58+AN109</f>
        <v>1056.08511228644</v>
      </c>
      <c r="AO137" s="56" t="n">
        <f aca="false">AO59+AO66+AO92+AO96+AO97+AO79+AO90+AO98+AO58+AO109</f>
        <v>1067.11238358401</v>
      </c>
      <c r="AP137" s="56" t="n">
        <f aca="false">AP59+AP66+AP92+AP96+AP97+AP79+AP90+AP98+AP58+AP109</f>
        <v>1063.22747119605</v>
      </c>
      <c r="AQ137" s="56" t="n">
        <f aca="false">AQ59+AQ66+AQ92+AQ96+AQ97+AQ79+AQ90+AQ98+AQ58+AQ109</f>
        <v>1046.40253476795</v>
      </c>
      <c r="AR137" s="56" t="n">
        <f aca="false">AR59+AR66+AR92+AR96+AR97+AR79+AR90+AR98+AR58+AR109</f>
        <v>1057.45243897974</v>
      </c>
      <c r="AS137" s="56" t="n">
        <f aca="false">AS59+AS66+AS92+AS96+AS97+AS79+AS90+AS98+AS58+AS109</f>
        <v>1068.49209467159</v>
      </c>
      <c r="AT137" s="56" t="n">
        <f aca="false">AT59+AT66+AT92+AT96+AT97+AT79+AT90+AT98+AT58+AT109</f>
        <v>1064.56845783065</v>
      </c>
      <c r="AU137" s="56" t="n">
        <f aca="false">AU59+AU66+AU92+AU96+AU97+AU79+AU90+AU98+AU58+AU109</f>
        <v>1058.9774970348</v>
      </c>
      <c r="AV137" s="56" t="n">
        <f aca="false">AV59+AV66+AV92+AV96+AV97+AV79+AV90+AV98+AV58+AV109</f>
        <v>1058.6505161923</v>
      </c>
      <c r="AW137" s="56" t="n">
        <f aca="false">AW59+AW66+AW92+AW96+AW97+AW79+AW90+AW98+AW58+AW109</f>
        <v>1069.70068652881</v>
      </c>
      <c r="AX137" s="56" t="n">
        <f aca="false">AX59+AX66+AX92+AX96+AX97+AX79+AX90+AX98+AX58+AX109</f>
        <v>1065.73744560067</v>
      </c>
      <c r="AY137" s="56" t="n">
        <f aca="false">AY59+AY66+AY92+AY96+AY97+AY79+AY90+AY98+AY58+AY109</f>
        <v>1048.61635094068</v>
      </c>
      <c r="AZ137" s="56" t="n">
        <f aca="false">AZ59+AZ66+AZ92+AZ96+AZ97+AZ79+AZ90+AZ98+AZ58+AZ109</f>
        <v>1059.68593405784</v>
      </c>
      <c r="BA137" s="56" t="n">
        <f aca="false">BA59+BA66+BA92+BA96+BA97+BA79+BA90+BA98+BA58+BA109</f>
        <v>1070.74483302088</v>
      </c>
      <c r="BB137" s="56" t="n">
        <f aca="false">BB59+BB66+BB92+BB96+BB97+BB79+BB90+BB98+BB58+BB109</f>
        <v>1066.74123270937</v>
      </c>
      <c r="BC137" s="56" t="n">
        <f aca="false">BC59+BC66+BC92+BC96+BC97+BC79+BC90+BC98+BC58+BC109</f>
        <v>1049.46914579203</v>
      </c>
      <c r="BD137" s="56" t="n">
        <f aca="false">BD59+BD66+BD92+BD96+BD97+BD79+BD90+BD98+BD58+BD109</f>
        <v>1060.54575278507</v>
      </c>
      <c r="BE137" s="56" t="n">
        <f aca="false">BE59+BE66+BE92+BE96+BE97+BE79+BE90+BE98+BE58+BE109</f>
        <v>1071.61144550408</v>
      </c>
      <c r="BF137" s="56" t="n">
        <f aca="false">BF59+BF66+BF92+BF96+BF97+BF79+BF90+BF98+BF58+BF109</f>
        <v>1067.56662056116</v>
      </c>
      <c r="BG137" s="56" t="n">
        <f aca="false">BG59+BG66+BG92+BG96+BG97+BG79+BG90+BG98+BG58+BG109</f>
        <v>1050.14150650978</v>
      </c>
      <c r="BH137" s="56" t="n">
        <f aca="false">BH59+BH66+BH92+BH96+BH97+BH79+BH90+BH98+BH58+BH109</f>
        <v>1061.22313554987</v>
      </c>
      <c r="BI137" s="56" t="n">
        <f aca="false">BI59+BI66+BI92+BI96+BI97+BI79+BI90+BI98+BI58+BI109</f>
        <v>1072.29361116743</v>
      </c>
      <c r="BJ137" s="56" t="n">
        <f aca="false">BJ59+BJ66+BJ92+BJ96+BJ97+BJ79+BJ90+BJ98+BJ58+BJ109</f>
        <v>1068.20666121914</v>
      </c>
      <c r="BK137" s="56" t="n">
        <f aca="false">BK59+BK66+BK92+BK96+BK97+BK79+BK90+BK98+BK58+BK109</f>
        <v>1062.10544787863</v>
      </c>
      <c r="BL137" s="56" t="n">
        <f aca="false">BL59+BL66+BL92+BL96+BL97+BL79+BL90+BL98+BL58+BL109</f>
        <v>1061.70430077845</v>
      </c>
      <c r="BM137" s="56" t="n">
        <f aca="false">BM59+BM66+BM92+BM96+BM97+BM79+BM90+BM98+BM58+BM109</f>
        <v>1072.77738984053</v>
      </c>
      <c r="BN137" s="56" t="n">
        <f aca="false">BN59+BN66+BN92+BN96+BN97+BN79+BN90+BN98+BN58+BN109</f>
        <v>1068.64729691216</v>
      </c>
      <c r="BO137" s="56" t="n">
        <f aca="false">BO59+BO66+BO92+BO96+BO97+BO79+BO90+BO98+BO58+BO109</f>
        <v>1050.90972582538</v>
      </c>
      <c r="BP137" s="56" t="n">
        <f aca="false">BP59+BP66+BP92+BP96+BP97+BP79+BP90+BP98+BP58+BP109</f>
        <v>1061.994994624</v>
      </c>
      <c r="BQ137" s="56" t="n">
        <f aca="false">BQ59+BQ66+BQ92+BQ96+BQ97+BQ79+BQ90+BQ98+BQ58+BQ109</f>
        <v>1073.06860192442</v>
      </c>
      <c r="BR137" s="56" t="n">
        <f aca="false">BR59+BR66+BR92+BR96+BR97+BR79+BR90+BR98+BR58+BR109</f>
        <v>1068.89446720687</v>
      </c>
      <c r="BS137" s="56" t="n">
        <f aca="false">BS59+BS66+BS92+BS96+BS97+BS79+BS90+BS98+BS58+BS109</f>
        <v>1050.99743063955</v>
      </c>
      <c r="BT137" s="56" t="n">
        <f aca="false">BT59+BT66+BT92+BT96+BT97+BT79+BT90+BT98+BT58+BT109</f>
        <v>1062.08123062758</v>
      </c>
      <c r="BU137" s="56" t="n">
        <f aca="false">BU59+BU66+BU92+BU96+BU97+BU79+BU90+BU98+BU58+BU109</f>
        <v>1073.15310022314</v>
      </c>
      <c r="BV137" s="56" t="n">
        <f aca="false">BV59+BV66+BV92+BV96+BV97+BV79+BV90+BV98+BV58+BV109</f>
        <v>1068.93390746381</v>
      </c>
      <c r="BW137" s="56" t="n">
        <f aca="false">BW59+BW66+BW92+BW96+BW97+BW79+BW90+BW98+BW58+BW109</f>
        <v>1050.87514339341</v>
      </c>
      <c r="BX137" s="56" t="n">
        <f aca="false">BX59+BX66+BX92+BX96+BX97+BX79+BX90+BX98+BX58+BX109</f>
        <v>1061.95514181102</v>
      </c>
      <c r="BY137" s="56" t="n">
        <f aca="false">BY59+BY66+BY92+BY96+BY97+BY79+BY90+BY98+BY58+BY109</f>
        <v>1073.02293009855</v>
      </c>
      <c r="BZ137" s="56" t="n">
        <f aca="false">BZ59+BZ66+BZ92+BZ96+BZ97+BZ79+BZ90+BZ98+BZ58+BZ109</f>
        <v>1068.75762075428</v>
      </c>
      <c r="CA137" s="56" t="n">
        <f aca="false">CA59+CA66+CA92+CA96+CA97+CA79+CA90+CA98+CA58+CA109</f>
        <v>1062.09146412268</v>
      </c>
      <c r="CB137" s="56" t="n">
        <f aca="false">CB59+CB66+CB92+CB96+CB97+CB79+CB90+CB98+CB58+CB109</f>
        <v>1061.60183149017</v>
      </c>
      <c r="CC137" s="56" t="n">
        <f aca="false">CC59+CC66+CC92+CC96+CC97+CC79+CC90+CC98+CC58+CC109</f>
        <v>1072.6630235994</v>
      </c>
      <c r="CD137" s="56" t="n">
        <f aca="false">CD59+CD66+CD92+CD96+CD97+CD79+CD90+CD98+CD58+CD109</f>
        <v>1068.35041346821</v>
      </c>
      <c r="CE137" s="56" t="n">
        <f aca="false">CE59+CE66+CE92+CE96+CE97+CE79+CE90+CE98+CE58+CE109</f>
        <v>1049.96107426605</v>
      </c>
      <c r="CF137" s="56" t="n">
        <f aca="false">CF59+CF66+CF92+CF96+CF97+CF79+CF90+CF98+CF58+CF109</f>
        <v>1061.02602321053</v>
      </c>
      <c r="CG137" s="56" t="n">
        <f aca="false">CG59+CG66+CG92+CG96+CG97+CG79+CG90+CG98+CG58+CG109</f>
        <v>1072.07816696622</v>
      </c>
      <c r="CH137" s="56" t="n">
        <f aca="false">CH59+CH66+CH92+CH96+CH97+CH79+CH90+CH98+CH58+CH109</f>
        <v>1067.71718420335</v>
      </c>
      <c r="CI137" s="56" t="n">
        <f aca="false">CI59+CI66+CI92+CI96+CI97+CI79+CI90+CI98+CI58+CI109</f>
        <v>1049.15894365596</v>
      </c>
      <c r="CJ137" s="56" t="n">
        <f aca="false">CJ59+CJ66+CJ92+CJ96+CJ97+CJ79+CJ90+CJ98+CJ58+CJ109</f>
        <v>1060.21253318511</v>
      </c>
      <c r="CK137" s="56" t="n">
        <f aca="false">CK59+CK66+CK92+CK96+CK97+CK79+CK90+CK98+CK58+CK109</f>
        <v>1071.253002056</v>
      </c>
      <c r="CL137" s="56" t="n">
        <f aca="false">CL59+CL66+CL92+CL96+CL97+CL79+CL90+CL98+CL58+CL109</f>
        <v>1066.84244859546</v>
      </c>
      <c r="CM137" s="56" t="n">
        <f aca="false">CM59+CM66+CM92+CM96+CM97+CM79+CM90+CM98+CM58+CM109</f>
        <v>1048.11278016933</v>
      </c>
      <c r="CN137" s="56" t="n">
        <f aca="false">CN59+CN66+CN92+CN96+CN97+CN79+CN90+CN98+CN58+CN109</f>
        <v>1059.15229550377</v>
      </c>
      <c r="CO137" s="56" t="n">
        <f aca="false">CO59+CO66+CO92+CO96+CO97+CO79+CO90+CO98+CO58+CO109</f>
        <v>1070.17836167659</v>
      </c>
      <c r="CP137" s="56" t="n">
        <f aca="false">CP59+CP66+CP92+CP96+CP97+CP79+CP90+CP98+CP58+CP109</f>
        <v>1065.71698850569</v>
      </c>
      <c r="CQ137" s="56" t="n">
        <f aca="false">CQ59+CQ66+CQ92+CQ96+CQ97+CQ79+CQ90+CQ98+CQ58+CQ109</f>
        <v>1058.4243970233</v>
      </c>
      <c r="CR137" s="56" t="n">
        <f aca="false">CR59+CR66+CR92+CR96+CR97+CR79+CR90+CR98+CR58+CR109</f>
        <v>1057.82913603389</v>
      </c>
      <c r="CS137" s="56" t="n">
        <f aca="false">CS59+CS66+CS92+CS96+CS97+CS79+CS90+CS98+CS58+CS109</f>
        <v>2204.30998870515</v>
      </c>
      <c r="CT137" s="56" t="n">
        <f aca="false">CT59+CT66+CT92+CT96+CT97+CT79+CT90+CT98+CT58+CT109</f>
        <v>2212.52971834289</v>
      </c>
      <c r="CU137" s="56" t="n">
        <f aca="false">CU59+CU66+CU92+CU96+CU97+CU79+CU90+CU98+CU58+CU109</f>
        <v>2174.15672572376</v>
      </c>
      <c r="CV137" s="56" t="n">
        <f aca="false">CV59+CV66+CV92+CV96+CV97+CV79+CV90+CV98+CV58+CV109</f>
        <v>2198.31402267624</v>
      </c>
      <c r="CW137" s="56" t="n">
        <f aca="false">CW59+CW66+CW92+CW96+CW97+CW79+CW90+CW98+CW58+CW109</f>
        <v>2222.47131962873</v>
      </c>
      <c r="CX137" s="56" t="n">
        <f aca="false">CX59+CX66+CX92+CX96+CX97+CX79+CX90+CX98+CX58+CX109</f>
        <v>2214.32115556524</v>
      </c>
      <c r="CY137" s="56" t="n">
        <f aca="false">CY59+CY66+CY92+CY96+CY97+CY79+CY90+CY98+CY58+CY109</f>
        <v>2175.63852130436</v>
      </c>
      <c r="CZ137" s="56" t="n">
        <f aca="false">CZ59+CZ66+CZ92+CZ96+CZ97+CZ79+CZ90+CZ98+CZ58+CZ109</f>
        <v>2199.81228265219</v>
      </c>
      <c r="DA137" s="56" t="n">
        <f aca="false">DA59+DA66+DA92+DA96+DA97+DA79+DA90+DA98+DA58+DA109</f>
        <v>2223.98604400001</v>
      </c>
      <c r="DB137" s="56" t="n">
        <f aca="false">DB59+DB66+DB92+DB96+DB97+DB79+DB90+DB98+DB58+DB109</f>
        <v>2122.88750313241</v>
      </c>
      <c r="DC137" s="56" t="n">
        <f aca="false">DC59+DC66+DC92+DC96+DC97+DC79+DC90+DC98+DC58+DC109</f>
        <v>2085.91177487943</v>
      </c>
      <c r="DD137" s="56" t="n">
        <f aca="false">DD59+DD66+DD92+DD96+DD97+DD79+DD90+DD98+DD58+DD109</f>
        <v>2109.08857237809</v>
      </c>
      <c r="DE137" s="56" t="n">
        <f aca="false">DE59+DE66+DE92+DE96+DE97+DE79+DE90+DE98+DE58+DE109</f>
        <v>2132.26536987675</v>
      </c>
      <c r="DF137" s="56" t="n">
        <f aca="false">DF59+DF66+DF92+DF96+DF97+DF79+DF90+DF98+DF58+DF109</f>
        <v>2124.01795089271</v>
      </c>
      <c r="DG137" s="56" t="n">
        <f aca="false">DG59+DG66+DG92+DG96+DG97+DG79+DG90+DG98+DG58+DG109</f>
        <v>2109.91236154365</v>
      </c>
      <c r="DH137" s="56" t="n">
        <f aca="false">DH59+DH66+DH92+DH96+DH97+DH79+DH90+DH98+DH58+DH109</f>
        <v>2109.91236154365</v>
      </c>
      <c r="DI137" s="56" t="n">
        <f aca="false">DI59+DI66+DI92+DI96+DI97+DI79+DI90+DI98+DI58+DI109</f>
        <v>2133.09821167051</v>
      </c>
      <c r="DJ137" s="56" t="n">
        <f aca="false">DJ59+DJ66+DJ92+DJ96+DJ97+DJ79+DJ90+DJ98+DJ58+DJ109</f>
        <v>2124.80202858923</v>
      </c>
      <c r="DK137" s="56" t="n">
        <f aca="false">DK59+DK66+DK92+DK96+DK97+DK79+DK90+DK98+DK58+DK109</f>
        <v>2087.19177731218</v>
      </c>
      <c r="DL137" s="56" t="n">
        <f aca="false">DL59+DL66+DL92+DL96+DL97+DL79+DL90+DL98+DL58+DL109</f>
        <v>2110.3827970601</v>
      </c>
      <c r="DM137" s="56" t="n">
        <f aca="false">DM59+DM66+DM92+DM96+DM97+DM79+DM90+DM98+DM58+DM109</f>
        <v>2133.57381680801</v>
      </c>
      <c r="DN137" s="56" t="n">
        <f aca="false">DN59+DN66+DN92+DN96+DN97+DN79+DN90+DN98+DN58+DN109</f>
        <v>2125.22878470017</v>
      </c>
      <c r="DO137" s="56" t="n">
        <f aca="false">DO59+DO66+DO92+DO96+DO97+DO79+DO90+DO98+DO58+DO109</f>
        <v>2087.29657604581</v>
      </c>
      <c r="DP137" s="56" t="n">
        <f aca="false">DP59+DP66+DP92+DP96+DP97+DP79+DP90+DP98+DP58+DP109</f>
        <v>2110.4887602241</v>
      </c>
      <c r="DQ137" s="56" t="n">
        <f aca="false">DQ59+DQ66+DQ92+DQ96+DQ97+DQ79+DQ90+DQ98+DQ58+DQ109</f>
        <v>2133.68094440239</v>
      </c>
      <c r="DR137" s="56" t="n">
        <f aca="false">DR59+DR66+DR92+DR96+DR97+DR79+DR90+DR98+DR58+DR109</f>
        <v>2125.28698314533</v>
      </c>
      <c r="DS137" s="56" t="n">
        <f aca="false">DS59+DS66+DS92+DS96+DS97+DS79+DS90+DS98+DS58+DS109</f>
        <v>2087.02962566063</v>
      </c>
      <c r="DT137" s="56" t="n">
        <f aca="false">DT59+DT66+DT92+DT96+DT97+DT79+DT90+DT98+DT58+DT109</f>
        <v>2110.21884372353</v>
      </c>
      <c r="DU137" s="56" t="n">
        <f aca="false">DU59+DU66+DU92+DU96+DU97+DU79+DU90+DU98+DU58+DU109</f>
        <v>2133.40806178642</v>
      </c>
      <c r="DV137" s="56" t="n">
        <f aca="false">DV59+DV66+DV92+DV96+DV97+DV79+DV90+DV98+DV58+DV109</f>
        <v>2124.96509621661</v>
      </c>
      <c r="DW137" s="56" t="n">
        <f aca="false">DW59+DW66+DW92+DW96+DW97+DW79+DW90+DW98+DW58+DW109</f>
        <v>2109.56134446918</v>
      </c>
      <c r="DX137" s="56" t="n">
        <f aca="false">DX59+DX66+DX92+DX96+DX97+DX79+DX90+DX98+DX58+DX109</f>
        <v>2109.56134446918</v>
      </c>
      <c r="DY137" s="56" t="n">
        <f aca="false">DY59+DY66+DY92+DY96+DY97+DY79+DY90+DY98+DY58+DY109</f>
        <v>2132.74333726555</v>
      </c>
      <c r="DZ137" s="56" t="n">
        <f aca="false">DZ59+DZ66+DZ92+DZ96+DZ97+DZ79+DZ90+DZ98+DZ58+DZ109</f>
        <v>2124.25129733469</v>
      </c>
      <c r="EA137" s="56" t="n">
        <f aca="false">EA59+EA66+EA92+EA96+EA97+EA79+EA90+EA98+EA58+EA109</f>
        <v>2085.33387980802</v>
      </c>
      <c r="EB137" s="56" t="n">
        <f aca="false">EB59+EB66+EB92+EB96+EB97+EB79+EB90+EB98+EB58+EB109</f>
        <v>2108.50425625033</v>
      </c>
      <c r="EC137" s="56" t="n">
        <f aca="false">EC59+EC66+EC92+EC96+EC97+EC79+EC90+EC98+EC58+EC109</f>
        <v>2131.67463269264</v>
      </c>
      <c r="ED137" s="56" t="n">
        <f aca="false">ED59+ED66+ED92+ED96+ED97+ED79+ED90+ED98+ED58+ED109</f>
        <v>2123.13345362752</v>
      </c>
      <c r="EE137" s="56" t="n">
        <f aca="false">EE59+EE66+EE92+EE96+EE97+EE79+EE90+EE98+EE58+EE109</f>
        <v>2083.88102855902</v>
      </c>
      <c r="EF137" s="56" t="n">
        <f aca="false">EF59+EF66+EF92+EF96+EF97+EF79+EF90+EF98+EF58+EF109</f>
        <v>2107.03526220968</v>
      </c>
      <c r="EG137" s="56" t="n">
        <f aca="false">EG59+EG66+EG92+EG96+EG97+EG79+EG90+EG98+EG58+EG109</f>
        <v>2130.18949586034</v>
      </c>
      <c r="EH137" s="56" t="n">
        <f aca="false">EH59+EH66+EH92+EH96+EH97+EH79+EH90+EH98+EH58+EH109</f>
        <v>2121.59911832654</v>
      </c>
      <c r="EI137" s="56" t="n">
        <f aca="false">EI59+EI66+EI92+EI96+EI97+EI79+EI90+EI98+EI58+EI109</f>
        <v>2082.00830156043</v>
      </c>
      <c r="EJ137" s="56" t="n">
        <f aca="false">EJ59+EJ66+EJ92+EJ96+EJ97+EJ79+EJ90+EJ98+EJ58+EJ109</f>
        <v>2105.14172713332</v>
      </c>
      <c r="EK137" s="56" t="n">
        <f aca="false">EK59+EK66+EK92+EK96+EK97+EK79+EK90+EK98+EK58+EK109</f>
        <v>2128.27515270622</v>
      </c>
      <c r="EL137" s="56" t="n">
        <f aca="false">EL59+EL66+EL92+EL96+EL97+EL79+EL90+EL98+EL58+EL109</f>
        <v>2119.63552297573</v>
      </c>
      <c r="EM137" s="56" t="n">
        <f aca="false">EM59+EM66+EM92+EM96+EM97+EM79+EM90+EM98+EM58+EM109</f>
        <v>2102.81068955117</v>
      </c>
      <c r="EN137" s="56" t="n">
        <f aca="false">EN59+EN66+EN92+EN96+EN97+EN79+EN90+EN98+EN58+EN109</f>
        <v>2102.81068955117</v>
      </c>
      <c r="EO137" s="56" t="n">
        <f aca="false">EO59+EO66+EO92+EO96+EO97+EO79+EO90+EO98+EO58+EO109</f>
        <v>2125.91849932646</v>
      </c>
    </row>
    <row r="138" customFormat="false" ht="15" hidden="false" customHeight="false" outlineLevel="0" collapsed="false">
      <c r="C138" s="25" t="s">
        <v>88</v>
      </c>
      <c r="D138" s="11" t="s">
        <v>27</v>
      </c>
      <c r="E138" s="33" t="n">
        <f aca="false">XIRR($J137:$EO137,$J$4:$EO$4)</f>
        <v>0.12592370397166</v>
      </c>
    </row>
    <row r="139" customFormat="false" ht="15" hidden="false" customHeight="false" outlineLevel="0" collapsed="false">
      <c r="C139" s="25" t="s">
        <v>89</v>
      </c>
      <c r="D139" s="11" t="s">
        <v>13</v>
      </c>
      <c r="E139" s="59" t="n">
        <f aca="false">SUMIF($J137:$EO137,"&gt;0")/-SUMIF($J137:$EO137,"&lt;0")</f>
        <v>5.73637782064561</v>
      </c>
    </row>
    <row r="140" customFormat="false" ht="15" hidden="false" customHeight="false" outlineLevel="0" collapsed="false">
      <c r="C140" s="25" t="s">
        <v>90</v>
      </c>
      <c r="D140" s="11" t="s">
        <v>33</v>
      </c>
      <c r="E140" s="56" t="n">
        <f aca="false">XNPV(In_Discount_Rate,$J137:$EO137,$J$4:$EO$4)</f>
        <v>16928.9551785453</v>
      </c>
    </row>
    <row r="142" customFormat="false" ht="15" hidden="false" customHeight="false" outlineLevel="0" collapsed="false">
      <c r="C142" s="41" t="s">
        <v>158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O34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8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9" min="7" style="0" width="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2" customFormat="false" ht="15" hidden="false" customHeight="false" outlineLevel="0" collapsed="false">
      <c r="A2" s="1"/>
      <c r="B2" s="1" t="str">
        <f aca="false">Dashboard!$C$3&amp;" – Checks"</f>
        <v>Project Bana – Checks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4" customFormat="false" ht="15" hidden="false" customHeight="false" outlineLevel="0" collapsed="false">
      <c r="C4" s="0" t="s">
        <v>365</v>
      </c>
      <c r="J4" s="20" t="n">
        <f aca="false">Calc_1!J$4</f>
        <v>46387</v>
      </c>
      <c r="K4" s="20" t="n">
        <f aca="false">Calc_1!K$4</f>
        <v>46477</v>
      </c>
      <c r="L4" s="20" t="n">
        <f aca="false">Calc_1!L$4</f>
        <v>46568</v>
      </c>
      <c r="M4" s="20" t="n">
        <f aca="false">Calc_1!M$4</f>
        <v>46660</v>
      </c>
      <c r="N4" s="20" t="n">
        <f aca="false">Calc_1!N$4</f>
        <v>46752</v>
      </c>
      <c r="O4" s="20" t="n">
        <f aca="false">Calc_1!O$4</f>
        <v>46843</v>
      </c>
      <c r="P4" s="20" t="n">
        <f aca="false">Calc_1!P$4</f>
        <v>46934</v>
      </c>
      <c r="Q4" s="20" t="n">
        <f aca="false">Calc_1!Q$4</f>
        <v>47026</v>
      </c>
      <c r="R4" s="20" t="n">
        <f aca="false">Calc_1!R$4</f>
        <v>47118</v>
      </c>
      <c r="S4" s="20" t="n">
        <f aca="false">Calc_1!S$4</f>
        <v>47208</v>
      </c>
      <c r="T4" s="20" t="n">
        <f aca="false">Calc_1!T$4</f>
        <v>47299</v>
      </c>
      <c r="U4" s="20" t="n">
        <f aca="false">Calc_1!U$4</f>
        <v>47391</v>
      </c>
      <c r="V4" s="20" t="n">
        <f aca="false">Calc_1!V$4</f>
        <v>47483</v>
      </c>
      <c r="W4" s="20" t="n">
        <f aca="false">Calc_1!W$4</f>
        <v>47573</v>
      </c>
      <c r="X4" s="20" t="n">
        <f aca="false">Calc_1!X$4</f>
        <v>47664</v>
      </c>
      <c r="Y4" s="20" t="n">
        <f aca="false">Calc_1!Y$4</f>
        <v>47756</v>
      </c>
      <c r="Z4" s="20" t="n">
        <f aca="false">Calc_1!Z$4</f>
        <v>47848</v>
      </c>
      <c r="AA4" s="20" t="n">
        <f aca="false">Calc_1!AA$4</f>
        <v>47938</v>
      </c>
      <c r="AB4" s="20" t="n">
        <f aca="false">Calc_1!AB$4</f>
        <v>48029</v>
      </c>
      <c r="AC4" s="20" t="n">
        <f aca="false">Calc_1!AC$4</f>
        <v>48121</v>
      </c>
      <c r="AD4" s="20" t="n">
        <f aca="false">Calc_1!AD$4</f>
        <v>48213</v>
      </c>
      <c r="AE4" s="20" t="n">
        <f aca="false">Calc_1!AE$4</f>
        <v>48304</v>
      </c>
      <c r="AF4" s="20" t="n">
        <f aca="false">Calc_1!AF$4</f>
        <v>48395</v>
      </c>
      <c r="AG4" s="20" t="n">
        <f aca="false">Calc_1!AG$4</f>
        <v>48487</v>
      </c>
      <c r="AH4" s="20" t="n">
        <f aca="false">Calc_1!AH$4</f>
        <v>48579</v>
      </c>
      <c r="AI4" s="20" t="n">
        <f aca="false">Calc_1!AI$4</f>
        <v>48669</v>
      </c>
      <c r="AJ4" s="20" t="n">
        <f aca="false">Calc_1!AJ$4</f>
        <v>48760</v>
      </c>
      <c r="AK4" s="20" t="n">
        <f aca="false">Calc_1!AK$4</f>
        <v>48852</v>
      </c>
      <c r="AL4" s="20" t="n">
        <f aca="false">Calc_1!AL$4</f>
        <v>48944</v>
      </c>
      <c r="AM4" s="20" t="n">
        <f aca="false">Calc_1!AM$4</f>
        <v>49034</v>
      </c>
      <c r="AN4" s="20" t="n">
        <f aca="false">Calc_1!AN$4</f>
        <v>49125</v>
      </c>
      <c r="AO4" s="20" t="n">
        <f aca="false">Calc_1!AO$4</f>
        <v>49217</v>
      </c>
      <c r="AP4" s="20" t="n">
        <f aca="false">Calc_1!AP$4</f>
        <v>49309</v>
      </c>
      <c r="AQ4" s="20" t="n">
        <f aca="false">Calc_1!AQ$4</f>
        <v>49399</v>
      </c>
      <c r="AR4" s="20" t="n">
        <f aca="false">Calc_1!AR$4</f>
        <v>49490</v>
      </c>
      <c r="AS4" s="20" t="n">
        <f aca="false">Calc_1!AS$4</f>
        <v>49582</v>
      </c>
      <c r="AT4" s="20" t="n">
        <f aca="false">Calc_1!AT$4</f>
        <v>49674</v>
      </c>
      <c r="AU4" s="20" t="n">
        <f aca="false">Calc_1!AU$4</f>
        <v>49765</v>
      </c>
      <c r="AV4" s="20" t="n">
        <f aca="false">Calc_1!AV$4</f>
        <v>49856</v>
      </c>
      <c r="AW4" s="20" t="n">
        <f aca="false">Calc_1!AW$4</f>
        <v>49948</v>
      </c>
      <c r="AX4" s="20" t="n">
        <f aca="false">Calc_1!AX$4</f>
        <v>50040</v>
      </c>
      <c r="AY4" s="20" t="n">
        <f aca="false">Calc_1!AY$4</f>
        <v>50130</v>
      </c>
      <c r="AZ4" s="20" t="n">
        <f aca="false">Calc_1!AZ$4</f>
        <v>50221</v>
      </c>
      <c r="BA4" s="20" t="n">
        <f aca="false">Calc_1!BA$4</f>
        <v>50313</v>
      </c>
      <c r="BB4" s="20" t="n">
        <f aca="false">Calc_1!BB$4</f>
        <v>50405</v>
      </c>
      <c r="BC4" s="20" t="n">
        <f aca="false">Calc_1!BC$4</f>
        <v>50495</v>
      </c>
      <c r="BD4" s="20" t="n">
        <f aca="false">Calc_1!BD$4</f>
        <v>50586</v>
      </c>
      <c r="BE4" s="20" t="n">
        <f aca="false">Calc_1!BE$4</f>
        <v>50678</v>
      </c>
      <c r="BF4" s="20" t="n">
        <f aca="false">Calc_1!BF$4</f>
        <v>50770</v>
      </c>
      <c r="BG4" s="20" t="n">
        <f aca="false">Calc_1!BG$4</f>
        <v>50860</v>
      </c>
      <c r="BH4" s="20" t="n">
        <f aca="false">Calc_1!BH$4</f>
        <v>50951</v>
      </c>
      <c r="BI4" s="20" t="n">
        <f aca="false">Calc_1!BI$4</f>
        <v>51043</v>
      </c>
      <c r="BJ4" s="20" t="n">
        <f aca="false">Calc_1!BJ$4</f>
        <v>51135</v>
      </c>
      <c r="BK4" s="20" t="n">
        <f aca="false">Calc_1!BK$4</f>
        <v>51226</v>
      </c>
      <c r="BL4" s="20" t="n">
        <f aca="false">Calc_1!BL$4</f>
        <v>51317</v>
      </c>
      <c r="BM4" s="20" t="n">
        <f aca="false">Calc_1!BM$4</f>
        <v>51409</v>
      </c>
      <c r="BN4" s="20" t="n">
        <f aca="false">Calc_1!BN$4</f>
        <v>51501</v>
      </c>
      <c r="BO4" s="20" t="n">
        <f aca="false">Calc_1!BO$4</f>
        <v>51591</v>
      </c>
      <c r="BP4" s="20" t="n">
        <f aca="false">Calc_1!BP$4</f>
        <v>51682</v>
      </c>
      <c r="BQ4" s="20" t="n">
        <f aca="false">Calc_1!BQ$4</f>
        <v>51774</v>
      </c>
      <c r="BR4" s="20" t="n">
        <f aca="false">Calc_1!BR$4</f>
        <v>51866</v>
      </c>
      <c r="BS4" s="20" t="n">
        <f aca="false">Calc_1!BS$4</f>
        <v>51956</v>
      </c>
      <c r="BT4" s="20" t="n">
        <f aca="false">Calc_1!BT$4</f>
        <v>52047</v>
      </c>
      <c r="BU4" s="20" t="n">
        <f aca="false">Calc_1!BU$4</f>
        <v>52139</v>
      </c>
      <c r="BV4" s="20" t="n">
        <f aca="false">Calc_1!BV$4</f>
        <v>52231</v>
      </c>
      <c r="BW4" s="20" t="n">
        <f aca="false">Calc_1!BW$4</f>
        <v>52321</v>
      </c>
      <c r="BX4" s="20" t="n">
        <f aca="false">Calc_1!BX$4</f>
        <v>52412</v>
      </c>
      <c r="BY4" s="20" t="n">
        <f aca="false">Calc_1!BY$4</f>
        <v>52504</v>
      </c>
      <c r="BZ4" s="20" t="n">
        <f aca="false">Calc_1!BZ$4</f>
        <v>52596</v>
      </c>
      <c r="CA4" s="20" t="n">
        <f aca="false">Calc_1!CA$4</f>
        <v>52687</v>
      </c>
      <c r="CB4" s="20" t="n">
        <f aca="false">Calc_1!CB$4</f>
        <v>52778</v>
      </c>
      <c r="CC4" s="20" t="n">
        <f aca="false">Calc_1!CC$4</f>
        <v>52870</v>
      </c>
      <c r="CD4" s="20" t="n">
        <f aca="false">Calc_1!CD$4</f>
        <v>52962</v>
      </c>
      <c r="CE4" s="20" t="n">
        <f aca="false">Calc_1!CE$4</f>
        <v>53052</v>
      </c>
      <c r="CF4" s="20" t="n">
        <f aca="false">Calc_1!CF$4</f>
        <v>53143</v>
      </c>
      <c r="CG4" s="20" t="n">
        <f aca="false">Calc_1!CG$4</f>
        <v>53235</v>
      </c>
      <c r="CH4" s="20" t="n">
        <f aca="false">Calc_1!CH$4</f>
        <v>53327</v>
      </c>
      <c r="CI4" s="20" t="n">
        <f aca="false">Calc_1!CI$4</f>
        <v>53417</v>
      </c>
      <c r="CJ4" s="20" t="n">
        <f aca="false">Calc_1!CJ$4</f>
        <v>53508</v>
      </c>
      <c r="CK4" s="20" t="n">
        <f aca="false">Calc_1!CK$4</f>
        <v>53600</v>
      </c>
      <c r="CL4" s="20" t="n">
        <f aca="false">Calc_1!CL$4</f>
        <v>53692</v>
      </c>
      <c r="CM4" s="20" t="n">
        <f aca="false">Calc_1!CM$4</f>
        <v>53782</v>
      </c>
      <c r="CN4" s="20" t="n">
        <f aca="false">Calc_1!CN$4</f>
        <v>53873</v>
      </c>
      <c r="CO4" s="20" t="n">
        <f aca="false">Calc_1!CO$4</f>
        <v>53965</v>
      </c>
      <c r="CP4" s="20" t="n">
        <f aca="false">Calc_1!CP$4</f>
        <v>54057</v>
      </c>
      <c r="CQ4" s="20" t="n">
        <f aca="false">Calc_1!CQ$4</f>
        <v>54148</v>
      </c>
      <c r="CR4" s="20" t="n">
        <f aca="false">Calc_1!CR$4</f>
        <v>54239</v>
      </c>
      <c r="CS4" s="20" t="n">
        <f aca="false">Calc_1!CS$4</f>
        <v>54331</v>
      </c>
      <c r="CT4" s="20" t="n">
        <f aca="false">Calc_1!CT$4</f>
        <v>54423</v>
      </c>
      <c r="CU4" s="20" t="n">
        <f aca="false">Calc_1!CU$4</f>
        <v>54513</v>
      </c>
      <c r="CV4" s="20" t="n">
        <f aca="false">Calc_1!CV$4</f>
        <v>54604</v>
      </c>
      <c r="CW4" s="20" t="n">
        <f aca="false">Calc_1!CW$4</f>
        <v>54696</v>
      </c>
      <c r="CX4" s="20" t="n">
        <f aca="false">Calc_1!CX$4</f>
        <v>54788</v>
      </c>
      <c r="CY4" s="20" t="n">
        <f aca="false">Calc_1!CY$4</f>
        <v>54878</v>
      </c>
      <c r="CZ4" s="20" t="n">
        <f aca="false">Calc_1!CZ$4</f>
        <v>54969</v>
      </c>
      <c r="DA4" s="20" t="n">
        <f aca="false">Calc_1!DA$4</f>
        <v>55061</v>
      </c>
      <c r="DB4" s="20" t="n">
        <f aca="false">Calc_1!DB$4</f>
        <v>55153</v>
      </c>
      <c r="DC4" s="20" t="n">
        <f aca="false">Calc_1!DC$4</f>
        <v>55243</v>
      </c>
      <c r="DD4" s="20" t="n">
        <f aca="false">Calc_1!DD$4</f>
        <v>55334</v>
      </c>
      <c r="DE4" s="20" t="n">
        <f aca="false">Calc_1!DE$4</f>
        <v>55426</v>
      </c>
      <c r="DF4" s="20" t="n">
        <f aca="false">Calc_1!DF$4</f>
        <v>55518</v>
      </c>
      <c r="DG4" s="20" t="n">
        <f aca="false">Calc_1!DG$4</f>
        <v>55609</v>
      </c>
      <c r="DH4" s="20" t="n">
        <f aca="false">Calc_1!DH$4</f>
        <v>55700</v>
      </c>
      <c r="DI4" s="20" t="n">
        <f aca="false">Calc_1!DI$4</f>
        <v>55792</v>
      </c>
      <c r="DJ4" s="20" t="n">
        <f aca="false">Calc_1!DJ$4</f>
        <v>55884</v>
      </c>
      <c r="DK4" s="20" t="n">
        <f aca="false">Calc_1!DK$4</f>
        <v>55974</v>
      </c>
      <c r="DL4" s="20" t="n">
        <f aca="false">Calc_1!DL$4</f>
        <v>56065</v>
      </c>
      <c r="DM4" s="20" t="n">
        <f aca="false">Calc_1!DM$4</f>
        <v>56157</v>
      </c>
      <c r="DN4" s="20" t="n">
        <f aca="false">Calc_1!DN$4</f>
        <v>56249</v>
      </c>
      <c r="DO4" s="20" t="n">
        <f aca="false">Calc_1!DO$4</f>
        <v>56339</v>
      </c>
      <c r="DP4" s="20" t="n">
        <f aca="false">Calc_1!DP$4</f>
        <v>56430</v>
      </c>
      <c r="DQ4" s="20" t="n">
        <f aca="false">Calc_1!DQ$4</f>
        <v>56522</v>
      </c>
      <c r="DR4" s="20" t="n">
        <f aca="false">Calc_1!DR$4</f>
        <v>56614</v>
      </c>
      <c r="DS4" s="20" t="n">
        <f aca="false">Calc_1!DS$4</f>
        <v>56704</v>
      </c>
      <c r="DT4" s="20" t="n">
        <f aca="false">Calc_1!DT$4</f>
        <v>56795</v>
      </c>
      <c r="DU4" s="20" t="n">
        <f aca="false">Calc_1!DU$4</f>
        <v>56887</v>
      </c>
      <c r="DV4" s="20" t="n">
        <f aca="false">Calc_1!DV$4</f>
        <v>56979</v>
      </c>
      <c r="DW4" s="20" t="n">
        <f aca="false">Calc_1!DW$4</f>
        <v>57070</v>
      </c>
      <c r="DX4" s="20" t="n">
        <f aca="false">Calc_1!DX$4</f>
        <v>57161</v>
      </c>
      <c r="DY4" s="20" t="n">
        <f aca="false">Calc_1!DY$4</f>
        <v>57253</v>
      </c>
      <c r="DZ4" s="20" t="n">
        <f aca="false">Calc_1!DZ$4</f>
        <v>57345</v>
      </c>
      <c r="EA4" s="20" t="n">
        <f aca="false">Calc_1!EA$4</f>
        <v>57435</v>
      </c>
      <c r="EB4" s="20" t="n">
        <f aca="false">Calc_1!EB$4</f>
        <v>57526</v>
      </c>
      <c r="EC4" s="20" t="n">
        <f aca="false">Calc_1!EC$4</f>
        <v>57618</v>
      </c>
      <c r="ED4" s="20" t="n">
        <f aca="false">Calc_1!ED$4</f>
        <v>57710</v>
      </c>
      <c r="EE4" s="20" t="n">
        <f aca="false">Calc_1!EE$4</f>
        <v>57800</v>
      </c>
      <c r="EF4" s="20" t="n">
        <f aca="false">Calc_1!EF$4</f>
        <v>57891</v>
      </c>
      <c r="EG4" s="20" t="n">
        <f aca="false">Calc_1!EG$4</f>
        <v>57983</v>
      </c>
      <c r="EH4" s="20" t="n">
        <f aca="false">Calc_1!EH$4</f>
        <v>58075</v>
      </c>
      <c r="EI4" s="20" t="n">
        <f aca="false">Calc_1!EI$4</f>
        <v>58165</v>
      </c>
      <c r="EJ4" s="20" t="n">
        <f aca="false">Calc_1!EJ$4</f>
        <v>58256</v>
      </c>
      <c r="EK4" s="20" t="n">
        <f aca="false">Calc_1!EK$4</f>
        <v>58348</v>
      </c>
      <c r="EL4" s="20" t="n">
        <f aca="false">Calc_1!EL$4</f>
        <v>58440</v>
      </c>
      <c r="EM4" s="20" t="n">
        <f aca="false">Calc_1!EM$4</f>
        <v>58531</v>
      </c>
      <c r="EN4" s="20" t="n">
        <f aca="false">Calc_1!EN$4</f>
        <v>58622</v>
      </c>
      <c r="EO4" s="20" t="n">
        <f aca="false">Calc_1!EO$4</f>
        <v>58714</v>
      </c>
    </row>
    <row r="9" customFormat="false" ht="15" hidden="false" customHeight="false" outlineLevel="0" collapsed="false">
      <c r="E9" s="8" t="s">
        <v>464</v>
      </c>
      <c r="F9" s="8" t="s">
        <v>465</v>
      </c>
    </row>
    <row r="11" customFormat="false" ht="15" hidden="false" customHeight="false" outlineLevel="0" collapsed="false">
      <c r="A11" s="9" t="s">
        <v>13</v>
      </c>
      <c r="B11" s="9"/>
      <c r="C11" s="9" t="s">
        <v>466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467</v>
      </c>
      <c r="D12" s="11" t="s">
        <v>43</v>
      </c>
      <c r="E12" s="27" t="str">
        <f aca="false">IF(F12=0,"OK","CHECK")</f>
        <v>OK</v>
      </c>
      <c r="F12" s="49" t="n">
        <f aca="false">N(Tax_1_Delta&gt;Tolerance)</f>
        <v>0</v>
      </c>
    </row>
    <row r="13" customFormat="false" ht="15" hidden="false" customHeight="false" outlineLevel="0" collapsed="false">
      <c r="C13" s="0" t="s">
        <v>468</v>
      </c>
      <c r="D13" s="11" t="s">
        <v>43</v>
      </c>
      <c r="E13" s="27" t="str">
        <f aca="false">IF(F13=0,"OK","CHECK")</f>
        <v>OK</v>
      </c>
      <c r="F13" s="49" t="n">
        <f aca="false">N(Tax_2_Delta&gt;Tolerance)</f>
        <v>0</v>
      </c>
    </row>
    <row r="14" customFormat="false" ht="15" hidden="false" customHeight="false" outlineLevel="0" collapsed="false">
      <c r="C14" s="0" t="s">
        <v>469</v>
      </c>
      <c r="D14" s="11" t="s">
        <v>43</v>
      </c>
      <c r="E14" s="27" t="str">
        <f aca="false">IF(F14=0,"OK","CHECK")</f>
        <v>OK</v>
      </c>
      <c r="F14" s="49" t="n">
        <f aca="false">N(Calc_1!$E41+Calc_1!$F41&gt;0)</f>
        <v>0</v>
      </c>
    </row>
    <row r="15" customFormat="false" ht="15" hidden="false" customHeight="false" outlineLevel="0" collapsed="false">
      <c r="C15" s="0" t="s">
        <v>470</v>
      </c>
      <c r="D15" s="11" t="s">
        <v>43</v>
      </c>
      <c r="E15" s="27" t="str">
        <f aca="false">IF(F15=0,"OK","CHECK")</f>
        <v>OK</v>
      </c>
      <c r="F15" s="49" t="n">
        <f aca="false">N(Calc_2!$E41+Calc_2!$F41&gt;0)</f>
        <v>0</v>
      </c>
    </row>
    <row r="16" customFormat="false" ht="15" hidden="false" customHeight="false" outlineLevel="0" collapsed="false">
      <c r="C16" s="0" t="s">
        <v>471</v>
      </c>
      <c r="D16" s="11" t="s">
        <v>43</v>
      </c>
      <c r="E16" s="27" t="str">
        <f aca="false">IF(F16=0,"OK","CHECK")</f>
        <v>OK</v>
      </c>
      <c r="F16" s="49" t="n">
        <f aca="false">N(COUNTIF(Calc_1!$J$4:$EO$4,In_COD)=0)</f>
        <v>0</v>
      </c>
    </row>
    <row r="17" customFormat="false" ht="15" hidden="false" customHeight="false" outlineLevel="0" collapsed="false">
      <c r="C17" s="0" t="s">
        <v>472</v>
      </c>
      <c r="D17" s="11" t="s">
        <v>43</v>
      </c>
      <c r="E17" s="27" t="str">
        <f aca="false">IF(F17=0,"OK","CHECK")</f>
        <v>OK</v>
      </c>
      <c r="F17" s="49" t="n">
        <f aca="false">N(COUNTIF(Calc_2!$J$4:$EO$4,In_COD)=0)</f>
        <v>0</v>
      </c>
    </row>
    <row r="18" customFormat="false" ht="15" hidden="false" customHeight="false" outlineLevel="0" collapsed="false">
      <c r="C18" s="0" t="s">
        <v>473</v>
      </c>
      <c r="D18" s="11" t="s">
        <v>43</v>
      </c>
      <c r="E18" s="27" t="str">
        <f aca="false">IF(F18=0,"OK","CHECK")</f>
        <v>OK</v>
      </c>
      <c r="F18" s="49" t="n">
        <f aca="false">N(Calc_1!$F86&gt;1+Tolerance)</f>
        <v>0</v>
      </c>
    </row>
    <row r="19" customFormat="false" ht="15" hidden="false" customHeight="false" outlineLevel="0" collapsed="false">
      <c r="C19" s="0" t="s">
        <v>474</v>
      </c>
      <c r="D19" s="11" t="s">
        <v>43</v>
      </c>
      <c r="E19" s="27" t="str">
        <f aca="false">IF(F19=0,"OK","CHECK")</f>
        <v>OK</v>
      </c>
      <c r="F19" s="49" t="n">
        <f aca="false">N(Calc_2!$F86&gt;1+Tolerance)</f>
        <v>0</v>
      </c>
    </row>
    <row r="20" customFormat="false" ht="15" hidden="false" customHeight="false" outlineLevel="0" collapsed="false">
      <c r="C20" s="0" t="s">
        <v>475</v>
      </c>
      <c r="D20" s="11" t="s">
        <v>43</v>
      </c>
      <c r="E20" s="27" t="str">
        <f aca="false">IF(F20=0,"OK","CHECK")</f>
        <v>OK</v>
      </c>
      <c r="F20" s="49" t="n">
        <f aca="false">SUM(J20:EO20)</f>
        <v>0</v>
      </c>
      <c r="J20" s="49" t="n">
        <f aca="false">N((Calc_1!J$4&gt;=Calc_1!$F17)*ABS(Calc_1!J95)&gt;Tolerance)</f>
        <v>0</v>
      </c>
      <c r="K20" s="49" t="n">
        <f aca="false">N((Calc_1!K$4&gt;=Calc_1!$F17)*ABS(Calc_1!K95)&gt;Tolerance)</f>
        <v>0</v>
      </c>
      <c r="L20" s="49" t="n">
        <f aca="false">N((Calc_1!L$4&gt;=Calc_1!$F17)*ABS(Calc_1!L95)&gt;Tolerance)</f>
        <v>0</v>
      </c>
      <c r="M20" s="49" t="n">
        <f aca="false">N((Calc_1!M$4&gt;=Calc_1!$F17)*ABS(Calc_1!M95)&gt;Tolerance)</f>
        <v>0</v>
      </c>
      <c r="N20" s="49" t="n">
        <f aca="false">N((Calc_1!N$4&gt;=Calc_1!$F17)*ABS(Calc_1!N95)&gt;Tolerance)</f>
        <v>0</v>
      </c>
      <c r="O20" s="49" t="n">
        <f aca="false">N((Calc_1!O$4&gt;=Calc_1!$F17)*ABS(Calc_1!O95)&gt;Tolerance)</f>
        <v>0</v>
      </c>
      <c r="P20" s="49" t="n">
        <f aca="false">N((Calc_1!P$4&gt;=Calc_1!$F17)*ABS(Calc_1!P95)&gt;Tolerance)</f>
        <v>0</v>
      </c>
      <c r="Q20" s="49" t="n">
        <f aca="false">N((Calc_1!Q$4&gt;=Calc_1!$F17)*ABS(Calc_1!Q95)&gt;Tolerance)</f>
        <v>0</v>
      </c>
      <c r="R20" s="49" t="n">
        <f aca="false">N((Calc_1!R$4&gt;=Calc_1!$F17)*ABS(Calc_1!R95)&gt;Tolerance)</f>
        <v>0</v>
      </c>
      <c r="S20" s="49" t="n">
        <f aca="false">N((Calc_1!S$4&gt;=Calc_1!$F17)*ABS(Calc_1!S95)&gt;Tolerance)</f>
        <v>0</v>
      </c>
      <c r="T20" s="49" t="n">
        <f aca="false">N((Calc_1!T$4&gt;=Calc_1!$F17)*ABS(Calc_1!T95)&gt;Tolerance)</f>
        <v>0</v>
      </c>
      <c r="U20" s="49" t="n">
        <f aca="false">N((Calc_1!U$4&gt;=Calc_1!$F17)*ABS(Calc_1!U95)&gt;Tolerance)</f>
        <v>0</v>
      </c>
      <c r="V20" s="49" t="n">
        <f aca="false">N((Calc_1!V$4&gt;=Calc_1!$F17)*ABS(Calc_1!V95)&gt;Tolerance)</f>
        <v>0</v>
      </c>
      <c r="W20" s="49" t="n">
        <f aca="false">N((Calc_1!W$4&gt;=Calc_1!$F17)*ABS(Calc_1!W95)&gt;Tolerance)</f>
        <v>0</v>
      </c>
      <c r="X20" s="49" t="n">
        <f aca="false">N((Calc_1!X$4&gt;=Calc_1!$F17)*ABS(Calc_1!X95)&gt;Tolerance)</f>
        <v>0</v>
      </c>
      <c r="Y20" s="49" t="n">
        <f aca="false">N((Calc_1!Y$4&gt;=Calc_1!$F17)*ABS(Calc_1!Y95)&gt;Tolerance)</f>
        <v>0</v>
      </c>
      <c r="Z20" s="49" t="n">
        <f aca="false">N((Calc_1!Z$4&gt;=Calc_1!$F17)*ABS(Calc_1!Z95)&gt;Tolerance)</f>
        <v>0</v>
      </c>
      <c r="AA20" s="49" t="n">
        <f aca="false">N((Calc_1!AA$4&gt;=Calc_1!$F17)*ABS(Calc_1!AA95)&gt;Tolerance)</f>
        <v>0</v>
      </c>
      <c r="AB20" s="49" t="n">
        <f aca="false">N((Calc_1!AB$4&gt;=Calc_1!$F17)*ABS(Calc_1!AB95)&gt;Tolerance)</f>
        <v>0</v>
      </c>
      <c r="AC20" s="49" t="n">
        <f aca="false">N((Calc_1!AC$4&gt;=Calc_1!$F17)*ABS(Calc_1!AC95)&gt;Tolerance)</f>
        <v>0</v>
      </c>
      <c r="AD20" s="49" t="n">
        <f aca="false">N((Calc_1!AD$4&gt;=Calc_1!$F17)*ABS(Calc_1!AD95)&gt;Tolerance)</f>
        <v>0</v>
      </c>
      <c r="AE20" s="49" t="n">
        <f aca="false">N((Calc_1!AE$4&gt;=Calc_1!$F17)*ABS(Calc_1!AE95)&gt;Tolerance)</f>
        <v>0</v>
      </c>
      <c r="AF20" s="49" t="n">
        <f aca="false">N((Calc_1!AF$4&gt;=Calc_1!$F17)*ABS(Calc_1!AF95)&gt;Tolerance)</f>
        <v>0</v>
      </c>
      <c r="AG20" s="49" t="n">
        <f aca="false">N((Calc_1!AG$4&gt;=Calc_1!$F17)*ABS(Calc_1!AG95)&gt;Tolerance)</f>
        <v>0</v>
      </c>
      <c r="AH20" s="49" t="n">
        <f aca="false">N((Calc_1!AH$4&gt;=Calc_1!$F17)*ABS(Calc_1!AH95)&gt;Tolerance)</f>
        <v>0</v>
      </c>
      <c r="AI20" s="49" t="n">
        <f aca="false">N((Calc_1!AI$4&gt;=Calc_1!$F17)*ABS(Calc_1!AI95)&gt;Tolerance)</f>
        <v>0</v>
      </c>
      <c r="AJ20" s="49" t="n">
        <f aca="false">N((Calc_1!AJ$4&gt;=Calc_1!$F17)*ABS(Calc_1!AJ95)&gt;Tolerance)</f>
        <v>0</v>
      </c>
      <c r="AK20" s="49" t="n">
        <f aca="false">N((Calc_1!AK$4&gt;=Calc_1!$F17)*ABS(Calc_1!AK95)&gt;Tolerance)</f>
        <v>0</v>
      </c>
      <c r="AL20" s="49" t="n">
        <f aca="false">N((Calc_1!AL$4&gt;=Calc_1!$F17)*ABS(Calc_1!AL95)&gt;Tolerance)</f>
        <v>0</v>
      </c>
      <c r="AM20" s="49" t="n">
        <f aca="false">N((Calc_1!AM$4&gt;=Calc_1!$F17)*ABS(Calc_1!AM95)&gt;Tolerance)</f>
        <v>0</v>
      </c>
      <c r="AN20" s="49" t="n">
        <f aca="false">N((Calc_1!AN$4&gt;=Calc_1!$F17)*ABS(Calc_1!AN95)&gt;Tolerance)</f>
        <v>0</v>
      </c>
      <c r="AO20" s="49" t="n">
        <f aca="false">N((Calc_1!AO$4&gt;=Calc_1!$F17)*ABS(Calc_1!AO95)&gt;Tolerance)</f>
        <v>0</v>
      </c>
      <c r="AP20" s="49" t="n">
        <f aca="false">N((Calc_1!AP$4&gt;=Calc_1!$F17)*ABS(Calc_1!AP95)&gt;Tolerance)</f>
        <v>0</v>
      </c>
      <c r="AQ20" s="49" t="n">
        <f aca="false">N((Calc_1!AQ$4&gt;=Calc_1!$F17)*ABS(Calc_1!AQ95)&gt;Tolerance)</f>
        <v>0</v>
      </c>
      <c r="AR20" s="49" t="n">
        <f aca="false">N((Calc_1!AR$4&gt;=Calc_1!$F17)*ABS(Calc_1!AR95)&gt;Tolerance)</f>
        <v>0</v>
      </c>
      <c r="AS20" s="49" t="n">
        <f aca="false">N((Calc_1!AS$4&gt;=Calc_1!$F17)*ABS(Calc_1!AS95)&gt;Tolerance)</f>
        <v>0</v>
      </c>
      <c r="AT20" s="49" t="n">
        <f aca="false">N((Calc_1!AT$4&gt;=Calc_1!$F17)*ABS(Calc_1!AT95)&gt;Tolerance)</f>
        <v>0</v>
      </c>
      <c r="AU20" s="49" t="n">
        <f aca="false">N((Calc_1!AU$4&gt;=Calc_1!$F17)*ABS(Calc_1!AU95)&gt;Tolerance)</f>
        <v>0</v>
      </c>
      <c r="AV20" s="49" t="n">
        <f aca="false">N((Calc_1!AV$4&gt;=Calc_1!$F17)*ABS(Calc_1!AV95)&gt;Tolerance)</f>
        <v>0</v>
      </c>
      <c r="AW20" s="49" t="n">
        <f aca="false">N((Calc_1!AW$4&gt;=Calc_1!$F17)*ABS(Calc_1!AW95)&gt;Tolerance)</f>
        <v>0</v>
      </c>
      <c r="AX20" s="49" t="n">
        <f aca="false">N((Calc_1!AX$4&gt;=Calc_1!$F17)*ABS(Calc_1!AX95)&gt;Tolerance)</f>
        <v>0</v>
      </c>
      <c r="AY20" s="49" t="n">
        <f aca="false">N((Calc_1!AY$4&gt;=Calc_1!$F17)*ABS(Calc_1!AY95)&gt;Tolerance)</f>
        <v>0</v>
      </c>
      <c r="AZ20" s="49" t="n">
        <f aca="false">N((Calc_1!AZ$4&gt;=Calc_1!$F17)*ABS(Calc_1!AZ95)&gt;Tolerance)</f>
        <v>0</v>
      </c>
      <c r="BA20" s="49" t="n">
        <f aca="false">N((Calc_1!BA$4&gt;=Calc_1!$F17)*ABS(Calc_1!BA95)&gt;Tolerance)</f>
        <v>0</v>
      </c>
      <c r="BB20" s="49" t="n">
        <f aca="false">N((Calc_1!BB$4&gt;=Calc_1!$F17)*ABS(Calc_1!BB95)&gt;Tolerance)</f>
        <v>0</v>
      </c>
      <c r="BC20" s="49" t="n">
        <f aca="false">N((Calc_1!BC$4&gt;=Calc_1!$F17)*ABS(Calc_1!BC95)&gt;Tolerance)</f>
        <v>0</v>
      </c>
      <c r="BD20" s="49" t="n">
        <f aca="false">N((Calc_1!BD$4&gt;=Calc_1!$F17)*ABS(Calc_1!BD95)&gt;Tolerance)</f>
        <v>0</v>
      </c>
      <c r="BE20" s="49" t="n">
        <f aca="false">N((Calc_1!BE$4&gt;=Calc_1!$F17)*ABS(Calc_1!BE95)&gt;Tolerance)</f>
        <v>0</v>
      </c>
      <c r="BF20" s="49" t="n">
        <f aca="false">N((Calc_1!BF$4&gt;=Calc_1!$F17)*ABS(Calc_1!BF95)&gt;Tolerance)</f>
        <v>0</v>
      </c>
      <c r="BG20" s="49" t="n">
        <f aca="false">N((Calc_1!BG$4&gt;=Calc_1!$F17)*ABS(Calc_1!BG95)&gt;Tolerance)</f>
        <v>0</v>
      </c>
      <c r="BH20" s="49" t="n">
        <f aca="false">N((Calc_1!BH$4&gt;=Calc_1!$F17)*ABS(Calc_1!BH95)&gt;Tolerance)</f>
        <v>0</v>
      </c>
      <c r="BI20" s="49" t="n">
        <f aca="false">N((Calc_1!BI$4&gt;=Calc_1!$F17)*ABS(Calc_1!BI95)&gt;Tolerance)</f>
        <v>0</v>
      </c>
      <c r="BJ20" s="49" t="n">
        <f aca="false">N((Calc_1!BJ$4&gt;=Calc_1!$F17)*ABS(Calc_1!BJ95)&gt;Tolerance)</f>
        <v>0</v>
      </c>
      <c r="BK20" s="49" t="n">
        <f aca="false">N((Calc_1!BK$4&gt;=Calc_1!$F17)*ABS(Calc_1!BK95)&gt;Tolerance)</f>
        <v>0</v>
      </c>
      <c r="BL20" s="49" t="n">
        <f aca="false">N((Calc_1!BL$4&gt;=Calc_1!$F17)*ABS(Calc_1!BL95)&gt;Tolerance)</f>
        <v>0</v>
      </c>
      <c r="BM20" s="49" t="n">
        <f aca="false">N((Calc_1!BM$4&gt;=Calc_1!$F17)*ABS(Calc_1!BM95)&gt;Tolerance)</f>
        <v>0</v>
      </c>
      <c r="BN20" s="49" t="n">
        <f aca="false">N((Calc_1!BN$4&gt;=Calc_1!$F17)*ABS(Calc_1!BN95)&gt;Tolerance)</f>
        <v>0</v>
      </c>
      <c r="BO20" s="49" t="n">
        <f aca="false">N((Calc_1!BO$4&gt;=Calc_1!$F17)*ABS(Calc_1!BO95)&gt;Tolerance)</f>
        <v>0</v>
      </c>
      <c r="BP20" s="49" t="n">
        <f aca="false">N((Calc_1!BP$4&gt;=Calc_1!$F17)*ABS(Calc_1!BP95)&gt;Tolerance)</f>
        <v>0</v>
      </c>
      <c r="BQ20" s="49" t="n">
        <f aca="false">N((Calc_1!BQ$4&gt;=Calc_1!$F17)*ABS(Calc_1!BQ95)&gt;Tolerance)</f>
        <v>0</v>
      </c>
      <c r="BR20" s="49" t="n">
        <f aca="false">N((Calc_1!BR$4&gt;=Calc_1!$F17)*ABS(Calc_1!BR95)&gt;Tolerance)</f>
        <v>0</v>
      </c>
      <c r="BS20" s="49" t="n">
        <f aca="false">N((Calc_1!BS$4&gt;=Calc_1!$F17)*ABS(Calc_1!BS95)&gt;Tolerance)</f>
        <v>0</v>
      </c>
      <c r="BT20" s="49" t="n">
        <f aca="false">N((Calc_1!BT$4&gt;=Calc_1!$F17)*ABS(Calc_1!BT95)&gt;Tolerance)</f>
        <v>0</v>
      </c>
      <c r="BU20" s="49" t="n">
        <f aca="false">N((Calc_1!BU$4&gt;=Calc_1!$F17)*ABS(Calc_1!BU95)&gt;Tolerance)</f>
        <v>0</v>
      </c>
      <c r="BV20" s="49" t="n">
        <f aca="false">N((Calc_1!BV$4&gt;=Calc_1!$F17)*ABS(Calc_1!BV95)&gt;Tolerance)</f>
        <v>0</v>
      </c>
      <c r="BW20" s="49" t="n">
        <f aca="false">N((Calc_1!BW$4&gt;=Calc_1!$F17)*ABS(Calc_1!BW95)&gt;Tolerance)</f>
        <v>0</v>
      </c>
      <c r="BX20" s="49" t="n">
        <f aca="false">N((Calc_1!BX$4&gt;=Calc_1!$F17)*ABS(Calc_1!BX95)&gt;Tolerance)</f>
        <v>0</v>
      </c>
      <c r="BY20" s="49" t="n">
        <f aca="false">N((Calc_1!BY$4&gt;=Calc_1!$F17)*ABS(Calc_1!BY95)&gt;Tolerance)</f>
        <v>0</v>
      </c>
      <c r="BZ20" s="49" t="n">
        <f aca="false">N((Calc_1!BZ$4&gt;=Calc_1!$F17)*ABS(Calc_1!BZ95)&gt;Tolerance)</f>
        <v>0</v>
      </c>
      <c r="CA20" s="49" t="n">
        <f aca="false">N((Calc_1!CA$4&gt;=Calc_1!$F17)*ABS(Calc_1!CA95)&gt;Tolerance)</f>
        <v>0</v>
      </c>
      <c r="CB20" s="49" t="n">
        <f aca="false">N((Calc_1!CB$4&gt;=Calc_1!$F17)*ABS(Calc_1!CB95)&gt;Tolerance)</f>
        <v>0</v>
      </c>
      <c r="CC20" s="49" t="n">
        <f aca="false">N((Calc_1!CC$4&gt;=Calc_1!$F17)*ABS(Calc_1!CC95)&gt;Tolerance)</f>
        <v>0</v>
      </c>
      <c r="CD20" s="49" t="n">
        <f aca="false">N((Calc_1!CD$4&gt;=Calc_1!$F17)*ABS(Calc_1!CD95)&gt;Tolerance)</f>
        <v>0</v>
      </c>
      <c r="CE20" s="49" t="n">
        <f aca="false">N((Calc_1!CE$4&gt;=Calc_1!$F17)*ABS(Calc_1!CE95)&gt;Tolerance)</f>
        <v>0</v>
      </c>
      <c r="CF20" s="49" t="n">
        <f aca="false">N((Calc_1!CF$4&gt;=Calc_1!$F17)*ABS(Calc_1!CF95)&gt;Tolerance)</f>
        <v>0</v>
      </c>
      <c r="CG20" s="49" t="n">
        <f aca="false">N((Calc_1!CG$4&gt;=Calc_1!$F17)*ABS(Calc_1!CG95)&gt;Tolerance)</f>
        <v>0</v>
      </c>
      <c r="CH20" s="49" t="n">
        <f aca="false">N((Calc_1!CH$4&gt;=Calc_1!$F17)*ABS(Calc_1!CH95)&gt;Tolerance)</f>
        <v>0</v>
      </c>
      <c r="CI20" s="49" t="n">
        <f aca="false">N((Calc_1!CI$4&gt;=Calc_1!$F17)*ABS(Calc_1!CI95)&gt;Tolerance)</f>
        <v>0</v>
      </c>
      <c r="CJ20" s="49" t="n">
        <f aca="false">N((Calc_1!CJ$4&gt;=Calc_1!$F17)*ABS(Calc_1!CJ95)&gt;Tolerance)</f>
        <v>0</v>
      </c>
      <c r="CK20" s="49" t="n">
        <f aca="false">N((Calc_1!CK$4&gt;=Calc_1!$F17)*ABS(Calc_1!CK95)&gt;Tolerance)</f>
        <v>0</v>
      </c>
      <c r="CL20" s="49" t="n">
        <f aca="false">N((Calc_1!CL$4&gt;=Calc_1!$F17)*ABS(Calc_1!CL95)&gt;Tolerance)</f>
        <v>0</v>
      </c>
      <c r="CM20" s="49" t="n">
        <f aca="false">N((Calc_1!CM$4&gt;=Calc_1!$F17)*ABS(Calc_1!CM95)&gt;Tolerance)</f>
        <v>0</v>
      </c>
      <c r="CN20" s="49" t="n">
        <f aca="false">N((Calc_1!CN$4&gt;=Calc_1!$F17)*ABS(Calc_1!CN95)&gt;Tolerance)</f>
        <v>0</v>
      </c>
      <c r="CO20" s="49" t="n">
        <f aca="false">N((Calc_1!CO$4&gt;=Calc_1!$F17)*ABS(Calc_1!CO95)&gt;Tolerance)</f>
        <v>0</v>
      </c>
      <c r="CP20" s="49" t="n">
        <f aca="false">N((Calc_1!CP$4&gt;=Calc_1!$F17)*ABS(Calc_1!CP95)&gt;Tolerance)</f>
        <v>0</v>
      </c>
      <c r="CQ20" s="49" t="n">
        <f aca="false">N((Calc_1!CQ$4&gt;=Calc_1!$F17)*ABS(Calc_1!CQ95)&gt;Tolerance)</f>
        <v>0</v>
      </c>
      <c r="CR20" s="49" t="n">
        <f aca="false">N((Calc_1!CR$4&gt;=Calc_1!$F17)*ABS(Calc_1!CR95)&gt;Tolerance)</f>
        <v>0</v>
      </c>
      <c r="CS20" s="49" t="n">
        <f aca="false">N((Calc_1!CS$4&gt;=Calc_1!$F17)*ABS(Calc_1!CS95)&gt;Tolerance)</f>
        <v>0</v>
      </c>
      <c r="CT20" s="49" t="n">
        <f aca="false">N((Calc_1!CT$4&gt;=Calc_1!$F17)*ABS(Calc_1!CT95)&gt;Tolerance)</f>
        <v>0</v>
      </c>
      <c r="CU20" s="49" t="n">
        <f aca="false">N((Calc_1!CU$4&gt;=Calc_1!$F17)*ABS(Calc_1!CU95)&gt;Tolerance)</f>
        <v>0</v>
      </c>
      <c r="CV20" s="49" t="n">
        <f aca="false">N((Calc_1!CV$4&gt;=Calc_1!$F17)*ABS(Calc_1!CV95)&gt;Tolerance)</f>
        <v>0</v>
      </c>
      <c r="CW20" s="49" t="n">
        <f aca="false">N((Calc_1!CW$4&gt;=Calc_1!$F17)*ABS(Calc_1!CW95)&gt;Tolerance)</f>
        <v>0</v>
      </c>
      <c r="CX20" s="49" t="n">
        <f aca="false">N((Calc_1!CX$4&gt;=Calc_1!$F17)*ABS(Calc_1!CX95)&gt;Tolerance)</f>
        <v>0</v>
      </c>
      <c r="CY20" s="49" t="n">
        <f aca="false">N((Calc_1!CY$4&gt;=Calc_1!$F17)*ABS(Calc_1!CY95)&gt;Tolerance)</f>
        <v>0</v>
      </c>
      <c r="CZ20" s="49" t="n">
        <f aca="false">N((Calc_1!CZ$4&gt;=Calc_1!$F17)*ABS(Calc_1!CZ95)&gt;Tolerance)</f>
        <v>0</v>
      </c>
      <c r="DA20" s="49" t="n">
        <f aca="false">N((Calc_1!DA$4&gt;=Calc_1!$F17)*ABS(Calc_1!DA95)&gt;Tolerance)</f>
        <v>0</v>
      </c>
      <c r="DB20" s="49" t="n">
        <f aca="false">N((Calc_1!DB$4&gt;=Calc_1!$F17)*ABS(Calc_1!DB95)&gt;Tolerance)</f>
        <v>0</v>
      </c>
      <c r="DC20" s="49" t="n">
        <f aca="false">N((Calc_1!DC$4&gt;=Calc_1!$F17)*ABS(Calc_1!DC95)&gt;Tolerance)</f>
        <v>0</v>
      </c>
      <c r="DD20" s="49" t="n">
        <f aca="false">N((Calc_1!DD$4&gt;=Calc_1!$F17)*ABS(Calc_1!DD95)&gt;Tolerance)</f>
        <v>0</v>
      </c>
      <c r="DE20" s="49" t="n">
        <f aca="false">N((Calc_1!DE$4&gt;=Calc_1!$F17)*ABS(Calc_1!DE95)&gt;Tolerance)</f>
        <v>0</v>
      </c>
      <c r="DF20" s="49" t="n">
        <f aca="false">N((Calc_1!DF$4&gt;=Calc_1!$F17)*ABS(Calc_1!DF95)&gt;Tolerance)</f>
        <v>0</v>
      </c>
      <c r="DG20" s="49" t="n">
        <f aca="false">N((Calc_1!DG$4&gt;=Calc_1!$F17)*ABS(Calc_1!DG95)&gt;Tolerance)</f>
        <v>0</v>
      </c>
      <c r="DH20" s="49" t="n">
        <f aca="false">N((Calc_1!DH$4&gt;=Calc_1!$F17)*ABS(Calc_1!DH95)&gt;Tolerance)</f>
        <v>0</v>
      </c>
      <c r="DI20" s="49" t="n">
        <f aca="false">N((Calc_1!DI$4&gt;=Calc_1!$F17)*ABS(Calc_1!DI95)&gt;Tolerance)</f>
        <v>0</v>
      </c>
      <c r="DJ20" s="49" t="n">
        <f aca="false">N((Calc_1!DJ$4&gt;=Calc_1!$F17)*ABS(Calc_1!DJ95)&gt;Tolerance)</f>
        <v>0</v>
      </c>
      <c r="DK20" s="49" t="n">
        <f aca="false">N((Calc_1!DK$4&gt;=Calc_1!$F17)*ABS(Calc_1!DK95)&gt;Tolerance)</f>
        <v>0</v>
      </c>
      <c r="DL20" s="49" t="n">
        <f aca="false">N((Calc_1!DL$4&gt;=Calc_1!$F17)*ABS(Calc_1!DL95)&gt;Tolerance)</f>
        <v>0</v>
      </c>
      <c r="DM20" s="49" t="n">
        <f aca="false">N((Calc_1!DM$4&gt;=Calc_1!$F17)*ABS(Calc_1!DM95)&gt;Tolerance)</f>
        <v>0</v>
      </c>
      <c r="DN20" s="49" t="n">
        <f aca="false">N((Calc_1!DN$4&gt;=Calc_1!$F17)*ABS(Calc_1!DN95)&gt;Tolerance)</f>
        <v>0</v>
      </c>
      <c r="DO20" s="49" t="n">
        <f aca="false">N((Calc_1!DO$4&gt;=Calc_1!$F17)*ABS(Calc_1!DO95)&gt;Tolerance)</f>
        <v>0</v>
      </c>
      <c r="DP20" s="49" t="n">
        <f aca="false">N((Calc_1!DP$4&gt;=Calc_1!$F17)*ABS(Calc_1!DP95)&gt;Tolerance)</f>
        <v>0</v>
      </c>
      <c r="DQ20" s="49" t="n">
        <f aca="false">N((Calc_1!DQ$4&gt;=Calc_1!$F17)*ABS(Calc_1!DQ95)&gt;Tolerance)</f>
        <v>0</v>
      </c>
      <c r="DR20" s="49" t="n">
        <f aca="false">N((Calc_1!DR$4&gt;=Calc_1!$F17)*ABS(Calc_1!DR95)&gt;Tolerance)</f>
        <v>0</v>
      </c>
      <c r="DS20" s="49" t="n">
        <f aca="false">N((Calc_1!DS$4&gt;=Calc_1!$F17)*ABS(Calc_1!DS95)&gt;Tolerance)</f>
        <v>0</v>
      </c>
      <c r="DT20" s="49" t="n">
        <f aca="false">N((Calc_1!DT$4&gt;=Calc_1!$F17)*ABS(Calc_1!DT95)&gt;Tolerance)</f>
        <v>0</v>
      </c>
      <c r="DU20" s="49" t="n">
        <f aca="false">N((Calc_1!DU$4&gt;=Calc_1!$F17)*ABS(Calc_1!DU95)&gt;Tolerance)</f>
        <v>0</v>
      </c>
      <c r="DV20" s="49" t="n">
        <f aca="false">N((Calc_1!DV$4&gt;=Calc_1!$F17)*ABS(Calc_1!DV95)&gt;Tolerance)</f>
        <v>0</v>
      </c>
      <c r="DW20" s="49" t="n">
        <f aca="false">N((Calc_1!DW$4&gt;=Calc_1!$F17)*ABS(Calc_1!DW95)&gt;Tolerance)</f>
        <v>0</v>
      </c>
      <c r="DX20" s="49" t="n">
        <f aca="false">N((Calc_1!DX$4&gt;=Calc_1!$F17)*ABS(Calc_1!DX95)&gt;Tolerance)</f>
        <v>0</v>
      </c>
      <c r="DY20" s="49" t="n">
        <f aca="false">N((Calc_1!DY$4&gt;=Calc_1!$F17)*ABS(Calc_1!DY95)&gt;Tolerance)</f>
        <v>0</v>
      </c>
      <c r="DZ20" s="49" t="n">
        <f aca="false">N((Calc_1!DZ$4&gt;=Calc_1!$F17)*ABS(Calc_1!DZ95)&gt;Tolerance)</f>
        <v>0</v>
      </c>
      <c r="EA20" s="49" t="n">
        <f aca="false">N((Calc_1!EA$4&gt;=Calc_1!$F17)*ABS(Calc_1!EA95)&gt;Tolerance)</f>
        <v>0</v>
      </c>
      <c r="EB20" s="49" t="n">
        <f aca="false">N((Calc_1!EB$4&gt;=Calc_1!$F17)*ABS(Calc_1!EB95)&gt;Tolerance)</f>
        <v>0</v>
      </c>
      <c r="EC20" s="49" t="n">
        <f aca="false">N((Calc_1!EC$4&gt;=Calc_1!$F17)*ABS(Calc_1!EC95)&gt;Tolerance)</f>
        <v>0</v>
      </c>
      <c r="ED20" s="49" t="n">
        <f aca="false">N((Calc_1!ED$4&gt;=Calc_1!$F17)*ABS(Calc_1!ED95)&gt;Tolerance)</f>
        <v>0</v>
      </c>
      <c r="EE20" s="49" t="n">
        <f aca="false">N((Calc_1!EE$4&gt;=Calc_1!$F17)*ABS(Calc_1!EE95)&gt;Tolerance)</f>
        <v>0</v>
      </c>
      <c r="EF20" s="49" t="n">
        <f aca="false">N((Calc_1!EF$4&gt;=Calc_1!$F17)*ABS(Calc_1!EF95)&gt;Tolerance)</f>
        <v>0</v>
      </c>
      <c r="EG20" s="49" t="n">
        <f aca="false">N((Calc_1!EG$4&gt;=Calc_1!$F17)*ABS(Calc_1!EG95)&gt;Tolerance)</f>
        <v>0</v>
      </c>
      <c r="EH20" s="49" t="n">
        <f aca="false">N((Calc_1!EH$4&gt;=Calc_1!$F17)*ABS(Calc_1!EH95)&gt;Tolerance)</f>
        <v>0</v>
      </c>
      <c r="EI20" s="49" t="n">
        <f aca="false">N((Calc_1!EI$4&gt;=Calc_1!$F17)*ABS(Calc_1!EI95)&gt;Tolerance)</f>
        <v>0</v>
      </c>
      <c r="EJ20" s="49" t="n">
        <f aca="false">N((Calc_1!EJ$4&gt;=Calc_1!$F17)*ABS(Calc_1!EJ95)&gt;Tolerance)</f>
        <v>0</v>
      </c>
      <c r="EK20" s="49" t="n">
        <f aca="false">N((Calc_1!EK$4&gt;=Calc_1!$F17)*ABS(Calc_1!EK95)&gt;Tolerance)</f>
        <v>0</v>
      </c>
      <c r="EL20" s="49" t="n">
        <f aca="false">N((Calc_1!EL$4&gt;=Calc_1!$F17)*ABS(Calc_1!EL95)&gt;Tolerance)</f>
        <v>0</v>
      </c>
      <c r="EM20" s="49" t="n">
        <f aca="false">N((Calc_1!EM$4&gt;=Calc_1!$F17)*ABS(Calc_1!EM95)&gt;Tolerance)</f>
        <v>0</v>
      </c>
      <c r="EN20" s="49" t="n">
        <f aca="false">N((Calc_1!EN$4&gt;=Calc_1!$F17)*ABS(Calc_1!EN95)&gt;Tolerance)</f>
        <v>0</v>
      </c>
      <c r="EO20" s="49" t="n">
        <f aca="false">N((Calc_1!EO$4&gt;=Calc_1!$F17)*ABS(Calc_1!EO95)&gt;Tolerance)</f>
        <v>0</v>
      </c>
    </row>
    <row r="21" customFormat="false" ht="15" hidden="false" customHeight="false" outlineLevel="0" collapsed="false">
      <c r="C21" s="0" t="s">
        <v>476</v>
      </c>
      <c r="D21" s="11" t="s">
        <v>43</v>
      </c>
      <c r="E21" s="27" t="str">
        <f aca="false">IF(F21=0,"OK","CHECK")</f>
        <v>OK</v>
      </c>
      <c r="F21" s="49" t="n">
        <f aca="false">SUM(J21:EO21)</f>
        <v>0</v>
      </c>
      <c r="J21" s="49" t="n">
        <f aca="false">N((Calc_2!J$4&gt;=Calc_2!$F17)*ABS(Calc_2!J95)&gt;Tolerance)</f>
        <v>0</v>
      </c>
      <c r="K21" s="49" t="n">
        <f aca="false">N((Calc_2!K$4&gt;=Calc_2!$F17)*ABS(Calc_2!K95)&gt;Tolerance)</f>
        <v>0</v>
      </c>
      <c r="L21" s="49" t="n">
        <f aca="false">N((Calc_2!L$4&gt;=Calc_2!$F17)*ABS(Calc_2!L95)&gt;Tolerance)</f>
        <v>0</v>
      </c>
      <c r="M21" s="49" t="n">
        <f aca="false">N((Calc_2!M$4&gt;=Calc_2!$F17)*ABS(Calc_2!M95)&gt;Tolerance)</f>
        <v>0</v>
      </c>
      <c r="N21" s="49" t="n">
        <f aca="false">N((Calc_2!N$4&gt;=Calc_2!$F17)*ABS(Calc_2!N95)&gt;Tolerance)</f>
        <v>0</v>
      </c>
      <c r="O21" s="49" t="n">
        <f aca="false">N((Calc_2!O$4&gt;=Calc_2!$F17)*ABS(Calc_2!O95)&gt;Tolerance)</f>
        <v>0</v>
      </c>
      <c r="P21" s="49" t="n">
        <f aca="false">N((Calc_2!P$4&gt;=Calc_2!$F17)*ABS(Calc_2!P95)&gt;Tolerance)</f>
        <v>0</v>
      </c>
      <c r="Q21" s="49" t="n">
        <f aca="false">N((Calc_2!Q$4&gt;=Calc_2!$F17)*ABS(Calc_2!Q95)&gt;Tolerance)</f>
        <v>0</v>
      </c>
      <c r="R21" s="49" t="n">
        <f aca="false">N((Calc_2!R$4&gt;=Calc_2!$F17)*ABS(Calc_2!R95)&gt;Tolerance)</f>
        <v>0</v>
      </c>
      <c r="S21" s="49" t="n">
        <f aca="false">N((Calc_2!S$4&gt;=Calc_2!$F17)*ABS(Calc_2!S95)&gt;Tolerance)</f>
        <v>0</v>
      </c>
      <c r="T21" s="49" t="n">
        <f aca="false">N((Calc_2!T$4&gt;=Calc_2!$F17)*ABS(Calc_2!T95)&gt;Tolerance)</f>
        <v>0</v>
      </c>
      <c r="U21" s="49" t="n">
        <f aca="false">N((Calc_2!U$4&gt;=Calc_2!$F17)*ABS(Calc_2!U95)&gt;Tolerance)</f>
        <v>0</v>
      </c>
      <c r="V21" s="49" t="n">
        <f aca="false">N((Calc_2!V$4&gt;=Calc_2!$F17)*ABS(Calc_2!V95)&gt;Tolerance)</f>
        <v>0</v>
      </c>
      <c r="W21" s="49" t="n">
        <f aca="false">N((Calc_2!W$4&gt;=Calc_2!$F17)*ABS(Calc_2!W95)&gt;Tolerance)</f>
        <v>0</v>
      </c>
      <c r="X21" s="49" t="n">
        <f aca="false">N((Calc_2!X$4&gt;=Calc_2!$F17)*ABS(Calc_2!X95)&gt;Tolerance)</f>
        <v>0</v>
      </c>
      <c r="Y21" s="49" t="n">
        <f aca="false">N((Calc_2!Y$4&gt;=Calc_2!$F17)*ABS(Calc_2!Y95)&gt;Tolerance)</f>
        <v>0</v>
      </c>
      <c r="Z21" s="49" t="n">
        <f aca="false">N((Calc_2!Z$4&gt;=Calc_2!$F17)*ABS(Calc_2!Z95)&gt;Tolerance)</f>
        <v>0</v>
      </c>
      <c r="AA21" s="49" t="n">
        <f aca="false">N((Calc_2!AA$4&gt;=Calc_2!$F17)*ABS(Calc_2!AA95)&gt;Tolerance)</f>
        <v>0</v>
      </c>
      <c r="AB21" s="49" t="n">
        <f aca="false">N((Calc_2!AB$4&gt;=Calc_2!$F17)*ABS(Calc_2!AB95)&gt;Tolerance)</f>
        <v>0</v>
      </c>
      <c r="AC21" s="49" t="n">
        <f aca="false">N((Calc_2!AC$4&gt;=Calc_2!$F17)*ABS(Calc_2!AC95)&gt;Tolerance)</f>
        <v>0</v>
      </c>
      <c r="AD21" s="49" t="n">
        <f aca="false">N((Calc_2!AD$4&gt;=Calc_2!$F17)*ABS(Calc_2!AD95)&gt;Tolerance)</f>
        <v>0</v>
      </c>
      <c r="AE21" s="49" t="n">
        <f aca="false">N((Calc_2!AE$4&gt;=Calc_2!$F17)*ABS(Calc_2!AE95)&gt;Tolerance)</f>
        <v>0</v>
      </c>
      <c r="AF21" s="49" t="n">
        <f aca="false">N((Calc_2!AF$4&gt;=Calc_2!$F17)*ABS(Calc_2!AF95)&gt;Tolerance)</f>
        <v>0</v>
      </c>
      <c r="AG21" s="49" t="n">
        <f aca="false">N((Calc_2!AG$4&gt;=Calc_2!$F17)*ABS(Calc_2!AG95)&gt;Tolerance)</f>
        <v>0</v>
      </c>
      <c r="AH21" s="49" t="n">
        <f aca="false">N((Calc_2!AH$4&gt;=Calc_2!$F17)*ABS(Calc_2!AH95)&gt;Tolerance)</f>
        <v>0</v>
      </c>
      <c r="AI21" s="49" t="n">
        <f aca="false">N((Calc_2!AI$4&gt;=Calc_2!$F17)*ABS(Calc_2!AI95)&gt;Tolerance)</f>
        <v>0</v>
      </c>
      <c r="AJ21" s="49" t="n">
        <f aca="false">N((Calc_2!AJ$4&gt;=Calc_2!$F17)*ABS(Calc_2!AJ95)&gt;Tolerance)</f>
        <v>0</v>
      </c>
      <c r="AK21" s="49" t="n">
        <f aca="false">N((Calc_2!AK$4&gt;=Calc_2!$F17)*ABS(Calc_2!AK95)&gt;Tolerance)</f>
        <v>0</v>
      </c>
      <c r="AL21" s="49" t="n">
        <f aca="false">N((Calc_2!AL$4&gt;=Calc_2!$F17)*ABS(Calc_2!AL95)&gt;Tolerance)</f>
        <v>0</v>
      </c>
      <c r="AM21" s="49" t="n">
        <f aca="false">N((Calc_2!AM$4&gt;=Calc_2!$F17)*ABS(Calc_2!AM95)&gt;Tolerance)</f>
        <v>0</v>
      </c>
      <c r="AN21" s="49" t="n">
        <f aca="false">N((Calc_2!AN$4&gt;=Calc_2!$F17)*ABS(Calc_2!AN95)&gt;Tolerance)</f>
        <v>0</v>
      </c>
      <c r="AO21" s="49" t="n">
        <f aca="false">N((Calc_2!AO$4&gt;=Calc_2!$F17)*ABS(Calc_2!AO95)&gt;Tolerance)</f>
        <v>0</v>
      </c>
      <c r="AP21" s="49" t="n">
        <f aca="false">N((Calc_2!AP$4&gt;=Calc_2!$F17)*ABS(Calc_2!AP95)&gt;Tolerance)</f>
        <v>0</v>
      </c>
      <c r="AQ21" s="49" t="n">
        <f aca="false">N((Calc_2!AQ$4&gt;=Calc_2!$F17)*ABS(Calc_2!AQ95)&gt;Tolerance)</f>
        <v>0</v>
      </c>
      <c r="AR21" s="49" t="n">
        <f aca="false">N((Calc_2!AR$4&gt;=Calc_2!$F17)*ABS(Calc_2!AR95)&gt;Tolerance)</f>
        <v>0</v>
      </c>
      <c r="AS21" s="49" t="n">
        <f aca="false">N((Calc_2!AS$4&gt;=Calc_2!$F17)*ABS(Calc_2!AS95)&gt;Tolerance)</f>
        <v>0</v>
      </c>
      <c r="AT21" s="49" t="n">
        <f aca="false">N((Calc_2!AT$4&gt;=Calc_2!$F17)*ABS(Calc_2!AT95)&gt;Tolerance)</f>
        <v>0</v>
      </c>
      <c r="AU21" s="49" t="n">
        <f aca="false">N((Calc_2!AU$4&gt;=Calc_2!$F17)*ABS(Calc_2!AU95)&gt;Tolerance)</f>
        <v>0</v>
      </c>
      <c r="AV21" s="49" t="n">
        <f aca="false">N((Calc_2!AV$4&gt;=Calc_2!$F17)*ABS(Calc_2!AV95)&gt;Tolerance)</f>
        <v>0</v>
      </c>
      <c r="AW21" s="49" t="n">
        <f aca="false">N((Calc_2!AW$4&gt;=Calc_2!$F17)*ABS(Calc_2!AW95)&gt;Tolerance)</f>
        <v>0</v>
      </c>
      <c r="AX21" s="49" t="n">
        <f aca="false">N((Calc_2!AX$4&gt;=Calc_2!$F17)*ABS(Calc_2!AX95)&gt;Tolerance)</f>
        <v>0</v>
      </c>
      <c r="AY21" s="49" t="n">
        <f aca="false">N((Calc_2!AY$4&gt;=Calc_2!$F17)*ABS(Calc_2!AY95)&gt;Tolerance)</f>
        <v>0</v>
      </c>
      <c r="AZ21" s="49" t="n">
        <f aca="false">N((Calc_2!AZ$4&gt;=Calc_2!$F17)*ABS(Calc_2!AZ95)&gt;Tolerance)</f>
        <v>0</v>
      </c>
      <c r="BA21" s="49" t="n">
        <f aca="false">N((Calc_2!BA$4&gt;=Calc_2!$F17)*ABS(Calc_2!BA95)&gt;Tolerance)</f>
        <v>0</v>
      </c>
      <c r="BB21" s="49" t="n">
        <f aca="false">N((Calc_2!BB$4&gt;=Calc_2!$F17)*ABS(Calc_2!BB95)&gt;Tolerance)</f>
        <v>0</v>
      </c>
      <c r="BC21" s="49" t="n">
        <f aca="false">N((Calc_2!BC$4&gt;=Calc_2!$F17)*ABS(Calc_2!BC95)&gt;Tolerance)</f>
        <v>0</v>
      </c>
      <c r="BD21" s="49" t="n">
        <f aca="false">N((Calc_2!BD$4&gt;=Calc_2!$F17)*ABS(Calc_2!BD95)&gt;Tolerance)</f>
        <v>0</v>
      </c>
      <c r="BE21" s="49" t="n">
        <f aca="false">N((Calc_2!BE$4&gt;=Calc_2!$F17)*ABS(Calc_2!BE95)&gt;Tolerance)</f>
        <v>0</v>
      </c>
      <c r="BF21" s="49" t="n">
        <f aca="false">N((Calc_2!BF$4&gt;=Calc_2!$F17)*ABS(Calc_2!BF95)&gt;Tolerance)</f>
        <v>0</v>
      </c>
      <c r="BG21" s="49" t="n">
        <f aca="false">N((Calc_2!BG$4&gt;=Calc_2!$F17)*ABS(Calc_2!BG95)&gt;Tolerance)</f>
        <v>0</v>
      </c>
      <c r="BH21" s="49" t="n">
        <f aca="false">N((Calc_2!BH$4&gt;=Calc_2!$F17)*ABS(Calc_2!BH95)&gt;Tolerance)</f>
        <v>0</v>
      </c>
      <c r="BI21" s="49" t="n">
        <f aca="false">N((Calc_2!BI$4&gt;=Calc_2!$F17)*ABS(Calc_2!BI95)&gt;Tolerance)</f>
        <v>0</v>
      </c>
      <c r="BJ21" s="49" t="n">
        <f aca="false">N((Calc_2!BJ$4&gt;=Calc_2!$F17)*ABS(Calc_2!BJ95)&gt;Tolerance)</f>
        <v>0</v>
      </c>
      <c r="BK21" s="49" t="n">
        <f aca="false">N((Calc_2!BK$4&gt;=Calc_2!$F17)*ABS(Calc_2!BK95)&gt;Tolerance)</f>
        <v>0</v>
      </c>
      <c r="BL21" s="49" t="n">
        <f aca="false">N((Calc_2!BL$4&gt;=Calc_2!$F17)*ABS(Calc_2!BL95)&gt;Tolerance)</f>
        <v>0</v>
      </c>
      <c r="BM21" s="49" t="n">
        <f aca="false">N((Calc_2!BM$4&gt;=Calc_2!$F17)*ABS(Calc_2!BM95)&gt;Tolerance)</f>
        <v>0</v>
      </c>
      <c r="BN21" s="49" t="n">
        <f aca="false">N((Calc_2!BN$4&gt;=Calc_2!$F17)*ABS(Calc_2!BN95)&gt;Tolerance)</f>
        <v>0</v>
      </c>
      <c r="BO21" s="49" t="n">
        <f aca="false">N((Calc_2!BO$4&gt;=Calc_2!$F17)*ABS(Calc_2!BO95)&gt;Tolerance)</f>
        <v>0</v>
      </c>
      <c r="BP21" s="49" t="n">
        <f aca="false">N((Calc_2!BP$4&gt;=Calc_2!$F17)*ABS(Calc_2!BP95)&gt;Tolerance)</f>
        <v>0</v>
      </c>
      <c r="BQ21" s="49" t="n">
        <f aca="false">N((Calc_2!BQ$4&gt;=Calc_2!$F17)*ABS(Calc_2!BQ95)&gt;Tolerance)</f>
        <v>0</v>
      </c>
      <c r="BR21" s="49" t="n">
        <f aca="false">N((Calc_2!BR$4&gt;=Calc_2!$F17)*ABS(Calc_2!BR95)&gt;Tolerance)</f>
        <v>0</v>
      </c>
      <c r="BS21" s="49" t="n">
        <f aca="false">N((Calc_2!BS$4&gt;=Calc_2!$F17)*ABS(Calc_2!BS95)&gt;Tolerance)</f>
        <v>0</v>
      </c>
      <c r="BT21" s="49" t="n">
        <f aca="false">N((Calc_2!BT$4&gt;=Calc_2!$F17)*ABS(Calc_2!BT95)&gt;Tolerance)</f>
        <v>0</v>
      </c>
      <c r="BU21" s="49" t="n">
        <f aca="false">N((Calc_2!BU$4&gt;=Calc_2!$F17)*ABS(Calc_2!BU95)&gt;Tolerance)</f>
        <v>0</v>
      </c>
      <c r="BV21" s="49" t="n">
        <f aca="false">N((Calc_2!BV$4&gt;=Calc_2!$F17)*ABS(Calc_2!BV95)&gt;Tolerance)</f>
        <v>0</v>
      </c>
      <c r="BW21" s="49" t="n">
        <f aca="false">N((Calc_2!BW$4&gt;=Calc_2!$F17)*ABS(Calc_2!BW95)&gt;Tolerance)</f>
        <v>0</v>
      </c>
      <c r="BX21" s="49" t="n">
        <f aca="false">N((Calc_2!BX$4&gt;=Calc_2!$F17)*ABS(Calc_2!BX95)&gt;Tolerance)</f>
        <v>0</v>
      </c>
      <c r="BY21" s="49" t="n">
        <f aca="false">N((Calc_2!BY$4&gt;=Calc_2!$F17)*ABS(Calc_2!BY95)&gt;Tolerance)</f>
        <v>0</v>
      </c>
      <c r="BZ21" s="49" t="n">
        <f aca="false">N((Calc_2!BZ$4&gt;=Calc_2!$F17)*ABS(Calc_2!BZ95)&gt;Tolerance)</f>
        <v>0</v>
      </c>
      <c r="CA21" s="49" t="n">
        <f aca="false">N((Calc_2!CA$4&gt;=Calc_2!$F17)*ABS(Calc_2!CA95)&gt;Tolerance)</f>
        <v>0</v>
      </c>
      <c r="CB21" s="49" t="n">
        <f aca="false">N((Calc_2!CB$4&gt;=Calc_2!$F17)*ABS(Calc_2!CB95)&gt;Tolerance)</f>
        <v>0</v>
      </c>
      <c r="CC21" s="49" t="n">
        <f aca="false">N((Calc_2!CC$4&gt;=Calc_2!$F17)*ABS(Calc_2!CC95)&gt;Tolerance)</f>
        <v>0</v>
      </c>
      <c r="CD21" s="49" t="n">
        <f aca="false">N((Calc_2!CD$4&gt;=Calc_2!$F17)*ABS(Calc_2!CD95)&gt;Tolerance)</f>
        <v>0</v>
      </c>
      <c r="CE21" s="49" t="n">
        <f aca="false">N((Calc_2!CE$4&gt;=Calc_2!$F17)*ABS(Calc_2!CE95)&gt;Tolerance)</f>
        <v>0</v>
      </c>
      <c r="CF21" s="49" t="n">
        <f aca="false">N((Calc_2!CF$4&gt;=Calc_2!$F17)*ABS(Calc_2!CF95)&gt;Tolerance)</f>
        <v>0</v>
      </c>
      <c r="CG21" s="49" t="n">
        <f aca="false">N((Calc_2!CG$4&gt;=Calc_2!$F17)*ABS(Calc_2!CG95)&gt;Tolerance)</f>
        <v>0</v>
      </c>
      <c r="CH21" s="49" t="n">
        <f aca="false">N((Calc_2!CH$4&gt;=Calc_2!$F17)*ABS(Calc_2!CH95)&gt;Tolerance)</f>
        <v>0</v>
      </c>
      <c r="CI21" s="49" t="n">
        <f aca="false">N((Calc_2!CI$4&gt;=Calc_2!$F17)*ABS(Calc_2!CI95)&gt;Tolerance)</f>
        <v>0</v>
      </c>
      <c r="CJ21" s="49" t="n">
        <f aca="false">N((Calc_2!CJ$4&gt;=Calc_2!$F17)*ABS(Calc_2!CJ95)&gt;Tolerance)</f>
        <v>0</v>
      </c>
      <c r="CK21" s="49" t="n">
        <f aca="false">N((Calc_2!CK$4&gt;=Calc_2!$F17)*ABS(Calc_2!CK95)&gt;Tolerance)</f>
        <v>0</v>
      </c>
      <c r="CL21" s="49" t="n">
        <f aca="false">N((Calc_2!CL$4&gt;=Calc_2!$F17)*ABS(Calc_2!CL95)&gt;Tolerance)</f>
        <v>0</v>
      </c>
      <c r="CM21" s="49" t="n">
        <f aca="false">N((Calc_2!CM$4&gt;=Calc_2!$F17)*ABS(Calc_2!CM95)&gt;Tolerance)</f>
        <v>0</v>
      </c>
      <c r="CN21" s="49" t="n">
        <f aca="false">N((Calc_2!CN$4&gt;=Calc_2!$F17)*ABS(Calc_2!CN95)&gt;Tolerance)</f>
        <v>0</v>
      </c>
      <c r="CO21" s="49" t="n">
        <f aca="false">N((Calc_2!CO$4&gt;=Calc_2!$F17)*ABS(Calc_2!CO95)&gt;Tolerance)</f>
        <v>0</v>
      </c>
      <c r="CP21" s="49" t="n">
        <f aca="false">N((Calc_2!CP$4&gt;=Calc_2!$F17)*ABS(Calc_2!CP95)&gt;Tolerance)</f>
        <v>0</v>
      </c>
      <c r="CQ21" s="49" t="n">
        <f aca="false">N((Calc_2!CQ$4&gt;=Calc_2!$F17)*ABS(Calc_2!CQ95)&gt;Tolerance)</f>
        <v>0</v>
      </c>
      <c r="CR21" s="49" t="n">
        <f aca="false">N((Calc_2!CR$4&gt;=Calc_2!$F17)*ABS(Calc_2!CR95)&gt;Tolerance)</f>
        <v>0</v>
      </c>
      <c r="CS21" s="49" t="n">
        <f aca="false">N((Calc_2!CS$4&gt;=Calc_2!$F17)*ABS(Calc_2!CS95)&gt;Tolerance)</f>
        <v>0</v>
      </c>
      <c r="CT21" s="49" t="n">
        <f aca="false">N((Calc_2!CT$4&gt;=Calc_2!$F17)*ABS(Calc_2!CT95)&gt;Tolerance)</f>
        <v>0</v>
      </c>
      <c r="CU21" s="49" t="n">
        <f aca="false">N((Calc_2!CU$4&gt;=Calc_2!$F17)*ABS(Calc_2!CU95)&gt;Tolerance)</f>
        <v>0</v>
      </c>
      <c r="CV21" s="49" t="n">
        <f aca="false">N((Calc_2!CV$4&gt;=Calc_2!$F17)*ABS(Calc_2!CV95)&gt;Tolerance)</f>
        <v>0</v>
      </c>
      <c r="CW21" s="49" t="n">
        <f aca="false">N((Calc_2!CW$4&gt;=Calc_2!$F17)*ABS(Calc_2!CW95)&gt;Tolerance)</f>
        <v>0</v>
      </c>
      <c r="CX21" s="49" t="n">
        <f aca="false">N((Calc_2!CX$4&gt;=Calc_2!$F17)*ABS(Calc_2!CX95)&gt;Tolerance)</f>
        <v>0</v>
      </c>
      <c r="CY21" s="49" t="n">
        <f aca="false">N((Calc_2!CY$4&gt;=Calc_2!$F17)*ABS(Calc_2!CY95)&gt;Tolerance)</f>
        <v>0</v>
      </c>
      <c r="CZ21" s="49" t="n">
        <f aca="false">N((Calc_2!CZ$4&gt;=Calc_2!$F17)*ABS(Calc_2!CZ95)&gt;Tolerance)</f>
        <v>0</v>
      </c>
      <c r="DA21" s="49" t="n">
        <f aca="false">N((Calc_2!DA$4&gt;=Calc_2!$F17)*ABS(Calc_2!DA95)&gt;Tolerance)</f>
        <v>0</v>
      </c>
      <c r="DB21" s="49" t="n">
        <f aca="false">N((Calc_2!DB$4&gt;=Calc_2!$F17)*ABS(Calc_2!DB95)&gt;Tolerance)</f>
        <v>0</v>
      </c>
      <c r="DC21" s="49" t="n">
        <f aca="false">N((Calc_2!DC$4&gt;=Calc_2!$F17)*ABS(Calc_2!DC95)&gt;Tolerance)</f>
        <v>0</v>
      </c>
      <c r="DD21" s="49" t="n">
        <f aca="false">N((Calc_2!DD$4&gt;=Calc_2!$F17)*ABS(Calc_2!DD95)&gt;Tolerance)</f>
        <v>0</v>
      </c>
      <c r="DE21" s="49" t="n">
        <f aca="false">N((Calc_2!DE$4&gt;=Calc_2!$F17)*ABS(Calc_2!DE95)&gt;Tolerance)</f>
        <v>0</v>
      </c>
      <c r="DF21" s="49" t="n">
        <f aca="false">N((Calc_2!DF$4&gt;=Calc_2!$F17)*ABS(Calc_2!DF95)&gt;Tolerance)</f>
        <v>0</v>
      </c>
      <c r="DG21" s="49" t="n">
        <f aca="false">N((Calc_2!DG$4&gt;=Calc_2!$F17)*ABS(Calc_2!DG95)&gt;Tolerance)</f>
        <v>0</v>
      </c>
      <c r="DH21" s="49" t="n">
        <f aca="false">N((Calc_2!DH$4&gt;=Calc_2!$F17)*ABS(Calc_2!DH95)&gt;Tolerance)</f>
        <v>0</v>
      </c>
      <c r="DI21" s="49" t="n">
        <f aca="false">N((Calc_2!DI$4&gt;=Calc_2!$F17)*ABS(Calc_2!DI95)&gt;Tolerance)</f>
        <v>0</v>
      </c>
      <c r="DJ21" s="49" t="n">
        <f aca="false">N((Calc_2!DJ$4&gt;=Calc_2!$F17)*ABS(Calc_2!DJ95)&gt;Tolerance)</f>
        <v>0</v>
      </c>
      <c r="DK21" s="49" t="n">
        <f aca="false">N((Calc_2!DK$4&gt;=Calc_2!$F17)*ABS(Calc_2!DK95)&gt;Tolerance)</f>
        <v>0</v>
      </c>
      <c r="DL21" s="49" t="n">
        <f aca="false">N((Calc_2!DL$4&gt;=Calc_2!$F17)*ABS(Calc_2!DL95)&gt;Tolerance)</f>
        <v>0</v>
      </c>
      <c r="DM21" s="49" t="n">
        <f aca="false">N((Calc_2!DM$4&gt;=Calc_2!$F17)*ABS(Calc_2!DM95)&gt;Tolerance)</f>
        <v>0</v>
      </c>
      <c r="DN21" s="49" t="n">
        <f aca="false">N((Calc_2!DN$4&gt;=Calc_2!$F17)*ABS(Calc_2!DN95)&gt;Tolerance)</f>
        <v>0</v>
      </c>
      <c r="DO21" s="49" t="n">
        <f aca="false">N((Calc_2!DO$4&gt;=Calc_2!$F17)*ABS(Calc_2!DO95)&gt;Tolerance)</f>
        <v>0</v>
      </c>
      <c r="DP21" s="49" t="n">
        <f aca="false">N((Calc_2!DP$4&gt;=Calc_2!$F17)*ABS(Calc_2!DP95)&gt;Tolerance)</f>
        <v>0</v>
      </c>
      <c r="DQ21" s="49" t="n">
        <f aca="false">N((Calc_2!DQ$4&gt;=Calc_2!$F17)*ABS(Calc_2!DQ95)&gt;Tolerance)</f>
        <v>0</v>
      </c>
      <c r="DR21" s="49" t="n">
        <f aca="false">N((Calc_2!DR$4&gt;=Calc_2!$F17)*ABS(Calc_2!DR95)&gt;Tolerance)</f>
        <v>0</v>
      </c>
      <c r="DS21" s="49" t="n">
        <f aca="false">N((Calc_2!DS$4&gt;=Calc_2!$F17)*ABS(Calc_2!DS95)&gt;Tolerance)</f>
        <v>0</v>
      </c>
      <c r="DT21" s="49" t="n">
        <f aca="false">N((Calc_2!DT$4&gt;=Calc_2!$F17)*ABS(Calc_2!DT95)&gt;Tolerance)</f>
        <v>0</v>
      </c>
      <c r="DU21" s="49" t="n">
        <f aca="false">N((Calc_2!DU$4&gt;=Calc_2!$F17)*ABS(Calc_2!DU95)&gt;Tolerance)</f>
        <v>0</v>
      </c>
      <c r="DV21" s="49" t="n">
        <f aca="false">N((Calc_2!DV$4&gt;=Calc_2!$F17)*ABS(Calc_2!DV95)&gt;Tolerance)</f>
        <v>0</v>
      </c>
      <c r="DW21" s="49" t="n">
        <f aca="false">N((Calc_2!DW$4&gt;=Calc_2!$F17)*ABS(Calc_2!DW95)&gt;Tolerance)</f>
        <v>0</v>
      </c>
      <c r="DX21" s="49" t="n">
        <f aca="false">N((Calc_2!DX$4&gt;=Calc_2!$F17)*ABS(Calc_2!DX95)&gt;Tolerance)</f>
        <v>0</v>
      </c>
      <c r="DY21" s="49" t="n">
        <f aca="false">N((Calc_2!DY$4&gt;=Calc_2!$F17)*ABS(Calc_2!DY95)&gt;Tolerance)</f>
        <v>0</v>
      </c>
      <c r="DZ21" s="49" t="n">
        <f aca="false">N((Calc_2!DZ$4&gt;=Calc_2!$F17)*ABS(Calc_2!DZ95)&gt;Tolerance)</f>
        <v>0</v>
      </c>
      <c r="EA21" s="49" t="n">
        <f aca="false">N((Calc_2!EA$4&gt;=Calc_2!$F17)*ABS(Calc_2!EA95)&gt;Tolerance)</f>
        <v>0</v>
      </c>
      <c r="EB21" s="49" t="n">
        <f aca="false">N((Calc_2!EB$4&gt;=Calc_2!$F17)*ABS(Calc_2!EB95)&gt;Tolerance)</f>
        <v>0</v>
      </c>
      <c r="EC21" s="49" t="n">
        <f aca="false">N((Calc_2!EC$4&gt;=Calc_2!$F17)*ABS(Calc_2!EC95)&gt;Tolerance)</f>
        <v>0</v>
      </c>
      <c r="ED21" s="49" t="n">
        <f aca="false">N((Calc_2!ED$4&gt;=Calc_2!$F17)*ABS(Calc_2!ED95)&gt;Tolerance)</f>
        <v>0</v>
      </c>
      <c r="EE21" s="49" t="n">
        <f aca="false">N((Calc_2!EE$4&gt;=Calc_2!$F17)*ABS(Calc_2!EE95)&gt;Tolerance)</f>
        <v>0</v>
      </c>
      <c r="EF21" s="49" t="n">
        <f aca="false">N((Calc_2!EF$4&gt;=Calc_2!$F17)*ABS(Calc_2!EF95)&gt;Tolerance)</f>
        <v>0</v>
      </c>
      <c r="EG21" s="49" t="n">
        <f aca="false">N((Calc_2!EG$4&gt;=Calc_2!$F17)*ABS(Calc_2!EG95)&gt;Tolerance)</f>
        <v>0</v>
      </c>
      <c r="EH21" s="49" t="n">
        <f aca="false">N((Calc_2!EH$4&gt;=Calc_2!$F17)*ABS(Calc_2!EH95)&gt;Tolerance)</f>
        <v>0</v>
      </c>
      <c r="EI21" s="49" t="n">
        <f aca="false">N((Calc_2!EI$4&gt;=Calc_2!$F17)*ABS(Calc_2!EI95)&gt;Tolerance)</f>
        <v>0</v>
      </c>
      <c r="EJ21" s="49" t="n">
        <f aca="false">N((Calc_2!EJ$4&gt;=Calc_2!$F17)*ABS(Calc_2!EJ95)&gt;Tolerance)</f>
        <v>0</v>
      </c>
      <c r="EK21" s="49" t="n">
        <f aca="false">N((Calc_2!EK$4&gt;=Calc_2!$F17)*ABS(Calc_2!EK95)&gt;Tolerance)</f>
        <v>0</v>
      </c>
      <c r="EL21" s="49" t="n">
        <f aca="false">N((Calc_2!EL$4&gt;=Calc_2!$F17)*ABS(Calc_2!EL95)&gt;Tolerance)</f>
        <v>0</v>
      </c>
      <c r="EM21" s="49" t="n">
        <f aca="false">N((Calc_2!EM$4&gt;=Calc_2!$F17)*ABS(Calc_2!EM95)&gt;Tolerance)</f>
        <v>0</v>
      </c>
      <c r="EN21" s="49" t="n">
        <f aca="false">N((Calc_2!EN$4&gt;=Calc_2!$F17)*ABS(Calc_2!EN95)&gt;Tolerance)</f>
        <v>0</v>
      </c>
      <c r="EO21" s="49" t="n">
        <f aca="false">N((Calc_2!EO$4&gt;=Calc_2!$F17)*ABS(Calc_2!EO95)&gt;Tolerance)</f>
        <v>0</v>
      </c>
    </row>
    <row r="22" customFormat="false" ht="15" hidden="false" customHeight="false" outlineLevel="0" collapsed="false">
      <c r="C22" s="0" t="s">
        <v>477</v>
      </c>
      <c r="D22" s="11" t="s">
        <v>43</v>
      </c>
      <c r="E22" s="27" t="str">
        <f aca="false">IF(F22=0,"OK","CHECK")</f>
        <v>OK</v>
      </c>
      <c r="F22" s="49" t="n">
        <f aca="false">N(Calc_1!$E99&lt;In_DSCR-Tolerance)</f>
        <v>0</v>
      </c>
    </row>
    <row r="23" customFormat="false" ht="15" hidden="false" customHeight="false" outlineLevel="0" collapsed="false">
      <c r="C23" s="0" t="s">
        <v>478</v>
      </c>
      <c r="D23" s="11" t="s">
        <v>43</v>
      </c>
      <c r="E23" s="27" t="str">
        <f aca="false">IF(F23=0,"OK","CHECK")</f>
        <v>OK</v>
      </c>
      <c r="F23" s="49" t="n">
        <f aca="false">N(Calc_2!$E99&lt;In_DSCR-Tolerance)</f>
        <v>0</v>
      </c>
    </row>
    <row r="24" customFormat="false" ht="15" hidden="false" customHeight="false" outlineLevel="0" collapsed="false">
      <c r="C24" s="0" t="s">
        <v>479</v>
      </c>
      <c r="D24" s="11" t="s">
        <v>43</v>
      </c>
      <c r="E24" s="27" t="str">
        <f aca="false">IF(F24=0,"OK","CHECK")</f>
        <v>OK</v>
      </c>
      <c r="F24" s="49" t="n">
        <f aca="false">N(ABS(Calc_1!$E120+Calc_1!$I125-Calc_1!$E95)&gt;Tolerance)</f>
        <v>0</v>
      </c>
    </row>
    <row r="25" customFormat="false" ht="15" hidden="false" customHeight="false" outlineLevel="0" collapsed="false">
      <c r="C25" s="0" t="s">
        <v>480</v>
      </c>
      <c r="D25" s="11" t="s">
        <v>43</v>
      </c>
      <c r="E25" s="27" t="str">
        <f aca="false">IF(F25=0,"OK","CHECK")</f>
        <v>OK</v>
      </c>
      <c r="F25" s="49" t="n">
        <f aca="false">N(ABS(Calc_2!$E120+Calc_2!$I125-Calc_2!$E95)&gt;Tolerance)</f>
        <v>0</v>
      </c>
    </row>
    <row r="26" customFormat="false" ht="15" hidden="false" customHeight="false" outlineLevel="0" collapsed="false">
      <c r="C26" s="0" t="s">
        <v>481</v>
      </c>
      <c r="D26" s="11" t="s">
        <v>43</v>
      </c>
      <c r="E26" s="27" t="str">
        <f aca="false">IF(F26=0,"OK","CHECK")</f>
        <v>OK</v>
      </c>
      <c r="F26" s="49" t="n">
        <f aca="false">N(ISERROR(Calc_1!$E130))+N(ISERROR(Calc_1!$E138))+N(ISERROR(Calc_1!$E136))</f>
        <v>0</v>
      </c>
    </row>
    <row r="27" customFormat="false" ht="15" hidden="false" customHeight="false" outlineLevel="0" collapsed="false">
      <c r="C27" s="0" t="s">
        <v>482</v>
      </c>
      <c r="D27" s="11" t="s">
        <v>43</v>
      </c>
      <c r="E27" s="27" t="str">
        <f aca="false">IF(F27=0,"OK","CHECK")</f>
        <v>OK</v>
      </c>
      <c r="F27" s="49" t="n">
        <f aca="false">N(ISERROR(Calc_2!$E130))+N(ISERROR(Calc_2!$E138))+N(ISERROR(Calc_2!$E136))</f>
        <v>0</v>
      </c>
    </row>
    <row r="28" customFormat="false" ht="15" hidden="false" customHeight="false" outlineLevel="0" collapsed="false">
      <c r="C28" s="0" t="s">
        <v>483</v>
      </c>
      <c r="D28" s="11" t="s">
        <v>43</v>
      </c>
      <c r="E28" s="27" t="str">
        <f aca="false">IF(F28=0,"OK","CHECK")</f>
        <v>OK</v>
      </c>
      <c r="F28" s="49" t="n">
        <f aca="false">--(SUMPRODUCT(ABS(Stored_Results-Live_Results)*(Scenario_Names=Scenario_Name))&gt;Tolerance)</f>
        <v>0</v>
      </c>
    </row>
    <row r="30" customFormat="false" ht="15" hidden="false" customHeight="false" outlineLevel="0" collapsed="false">
      <c r="C30" s="0" t="s">
        <v>484</v>
      </c>
      <c r="F30" s="60" t="n">
        <f aca="false">SUMPRODUCT(ABS(F12:F27))</f>
        <v>0</v>
      </c>
    </row>
    <row r="32" customFormat="false" ht="15" hidden="false" customHeight="false" outlineLevel="0" collapsed="false">
      <c r="C32" s="25" t="s">
        <v>6</v>
      </c>
      <c r="E32" s="61" t="str">
        <f aca="false">IF(F32=0,"OK","CHECK")</f>
        <v>OK</v>
      </c>
      <c r="F32" s="60" t="n">
        <f aca="false">SUMPRODUCT(ABS(F12:F28))</f>
        <v>0</v>
      </c>
    </row>
    <row r="34" customFormat="false" ht="15" hidden="false" customHeight="false" outlineLevel="0" collapsed="false">
      <c r="C34" s="41" t="s">
        <v>158</v>
      </c>
    </row>
  </sheetData>
  <conditionalFormatting sqref="E12:E32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2026-10-13T12:43:21Z</dcterms:created>
  <dc:creator>openpyxl</dc:creator>
  <dc:description/>
  <dc:language>en-US</dc:language>
  <cp:lastModifiedBy/>
  <dcterms:modified xsi:type="dcterms:W3CDTF">2026-10-13T12:43:26Z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