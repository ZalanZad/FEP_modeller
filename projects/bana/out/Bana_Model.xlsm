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Dashboard!$H$121:$W$121</definedName>
    <definedName function="false" hidden="false" name="Buyer_IRR_L_2_Stored" vbProcedure="false">Dashboard!$H$122:$W$122</definedName>
    <definedName function="false" hidden="false" name="Buyer_IRR_U_1_Stored" vbProcedure="false">Dashboard!$H$119:$W$119</definedName>
    <definedName function="false" hidden="false" name="Buyer_IRR_U_2_Stored" vbProcedure="false">Dashboard!$H$120:$W$120</definedName>
    <definedName function="false" hidden="false" name="Checks_1_Stored" vbProcedure="false">Dashboard!$H$125:$W$125</definedName>
    <definedName function="false" hidden="false" name="Checks_2_Stored" vbProcedure="false">Dashboard!$H$126:$W$126</definedName>
    <definedName function="false" hidden="false" name="COD_IRR_1_Stored" vbProcedure="false">Dashboard!$H$107:$W$107</definedName>
    <definedName function="false" hidden="false" name="COD_IRR_2_Stored" vbProcedure="false">Dashboard!$H$108:$W$108</definedName>
    <definedName function="false" hidden="false" name="COD_MOIC_1_Stored" vbProcedure="false">Dashboard!$H$109:$W$109</definedName>
    <definedName function="false" hidden="false" name="COD_MOIC_2_Stored" vbProcedure="false">Dashboard!$H$110:$W$110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Dashboard!$H$115:$W$115</definedName>
    <definedName function="false" hidden="false" name="Debt_COD_2_Stored" vbProcedure="false">Dashboard!$H$116:$W$116</definedName>
    <definedName function="false" hidden="false" name="Equity_COD_1_Stored" vbProcedure="false">Dashboard!$H$117:$W$117</definedName>
    <definedName function="false" hidden="false" name="Equity_COD_2_Stored" vbProcedure="false">Dashboard!$H$118:$W$118</definedName>
    <definedName function="false" hidden="false" name="GoalSeek_Topics" vbProcedure="false">Inputs!$F$109</definedName>
    <definedName function="false" hidden="false" name="HTM_IRR_1_Stored" vbProcedure="false">Dashboard!$H$111:$W$111</definedName>
    <definedName function="false" hidden="false" name="HTM_IRR_2_Stored" vbProcedure="false">Dashboard!$H$112:$W$112</definedName>
    <definedName function="false" hidden="false" name="HTM_MOIC_1_Stored" vbProcedure="false">Dashboard!$H$113:$W$113</definedName>
    <definedName function="false" hidden="false" name="HTM_MOIC_2_Stored" vbProcedure="false">Dashboard!$H$114:$W$114</definedName>
    <definedName function="false" hidden="false" name="In_Admin" vbProcedure="false">Inputs!$F$88</definedName>
    <definedName function="false" hidden="false" name="In_Award_Date" vbProcedure="false">Inputs!$F$22</definedName>
    <definedName function="false" hidden="false" name="In_Bench_BESS" vbProcedure="false">Inputs!$F$60</definedName>
    <definedName function="false" hidden="false" name="In_Bench_Wind" vbProcedure="false">Inputs!$F$61</definedName>
    <definedName function="false" hidden="false" name="In_BESS_Built" vbProcedure="false">Inputs!$F$55</definedName>
    <definedName function="false" hidden="false" name="In_BESS_Capex" vbProcedure="false">Inputs!$F$77</definedName>
    <definedName function="false" hidden="false" name="In_BESS_Set" vbProcedure="false">Inputs!$F$53</definedName>
    <definedName function="false" hidden="false" name="In_Bid_Date" vbProcedure="false">Inputs!$F$21</definedName>
    <definedName function="false" hidden="false" name="In_Bid_Rate" vbProcedure="false">Inputs!$F$63</definedName>
    <definedName function="false" hidden="false" name="In_Bottleneck_Loss" vbProcedure="false">Inputs!$F$54</definedName>
    <definedName function="false" hidden="false" name="In_Capex_Contingency" vbProcedure="false">Inputs!$F$76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Inputs!$F$104</definedName>
    <definedName function="false" hidden="false" name="In_Curtailment" vbProcedure="false">Inputs!$F$81</definedName>
    <definedName function="false" hidden="false" name="In_DD" vbProcedure="false">Inputs!$F$35</definedName>
    <definedName function="false" hidden="false" name="In_Debt_Mult" vbProcedure="false">Inputs!$F$97</definedName>
    <definedName function="false" hidden="false" name="In_Debt_Rate" vbProcedure="false">Inputs!$F$102</definedName>
    <definedName function="false" hidden="false" name="In_Debt_Tenor" vbProcedure="false">Inputs!$F$101</definedName>
    <definedName function="false" hidden="false" name="In_Decision_Date" vbProcedure="false">Inputs!$F$23</definedName>
    <definedName function="false" hidden="false" name="In_Degradation" vbProcedure="false">Inputs!$F$82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Inputs!$F$66</definedName>
    <definedName function="false" hidden="false" name="In_Discount_Rate" vbProcedure="false">Inputs!$F$40</definedName>
    <definedName function="false" hidden="false" name="In_DSCR" vbProcedure="false">Inputs!$F$100</definedName>
    <definedName function="false" hidden="false" name="In_DSCR_Max_High" vbProcedure="false">Inputs!$F$99</definedName>
    <definedName function="false" hidden="false" name="In_DSCR_Max_Low" vbProcedure="false">Inputs!$F$98</definedName>
    <definedName function="false" hidden="false" name="In_DSRA_Months" vbProcedure="false">Inputs!$F$105</definedName>
    <definedName function="false" hidden="false" name="In_Fixed_Opex" vbProcedure="false">Inputs!$F$86</definedName>
    <definedName function="false" hidden="false" name="In_FX" vbProcedure="false">Inputs!$F$33</definedName>
    <definedName function="false" hidden="false" name="In_Gearing" vbProcedure="false">Inputs!$F$96</definedName>
    <definedName function="false" hidden="false" name="In_Guarantee_Fee" vbProcedure="false">Inputs!$F$68</definedName>
    <definedName function="false" hidden="false" name="In_HCSSZ_Date" vbProcedure="false">Inputs!$F$27</definedName>
    <definedName function="false" hidden="false" name="In_HIPA" vbProcedure="false">Inputs!$F$92</definedName>
    <definedName function="false" hidden="false" name="In_Indirect_Fee" vbProcedure="false">Inputs!$F$67</definedName>
    <definedName function="false" hidden="false" name="In_Innovation" vbProcedure="false">Inputs!$F$93</definedName>
    <definedName function="false" hidden="false" name="In_Lease" vbProcedure="false">Inputs!$F$87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Inputs!$F$91</definedName>
    <definedName function="false" hidden="false" name="In_Min_Hours" vbProcedure="false">Inputs!$F$56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Inputs!$F$89</definedName>
    <definedName function="false" hidden="false" name="In_Opex_Esc" vbProcedure="false">Inputs!$F$90</definedName>
    <definedName function="false" hidden="false" name="In_Other_Wind" vbProcedure="false">Inputs!$F$73</definedName>
    <definedName function="false" hidden="false" name="In_Overbuild_Built" vbProcedure="false">Inputs!$F$52</definedName>
    <definedName function="false" hidden="false" name="In_P50_Hours" vbProcedure="false">Inputs!$F$80</definedName>
    <definedName function="false" hidden="false" name="In_Part_Fee" vbProcedure="false">Inputs!$F$62</definedName>
    <definedName function="false" hidden="false" name="In_PB_Days" vbProcedure="false">Inputs!$F$24</definedName>
    <definedName function="false" hidden="false" name="In_PB_Rate" vbProcedure="false">Inputs!$F$64</definedName>
    <definedName function="false" hidden="false" name="In_PB_Release" vbProcedure="false">Inputs!$F$30</definedName>
    <definedName function="false" hidden="false" name="In_PPA_Esc" vbProcedure="false">Inputs!$F$84</definedName>
    <definedName function="false" hidden="false" name="In_PPA_Price" vbProcedure="false">Inputs!$F$83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Inputs!$F$59</definedName>
    <definedName function="false" hidden="false" name="In_Sanction_Regime" vbProcedure="false">Inputs!$F$58</definedName>
    <definedName function="false" hidden="false" name="In_Substation" vbProcedure="false">Inputs!$F$74</definedName>
    <definedName function="false" hidden="false" name="In_Substation_CN" vbProcedure="false">Inputs!$F$75</definedName>
    <definedName function="false" hidden="false" name="In_Tolerance_Cap" vbProcedure="false">Inputs!$F$57</definedName>
    <definedName function="false" hidden="false" name="In_TSO_Security" vbProcedure="false">Inputs!$F$65</definedName>
    <definedName function="false" hidden="false" name="In_Turbine" vbProcedure="false">Inputs!$F$71</definedName>
    <definedName function="false" hidden="false" name="In_Turbine_CN" vbProcedure="false">Inputs!$F$72</definedName>
    <definedName function="false" hidden="false" name="In_Upfront_Fee" vbProcedure="false">Inputs!$F$103</definedName>
    <definedName function="false" hidden="false" name="In_Var_Opex" vbProcedure="false">Inputs!$F$85</definedName>
    <definedName function="false" hidden="false" name="Live_Results" vbProcedure="false">Dashboard!$E$101:$E$126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Dashboard!$H$123:$W$123</definedName>
    <definedName function="false" hidden="false" name="Min_DSCR_2_Stored" vbProcedure="false">Dashboard!$H$124:$W$124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MVA_At_Risk_1_Stored" vbProcedure="false">Dashboard!$H$103:$W$103</definedName>
    <definedName function="false" hidden="false" name="MVA_At_Risk_2_Stored" vbProcedure="false">Dashboard!$H$104:$W$104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Dashboard!$E$33</definedName>
    <definedName function="false" hidden="false" name="Out_Bottleneck_Loss_2" vbProcedure="false">Dashboard!$F$33</definedName>
    <definedName function="false" hidden="false" name="Out_Buyer_IRR_L_1" vbProcedure="false">Dashboard!$E$77</definedName>
    <definedName function="false" hidden="false" name="Out_Buyer_IRR_L_2" vbProcedure="false">Dashboard!$F$77</definedName>
    <definedName function="false" hidden="false" name="Out_Buyer_IRR_U_1" vbProcedure="false">Dashboard!$E$76</definedName>
    <definedName function="false" hidden="false" name="Out_Buyer_IRR_U_2" vbProcedure="false">Dashboard!$F$76</definedName>
    <definedName function="false" hidden="false" name="Out_Capacity_Used_1" vbProcedure="false">Dashboard!$E$82</definedName>
    <definedName function="false" hidden="false" name="Out_Capacity_Used_2" vbProcedure="false">Dashboard!$F$82</definedName>
    <definedName function="false" hidden="false" name="Out_Checks_1" vbProcedure="false">Dashboard!$E$98</definedName>
    <definedName function="false" hidden="false" name="Out_Checks_2" vbProcedure="false">Dashboard!$F$98</definedName>
    <definedName function="false" hidden="false" name="Out_COD_IRR_1" vbProcedure="false">Dashboard!$E$40</definedName>
    <definedName function="false" hidden="false" name="Out_COD_IRR_2" vbProcedure="false">Dashboard!$F$40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Price_1" vbProcedure="false">Dashboard!$E$73</definedName>
    <definedName function="false" hidden="false" name="Out_COD_Price_2" vbProcedure="false">Dashboard!$F$73</definedName>
    <definedName function="false" hidden="false" name="Out_COD_Proceeds_1" vbProcedure="false">Dashboard!$E$74</definedName>
    <definedName function="false" hidden="false" name="Out_COD_Proceeds_2" vbProcedure="false">Dashboard!$F$74</definedName>
    <definedName function="false" hidden="false" name="Out_COD_Profit_1" vbProcedure="false">Dashboard!$E$39</definedName>
    <definedName function="false" hidden="false" name="Out_COD_Profit_2" vbProcedure="false">Dashboard!$F$39</definedName>
    <definedName function="false" hidden="false" name="Out_COD_Tax_1" vbProcedure="false">Dashboard!$E$75</definedName>
    <definedName function="false" hidden="false" name="Out_COD_Tax_2" vbProcedure="false">Dashboard!$F$75</definedName>
    <definedName function="false" hidden="false" name="Out_Debt_Capacity_1" vbProcedure="false">Dashboard!$E$80</definedName>
    <definedName function="false" hidden="false" name="Out_Debt_Capacity_2" vbProcedure="false">Dashboard!$F$80</definedName>
    <definedName function="false" hidden="false" name="Out_Debt_COD_1" vbProcedure="false">Dashboard!$E$58</definedName>
    <definedName function="false" hidden="false" name="Out_Debt_COD_2" vbProcedure="false">Dashboard!$F$58</definedName>
    <definedName function="false" hidden="false" name="Out_Debt_Max_High_1" vbProcedure="false">Dashboard!$E$87</definedName>
    <definedName function="false" hidden="false" name="Out_Debt_Max_High_2" vbProcedure="false">Dashboard!$F$87</definedName>
    <definedName function="false" hidden="false" name="Out_Debt_Max_High_Pct_1" vbProcedure="false">Dashboard!$E$88</definedName>
    <definedName function="false" hidden="false" name="Out_Debt_Max_High_Pct_2" vbProcedure="false">Dashboard!$F$88</definedName>
    <definedName function="false" hidden="false" name="Out_Debt_Max_Low_1" vbProcedure="false">Dashboard!$E$84</definedName>
    <definedName function="false" hidden="false" name="Out_Debt_Max_Low_2" vbProcedure="false">Dashboard!$F$84</definedName>
    <definedName function="false" hidden="false" name="Out_Debt_Max_Low_Pct_1" vbProcedure="false">Dashboard!$E$85</definedName>
    <definedName function="false" hidden="false" name="Out_Debt_Max_Low_Pct_2" vbProcedure="false">Dashboard!$F$85</definedName>
    <definedName function="false" hidden="false" name="Out_Debt_Share_1" vbProcedure="false">Dashboard!$E$81</definedName>
    <definedName function="false" hidden="false" name="Out_Debt_Share_2" vbProcedure="false">Dashboard!$F$81</definedName>
    <definedName function="false" hidden="false" name="Out_DSCR_Max_High_1" vbProcedure="false">Dashboard!$E$86</definedName>
    <definedName function="false" hidden="false" name="Out_DSCR_Max_High_2" vbProcedure="false">Dashboard!$F$86</definedName>
    <definedName function="false" hidden="false" name="Out_DSCR_Max_Low_1" vbProcedure="false">Dashboard!$E$83</definedName>
    <definedName function="false" hidden="false" name="Out_DSCR_Max_Low_2" vbProcedure="false">Dashboard!$F$83</definedName>
    <definedName function="false" hidden="false" name="Out_DSRA_1" vbProcedure="false">Dashboard!$E$89</definedName>
    <definedName function="false" hidden="false" name="Out_DSRA_2" vbProcedure="false">Dashboard!$F$89</definedName>
    <definedName function="false" hidden="false" name="Out_EBITDA_Life_1" vbProcedure="false">Dashboard!$E$95</definedName>
    <definedName function="false" hidden="false" name="Out_EBITDA_Life_2" vbProcedure="false">Dashboard!$F$95</definedName>
    <definedName function="false" hidden="false" name="Out_EBITDA_Year1_1" vbProcedure="false">Dashboard!$E$93</definedName>
    <definedName function="false" hidden="false" name="Out_EBITDA_Year1_2" vbProcedure="false">Dashboard!$F$93</definedName>
    <definedName function="false" hidden="false" name="Out_Equity_COD_1" vbProcedure="false">Dashboard!$E$59</definedName>
    <definedName function="false" hidden="false" name="Out_Equity_COD_2" vbProcedure="false">Dashboard!$F$59</definedName>
    <definedName function="false" hidden="false" name="Out_Equity_Peak_HTM_1" vbProcedure="false">Dashboard!$E$60</definedName>
    <definedName function="false" hidden="false" name="Out_Equity_Peak_HTM_2" vbProcedure="false">Dashboard!$F$60</definedName>
    <definedName function="false" hidden="false" name="Out_Gearing_Uses_1" vbProcedure="false">Dashboard!$E$61</definedName>
    <definedName function="false" hidden="false" name="Out_Gearing_Uses_2" vbProcedure="false">Dashboard!$F$61</definedName>
    <definedName function="false" hidden="false" name="Out_Gen_Year1_1" vbProcedure="false">Dashboard!$E$91</definedName>
    <definedName function="false" hidden="false" name="Out_Gen_Year1_2" vbProcedure="false">Dashboard!$F$91</definedName>
    <definedName function="false" hidden="false" name="Out_Guarantee_Fees_COD_1" vbProcedure="false">Dashboard!$E$70</definedName>
    <definedName function="false" hidden="false" name="Out_Guarantee_Fees_COD_2" vbProcedure="false">Dashboard!$F$70</definedName>
    <definedName function="false" hidden="false" name="Out_HTM_IRR_1" vbProcedure="false">Dashboard!$E$44</definedName>
    <definedName function="false" hidden="false" name="Out_HTM_IRR_2" vbProcedure="false">Dashboard!$F$44</definedName>
    <definedName function="false" hidden="false" name="Out_HTM_MOIC_1" vbProcedure="false">Dashboard!$E$45</definedName>
    <definedName function="false" hidden="false" name="Out_HTM_MOIC_2" vbProcedure="false">Dashboard!$F$45</definedName>
    <definedName function="false" hidden="false" name="Out_HTM_NPV_1" vbProcedure="false">Dashboard!$E$46</definedName>
    <definedName function="false" hidden="false" name="Out_HTM_NPV_2" vbProcedure="false">Dashboard!$F$46</definedName>
    <definedName function="false" hidden="false" name="Out_HTM_Profit_1" vbProcedure="false">Dashboard!$E$43</definedName>
    <definedName function="false" hidden="false" name="Out_HTM_Profit_2" vbProcedure="false">Dashboard!$F$43</definedName>
    <definedName function="false" hidden="false" name="Out_Min_DSCR_1" vbProcedure="false">Dashboard!$E$90</definedName>
    <definedName function="false" hidden="false" name="Out_Min_DSCR_2" vbProcedure="false">Dashboard!$F$90</definedName>
    <definedName function="false" hidden="false" name="Out_MVA_At_Risk_1" vbProcedure="false">Dashboard!$E$32</definedName>
    <definedName function="false" hidden="false" name="Out_MVA_At_Risk_2" vbProcedure="false">Dashboard!$F$32</definedName>
    <definedName function="false" hidden="false" name="Out_PB_Call_Applied_1" vbProcedure="false">Dashboard!$E$36</definedName>
    <definedName function="false" hidden="false" name="Out_PB_Call_Applied_2" vbProcedure="false">Dashboard!$F$36</definedName>
    <definedName function="false" hidden="false" name="Out_PB_Call_Full_1" vbProcedure="false">Dashboard!$E$35</definedName>
    <definedName function="false" hidden="false" name="Out_PB_Call_Full_2" vbProcedure="false">Dashboard!$F$35</definedName>
    <definedName function="false" hidden="false" name="Out_PB_Call_ProRata_1" vbProcedure="false">Dashboard!$E$34</definedName>
    <definedName function="false" hidden="false" name="Out_PB_Call_ProRata_2" vbProcedure="false">Dashboard!$F$34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Dashboard!$E$47</definedName>
    <definedName function="false" hidden="false" name="Out_Project_IRR_2" vbProcedure="false">Dashboard!$F$47</definedName>
    <definedName function="false" hidden="false" name="Out_Revenue_Life_1" vbProcedure="false">Dashboard!$E$94</definedName>
    <definedName function="false" hidden="false" name="Out_Revenue_Life_2" vbProcedure="false">Dashboard!$F$94</definedName>
    <definedName function="false" hidden="false" name="Out_Revenue_Year1_1" vbProcedure="false">Dashboard!$E$92</definedName>
    <definedName function="false" hidden="false" name="Out_Revenue_Year1_2" vbProcedure="false">Dashboard!$F$92</definedName>
    <definedName function="false" hidden="false" name="Out_Sec_bid_1" vbProcedure="false">Dashboard!$E$65</definedName>
    <definedName function="false" hidden="false" name="Out_Sec_bid_2" vbProcedure="false">Dashboard!$F$65</definedName>
    <definedName function="false" hidden="false" name="Out_Sec_direct_1" vbProcedure="false">Dashboard!$E$68</definedName>
    <definedName function="false" hidden="false" name="Out_Sec_direct_2" vbProcedure="false">Dashboard!$F$68</definedName>
    <definedName function="false" hidden="false" name="Out_Sec_fee_1" vbProcedure="false">Dashboard!$E$64</definedName>
    <definedName function="false" hidden="false" name="Out_Sec_fee_2" vbProcedure="false">Dashboard!$F$64</definedName>
    <definedName function="false" hidden="false" name="Out_Sec_indirect_1" vbProcedure="false">Dashboard!$E$69</definedName>
    <definedName function="false" hidden="false" name="Out_Sec_indirect_2" vbProcedure="false">Dashboard!$F$69</definedName>
    <definedName function="false" hidden="false" name="Out_Sec_pb_1" vbProcedure="false">Dashboard!$E$66</definedName>
    <definedName function="false" hidden="false" name="Out_Sec_pb_2" vbProcedure="false">Dashboard!$F$66</definedName>
    <definedName function="false" hidden="false" name="Out_Sec_tso_1" vbProcedure="false">Dashboard!$E$67</definedName>
    <definedName function="false" hidden="false" name="Out_Sec_tso_2" vbProcedure="false">Dashboard!$F$67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Dashboard!$E$96</definedName>
    <definedName function="false" hidden="false" name="Out_Tax_Life_2" vbProcedure="false">Dashboard!$F$96</definedName>
    <definedName function="false" hidden="false" name="Out_Tax_Losses_Lapsed_1" vbProcedure="false">Dashboard!$E$97</definedName>
    <definedName function="false" hidden="false" name="Out_Tax_Losses_Lapsed_2" vbProcedure="false">Dashboard!$F$97</definedName>
    <definedName function="false" hidden="false" name="Out_Uses_Capex_1" vbProcedure="false">Dashboard!$E$52</definedName>
    <definedName function="false" hidden="false" name="Out_Uses_Capex_2" vbProcedure="false">Dashboard!$F$52</definedName>
    <definedName function="false" hidden="false" name="Out_Uses_Connection_1" vbProcedure="false">Dashboard!$E$53</definedName>
    <definedName function="false" hidden="false" name="Out_Uses_Connection_2" vbProcedure="false">Dashboard!$F$53</definedName>
    <definedName function="false" hidden="false" name="Out_Uses_Development_1" vbProcedure="false">Dashboard!$E$50</definedName>
    <definedName function="false" hidden="false" name="Out_Uses_Development_2" vbProcedure="false">Dashboard!$F$50</definedName>
    <definedName function="false" hidden="false" name="Out_Uses_Financing_1" vbProcedure="false">Dashboard!$E$55</definedName>
    <definedName function="false" hidden="false" name="Out_Uses_Financing_2" vbProcedure="false">Dashboard!$F$55</definedName>
    <definedName function="false" hidden="false" name="Out_Uses_Lease_1" vbProcedure="false">Dashboard!$E$56</definedName>
    <definedName function="false" hidden="false" name="Out_Uses_Lease_2" vbProcedure="false">Dashboard!$F$56</definedName>
    <definedName function="false" hidden="false" name="Out_Uses_Municipal_1" vbProcedure="false">Dashboard!$E$54</definedName>
    <definedName function="false" hidden="false" name="Out_Uses_Municipal_2" vbProcedure="false">Dashboard!$F$54</definedName>
    <definedName function="false" hidden="false" name="Out_Uses_Securities_1" vbProcedure="false">Dashboard!$E$51</definedName>
    <definedName function="false" hidden="false" name="Out_Uses_Securities_2" vbProcedure="false">Dashboard!$F$51</definedName>
    <definedName function="false" hidden="false" name="Out_Uses_Total_1" vbProcedure="false">Dashboard!$E$57</definedName>
    <definedName function="false" hidden="false" name="Out_Uses_Total_2" vbProcedure="false">Dashboard!$F$57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B_Call_Applied_1_Stored" vbProcedure="false">Dashboard!$H$105:$W$105</definedName>
    <definedName function="false" hidden="false" name="PB_Call_Applied_2_Stored" vbProcedure="false">Dashboard!$H$106:$W$106</definedName>
    <definedName function="false" hidden="false" name="Points_1_Stored" vbProcedure="false">Dashboard!$H$101:$W$101</definedName>
    <definedName function="false" hidden="false" name="Points_2_Stored" vbProcedure="false">Dashboard!$H$102:$W$102</definedName>
    <definedName function="false" hidden="false" name="Points_Decimals" vbProcedure="false">Inputs!$F$50</definedName>
    <definedName function="false" hidden="false" name="Scenario_Name" vbProcedure="false">Dashboard!$AA$12</definedName>
    <definedName function="false" hidden="false" name="Scenario_Names" vbProcedure="false">Inputs!$H$7:$W$7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Inputs!$F$108</definedName>
    <definedName function="false" hidden="false" name="Stored_Results" vbProcedure="false">Dashboard!$H$101:$W$126</definedName>
    <definedName function="false" hidden="false" name="Tax_1_Copy" vbProcedure="false">Calc_1!$J$112:$EO$112</definedName>
    <definedName function="false" hidden="false" name="Tax_1_Delta" vbProcedure="false">Calc_1!$I$113</definedName>
    <definedName function="false" hidden="false" name="Tax_1_Paste" vbProcedure="false">Calc_1!$J$85:$EO$85</definedName>
    <definedName function="false" hidden="false" name="Tax_2_Copy" vbProcedure="false">Calc_2!$J$112:$EO$112</definedName>
    <definedName function="false" hidden="false" name="Tax_2_Delta" vbProcedure="false">Calc_2!$I$113</definedName>
    <definedName function="false" hidden="false" name="Tax_2_Paste" vbProcedure="false">Calc_2!$J$85:$EO$85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<sst xmlns="http://schemas.openxmlformats.org/spreadsheetml/2006/main" count="1239" uniqueCount="527">
  <si>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</si>
  <si>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</si>
  <si>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</si>
  <si>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</si>
  <si>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</si>
  <si>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</si>
  <si>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</si>
  <si>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</si>
  <si>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</si>
  <si>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</si>
  <si>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</si>
  <si>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</si>
  <si>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</si>
  <si>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</si>
  <si>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</si>
  <si>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</si>
  <si>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</si>
  <si>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</si>
  <si>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</si>
  <si>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</si>
  <si>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</si>
  <si>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</si>
  <si>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</si>
  <si>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</si>
  <si>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</si>
  <si>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</si>
  <si>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</si>
  <si>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</si>
  <si>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</si>
  <si>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</si>
  <si>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</si>
  <si>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</si>
  <si>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</si>
  <si>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</si>
  <si>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</si>
  <si>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</si>
  <si>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</si>
  <si>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</si>
  <si>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</si>
  <si>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</si>
  <si>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</si>
  <si>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</si>
  <si>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</si>
  <si>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</si>
  <si>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</si>
  <si>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</si>
  <si>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</si>
  <si>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</si>
  <si>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</si>
  <si>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</si>
  <si>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</si>
  <si>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</si>
  <si>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</si>
  <si>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</si>
  <si>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</si>
  <si>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</si>
  <si>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</si>
  <si>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</si>
  <si>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</si>
  <si>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</si>
  <si>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</si>
  <si>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</si>
  <si>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</si>
  <si>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</si>
  <si>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</si>
  <si>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</si>
  <si>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</si>
  <si>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</si>
  <si>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</si>
  <si>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</si>
  <si>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</si>
  <si>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</si>
  <si>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</si>
  <si>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</si>
  <si>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</si>
  <si>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</si>
  <si>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Memo: connection right lost pro rata</t>
  </si>
  <si>
    <t xml:space="preserve">MVA</t>
  </si>
  <si>
    <t xml:space="preserve">FX</t>
  </si>
  <si>
    <t xml:space="preserve">HUF/EUR</t>
  </si>
  <si>
    <t xml:space="preserve">Grid-bottleneck energy loss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</si>
  <si>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</si>
  <si>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</si>
  <si>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</si>
  <si>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PB call paid, selected regime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</si>
  <si>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</si>
  <si>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</si>
  <si>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</si>
  <si>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</si>
  <si>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</si>
  <si>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</si>
  <si>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</si>
  <si>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</si>
  <si>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</si>
  <si>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</si>
  <si>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</si>
  <si>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</si>
  <si>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</si>
  <si>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</si>
  <si>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</si>
  <si>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</si>
  <si>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</si>
  <si>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</si>
  <si>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</si>
  <si>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</si>
  <si>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</si>
  <si>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</si>
  <si>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</si>
  <si>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</si>
  <si>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</si>
  <si>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</si>
  <si>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</si>
  <si>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</si>
  <si>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</si>
  <si>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</si>
  <si>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</si>
  <si>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</si>
  <si>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</si>
  <si>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</si>
  <si>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</si>
  <si>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</si>
  <si>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</si>
  <si>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</si>
  <si>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</si>
  <si>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</si>
  <si>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</si>
  <si>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</si>
  <si>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</si>
  <si>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</si>
  <si>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</si>
  <si>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</si>
  <si>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</si>
  <si>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</si>
  <si>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</si>
  <si>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</si>
  <si>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</si>
  <si>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</si>
  <si>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</si>
  <si>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</si>
  <si>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</si>
  <si>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</si>
  <si>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</si>
  <si>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</si>
  <si>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</si>
  <si>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</si>
  <si>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</si>
  <si>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</si>
  <si>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</si>
  <si>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</si>
  <si>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</si>
  <si>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</si>
  <si>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</si>
  <si>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Points total – European turbine</t>
  </si>
  <si>
    <t xml:space="preserve">Points total – Chinese turbine</t>
  </si>
  <si>
    <t xml:space="preserve">Memo: connection right lost pro rata – European turbine</t>
  </si>
  <si>
    <t xml:space="preserve">Memo: connection right lost pro rata – Chinese turbine</t>
  </si>
  <si>
    <t xml:space="preserve">PB call paid, selected regime – European turbine</t>
  </si>
  <si>
    <t xml:space="preserve">PB call paid, selected regime – Chinese turbine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</si>
  <si>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</si>
  <si>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</si>
  <si>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</si>
  <si>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</si>
  <si>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</si>
  <si>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</si>
  <si>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</si>
  <si>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</si>
  <si>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</si>
  <si>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</si>
  <si>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</si>
  <si>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</si>
  <si>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</si>
  <si>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</si>
  <si>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</si>
  <si>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</si>
  <si>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</si>
  <si>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</si>
  <si>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</si>
  <si>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</si>
  <si>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</si>
  <si>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</si>
  <si>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</si>
  <si>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</si>
  <si>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</si>
  <si>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</si>
  <si>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</si>
  <si>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</si>
  <si>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</si>
  <si>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</si>
  <si>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</si>
  <si>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</si>
  <si>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</si>
  <si>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</si>
  <si>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</si>
  <si>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</si>
  <si>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Debt 6x EBITDA</t>
  </si>
  <si>
    <t xml:space="preserve">BESS 100 MWh</t>
  </si>
  <si>
    <t xml:space="preserve">Not built, pro rata</t>
  </si>
  <si>
    <t xml:space="preserve">Not built, full call</t>
  </si>
  <si>
    <t xml:space="preserve">BESS not built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</si>
  <si>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</si>
  <si>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</si>
  <si>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</si>
  <si>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</si>
  <si>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</si>
  <si>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</si>
  <si>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</si>
  <si>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</si>
  <si>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</si>
  <si>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</si>
  <si>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</si>
  <si>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</si>
  <si>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</si>
  <si>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</si>
  <si>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</si>
  <si>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</si>
  <si>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</si>
  <si>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</si>
  <si>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</si>
  <si>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</si>
  <si>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</si>
  <si>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</si>
  <si>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</si>
  <si>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</si>
  <si>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</si>
  <si>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</si>
  <si>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</si>
  <si>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</si>
  <si>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</si>
  <si>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</si>
  <si>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</si>
  <si>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</si>
  <si>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</si>
  <si>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</si>
  <si>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</si>
  <si>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</si>
  <si>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</si>
  <si>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</si>
  <si>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</si>
  <si>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</si>
  <si>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</si>
  <si>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</si>
  <si>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</si>
  <si>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</si>
  <si>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</si>
  <si>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</si>
  <si>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</si>
  <si>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</si>
  <si>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</si>
  <si>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</si>
  <si>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</si>
  <si>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</si>
  <si>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</si>
  <si>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</si>
  <si>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</si>
  <si>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</si>
  <si>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</si>
  <si>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</si>
  <si>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</si>
  <si>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</si>
  <si>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</si>
  <si>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</si>
  <si>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</si>
  <si>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</si>
  <si>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</si>
  <si>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</si>
  <si>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</si>
  <si>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</si>
  <si>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</si>
  <si>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</si>
  <si>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</si>
  <si>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</si>
  <si>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</si>
  <si>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MEKH Annex 1; Bana v3 Inputs E281</t>
  </si>
  <si>
    <t xml:space="preserve">Overbuild built, share of MVA (bid: Dashboard)</t>
  </si>
  <si>
    <t xml:space="preserve">BESS commitment, share of MVA (0 = Dashboard bid)</t>
  </si>
  <si>
    <t xml:space="preserve">User 15-Oct-26: 100 MWh = 25 MW x 4 h</t>
  </si>
  <si>
    <t xml:space="preserve">Energy lost on overbuilt MW</t>
  </si>
  <si>
    <t xml:space="preserve">Bora!N18 (as Bora)</t>
  </si>
  <si>
    <t xml:space="preserve">BESS built (1 = yes)</t>
  </si>
  <si>
    <t xml:space="preserve">User 13-Oct-26 (as Bora)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</si>
  <si>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</si>
  <si>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</si>
  <si>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</si>
  <si>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</si>
  <si>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</si>
  <si>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</si>
  <si>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</si>
  <si>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</si>
  <si>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</si>
  <si>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</si>
  <si>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</si>
  <si>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</si>
  <si>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</si>
  <si>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</si>
  <si>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</si>
  <si>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</si>
  <si>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</si>
  <si>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</si>
  <si>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</si>
  <si>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</si>
  <si>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</si>
  <si>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</si>
  <si>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</si>
  <si>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</si>
  <si>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</si>
  <si>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</si>
  <si>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</si>
  <si>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</si>
  <si>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</si>
  <si>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</si>
  <si>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</si>
  <si>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</si>
  <si>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</si>
  <si>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</si>
  <si>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</si>
  <si>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</si>
  <si>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</si>
  <si>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</si>
  <si>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</si>
  <si>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</si>
  <si>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</si>
  <si>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</si>
  <si>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</si>
  <si>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EUR k/MWh</t>
  </si>
  <si>
    <t xml:space="preserve">User 15-Oct-26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</si>
  <si>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</si>
  <si>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</si>
  <si>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</si>
  <si>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</si>
  <si>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</si>
  <si>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</si>
  <si>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</si>
  <si>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</si>
  <si>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</si>
  <si>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</si>
  <si>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</si>
  <si>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</si>
  <si>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</si>
  <si>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</si>
  <si>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</si>
  <si>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</si>
  <si>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</si>
  <si>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</si>
  <si>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</si>
  <si>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</si>
  <si>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</si>
  <si>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</si>
  <si>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</si>
  <si>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</si>
  <si>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</si>
  <si>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</si>
  <si>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</si>
  <si>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both routes</t>
  </si>
  <si>
    <t xml:space="preserve">User 14-Oct-26</t>
  </si>
  <si>
    <t xml:space="preserve">Debt sized at first full-year EBITDA x (0 = off)</t>
  </si>
  <si>
    <t xml:space="preserve">Target DSCR for sizing and sculpting</t>
  </si>
  <si>
    <t xml:space="preserve">Rock Assumptions G549</t>
  </si>
  <si>
    <t xml:space="preserve">Rock G540; set 9: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</si>
  <si>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</si>
  <si>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</si>
  <si>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</si>
  <si>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</si>
  <si>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</si>
  <si>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</si>
  <si>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</si>
  <si>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</si>
  <si>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</si>
  <si>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</si>
  <si>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</si>
  <si>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</si>
  <si>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</si>
  <si>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</si>
  <si>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</si>
  <si>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</si>
  <si>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</si>
  <si>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</si>
  <si>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</si>
  <si>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</si>
  <si>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</si>
  <si>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</si>
  <si>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</si>
  <si>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</si>
  <si>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</si>
  <si>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</si>
  <si>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</si>
  <si>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</si>
  <si>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</si>
  <si>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</si>
  <si>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</si>
  <si>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</si>
  <si>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</si>
  <si>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</si>
  <si>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</si>
  <si>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</si>
  <si>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</si>
  <si>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</si>
  <si>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</si>
  <si>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</si>
  <si>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</si>
  <si>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</si>
  <si>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</si>
  <si>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</si>
  <si>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</si>
  <si>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</si>
  <si>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</si>
  <si>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</si>
  <si>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</si>
  <si>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</si>
  <si>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</si>
  <si>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</si>
  <si>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</si>
  <si>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</si>
  <si>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</si>
  <si>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</si>
  <si>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</si>
  <si>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</si>
  <si>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</si>
  <si>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power, share of MVA (bid, or the set's commitment)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</si>
  <si>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</si>
  <si>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</si>
  <si>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</si>
  <si>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</si>
  <si>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Memo: connection right lost pro rata (GYIK 28/30)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</si>
  <si>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</si>
  <si>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</si>
  <si>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</si>
  <si>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</si>
  <si>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</si>
  <si>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</si>
  <si>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</si>
  <si>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</si>
  <si>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</si>
  <si>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</si>
  <si>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</si>
  <si>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</si>
  <si>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</si>
  <si>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</si>
  <si>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</si>
  <si>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</si>
  <si>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</si>
  <si>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</si>
  <si>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</si>
  <si>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</si>
  <si>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</si>
  <si>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</si>
  <si>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</si>
  <si>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</si>
  <si>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</si>
  <si>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</si>
  <si>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</si>
  <si>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</si>
  <si>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</si>
  <si>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</si>
  <si>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</si>
  <si>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</si>
  <si>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</si>
  <si>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</si>
  <si>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</si>
  <si>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</si>
  <si>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</si>
  <si>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</si>
  <si>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</si>
  <si>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</si>
  <si>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</si>
  <si>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</si>
  <si>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</si>
  <si>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</si>
  <si>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</si>
  <si>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target: EBITDA multiple (else the DSCR capacity)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</si>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</sst>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A128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3"/>
    <col collapsed="false" customWidth="true" hidden="false" outlineLevel="0" max="25" min="25" style="0" width="34"/>
    <col collapsed="false" customWidth="true" hidden="false" outlineLevel="0" max="26" min="26" style="0" width="10"/>
    <col collapsed="false" customWidth="true" hidden="false" outlineLevel="0" max="27" min="27" style="0" width="12"/>
    <col collapsed="false" customWidth="false" hidden="true" outlineLevel="1" max="16384" min="28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46309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Y9" s="7" t="s">
        <v>11</v>
      </c>
      <c r="Z9" s="7" t="s">
        <v>8</v>
      </c>
      <c r="AA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Y11" s="9" t="s">
        <v>5</v>
      </c>
      <c r="Z11" s="9"/>
      <c r="AA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Calc_1!$F$34</f>
        <v>20</v>
      </c>
      <c r="J12" s="14" t="n">
        <f aca="false">Calc_2!$F$34</f>
        <v>20</v>
      </c>
      <c r="Y12" s="13" t="s">
        <v>5</v>
      </c>
      <c r="Z12" s="11" t="s">
        <v>21</v>
      </c>
      <c r="AA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Calc_1!$F$35</f>
        <v>15</v>
      </c>
      <c r="J13" s="14" t="n">
        <f aca="false">Calc_2!$F$35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Calc_1!$F$36</f>
        <v>5</v>
      </c>
      <c r="J14" s="14" t="n">
        <f aca="false">Calc_2!$F$36</f>
        <v>5</v>
      </c>
      <c r="Y14" s="9" t="s">
        <v>29</v>
      </c>
      <c r="Z14" s="9"/>
      <c r="AA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Calc_1!$F$37</f>
        <v>7.5</v>
      </c>
      <c r="J15" s="14" t="n">
        <f aca="false">Calc_2!$F$37</f>
        <v>7.5</v>
      </c>
      <c r="Y15" s="13" t="s">
        <v>32</v>
      </c>
      <c r="Z15" s="11" t="s">
        <v>33</v>
      </c>
      <c r="AA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Y16" s="13" t="s">
        <v>37</v>
      </c>
      <c r="Z16" s="11" t="s">
        <v>38</v>
      </c>
      <c r="AA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Calc_1!$F$39</f>
        <v>0</v>
      </c>
      <c r="J17" s="14" t="n">
        <f aca="false">Calc_2!$F$39</f>
        <v>0</v>
      </c>
      <c r="Y17" s="13" t="s">
        <v>41</v>
      </c>
      <c r="Z17" s="11" t="s">
        <v>27</v>
      </c>
      <c r="AA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Calc_1!$F$38</f>
        <v>0</v>
      </c>
      <c r="J18" s="14" t="n">
        <f aca="false">Calc_2!$F$38</f>
        <v>0</v>
      </c>
      <c r="Y18" s="13" t="s">
        <v>45</v>
      </c>
      <c r="Z18" s="11" t="s">
        <v>43</v>
      </c>
      <c r="AA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Calc_1!$F$40</f>
        <v>0</v>
      </c>
      <c r="J19" s="14" t="n">
        <f aca="false">Calc_2!$F$40</f>
        <v>0</v>
      </c>
      <c r="Y19" s="13" t="s">
        <v>47</v>
      </c>
      <c r="Z19" s="11" t="s">
        <v>19</v>
      </c>
      <c r="AA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Calc_1!$F$41</f>
        <v>12</v>
      </c>
      <c r="J20" s="14" t="n">
        <f aca="false">Calc_2!$F$41</f>
        <v>0</v>
      </c>
      <c r="Y20" s="13" t="s">
        <v>49</v>
      </c>
      <c r="Z20" s="11" t="s">
        <v>19</v>
      </c>
      <c r="AA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Calc_1!$F$42</f>
        <v>0</v>
      </c>
      <c r="J21" s="14" t="n">
        <f aca="false">Calc_2!$F$42</f>
        <v>0</v>
      </c>
      <c r="Y21" s="13" t="s">
        <v>51</v>
      </c>
      <c r="Z21" s="11" t="s">
        <v>19</v>
      </c>
      <c r="AA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Calc_1!$E43</f>
        <v>59.5</v>
      </c>
      <c r="F22" s="26" t="n">
        <f aca="false">Calc_2!$E43</f>
        <v>47.5</v>
      </c>
      <c r="Y22" s="13" t="s">
        <v>54</v>
      </c>
      <c r="Z22" s="11" t="s">
        <v>19</v>
      </c>
      <c r="AA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IF(Calc_1!$E44+Calc_1!$F44=0,"OK","CHECK")</f>
        <v>OK</v>
      </c>
      <c r="F23" s="27" t="str">
        <f aca="false">IF(Calc_2!$E44+Calc_2!$F44=0,"OK","CHECK")</f>
        <v>OK</v>
      </c>
      <c r="Y23" s="13" t="s">
        <v>56</v>
      </c>
      <c r="Z23" s="11" t="s">
        <v>57</v>
      </c>
      <c r="AA23" s="18" t="n">
        <f aca="false">In_P50_Hours</f>
        <v>2600</v>
      </c>
    </row>
    <row r="24" customFormat="false" ht="15" hidden="false" customHeight="false" outlineLevel="0" collapsed="false">
      <c r="Y24" s="0" t="s">
        <v>58</v>
      </c>
      <c r="Z24" s="11" t="s">
        <v>24</v>
      </c>
      <c r="AA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Y25" s="13" t="s">
        <v>60</v>
      </c>
      <c r="Z25" s="11" t="s">
        <v>27</v>
      </c>
      <c r="AA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Y26" s="13" t="s">
        <v>63</v>
      </c>
      <c r="Z26" s="11" t="s">
        <v>13</v>
      </c>
      <c r="AA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Y27" s="13" t="s">
        <v>65</v>
      </c>
      <c r="Z27" s="11" t="s">
        <v>66</v>
      </c>
      <c r="AA27" s="30" t="n">
        <f aca="false">In_Debt_Tenor</f>
        <v>18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Calc_1!$E27</f>
        <v>10</v>
      </c>
      <c r="F28" s="28" t="n">
        <f aca="false">Calc_2!$E27</f>
        <v>10</v>
      </c>
      <c r="Y28" s="13" t="s">
        <v>68</v>
      </c>
      <c r="Z28" s="11" t="s">
        <v>27</v>
      </c>
      <c r="AA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Calc_1!$E28</f>
        <v>40</v>
      </c>
      <c r="F29" s="28" t="n">
        <f aca="false">Calc_2!$E28</f>
        <v>40</v>
      </c>
      <c r="Y29" s="13" t="s">
        <v>71</v>
      </c>
      <c r="Z29" s="11" t="s">
        <v>27</v>
      </c>
      <c r="AA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Calc_1!$F27</f>
        <v>10</v>
      </c>
      <c r="F30" s="28" t="n">
        <f aca="false">Calc_2!$F27</f>
        <v>10</v>
      </c>
      <c r="Y30" s="13" t="s">
        <v>73</v>
      </c>
      <c r="Z30" s="11" t="s">
        <v>43</v>
      </c>
      <c r="AA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Calc_1!$E30</f>
        <v>0.0833333333333333</v>
      </c>
      <c r="F31" s="22" t="n">
        <f aca="false">Calc_2!$E30</f>
        <v>0.0833333333333333</v>
      </c>
      <c r="Y31" s="13" t="s">
        <v>75</v>
      </c>
      <c r="Z31" s="11" t="s">
        <v>27</v>
      </c>
      <c r="AA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77</v>
      </c>
      <c r="E32" s="28" t="n">
        <f aca="false">Calc_1!$E31</f>
        <v>0</v>
      </c>
      <c r="F32" s="28" t="n">
        <f aca="false">Calc_2!$E31</f>
        <v>0</v>
      </c>
      <c r="Y32" s="13" t="s">
        <v>78</v>
      </c>
      <c r="Z32" s="11" t="s">
        <v>79</v>
      </c>
      <c r="AA32" s="18" t="n">
        <f aca="false">In_FX</f>
        <v>365</v>
      </c>
    </row>
    <row r="33" customFormat="false" ht="15" hidden="false" customHeight="false" outlineLevel="0" collapsed="false">
      <c r="C33" s="0" t="s">
        <v>80</v>
      </c>
      <c r="D33" s="11" t="s">
        <v>27</v>
      </c>
      <c r="E33" s="31" t="n">
        <f aca="false">Calc_1!$E29</f>
        <v>0.00454545454545455</v>
      </c>
      <c r="F33" s="31" t="n">
        <f aca="false">Calc_2!$E29</f>
        <v>0.00454545454545455</v>
      </c>
    </row>
    <row r="34" customFormat="false" ht="15" hidden="false" customHeight="false" outlineLevel="0" collapsed="false">
      <c r="C34" s="0" t="s">
        <v>81</v>
      </c>
      <c r="D34" s="11" t="s">
        <v>82</v>
      </c>
      <c r="E34" s="32" t="n">
        <f aca="false">Calc_1!$E60/Thousand</f>
        <v>0</v>
      </c>
      <c r="F34" s="32" t="n">
        <f aca="false">Calc_2!$E60/Thousand</f>
        <v>0</v>
      </c>
    </row>
    <row r="35" customFormat="false" ht="15" hidden="false" customHeight="false" outlineLevel="0" collapsed="false">
      <c r="C35" s="0" t="s">
        <v>83</v>
      </c>
      <c r="D35" s="11" t="s">
        <v>82</v>
      </c>
      <c r="E35" s="32" t="n">
        <f aca="false">Calc_1!$F60/Thousand</f>
        <v>2.21643835616438</v>
      </c>
      <c r="F35" s="32" t="n">
        <f aca="false">Calc_2!$F60/Thousand</f>
        <v>2.21643835616438</v>
      </c>
    </row>
    <row r="36" customFormat="false" ht="15" hidden="false" customHeight="false" outlineLevel="0" collapsed="false">
      <c r="C36" s="0" t="s">
        <v>84</v>
      </c>
      <c r="D36" s="11" t="s">
        <v>82</v>
      </c>
      <c r="E36" s="32" t="n">
        <f aca="false">(-Calc_1!$I61)/Thousand</f>
        <v>-0</v>
      </c>
      <c r="F36" s="32" t="n">
        <f aca="false">(-Calc_2!$I61)/Thousand</f>
        <v>-0</v>
      </c>
    </row>
    <row r="38" customFormat="false" ht="15" hidden="false" customHeight="false" outlineLevel="0" collapsed="false">
      <c r="A38" s="9" t="s">
        <v>13</v>
      </c>
      <c r="B38" s="9"/>
      <c r="C38" s="9" t="s">
        <v>85</v>
      </c>
      <c r="D38" s="9"/>
      <c r="E38" s="10" t="s">
        <v>9</v>
      </c>
      <c r="F38" s="10" t="s">
        <v>10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</row>
    <row r="39" customFormat="false" ht="15" hidden="false" customHeight="false" outlineLevel="0" collapsed="false">
      <c r="C39" s="0" t="s">
        <v>86</v>
      </c>
      <c r="D39" s="11" t="s">
        <v>82</v>
      </c>
      <c r="E39" s="32" t="n">
        <f aca="false">Calc_1!$I134/Thousand</f>
        <v>20.2080757486889</v>
      </c>
      <c r="F39" s="32" t="n">
        <f aca="false">Calc_2!$I134/Thousand</f>
        <v>29.3908657004839</v>
      </c>
    </row>
    <row r="40" customFormat="false" ht="15" hidden="false" customHeight="false" outlineLevel="0" collapsed="false">
      <c r="C40" s="25" t="s">
        <v>87</v>
      </c>
      <c r="D40" s="11" t="s">
        <v>27</v>
      </c>
      <c r="E40" s="33" t="n">
        <f aca="false">Calc_1!$E135</f>
        <v>0.2632612602034</v>
      </c>
      <c r="F40" s="33" t="n">
        <f aca="false">Calc_2!$E135</f>
        <v>0.410318082809979</v>
      </c>
    </row>
    <row r="41" customFormat="false" ht="15" hidden="false" customHeight="false" outlineLevel="0" collapsed="false">
      <c r="C41" s="0" t="s">
        <v>88</v>
      </c>
      <c r="D41" s="11" t="s">
        <v>13</v>
      </c>
      <c r="E41" s="29" t="n">
        <f aca="false">Calc_1!$E136</f>
        <v>1.37165010901922</v>
      </c>
      <c r="F41" s="29" t="n">
        <f aca="false">Calc_2!$E136</f>
        <v>1.70504013744302</v>
      </c>
    </row>
    <row r="42" customFormat="false" ht="15" hidden="false" customHeight="false" outlineLevel="0" collapsed="false">
      <c r="C42" s="0" t="s">
        <v>89</v>
      </c>
      <c r="D42" s="11" t="s">
        <v>82</v>
      </c>
      <c r="E42" s="32" t="n">
        <f aca="false">Calc_1!$E137/Thousand</f>
        <v>10.9902192290749</v>
      </c>
      <c r="F42" s="32" t="n">
        <f aca="false">Calc_2!$E137/Thousand</f>
        <v>18.5604545699145</v>
      </c>
    </row>
    <row r="43" customFormat="false" ht="15" hidden="false" customHeight="false" outlineLevel="0" collapsed="false">
      <c r="C43" s="0" t="s">
        <v>90</v>
      </c>
      <c r="D43" s="11" t="s">
        <v>82</v>
      </c>
      <c r="E43" s="32" t="n">
        <f aca="false">Calc_1!$I147/Thousand</f>
        <v>128.354805752678</v>
      </c>
      <c r="F43" s="32" t="n">
        <f aca="false">Calc_2!$I147/Thousand</f>
        <v>159.468109171738</v>
      </c>
    </row>
    <row r="44" customFormat="false" ht="15" hidden="false" customHeight="false" outlineLevel="0" collapsed="false">
      <c r="C44" s="25" t="s">
        <v>91</v>
      </c>
      <c r="D44" s="11" t="s">
        <v>27</v>
      </c>
      <c r="E44" s="33" t="n">
        <f aca="false">Calc_1!$E148</f>
        <v>0.0778882731983792</v>
      </c>
      <c r="F44" s="33" t="n">
        <f aca="false">Calc_2!$E148</f>
        <v>0.117451501890167</v>
      </c>
    </row>
    <row r="45" customFormat="false" ht="15" hidden="false" customHeight="false" outlineLevel="0" collapsed="false">
      <c r="C45" s="0" t="s">
        <v>92</v>
      </c>
      <c r="D45" s="11" t="s">
        <v>13</v>
      </c>
      <c r="E45" s="29" t="n">
        <f aca="false">Calc_1!$E149</f>
        <v>3.30771250081149</v>
      </c>
      <c r="F45" s="29" t="n">
        <f aca="false">Calc_2!$E149</f>
        <v>4.74214556361979</v>
      </c>
    </row>
    <row r="46" customFormat="false" ht="15" hidden="false" customHeight="false" outlineLevel="0" collapsed="false">
      <c r="C46" s="0" t="s">
        <v>93</v>
      </c>
      <c r="D46" s="11" t="s">
        <v>82</v>
      </c>
      <c r="E46" s="32" t="n">
        <f aca="false">Calc_1!$E150/Thousand</f>
        <v>-1.15479514410967</v>
      </c>
      <c r="F46" s="32" t="n">
        <f aca="false">Calc_2!$E150/Thousand</f>
        <v>16.6806940920772</v>
      </c>
    </row>
    <row r="47" customFormat="false" ht="15" hidden="false" customHeight="false" outlineLevel="0" collapsed="false">
      <c r="C47" s="0" t="s">
        <v>94</v>
      </c>
      <c r="D47" s="11" t="s">
        <v>27</v>
      </c>
      <c r="E47" s="22" t="n">
        <f aca="false">Calc_1!$E146</f>
        <v>0.0703014521926973</v>
      </c>
      <c r="F47" s="22" t="n">
        <f aca="false">Calc_2!$E146</f>
        <v>0.0962713849592859</v>
      </c>
    </row>
    <row r="49" customFormat="false" ht="15" hidden="false" customHeight="false" outlineLevel="0" collapsed="false">
      <c r="A49" s="9" t="s">
        <v>13</v>
      </c>
      <c r="B49" s="9"/>
      <c r="C49" s="9" t="s">
        <v>95</v>
      </c>
      <c r="D49" s="9"/>
      <c r="E49" s="10" t="s">
        <v>9</v>
      </c>
      <c r="F49" s="10" t="s">
        <v>10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</row>
    <row r="50" customFormat="false" ht="15" hidden="false" customHeight="false" outlineLevel="0" collapsed="false">
      <c r="C50" s="0" t="s">
        <v>96</v>
      </c>
      <c r="D50" s="11" t="s">
        <v>82</v>
      </c>
      <c r="E50" s="32" t="n">
        <f aca="false">Calc_1!$E116/Thousand</f>
        <v>5.15</v>
      </c>
      <c r="F50" s="32" t="n">
        <f aca="false">Calc_2!$E116/Thousand</f>
        <v>5.15</v>
      </c>
    </row>
    <row r="51" customFormat="false" ht="15" hidden="false" customHeight="false" outlineLevel="0" collapsed="false">
      <c r="C51" s="0" t="s">
        <v>97</v>
      </c>
      <c r="D51" s="11" t="s">
        <v>82</v>
      </c>
      <c r="E51" s="32" t="n">
        <f aca="false">Calc_1!$E117/Thousand</f>
        <v>1.11492155376243</v>
      </c>
      <c r="F51" s="32" t="n">
        <f aca="false">Calc_2!$E117/Thousand</f>
        <v>1.11492155376243</v>
      </c>
    </row>
    <row r="52" customFormat="false" ht="15" hidden="false" customHeight="false" outlineLevel="0" collapsed="false">
      <c r="C52" s="0" t="s">
        <v>98</v>
      </c>
      <c r="D52" s="11" t="s">
        <v>82</v>
      </c>
      <c r="E52" s="32" t="n">
        <f aca="false">Calc_1!$E118/Thousand</f>
        <v>91.96375</v>
      </c>
      <c r="F52" s="32" t="n">
        <f aca="false">Calc_2!$E118/Thousand</f>
        <v>64.71625</v>
      </c>
    </row>
    <row r="53" customFormat="false" ht="15" hidden="false" customHeight="false" outlineLevel="0" collapsed="false">
      <c r="C53" s="0" t="s">
        <v>99</v>
      </c>
      <c r="D53" s="11" t="s">
        <v>82</v>
      </c>
      <c r="E53" s="32" t="n">
        <f aca="false">Calc_1!$E119/Thousand</f>
        <v>8.15482315068493</v>
      </c>
      <c r="F53" s="32" t="n">
        <f aca="false">Calc_2!$E119/Thousand</f>
        <v>8.15482315068493</v>
      </c>
    </row>
    <row r="54" customFormat="false" ht="15" hidden="false" customHeight="false" outlineLevel="0" collapsed="false">
      <c r="C54" s="0" t="s">
        <v>100</v>
      </c>
      <c r="D54" s="11" t="s">
        <v>82</v>
      </c>
      <c r="E54" s="32" t="n">
        <f aca="false">Calc_1!$E120/Thousand</f>
        <v>2.5</v>
      </c>
      <c r="F54" s="32" t="n">
        <f aca="false">Calc_2!$E120/Thousand</f>
        <v>2.5</v>
      </c>
    </row>
    <row r="55" customFormat="false" ht="15" hidden="false" customHeight="false" outlineLevel="0" collapsed="false">
      <c r="C55" s="0" t="s">
        <v>101</v>
      </c>
      <c r="D55" s="11" t="s">
        <v>82</v>
      </c>
      <c r="E55" s="32" t="n">
        <f aca="false">Calc_1!$E121/Thousand</f>
        <v>4.20575934932964</v>
      </c>
      <c r="F55" s="32" t="n">
        <f aca="false">Calc_2!$E121/Thousand</f>
        <v>3.10796939753469</v>
      </c>
    </row>
    <row r="56" customFormat="false" ht="15" hidden="false" customHeight="false" outlineLevel="0" collapsed="false">
      <c r="C56" s="0" t="s">
        <v>102</v>
      </c>
      <c r="D56" s="11" t="s">
        <v>82</v>
      </c>
      <c r="E56" s="32" t="n">
        <f aca="false">Calc_1!$E122/Thousand</f>
        <v>0.340170197534084</v>
      </c>
      <c r="F56" s="32" t="n">
        <f aca="false">Calc_2!$E122/Thousand</f>
        <v>0.340170197534084</v>
      </c>
    </row>
    <row r="57" customFormat="false" ht="15" hidden="false" customHeight="false" outlineLevel="0" collapsed="false">
      <c r="C57" s="25" t="s">
        <v>103</v>
      </c>
      <c r="D57" s="11" t="s">
        <v>82</v>
      </c>
      <c r="E57" s="26" t="n">
        <f aca="false">Calc_1!$E123/Thousand</f>
        <v>113.429424251311</v>
      </c>
      <c r="F57" s="26" t="n">
        <f aca="false">Calc_2!$E123/Thousand</f>
        <v>85.0841342995161</v>
      </c>
    </row>
    <row r="58" customFormat="false" ht="15" hidden="false" customHeight="false" outlineLevel="0" collapsed="false">
      <c r="C58" s="0" t="s">
        <v>104</v>
      </c>
      <c r="D58" s="11" t="s">
        <v>82</v>
      </c>
      <c r="E58" s="32" t="n">
        <f aca="false">Calc_1!$E98/Thousand</f>
        <v>59.0554976513219</v>
      </c>
      <c r="F58" s="32" t="n">
        <f aca="false">Calc_2!$E98/Thousand</f>
        <v>43.3973364285807</v>
      </c>
    </row>
    <row r="59" customFormat="false" ht="15" hidden="false" customHeight="false" outlineLevel="0" collapsed="false">
      <c r="C59" s="25" t="s">
        <v>105</v>
      </c>
      <c r="D59" s="11" t="s">
        <v>82</v>
      </c>
      <c r="E59" s="26" t="n">
        <f aca="false">Calc_1!$E124/Thousand</f>
        <v>54.3739265999892</v>
      </c>
      <c r="F59" s="26" t="n">
        <f aca="false">Calc_2!$E124/Thousand</f>
        <v>41.6867978709354</v>
      </c>
    </row>
    <row r="60" customFormat="false" ht="15" hidden="false" customHeight="false" outlineLevel="0" collapsed="false">
      <c r="C60" s="0" t="s">
        <v>106</v>
      </c>
      <c r="D60" s="11" t="s">
        <v>82</v>
      </c>
      <c r="E60" s="32" t="n">
        <f aca="false">Calc_1!$F124/Thousand</f>
        <v>55.6199291322218</v>
      </c>
      <c r="F60" s="32" t="n">
        <f aca="false">Calc_2!$F124/Thousand</f>
        <v>42.6140850110287</v>
      </c>
    </row>
    <row r="61" customFormat="false" ht="15" hidden="false" customHeight="false" outlineLevel="0" collapsed="false">
      <c r="C61" s="0" t="s">
        <v>107</v>
      </c>
      <c r="D61" s="11" t="s">
        <v>27</v>
      </c>
      <c r="E61" s="22" t="n">
        <f aca="false">Calc_1!$E125</f>
        <v>0.520636493053868</v>
      </c>
      <c r="F61" s="22" t="n">
        <f aca="false">Calc_2!$E125</f>
        <v>0.510052041850856</v>
      </c>
    </row>
    <row r="63" customFormat="false" ht="15" hidden="false" customHeight="false" outlineLevel="0" collapsed="false">
      <c r="A63" s="9" t="s">
        <v>13</v>
      </c>
      <c r="B63" s="9"/>
      <c r="C63" s="9" t="s">
        <v>108</v>
      </c>
      <c r="D63" s="9"/>
      <c r="E63" s="10" t="s">
        <v>9</v>
      </c>
      <c r="F63" s="10" t="s">
        <v>10</v>
      </c>
      <c r="G63" s="9"/>
      <c r="H63" s="10" t="s">
        <v>109</v>
      </c>
      <c r="I63" s="10" t="s">
        <v>110</v>
      </c>
      <c r="J63" s="10" t="s">
        <v>111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</row>
    <row r="64" customFormat="false" ht="15" hidden="false" customHeight="false" outlineLevel="0" collapsed="false">
      <c r="C64" s="0" t="s">
        <v>112</v>
      </c>
      <c r="D64" s="11" t="s">
        <v>82</v>
      </c>
      <c r="E64" s="34" t="n">
        <f aca="false">Calc_1!$E51/Thousand</f>
        <v>0.00821917808219178</v>
      </c>
      <c r="F64" s="34" t="n">
        <f aca="false">Calc_2!$E51/Thousand</f>
        <v>0.00821917808219178</v>
      </c>
      <c r="H64" s="13" t="s">
        <v>113</v>
      </c>
      <c r="I64" s="20" t="n">
        <f aca="false">In_Bid_Date</f>
        <v>46325</v>
      </c>
      <c r="J64" s="35" t="s">
        <v>114</v>
      </c>
    </row>
    <row r="65" customFormat="false" ht="15" hidden="false" customHeight="false" outlineLevel="0" collapsed="false">
      <c r="C65" s="0" t="s">
        <v>115</v>
      </c>
      <c r="D65" s="11" t="s">
        <v>82</v>
      </c>
      <c r="E65" s="34" t="n">
        <f aca="false">Calc_1!$E52/Thousand</f>
        <v>0.443287671232877</v>
      </c>
      <c r="F65" s="34" t="n">
        <f aca="false">Calc_2!$E52/Thousand</f>
        <v>0.443287671232877</v>
      </c>
      <c r="H65" s="13" t="s">
        <v>116</v>
      </c>
      <c r="I65" s="20" t="n">
        <f aca="false">In_Bid_Date</f>
        <v>46325</v>
      </c>
      <c r="J65" s="20" t="n">
        <f aca="false">Calc_1!$F$53</f>
        <v>46433</v>
      </c>
    </row>
    <row r="66" customFormat="false" ht="15" hidden="false" customHeight="false" outlineLevel="0" collapsed="false">
      <c r="C66" s="0" t="s">
        <v>117</v>
      </c>
      <c r="D66" s="11" t="s">
        <v>82</v>
      </c>
      <c r="E66" s="34" t="n">
        <f aca="false">Calc_1!$E53/Thousand</f>
        <v>2.21643835616438</v>
      </c>
      <c r="F66" s="34" t="n">
        <f aca="false">Calc_2!$E53/Thousand</f>
        <v>2.21643835616438</v>
      </c>
      <c r="H66" s="13" t="s">
        <v>116</v>
      </c>
      <c r="I66" s="20" t="n">
        <f aca="false">Calc_1!$F$53</f>
        <v>46433</v>
      </c>
      <c r="J66" s="20" t="n">
        <f aca="false">In_PB_Release</f>
        <v>48669</v>
      </c>
    </row>
    <row r="67" customFormat="false" ht="15" hidden="false" customHeight="false" outlineLevel="0" collapsed="false">
      <c r="C67" s="0" t="s">
        <v>118</v>
      </c>
      <c r="D67" s="11" t="s">
        <v>82</v>
      </c>
      <c r="E67" s="34" t="n">
        <f aca="false">Calc_1!$E54/Thousand</f>
        <v>0.616438356164384</v>
      </c>
      <c r="F67" s="34" t="n">
        <f aca="false">Calc_2!$E54/Thousand</f>
        <v>0.616438356164384</v>
      </c>
      <c r="H67" s="13" t="s">
        <v>113</v>
      </c>
      <c r="I67" s="20" t="n">
        <f aca="false">Calc_1!$F$53</f>
        <v>46433</v>
      </c>
      <c r="J67" s="35" t="s">
        <v>119</v>
      </c>
    </row>
    <row r="68" customFormat="false" ht="15" hidden="false" customHeight="false" outlineLevel="0" collapsed="false">
      <c r="C68" s="0" t="s">
        <v>120</v>
      </c>
      <c r="D68" s="11" t="s">
        <v>82</v>
      </c>
      <c r="E68" s="34" t="n">
        <f aca="false">Calc_1!$E55/Thousand</f>
        <v>1.26027397260274</v>
      </c>
      <c r="F68" s="34" t="n">
        <f aca="false">Calc_2!$E55/Thousand</f>
        <v>1.26027397260274</v>
      </c>
      <c r="H68" s="13" t="s">
        <v>113</v>
      </c>
      <c r="I68" s="20" t="n">
        <f aca="false">In_HCSSZ_Date</f>
        <v>47126</v>
      </c>
      <c r="J68" s="35" t="s">
        <v>114</v>
      </c>
    </row>
    <row r="69" customFormat="false" ht="15" hidden="false" customHeight="false" outlineLevel="0" collapsed="false">
      <c r="C69" s="0" t="s">
        <v>121</v>
      </c>
      <c r="D69" s="11" t="s">
        <v>82</v>
      </c>
      <c r="E69" s="34" t="n">
        <f aca="false">Calc_1!$E56/Thousand</f>
        <v>6.89454917808219</v>
      </c>
      <c r="F69" s="34" t="n">
        <f aca="false">Calc_2!$E56/Thousand</f>
        <v>6.89454917808219</v>
      </c>
      <c r="H69" s="13" t="s">
        <v>113</v>
      </c>
      <c r="I69" s="20" t="n">
        <f aca="false">In_HCSSZ_Date</f>
        <v>47126</v>
      </c>
      <c r="J69" s="35" t="s">
        <v>114</v>
      </c>
    </row>
    <row r="70" customFormat="false" ht="15" hidden="false" customHeight="false" outlineLevel="0" collapsed="false">
      <c r="C70" s="0" t="s">
        <v>122</v>
      </c>
      <c r="D70" s="11" t="s">
        <v>82</v>
      </c>
      <c r="E70" s="34" t="n">
        <f aca="false">(-Calc_1!$E58)/Thousand</f>
        <v>0.490264019515857</v>
      </c>
      <c r="F70" s="34" t="n">
        <f aca="false">(-Calc_2!$E58)/Thousand</f>
        <v>0.490264019515857</v>
      </c>
    </row>
    <row r="72" customFormat="false" ht="15" hidden="false" customHeight="false" outlineLevel="0" collapsed="false">
      <c r="A72" s="9" t="s">
        <v>13</v>
      </c>
      <c r="B72" s="9"/>
      <c r="C72" s="9" t="s">
        <v>123</v>
      </c>
      <c r="D72" s="9"/>
      <c r="E72" s="10" t="s">
        <v>9</v>
      </c>
      <c r="F72" s="10" t="s">
        <v>10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</row>
    <row r="73" customFormat="false" ht="15" hidden="false" customHeight="false" outlineLevel="0" collapsed="false">
      <c r="C73" s="0" t="s">
        <v>124</v>
      </c>
      <c r="D73" s="11" t="s">
        <v>82</v>
      </c>
      <c r="E73" s="32" t="n">
        <f aca="false">Calc_1!$E131/Thousand</f>
        <v>134.1375</v>
      </c>
      <c r="F73" s="32" t="n">
        <f aca="false">Calc_2!$E131/Thousand</f>
        <v>114.975</v>
      </c>
    </row>
    <row r="74" customFormat="false" ht="15" hidden="false" customHeight="false" outlineLevel="0" collapsed="false">
      <c r="C74" s="0" t="s">
        <v>125</v>
      </c>
      <c r="D74" s="11" t="s">
        <v>82</v>
      </c>
      <c r="E74" s="32" t="n">
        <f aca="false">Calc_1!$E132/Thousand</f>
        <v>74.5820023486781</v>
      </c>
      <c r="F74" s="32" t="n">
        <f aca="false">Calc_2!$E132/Thousand</f>
        <v>71.0776635714193</v>
      </c>
    </row>
    <row r="75" customFormat="false" ht="15" hidden="false" customHeight="false" outlineLevel="0" collapsed="false">
      <c r="C75" s="0" t="s">
        <v>126</v>
      </c>
      <c r="D75" s="11" t="s">
        <v>82</v>
      </c>
      <c r="E75" s="32" t="n">
        <f aca="false">Calc_1!$E133/Thousand</f>
        <v>-0</v>
      </c>
      <c r="F75" s="32" t="n">
        <f aca="false">Calc_2!$E133/Thousand</f>
        <v>-0</v>
      </c>
    </row>
    <row r="76" customFormat="false" ht="15" hidden="false" customHeight="false" outlineLevel="0" collapsed="false">
      <c r="C76" s="25" t="s">
        <v>127</v>
      </c>
      <c r="D76" s="11" t="s">
        <v>27</v>
      </c>
      <c r="E76" s="33" t="n">
        <f aca="false">Calc_1!$E140</f>
        <v>0.0569296881085363</v>
      </c>
      <c r="F76" s="33" t="n">
        <f aca="false">Calc_2!$E140</f>
        <v>0.0698570950743651</v>
      </c>
    </row>
    <row r="77" customFormat="false" ht="15" hidden="false" customHeight="false" outlineLevel="0" collapsed="false">
      <c r="C77" s="0" t="s">
        <v>128</v>
      </c>
      <c r="D77" s="11" t="s">
        <v>27</v>
      </c>
      <c r="E77" s="22" t="n">
        <f aca="false">Calc_1!$E142</f>
        <v>0.0587523414589974</v>
      </c>
      <c r="F77" s="22" t="n">
        <f aca="false">Calc_2!$E142</f>
        <v>0.0759030321814568</v>
      </c>
    </row>
    <row r="79" customFormat="false" ht="15" hidden="false" customHeight="false" outlineLevel="0" collapsed="false">
      <c r="A79" s="9" t="s">
        <v>13</v>
      </c>
      <c r="B79" s="9"/>
      <c r="C79" s="9" t="s">
        <v>129</v>
      </c>
      <c r="D79" s="9"/>
      <c r="E79" s="10" t="s">
        <v>9</v>
      </c>
      <c r="F79" s="10" t="s">
        <v>10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</row>
    <row r="80" customFormat="false" ht="15" hidden="false" customHeight="false" outlineLevel="0" collapsed="false">
      <c r="C80" s="0" t="s">
        <v>130</v>
      </c>
      <c r="D80" s="11" t="s">
        <v>82</v>
      </c>
      <c r="E80" s="32" t="n">
        <f aca="false">Calc_1!$E87/Thousand</f>
        <v>92.5962536855794</v>
      </c>
      <c r="F80" s="32" t="n">
        <f aca="false">Calc_2!$E87/Thousand</f>
        <v>89.8315464768429</v>
      </c>
    </row>
    <row r="81" customFormat="false" ht="15" hidden="false" customHeight="false" outlineLevel="0" collapsed="false">
      <c r="C81" s="0" t="s">
        <v>131</v>
      </c>
      <c r="D81" s="11" t="s">
        <v>27</v>
      </c>
      <c r="E81" s="22" t="n">
        <f aca="false">Calc_1!$E89</f>
        <v>0.55</v>
      </c>
      <c r="F81" s="22" t="n">
        <f aca="false">Calc_2!$E89</f>
        <v>0.55</v>
      </c>
    </row>
    <row r="82" customFormat="false" ht="15" hidden="false" customHeight="false" outlineLevel="0" collapsed="false">
      <c r="C82" s="0" t="s">
        <v>132</v>
      </c>
      <c r="D82" s="11" t="s">
        <v>27</v>
      </c>
      <c r="E82" s="22" t="n">
        <f aca="false">Calc_1!$F89</f>
        <v>0.637774157168942</v>
      </c>
      <c r="F82" s="22" t="n">
        <f aca="false">Calc_2!$F89</f>
        <v>0.483096842151858</v>
      </c>
    </row>
    <row r="83" customFormat="false" ht="15" hidden="false" customHeight="false" outlineLevel="0" collapsed="false">
      <c r="C83" s="0" t="s">
        <v>133</v>
      </c>
      <c r="D83" s="11" t="s">
        <v>13</v>
      </c>
      <c r="E83" s="29" t="n">
        <f aca="false">In_DSCR_Max_Low</f>
        <v>1.1</v>
      </c>
      <c r="F83" s="29" t="n">
        <f aca="false">In_DSCR_Max_Low</f>
        <v>1.1</v>
      </c>
    </row>
    <row r="84" customFormat="false" ht="15" hidden="false" customHeight="false" outlineLevel="0" collapsed="false">
      <c r="C84" s="0" t="s">
        <v>134</v>
      </c>
      <c r="D84" s="11" t="s">
        <v>82</v>
      </c>
      <c r="E84" s="32" t="n">
        <f aca="false">Calc_1!$E126/Thousand</f>
        <v>101.014094929723</v>
      </c>
      <c r="F84" s="32" t="n">
        <f aca="false">Calc_2!$E126/Thousand</f>
        <v>97.9980507020105</v>
      </c>
    </row>
    <row r="85" customFormat="false" ht="15" hidden="false" customHeight="false" outlineLevel="0" collapsed="false">
      <c r="C85" s="0" t="s">
        <v>135</v>
      </c>
      <c r="D85" s="11" t="s">
        <v>27</v>
      </c>
      <c r="E85" s="22" t="n">
        <f aca="false">Calc_1!$E127</f>
        <v>0.890545778544366</v>
      </c>
      <c r="F85" s="22" t="n">
        <f aca="false">Calc_2!$E127</f>
        <v>1.1517781958859</v>
      </c>
    </row>
    <row r="86" customFormat="false" ht="15" hidden="false" customHeight="false" outlineLevel="0" collapsed="false">
      <c r="C86" s="0" t="s">
        <v>136</v>
      </c>
      <c r="D86" s="11" t="s">
        <v>13</v>
      </c>
      <c r="E86" s="29" t="n">
        <f aca="false">In_DSCR_Max_High</f>
        <v>1.2</v>
      </c>
      <c r="F86" s="29" t="n">
        <f aca="false">In_DSCR_Max_High</f>
        <v>1.2</v>
      </c>
    </row>
    <row r="87" customFormat="false" ht="15" hidden="false" customHeight="false" outlineLevel="0" collapsed="false">
      <c r="C87" s="0" t="s">
        <v>137</v>
      </c>
      <c r="D87" s="11" t="s">
        <v>82</v>
      </c>
      <c r="E87" s="32" t="n">
        <f aca="false">Calc_1!$F126/Thousand</f>
        <v>92.5962536855794</v>
      </c>
      <c r="F87" s="32" t="n">
        <f aca="false">Calc_2!$F126/Thousand</f>
        <v>89.8315464768429</v>
      </c>
    </row>
    <row r="88" customFormat="false" ht="15" hidden="false" customHeight="false" outlineLevel="0" collapsed="false">
      <c r="C88" s="0" t="s">
        <v>138</v>
      </c>
      <c r="D88" s="11" t="s">
        <v>27</v>
      </c>
      <c r="E88" s="22" t="n">
        <f aca="false">Calc_1!$F127</f>
        <v>0.816333630332335</v>
      </c>
      <c r="F88" s="22" t="n">
        <f aca="false">Calc_2!$F127</f>
        <v>1.05579667956208</v>
      </c>
    </row>
    <row r="89" customFormat="false" ht="15" hidden="false" customHeight="false" outlineLevel="0" collapsed="false">
      <c r="C89" s="0" t="s">
        <v>139</v>
      </c>
      <c r="D89" s="11" t="s">
        <v>82</v>
      </c>
      <c r="E89" s="32" t="n">
        <f aca="false">Calc_1!$E101/Thousand</f>
        <v>1.24600253223261</v>
      </c>
      <c r="F89" s="32" t="n">
        <f aca="false">Calc_2!$E101/Thousand</f>
        <v>0.927287140093298</v>
      </c>
    </row>
    <row r="90" customFormat="false" ht="15" hidden="false" customHeight="false" outlineLevel="0" collapsed="false">
      <c r="C90" s="0" t="s">
        <v>140</v>
      </c>
      <c r="D90" s="11" t="s">
        <v>13</v>
      </c>
      <c r="E90" s="29" t="n">
        <f aca="false">Calc_1!$E102</f>
        <v>1.8815437824053</v>
      </c>
      <c r="F90" s="29" t="n">
        <f aca="false">Calc_2!$E102</f>
        <v>2.48397400954815</v>
      </c>
    </row>
    <row r="91" customFormat="false" ht="15" hidden="false" customHeight="false" outlineLevel="0" collapsed="false">
      <c r="C91" s="0" t="s">
        <v>141</v>
      </c>
      <c r="D91" s="11" t="s">
        <v>142</v>
      </c>
      <c r="E91" s="36" t="n">
        <f aca="false">Calc_1!$E74/Thousand</f>
        <v>139.3975128</v>
      </c>
      <c r="F91" s="36" t="n">
        <f aca="false">Calc_2!$E74/Thousand</f>
        <v>139.3975128</v>
      </c>
    </row>
    <row r="92" customFormat="false" ht="15" hidden="false" customHeight="false" outlineLevel="0" collapsed="false">
      <c r="C92" s="0" t="s">
        <v>143</v>
      </c>
      <c r="D92" s="11" t="s">
        <v>82</v>
      </c>
      <c r="E92" s="32" t="n">
        <f aca="false">Calc_1!$E75/Thousand</f>
        <v>12.67123391352</v>
      </c>
      <c r="F92" s="32" t="n">
        <f aca="false">Calc_2!$E75/Thousand</f>
        <v>12.67123391352</v>
      </c>
    </row>
    <row r="93" customFormat="false" ht="15" hidden="false" customHeight="false" outlineLevel="0" collapsed="false">
      <c r="C93" s="0" t="s">
        <v>144</v>
      </c>
      <c r="D93" s="11" t="s">
        <v>82</v>
      </c>
      <c r="E93" s="32" t="n">
        <f aca="false">Calc_1!$E82/Thousand</f>
        <v>9.55688408374485</v>
      </c>
      <c r="F93" s="32" t="n">
        <f aca="false">Calc_2!$E82/Thousand</f>
        <v>9.55688408374485</v>
      </c>
    </row>
    <row r="94" customFormat="false" ht="15" hidden="false" customHeight="false" outlineLevel="0" collapsed="false">
      <c r="C94" s="0" t="s">
        <v>145</v>
      </c>
      <c r="D94" s="11" t="s">
        <v>82</v>
      </c>
      <c r="E94" s="32" t="n">
        <f aca="false">Calc_1!$I75/Thousand</f>
        <v>420.752711777652</v>
      </c>
      <c r="F94" s="32" t="n">
        <f aca="false">Calc_2!$I75/Thousand</f>
        <v>420.752711777652</v>
      </c>
    </row>
    <row r="95" customFormat="false" ht="15" hidden="false" customHeight="false" outlineLevel="0" collapsed="false">
      <c r="C95" s="0" t="s">
        <v>146</v>
      </c>
      <c r="D95" s="11" t="s">
        <v>82</v>
      </c>
      <c r="E95" s="32" t="n">
        <f aca="false">Calc_1!$I82/Thousand</f>
        <v>295.37332772584</v>
      </c>
      <c r="F95" s="32" t="n">
        <f aca="false">Calc_2!$I82/Thousand</f>
        <v>295.37332772584</v>
      </c>
    </row>
    <row r="96" customFormat="false" ht="15" hidden="false" customHeight="false" outlineLevel="0" collapsed="false">
      <c r="C96" s="0" t="s">
        <v>147</v>
      </c>
      <c r="D96" s="11" t="s">
        <v>82</v>
      </c>
      <c r="E96" s="32" t="n">
        <f aca="false">(SUM(Calc_1!$J112:$EO112))/Thousand</f>
        <v>-22.7836180587867</v>
      </c>
      <c r="F96" s="32" t="n">
        <f aca="false">(SUM(Calc_2!$J112:$EO112))/Thousand</f>
        <v>-28.1414310303066</v>
      </c>
    </row>
    <row r="97" customFormat="false" ht="15" hidden="false" customHeight="false" outlineLevel="0" collapsed="false">
      <c r="C97" s="0" t="s">
        <v>148</v>
      </c>
      <c r="D97" s="11" t="s">
        <v>82</v>
      </c>
      <c r="E97" s="32" t="n">
        <f aca="false">(-Calc_1!$I110)/Thousand</f>
        <v>0.752363247114141</v>
      </c>
      <c r="F97" s="32" t="n">
        <f aca="false">(-Calc_2!$I110)/Thousand</f>
        <v>-0</v>
      </c>
    </row>
    <row r="98" customFormat="false" ht="15" hidden="false" customHeight="false" outlineLevel="0" collapsed="false">
      <c r="C98" s="0" t="s">
        <v>149</v>
      </c>
      <c r="D98" s="11" t="s">
        <v>150</v>
      </c>
      <c r="E98" s="30" t="n">
        <f aca="false">Model_Checks</f>
        <v>0</v>
      </c>
      <c r="F98" s="30" t="n">
        <f aca="false">Model_Checks</f>
        <v>0</v>
      </c>
    </row>
    <row r="100" customFormat="false" ht="15" hidden="false" customHeight="false" outlineLevel="0" collapsed="false">
      <c r="A100" s="9" t="s">
        <v>13</v>
      </c>
      <c r="B100" s="9"/>
      <c r="C100" s="9" t="s">
        <v>151</v>
      </c>
      <c r="D100" s="9"/>
      <c r="E100" s="10" t="s">
        <v>12</v>
      </c>
      <c r="F100" s="10"/>
      <c r="G100" s="9"/>
      <c r="H100" s="10" t="str">
        <f aca="false">Inputs!H$7</f>
        <v>Base</v>
      </c>
      <c r="I100" s="10" t="str">
        <f aca="false">Inputs!I$7</f>
        <v>COD price −10%</v>
      </c>
      <c r="J100" s="10" t="str">
        <f aca="false">Inputs!J$7</f>
        <v>COD price +10%</v>
      </c>
      <c r="K100" s="10" t="str">
        <f aca="false">Inputs!K$7</f>
        <v>Turbine +10%</v>
      </c>
      <c r="L100" s="10" t="str">
        <f aca="false">Inputs!L$7</f>
        <v>Yield −10%</v>
      </c>
      <c r="M100" s="10" t="str">
        <f aca="false">Inputs!M$7</f>
        <v>PPA +10%</v>
      </c>
      <c r="N100" s="10" t="str">
        <f aca="false">Inputs!N$7</f>
        <v>Full PB call</v>
      </c>
      <c r="O100" s="10" t="str">
        <f aca="false">Inputs!O$7</f>
        <v>Rate +1 pp</v>
      </c>
      <c r="P100" s="10" t="str">
        <f aca="false">Inputs!P$7</f>
        <v>Tenor 10 years</v>
      </c>
      <c r="Q100" s="10" t="str">
        <f aca="false">Inputs!Q$7</f>
        <v>Robin Hood 31%</v>
      </c>
      <c r="R100" s="10" t="str">
        <f aca="false">Inputs!R$7</f>
        <v>CIT 9%</v>
      </c>
      <c r="S100" s="10" t="str">
        <f aca="false">Inputs!S$7</f>
        <v>Debt 6x EBITDA</v>
      </c>
      <c r="T100" s="10" t="str">
        <f aca="false">Inputs!T$7</f>
        <v>BESS 100 MWh</v>
      </c>
      <c r="U100" s="10" t="str">
        <f aca="false">Inputs!U$7</f>
        <v>Not built, pro rata</v>
      </c>
      <c r="V100" s="10" t="str">
        <f aca="false">Inputs!V$7</f>
        <v>Not built, full call</v>
      </c>
      <c r="W100" s="10" t="str">
        <f aca="false">Inputs!W$7</f>
        <v>BESS not built</v>
      </c>
    </row>
    <row r="101" customFormat="false" ht="15" hidden="false" customHeight="false" outlineLevel="0" collapsed="false">
      <c r="C101" s="0" t="s">
        <v>152</v>
      </c>
      <c r="D101" s="11" t="s">
        <v>53</v>
      </c>
      <c r="E101" s="14" t="n">
        <f aca="false">Calc_1!$E43</f>
        <v>59.5</v>
      </c>
      <c r="H101" s="37" t="n">
        <v>59.5</v>
      </c>
      <c r="I101" s="37" t="n">
        <v>59.5</v>
      </c>
      <c r="J101" s="37" t="n">
        <v>59.5</v>
      </c>
      <c r="K101" s="37" t="n">
        <v>59.5</v>
      </c>
      <c r="L101" s="37" t="n">
        <v>59.5</v>
      </c>
      <c r="M101" s="37" t="n">
        <v>59.5</v>
      </c>
      <c r="N101" s="37" t="n">
        <v>59.5</v>
      </c>
      <c r="O101" s="37" t="n">
        <v>59.5</v>
      </c>
      <c r="P101" s="37" t="n">
        <v>59.5</v>
      </c>
      <c r="Q101" s="37" t="n">
        <v>59.5</v>
      </c>
      <c r="R101" s="37" t="n">
        <v>59.5</v>
      </c>
      <c r="S101" s="37" t="n">
        <v>59.5</v>
      </c>
      <c r="T101" s="37" t="n">
        <v>65.5</v>
      </c>
      <c r="U101" s="37" t="n">
        <v>59.5</v>
      </c>
      <c r="V101" s="37" t="n">
        <v>59.5</v>
      </c>
      <c r="W101" s="37" t="n">
        <v>59.5</v>
      </c>
    </row>
    <row r="102" customFormat="false" ht="15" hidden="false" customHeight="false" outlineLevel="0" collapsed="false">
      <c r="C102" s="0" t="s">
        <v>153</v>
      </c>
      <c r="D102" s="11" t="s">
        <v>53</v>
      </c>
      <c r="E102" s="14" t="n">
        <f aca="false">Calc_2!$E43</f>
        <v>47.5</v>
      </c>
      <c r="H102" s="37" t="n">
        <v>47.5</v>
      </c>
      <c r="I102" s="37" t="n">
        <v>47.5</v>
      </c>
      <c r="J102" s="37" t="n">
        <v>47.5</v>
      </c>
      <c r="K102" s="37" t="n">
        <v>47.5</v>
      </c>
      <c r="L102" s="37" t="n">
        <v>47.5</v>
      </c>
      <c r="M102" s="37" t="n">
        <v>47.5</v>
      </c>
      <c r="N102" s="37" t="n">
        <v>47.5</v>
      </c>
      <c r="O102" s="37" t="n">
        <v>47.5</v>
      </c>
      <c r="P102" s="37" t="n">
        <v>47.5</v>
      </c>
      <c r="Q102" s="37" t="n">
        <v>47.5</v>
      </c>
      <c r="R102" s="37" t="n">
        <v>47.5</v>
      </c>
      <c r="S102" s="37" t="n">
        <v>47.5</v>
      </c>
      <c r="T102" s="37" t="n">
        <v>53.5</v>
      </c>
      <c r="U102" s="37" t="n">
        <v>47.5</v>
      </c>
      <c r="V102" s="37" t="n">
        <v>47.5</v>
      </c>
      <c r="W102" s="37" t="n">
        <v>47.5</v>
      </c>
    </row>
    <row r="103" customFormat="false" ht="15" hidden="false" customHeight="false" outlineLevel="0" collapsed="false">
      <c r="C103" s="0" t="s">
        <v>154</v>
      </c>
      <c r="D103" s="11" t="s">
        <v>77</v>
      </c>
      <c r="E103" s="28" t="n">
        <f aca="false">Calc_1!$E31</f>
        <v>0</v>
      </c>
      <c r="H103" s="38" t="n">
        <v>0</v>
      </c>
      <c r="I103" s="38" t="n">
        <v>0</v>
      </c>
      <c r="J103" s="38" t="n">
        <v>0</v>
      </c>
      <c r="K103" s="38" t="n">
        <v>0</v>
      </c>
      <c r="L103" s="38" t="n">
        <v>0</v>
      </c>
      <c r="M103" s="38" t="n">
        <v>0</v>
      </c>
      <c r="N103" s="38" t="n">
        <v>0</v>
      </c>
      <c r="O103" s="38" t="n">
        <v>0</v>
      </c>
      <c r="P103" s="38" t="n">
        <v>0</v>
      </c>
      <c r="Q103" s="38" t="n">
        <v>0</v>
      </c>
      <c r="R103" s="38" t="n">
        <v>0</v>
      </c>
      <c r="S103" s="38" t="n">
        <v>0</v>
      </c>
      <c r="T103" s="38" t="n">
        <v>0</v>
      </c>
      <c r="U103" s="38" t="n">
        <v>8.33333333333333</v>
      </c>
      <c r="V103" s="38" t="n">
        <v>8.33333333333333</v>
      </c>
      <c r="W103" s="38" t="n">
        <v>0</v>
      </c>
    </row>
    <row r="104" customFormat="false" ht="15" hidden="false" customHeight="false" outlineLevel="0" collapsed="false">
      <c r="C104" s="0" t="s">
        <v>155</v>
      </c>
      <c r="D104" s="11" t="s">
        <v>77</v>
      </c>
      <c r="E104" s="28" t="n">
        <f aca="false">Calc_2!$E31</f>
        <v>0</v>
      </c>
      <c r="H104" s="38" t="n">
        <v>0</v>
      </c>
      <c r="I104" s="38" t="n">
        <v>0</v>
      </c>
      <c r="J104" s="38" t="n">
        <v>0</v>
      </c>
      <c r="K104" s="38" t="n">
        <v>0</v>
      </c>
      <c r="L104" s="38" t="n">
        <v>0</v>
      </c>
      <c r="M104" s="38" t="n">
        <v>0</v>
      </c>
      <c r="N104" s="38" t="n">
        <v>0</v>
      </c>
      <c r="O104" s="38" t="n">
        <v>0</v>
      </c>
      <c r="P104" s="38" t="n">
        <v>0</v>
      </c>
      <c r="Q104" s="38" t="n">
        <v>0</v>
      </c>
      <c r="R104" s="38" t="n">
        <v>0</v>
      </c>
      <c r="S104" s="38" t="n">
        <v>0</v>
      </c>
      <c r="T104" s="38" t="n">
        <v>0</v>
      </c>
      <c r="U104" s="38" t="n">
        <v>8.33333333333333</v>
      </c>
      <c r="V104" s="38" t="n">
        <v>8.33333333333333</v>
      </c>
      <c r="W104" s="38" t="n">
        <v>0</v>
      </c>
    </row>
    <row r="105" customFormat="false" ht="15" hidden="false" customHeight="false" outlineLevel="0" collapsed="false">
      <c r="C105" s="0" t="s">
        <v>156</v>
      </c>
      <c r="D105" s="11" t="s">
        <v>82</v>
      </c>
      <c r="E105" s="32" t="n">
        <f aca="false">(-Calc_1!$I61)/Thousand</f>
        <v>-0</v>
      </c>
      <c r="H105" s="37" t="n">
        <v>0</v>
      </c>
      <c r="I105" s="37" t="n">
        <v>0</v>
      </c>
      <c r="J105" s="37" t="n">
        <v>0</v>
      </c>
      <c r="K105" s="37" t="n">
        <v>0</v>
      </c>
      <c r="L105" s="37" t="n">
        <v>0</v>
      </c>
      <c r="M105" s="37" t="n">
        <v>0</v>
      </c>
      <c r="N105" s="37" t="n">
        <v>2.21643835616438</v>
      </c>
      <c r="O105" s="37" t="n">
        <v>0</v>
      </c>
      <c r="P105" s="37" t="n">
        <v>0</v>
      </c>
      <c r="Q105" s="37" t="n">
        <v>0</v>
      </c>
      <c r="R105" s="37" t="n">
        <v>0</v>
      </c>
      <c r="S105" s="37" t="n">
        <v>0</v>
      </c>
      <c r="T105" s="37" t="n">
        <v>0</v>
      </c>
      <c r="U105" s="37" t="n">
        <v>0.826027397260274</v>
      </c>
      <c r="V105" s="37" t="n">
        <v>2.21643835616438</v>
      </c>
      <c r="W105" s="37" t="n">
        <v>0.547945205479452</v>
      </c>
    </row>
    <row r="106" customFormat="false" ht="15" hidden="false" customHeight="false" outlineLevel="0" collapsed="false">
      <c r="C106" s="0" t="s">
        <v>157</v>
      </c>
      <c r="D106" s="11" t="s">
        <v>82</v>
      </c>
      <c r="E106" s="32" t="n">
        <f aca="false">(-Calc_2!$I61)/Thousand</f>
        <v>-0</v>
      </c>
      <c r="H106" s="37" t="n">
        <v>0</v>
      </c>
      <c r="I106" s="37" t="n">
        <v>0</v>
      </c>
      <c r="J106" s="37" t="n">
        <v>0</v>
      </c>
      <c r="K106" s="37" t="n">
        <v>0</v>
      </c>
      <c r="L106" s="37" t="n">
        <v>0</v>
      </c>
      <c r="M106" s="37" t="n">
        <v>0</v>
      </c>
      <c r="N106" s="37" t="n">
        <v>2.21643835616438</v>
      </c>
      <c r="O106" s="37" t="n">
        <v>0</v>
      </c>
      <c r="P106" s="37" t="n">
        <v>0</v>
      </c>
      <c r="Q106" s="37" t="n">
        <v>0</v>
      </c>
      <c r="R106" s="37" t="n">
        <v>0</v>
      </c>
      <c r="S106" s="37" t="n">
        <v>0</v>
      </c>
      <c r="T106" s="37" t="n">
        <v>0</v>
      </c>
      <c r="U106" s="37" t="n">
        <v>0.826027397260274</v>
      </c>
      <c r="V106" s="37" t="n">
        <v>2.21643835616438</v>
      </c>
      <c r="W106" s="37" t="n">
        <v>0.547945205479452</v>
      </c>
    </row>
    <row r="107" customFormat="false" ht="15" hidden="false" customHeight="false" outlineLevel="0" collapsed="false">
      <c r="C107" s="0" t="s">
        <v>158</v>
      </c>
      <c r="D107" s="11" t="s">
        <v>27</v>
      </c>
      <c r="E107" s="22" t="n">
        <f aca="false">Calc_1!$E135</f>
        <v>0.2632612602034</v>
      </c>
      <c r="H107" s="39" t="n">
        <v>0.2632612602034</v>
      </c>
      <c r="I107" s="39" t="n">
        <v>0.0971893034559214</v>
      </c>
      <c r="J107" s="39" t="n">
        <v>0.403564977303025</v>
      </c>
      <c r="K107" s="39" t="n">
        <v>0.190786177934972</v>
      </c>
      <c r="L107" s="39" t="n">
        <v>0.2632612602034</v>
      </c>
      <c r="M107" s="39" t="n">
        <v>0.2632612602034</v>
      </c>
      <c r="N107" s="39" t="n">
        <v>0.237829411719297</v>
      </c>
      <c r="O107" s="39" t="n">
        <v>0.25697697435903</v>
      </c>
      <c r="P107" s="39" t="n">
        <v>0.2632612602034</v>
      </c>
      <c r="Q107" s="39" t="n">
        <v>0.2632612602034</v>
      </c>
      <c r="R107" s="39" t="n">
        <v>0.2632612602034</v>
      </c>
      <c r="S107" s="39" t="n">
        <v>0.260346598481744</v>
      </c>
      <c r="T107" s="39" t="n">
        <v>0.180970451878692</v>
      </c>
      <c r="U107" s="39" t="n">
        <v>0.264450738445034</v>
      </c>
      <c r="V107" s="39" t="n">
        <v>0.247659499391315</v>
      </c>
      <c r="W107" s="39" t="n">
        <v>0.309053306934891</v>
      </c>
    </row>
    <row r="108" customFormat="false" ht="15" hidden="false" customHeight="false" outlineLevel="0" collapsed="false">
      <c r="C108" s="0" t="s">
        <v>159</v>
      </c>
      <c r="D108" s="11" t="s">
        <v>27</v>
      </c>
      <c r="E108" s="22" t="n">
        <f aca="false">Calc_2!$E135</f>
        <v>0.410318082809979</v>
      </c>
      <c r="H108" s="39" t="n">
        <v>0.410318082809979</v>
      </c>
      <c r="I108" s="39" t="n">
        <v>0.273558608993453</v>
      </c>
      <c r="J108" s="39" t="n">
        <v>0.527449012156222</v>
      </c>
      <c r="K108" s="39" t="n">
        <v>0.371364553097074</v>
      </c>
      <c r="L108" s="39" t="n">
        <v>0.410318082809979</v>
      </c>
      <c r="M108" s="39" t="n">
        <v>0.410318082809979</v>
      </c>
      <c r="N108" s="39" t="n">
        <v>0.385684120479278</v>
      </c>
      <c r="O108" s="39" t="n">
        <v>0.405776603823075</v>
      </c>
      <c r="P108" s="39" t="n">
        <v>0.410318082809979</v>
      </c>
      <c r="Q108" s="39" t="n">
        <v>0.410318082809979</v>
      </c>
      <c r="R108" s="39" t="n">
        <v>0.410318082809979</v>
      </c>
      <c r="S108" s="39" t="n">
        <v>0.451597429376523</v>
      </c>
      <c r="T108" s="39" t="n">
        <v>0.324971457742521</v>
      </c>
      <c r="U108" s="39" t="n">
        <v>0.405821753092211</v>
      </c>
      <c r="V108" s="39" t="n">
        <v>0.389651997135684</v>
      </c>
      <c r="W108" s="39" t="n">
        <v>0.457385242234122</v>
      </c>
    </row>
    <row r="109" customFormat="false" ht="15" hidden="false" customHeight="false" outlineLevel="0" collapsed="false">
      <c r="C109" s="0" t="s">
        <v>160</v>
      </c>
      <c r="D109" s="11" t="s">
        <v>13</v>
      </c>
      <c r="E109" s="29" t="n">
        <f aca="false">Calc_1!$E136</f>
        <v>1.37165010901922</v>
      </c>
      <c r="H109" s="40" t="n">
        <v>1.37165010901922</v>
      </c>
      <c r="I109" s="40" t="n">
        <v>1.1249555839267</v>
      </c>
      <c r="J109" s="40" t="n">
        <v>1.61834463411174</v>
      </c>
      <c r="K109" s="40" t="n">
        <v>1.25471945100028</v>
      </c>
      <c r="L109" s="40" t="n">
        <v>1.37165010901922</v>
      </c>
      <c r="M109" s="40" t="n">
        <v>1.37165010901922</v>
      </c>
      <c r="N109" s="40" t="n">
        <v>1.33088721962059</v>
      </c>
      <c r="O109" s="40" t="n">
        <v>1.3614932742964</v>
      </c>
      <c r="P109" s="40" t="n">
        <v>1.37165010901922</v>
      </c>
      <c r="Q109" s="40" t="n">
        <v>1.37165010901922</v>
      </c>
      <c r="R109" s="40" t="n">
        <v>1.37165010901922</v>
      </c>
      <c r="S109" s="40" t="n">
        <v>1.36325878299198</v>
      </c>
      <c r="T109" s="40" t="n">
        <v>1.24036022558485</v>
      </c>
      <c r="U109" s="40" t="n">
        <v>1.38676742723913</v>
      </c>
      <c r="V109" s="40" t="n">
        <v>1.35855886318289</v>
      </c>
      <c r="W109" s="40" t="n">
        <v>1.4536401145147</v>
      </c>
    </row>
    <row r="110" customFormat="false" ht="15" hidden="false" customHeight="false" outlineLevel="0" collapsed="false">
      <c r="C110" s="0" t="s">
        <v>161</v>
      </c>
      <c r="D110" s="11" t="s">
        <v>13</v>
      </c>
      <c r="E110" s="29" t="n">
        <f aca="false">Calc_2!$E136</f>
        <v>1.70504013744302</v>
      </c>
      <c r="H110" s="40" t="n">
        <v>1.70504013744302</v>
      </c>
      <c r="I110" s="40" t="n">
        <v>1.42923339316881</v>
      </c>
      <c r="J110" s="40" t="n">
        <v>1.98084688171724</v>
      </c>
      <c r="K110" s="40" t="n">
        <v>1.61320561834386</v>
      </c>
      <c r="L110" s="40" t="n">
        <v>1.70504013744302</v>
      </c>
      <c r="M110" s="40" t="n">
        <v>1.70504013744302</v>
      </c>
      <c r="N110" s="40" t="n">
        <v>1.65187130535795</v>
      </c>
      <c r="O110" s="40" t="n">
        <v>1.69513700442128</v>
      </c>
      <c r="P110" s="40" t="n">
        <v>1.70504013744302</v>
      </c>
      <c r="Q110" s="40" t="n">
        <v>1.70504013744302</v>
      </c>
      <c r="R110" s="40" t="n">
        <v>1.70504013744302</v>
      </c>
      <c r="S110" s="40" t="n">
        <v>1.92978384195874</v>
      </c>
      <c r="T110" s="40" t="n">
        <v>1.51424348395704</v>
      </c>
      <c r="U110" s="40" t="n">
        <v>1.72809340832654</v>
      </c>
      <c r="V110" s="40" t="n">
        <v>1.69121570464785</v>
      </c>
      <c r="W110" s="40" t="n">
        <v>1.82874229874565</v>
      </c>
    </row>
    <row r="111" customFormat="false" ht="15" hidden="false" customHeight="false" outlineLevel="0" collapsed="false">
      <c r="C111" s="0" t="s">
        <v>162</v>
      </c>
      <c r="D111" s="11" t="s">
        <v>27</v>
      </c>
      <c r="E111" s="22" t="n">
        <f aca="false">Calc_1!$E148</f>
        <v>0.0778882731983792</v>
      </c>
      <c r="H111" s="39" t="n">
        <v>0.0778882731983987</v>
      </c>
      <c r="I111" s="39" t="n">
        <v>0.0778882731983987</v>
      </c>
      <c r="J111" s="39" t="n">
        <v>0.0778882731983987</v>
      </c>
      <c r="K111" s="39" t="n">
        <v>0.0715433562650098</v>
      </c>
      <c r="L111" s="39" t="n">
        <v>0.0610826471131583</v>
      </c>
      <c r="M111" s="39" t="n">
        <v>0.0954537476372053</v>
      </c>
      <c r="N111" s="39" t="n">
        <v>0.0750714877346744</v>
      </c>
      <c r="O111" s="39" t="n">
        <v>0.07279740294257</v>
      </c>
      <c r="P111" s="39" t="n">
        <v>0.0724135937197519</v>
      </c>
      <c r="Q111" s="39" t="n">
        <v>0.0591856521881188</v>
      </c>
      <c r="R111" s="39" t="n">
        <v>0.0808937816054077</v>
      </c>
      <c r="S111" s="39" t="n">
        <v>0.0774489997988233</v>
      </c>
      <c r="T111" s="39" t="n">
        <v>0.0706100367112937</v>
      </c>
      <c r="U111" s="39" t="n">
        <v>0.0780785905800754</v>
      </c>
      <c r="V111" s="39" t="n">
        <v>0.0761393933096526</v>
      </c>
      <c r="W111" s="39" t="n">
        <v>0.0820668502646019</v>
      </c>
    </row>
    <row r="112" customFormat="false" ht="15" hidden="false" customHeight="false" outlineLevel="0" collapsed="false">
      <c r="C112" s="0" t="s">
        <v>163</v>
      </c>
      <c r="D112" s="11" t="s">
        <v>27</v>
      </c>
      <c r="E112" s="22" t="n">
        <f aca="false">Calc_2!$E148</f>
        <v>0.117451501890167</v>
      </c>
      <c r="H112" s="39" t="n">
        <v>0.117451501890174</v>
      </c>
      <c r="I112" s="39" t="n">
        <v>0.117451501890174</v>
      </c>
      <c r="J112" s="39" t="n">
        <v>0.117451501890174</v>
      </c>
      <c r="K112" s="39" t="n">
        <v>0.112441025156954</v>
      </c>
      <c r="L112" s="39" t="n">
        <v>0.0982731499476269</v>
      </c>
      <c r="M112" s="39" t="n">
        <v>0.137717748645658</v>
      </c>
      <c r="N112" s="39" t="n">
        <v>0.112986945398579</v>
      </c>
      <c r="O112" s="39" t="n">
        <v>0.112778933470855</v>
      </c>
      <c r="P112" s="39" t="n">
        <v>0.10685030933559</v>
      </c>
      <c r="Q112" s="39" t="n">
        <v>0.0883964534137923</v>
      </c>
      <c r="R112" s="39" t="n">
        <v>0.122268282218015</v>
      </c>
      <c r="S112" s="39" t="n">
        <v>0.130188960047466</v>
      </c>
      <c r="T112" s="39" t="n">
        <v>0.106765804555509</v>
      </c>
      <c r="U112" s="39" t="n">
        <v>0.117290740738967</v>
      </c>
      <c r="V112" s="39" t="n">
        <v>0.114234429690077</v>
      </c>
      <c r="W112" s="39" t="n">
        <v>0.123592237100102</v>
      </c>
    </row>
    <row r="113" customFormat="false" ht="15" hidden="false" customHeight="false" outlineLevel="0" collapsed="false">
      <c r="C113" s="0" t="s">
        <v>164</v>
      </c>
      <c r="D113" s="11" t="s">
        <v>13</v>
      </c>
      <c r="E113" s="29" t="n">
        <f aca="false">Calc_1!$E149</f>
        <v>3.30771250081149</v>
      </c>
      <c r="H113" s="40" t="n">
        <v>3.307712500811</v>
      </c>
      <c r="I113" s="40" t="n">
        <v>3.307712500811</v>
      </c>
      <c r="J113" s="40" t="n">
        <v>3.307712500811</v>
      </c>
      <c r="K113" s="40" t="n">
        <v>3.09467497912358</v>
      </c>
      <c r="L113" s="40" t="n">
        <v>2.74204576737906</v>
      </c>
      <c r="M113" s="40" t="n">
        <v>3.93609601223023</v>
      </c>
      <c r="N113" s="40" t="n">
        <v>3.22252080784761</v>
      </c>
      <c r="O113" s="40" t="n">
        <v>3.1794857652674</v>
      </c>
      <c r="P113" s="40" t="n">
        <v>3.50114076861243</v>
      </c>
      <c r="Q113" s="40" t="n">
        <v>2.45811114864766</v>
      </c>
      <c r="R113" s="40" t="n">
        <v>3.46947210183341</v>
      </c>
      <c r="S113" s="40" t="n">
        <v>3.26040988159205</v>
      </c>
      <c r="T113" s="40" t="n">
        <v>3.06401425244263</v>
      </c>
      <c r="U113" s="40" t="n">
        <v>3.33803003886153</v>
      </c>
      <c r="V113" s="40" t="n">
        <v>3.25619941074688</v>
      </c>
      <c r="W113" s="40" t="n">
        <v>3.46593133563338</v>
      </c>
    </row>
    <row r="114" customFormat="false" ht="15" hidden="false" customHeight="false" outlineLevel="0" collapsed="false">
      <c r="C114" s="0" t="s">
        <v>165</v>
      </c>
      <c r="D114" s="11" t="s">
        <v>13</v>
      </c>
      <c r="E114" s="29" t="n">
        <f aca="false">Calc_2!$E149</f>
        <v>4.74214556361979</v>
      </c>
      <c r="H114" s="40" t="n">
        <v>4.74214556361974</v>
      </c>
      <c r="I114" s="40" t="n">
        <v>4.74214556361974</v>
      </c>
      <c r="J114" s="40" t="n">
        <v>4.74214556361974</v>
      </c>
      <c r="K114" s="40" t="n">
        <v>4.55022750717426</v>
      </c>
      <c r="L114" s="40" t="n">
        <v>4.01081974460778</v>
      </c>
      <c r="M114" s="40" t="n">
        <v>5.55969521465425</v>
      </c>
      <c r="N114" s="40" t="n">
        <v>4.61703406739402</v>
      </c>
      <c r="O114" s="40" t="n">
        <v>4.61857898041816</v>
      </c>
      <c r="P114" s="40" t="n">
        <v>4.91113308341426</v>
      </c>
      <c r="Q114" s="40" t="n">
        <v>3.36691604988038</v>
      </c>
      <c r="R114" s="40" t="n">
        <v>5.00546368741617</v>
      </c>
      <c r="S114" s="40" t="n">
        <v>5.81684797876232</v>
      </c>
      <c r="T114" s="40" t="n">
        <v>4.33739979644525</v>
      </c>
      <c r="U114" s="40" t="n">
        <v>4.79580470561466</v>
      </c>
      <c r="V114" s="40" t="n">
        <v>4.668112268713</v>
      </c>
      <c r="W114" s="40" t="n">
        <v>5.01604918631532</v>
      </c>
    </row>
    <row r="115" customFormat="false" ht="15" hidden="false" customHeight="false" outlineLevel="0" collapsed="false">
      <c r="C115" s="0" t="s">
        <v>166</v>
      </c>
      <c r="D115" s="11" t="s">
        <v>82</v>
      </c>
      <c r="E115" s="32" t="n">
        <f aca="false">Calc_1!$E98/Thousand</f>
        <v>59.0554976513219</v>
      </c>
      <c r="H115" s="37" t="n">
        <v>59.0554976513219</v>
      </c>
      <c r="I115" s="37" t="n">
        <v>59.0554976513219</v>
      </c>
      <c r="J115" s="37" t="n">
        <v>59.0554976513219</v>
      </c>
      <c r="K115" s="37" t="n">
        <v>62.208248803107</v>
      </c>
      <c r="L115" s="37" t="n">
        <v>59.0554976513219</v>
      </c>
      <c r="M115" s="37" t="n">
        <v>59.0554976513219</v>
      </c>
      <c r="N115" s="37" t="n">
        <v>59.0554976513219</v>
      </c>
      <c r="O115" s="37" t="n">
        <v>59.594912468236</v>
      </c>
      <c r="P115" s="37" t="n">
        <v>59.0554976513219</v>
      </c>
      <c r="Q115" s="37" t="n">
        <v>59.0554976513219</v>
      </c>
      <c r="R115" s="37" t="n">
        <v>59.0554976513219</v>
      </c>
      <c r="S115" s="37" t="n">
        <v>57.3413045024691</v>
      </c>
      <c r="T115" s="37" t="n">
        <v>62.5034825063159</v>
      </c>
      <c r="U115" s="37" t="n">
        <v>52.8196733750298</v>
      </c>
      <c r="V115" s="37" t="n">
        <v>52.8196733750298</v>
      </c>
      <c r="W115" s="37" t="n">
        <v>56.756841081326</v>
      </c>
    </row>
    <row r="116" customFormat="false" ht="15" hidden="false" customHeight="false" outlineLevel="0" collapsed="false">
      <c r="C116" s="0" t="s">
        <v>167</v>
      </c>
      <c r="D116" s="11" t="s">
        <v>82</v>
      </c>
      <c r="E116" s="32" t="n">
        <f aca="false">Calc_2!$E98/Thousand</f>
        <v>43.3973364285807</v>
      </c>
      <c r="H116" s="37" t="n">
        <v>43.3973364285807</v>
      </c>
      <c r="I116" s="37" t="n">
        <v>43.3973364285807</v>
      </c>
      <c r="J116" s="37" t="n">
        <v>43.3973364285807</v>
      </c>
      <c r="K116" s="37" t="n">
        <v>45.0566791400465</v>
      </c>
      <c r="L116" s="37" t="n">
        <v>43.3973364285807</v>
      </c>
      <c r="M116" s="37" t="n">
        <v>43.3973364285807</v>
      </c>
      <c r="N116" s="37" t="n">
        <v>43.3973364285807</v>
      </c>
      <c r="O116" s="37" t="n">
        <v>43.7982726026096</v>
      </c>
      <c r="P116" s="37" t="n">
        <v>43.3973364285807</v>
      </c>
      <c r="Q116" s="37" t="n">
        <v>43.3973364285807</v>
      </c>
      <c r="R116" s="37" t="n">
        <v>43.3973364285807</v>
      </c>
      <c r="S116" s="37" t="n">
        <v>55.2329736363755</v>
      </c>
      <c r="T116" s="37" t="n">
        <v>46.8453212835746</v>
      </c>
      <c r="U116" s="37" t="n">
        <v>38.5191561889424</v>
      </c>
      <c r="V116" s="37" t="n">
        <v>38.5191561889424</v>
      </c>
      <c r="W116" s="37" t="n">
        <v>41.0986798585847</v>
      </c>
    </row>
    <row r="117" customFormat="false" ht="15" hidden="false" customHeight="false" outlineLevel="0" collapsed="false">
      <c r="C117" s="0" t="s">
        <v>168</v>
      </c>
      <c r="D117" s="11" t="s">
        <v>82</v>
      </c>
      <c r="E117" s="32" t="n">
        <f aca="false">Calc_1!$E124/Thousand</f>
        <v>54.3739265999892</v>
      </c>
      <c r="H117" s="37" t="n">
        <v>54.3739265999892</v>
      </c>
      <c r="I117" s="37" t="n">
        <v>54.3739265999892</v>
      </c>
      <c r="J117" s="37" t="n">
        <v>54.3739265999892</v>
      </c>
      <c r="K117" s="37" t="n">
        <v>56.9284640801166</v>
      </c>
      <c r="L117" s="37" t="n">
        <v>54.3739265999892</v>
      </c>
      <c r="M117" s="37" t="n">
        <v>54.3739265999892</v>
      </c>
      <c r="N117" s="37" t="n">
        <v>54.3739265999892</v>
      </c>
      <c r="O117" s="37" t="n">
        <v>54.3833663592852</v>
      </c>
      <c r="P117" s="37" t="n">
        <v>54.3739265999892</v>
      </c>
      <c r="Q117" s="37" t="n">
        <v>54.3739265999892</v>
      </c>
      <c r="R117" s="37" t="n">
        <v>54.3739265999892</v>
      </c>
      <c r="S117" s="37" t="n">
        <v>55.9660399400338</v>
      </c>
      <c r="T117" s="37" t="n">
        <v>57.3494828570007</v>
      </c>
      <c r="U117" s="37" t="n">
        <v>49.2903841589315</v>
      </c>
      <c r="V117" s="37" t="n">
        <v>49.2903841589315</v>
      </c>
      <c r="W117" s="37" t="n">
        <v>52.5114249056607</v>
      </c>
    </row>
    <row r="118" customFormat="false" ht="15" hidden="false" customHeight="false" outlineLevel="0" collapsed="false">
      <c r="C118" s="0" t="s">
        <v>169</v>
      </c>
      <c r="D118" s="11" t="s">
        <v>82</v>
      </c>
      <c r="E118" s="32" t="n">
        <f aca="false">Calc_2!$E124/Thousand</f>
        <v>41.6867978709354</v>
      </c>
      <c r="H118" s="37" t="n">
        <v>41.6867978709354</v>
      </c>
      <c r="I118" s="37" t="n">
        <v>41.6867978709354</v>
      </c>
      <c r="J118" s="37" t="n">
        <v>41.6867978709354</v>
      </c>
      <c r="K118" s="37" t="n">
        <v>43.0312912815288</v>
      </c>
      <c r="L118" s="37" t="n">
        <v>41.6867978709354</v>
      </c>
      <c r="M118" s="37" t="n">
        <v>41.6867978709354</v>
      </c>
      <c r="N118" s="37" t="n">
        <v>41.6867978709354</v>
      </c>
      <c r="O118" s="37" t="n">
        <v>41.6938142539809</v>
      </c>
      <c r="P118" s="37" t="n">
        <v>41.6867978709354</v>
      </c>
      <c r="Q118" s="37" t="n">
        <v>41.6867978709354</v>
      </c>
      <c r="R118" s="37" t="n">
        <v>41.6867978709354</v>
      </c>
      <c r="S118" s="37" t="n">
        <v>30.6987886806502</v>
      </c>
      <c r="T118" s="37" t="n">
        <v>44.662354127947</v>
      </c>
      <c r="U118" s="37" t="n">
        <v>37.7032954930906</v>
      </c>
      <c r="V118" s="37" t="n">
        <v>37.7032954930906</v>
      </c>
      <c r="W118" s="37" t="n">
        <v>39.824296176607</v>
      </c>
    </row>
    <row r="119" customFormat="false" ht="15" hidden="false" customHeight="false" outlineLevel="0" collapsed="false">
      <c r="C119" s="0" t="s">
        <v>170</v>
      </c>
      <c r="D119" s="11" t="s">
        <v>27</v>
      </c>
      <c r="E119" s="22" t="n">
        <f aca="false">Calc_1!$E140</f>
        <v>0.0569296881085363</v>
      </c>
      <c r="H119" s="39" t="n">
        <v>0.0569296881085387</v>
      </c>
      <c r="I119" s="39" t="n">
        <v>0.0674803054948227</v>
      </c>
      <c r="J119" s="39" t="n">
        <v>0.0479671375235331</v>
      </c>
      <c r="K119" s="39" t="n">
        <v>0.0573586076385385</v>
      </c>
      <c r="L119" s="39" t="n">
        <v>0.0457913846385378</v>
      </c>
      <c r="M119" s="39" t="n">
        <v>0.0685476692232811</v>
      </c>
      <c r="N119" s="39" t="n">
        <v>0.0569732948793288</v>
      </c>
      <c r="O119" s="39" t="n">
        <v>0.0574297177099026</v>
      </c>
      <c r="P119" s="39" t="n">
        <v>0.0560282161812483</v>
      </c>
      <c r="Q119" s="39" t="n">
        <v>0.0434551926876172</v>
      </c>
      <c r="R119" s="39" t="n">
        <v>0.0591345064749821</v>
      </c>
      <c r="S119" s="39" t="n">
        <v>0.0568685536550732</v>
      </c>
      <c r="T119" s="39" t="n">
        <v>0.0573239534184653</v>
      </c>
      <c r="U119" s="39" t="n">
        <v>0.0566913139884747</v>
      </c>
      <c r="V119" s="39" t="n">
        <v>0.0567210961045192</v>
      </c>
      <c r="W119" s="39" t="n">
        <v>0.0566277513464241</v>
      </c>
    </row>
    <row r="120" customFormat="false" ht="15" hidden="false" customHeight="false" outlineLevel="0" collapsed="false">
      <c r="C120" s="0" t="s">
        <v>171</v>
      </c>
      <c r="D120" s="11" t="s">
        <v>27</v>
      </c>
      <c r="E120" s="22" t="n">
        <f aca="false">Calc_2!$E140</f>
        <v>0.0698570950743651</v>
      </c>
      <c r="H120" s="39" t="n">
        <v>0.0698570950743655</v>
      </c>
      <c r="I120" s="39" t="n">
        <v>0.0812736105603523</v>
      </c>
      <c r="J120" s="39" t="n">
        <v>0.0602059236830934</v>
      </c>
      <c r="K120" s="39" t="n">
        <v>0.0701595776586858</v>
      </c>
      <c r="L120" s="39" t="n">
        <v>0.0578283821218867</v>
      </c>
      <c r="M120" s="39" t="n">
        <v>0.0825727344509393</v>
      </c>
      <c r="N120" s="39" t="n">
        <v>0.0699238776085356</v>
      </c>
      <c r="O120" s="39" t="n">
        <v>0.0703680537994932</v>
      </c>
      <c r="P120" s="39" t="n">
        <v>0.0690864760333364</v>
      </c>
      <c r="Q120" s="39" t="n">
        <v>0.0498293062288718</v>
      </c>
      <c r="R120" s="39" t="n">
        <v>0.0731894969701397</v>
      </c>
      <c r="S120" s="39" t="n">
        <v>0.0704916182644306</v>
      </c>
      <c r="T120" s="39" t="n">
        <v>0.0704214363525039</v>
      </c>
      <c r="U120" s="39" t="n">
        <v>0.0695759321385506</v>
      </c>
      <c r="V120" s="39" t="n">
        <v>0.0696215325667591</v>
      </c>
      <c r="W120" s="39" t="n">
        <v>0.0694542934963401</v>
      </c>
    </row>
    <row r="121" customFormat="false" ht="15" hidden="false" customHeight="false" outlineLevel="0" collapsed="false">
      <c r="C121" s="0" t="s">
        <v>172</v>
      </c>
      <c r="D121" s="11" t="s">
        <v>27</v>
      </c>
      <c r="E121" s="22" t="n">
        <f aca="false">Calc_1!$E142</f>
        <v>0.0587523414589974</v>
      </c>
      <c r="H121" s="39" t="n">
        <v>0.0587523414590059</v>
      </c>
      <c r="I121" s="39" t="n">
        <v>0.0751118277096248</v>
      </c>
      <c r="J121" s="39" t="n">
        <v>0.0462686641550997</v>
      </c>
      <c r="K121" s="39" t="n">
        <v>0.0595292314594261</v>
      </c>
      <c r="L121" s="39" t="n">
        <v>0.042951119183</v>
      </c>
      <c r="M121" s="39" t="n">
        <v>0.0754980781761551</v>
      </c>
      <c r="N121" s="39" t="n">
        <v>0.058817875376593</v>
      </c>
      <c r="O121" s="39" t="n">
        <v>0.0548049927131866</v>
      </c>
      <c r="P121" s="39" t="n">
        <v>0.0564906128392004</v>
      </c>
      <c r="Q121" s="39" t="n">
        <v>0.0392767923989467</v>
      </c>
      <c r="R121" s="39" t="n">
        <v>0.0618870510621726</v>
      </c>
      <c r="S121" s="39" t="n">
        <v>0.0585907234698031</v>
      </c>
      <c r="T121" s="39" t="n">
        <v>0.0594987256828657</v>
      </c>
      <c r="U121" s="39" t="n">
        <v>0.0583620488277178</v>
      </c>
      <c r="V121" s="39" t="n">
        <v>0.0584062149740838</v>
      </c>
      <c r="W121" s="39" t="n">
        <v>0.0582252785117663</v>
      </c>
    </row>
    <row r="122" customFormat="false" ht="15" hidden="false" customHeight="false" outlineLevel="0" collapsed="false">
      <c r="C122" s="0" t="s">
        <v>173</v>
      </c>
      <c r="D122" s="11" t="s">
        <v>27</v>
      </c>
      <c r="E122" s="22" t="n">
        <f aca="false">Calc_2!$E142</f>
        <v>0.0759030321814568</v>
      </c>
      <c r="H122" s="39" t="n">
        <v>0.0759030321814591</v>
      </c>
      <c r="I122" s="39" t="n">
        <v>0.0933457596457021</v>
      </c>
      <c r="J122" s="39" t="n">
        <v>0.0624851095440811</v>
      </c>
      <c r="K122" s="39" t="n">
        <v>0.0766530777264474</v>
      </c>
      <c r="L122" s="39" t="n">
        <v>0.0596013438093339</v>
      </c>
      <c r="M122" s="39" t="n">
        <v>0.09339664466248</v>
      </c>
      <c r="N122" s="39" t="n">
        <v>0.076007681983624</v>
      </c>
      <c r="O122" s="39" t="n">
        <v>0.0728289812281461</v>
      </c>
      <c r="P122" s="39" t="n">
        <v>0.0719448333838699</v>
      </c>
      <c r="Q122" s="39" t="n">
        <v>0.048772364922962</v>
      </c>
      <c r="R122" s="39" t="n">
        <v>0.0804180702605127</v>
      </c>
      <c r="S122" s="39" t="n">
        <v>0.0794336094103767</v>
      </c>
      <c r="T122" s="39" t="n">
        <v>0.0774027536242704</v>
      </c>
      <c r="U122" s="39" t="n">
        <v>0.0752944165767624</v>
      </c>
      <c r="V122" s="39" t="n">
        <v>0.0753646139266189</v>
      </c>
      <c r="W122" s="39" t="n">
        <v>0.0749257641357008</v>
      </c>
    </row>
    <row r="123" customFormat="false" ht="15" hidden="false" customHeight="false" outlineLevel="0" collapsed="false">
      <c r="C123" s="0" t="s">
        <v>174</v>
      </c>
      <c r="D123" s="11" t="s">
        <v>13</v>
      </c>
      <c r="E123" s="29" t="n">
        <f aca="false">Calc_1!$E102</f>
        <v>1.8815437824053</v>
      </c>
      <c r="H123" s="40" t="n">
        <v>1.88154378240769</v>
      </c>
      <c r="I123" s="40" t="n">
        <v>1.88154378240769</v>
      </c>
      <c r="J123" s="40" t="n">
        <v>1.88154378240769</v>
      </c>
      <c r="K123" s="40" t="n">
        <v>1.79569473471562</v>
      </c>
      <c r="L123" s="40" t="n">
        <v>1.67809785540891</v>
      </c>
      <c r="M123" s="40" t="n">
        <v>2.10465277029539</v>
      </c>
      <c r="N123" s="40" t="n">
        <v>1.88154378240501</v>
      </c>
      <c r="O123" s="40" t="n">
        <v>1.73993842542426</v>
      </c>
      <c r="P123" s="40" t="n">
        <v>1.2354671181201</v>
      </c>
      <c r="Q123" s="40" t="n">
        <v>1.73844152842893</v>
      </c>
      <c r="R123" s="40" t="n">
        <v>1.90706423954487</v>
      </c>
      <c r="S123" s="40" t="n">
        <v>1.93626453846011</v>
      </c>
      <c r="T123" s="40" t="n">
        <v>1.78643376869491</v>
      </c>
      <c r="U123" s="40" t="n">
        <v>1.91566255264028</v>
      </c>
      <c r="V123" s="40" t="n">
        <v>1.91566255264028</v>
      </c>
      <c r="W123" s="40" t="n">
        <v>1.95014838478087</v>
      </c>
    </row>
    <row r="124" customFormat="false" ht="15" hidden="false" customHeight="false" outlineLevel="0" collapsed="false">
      <c r="C124" s="0" t="s">
        <v>175</v>
      </c>
      <c r="D124" s="11" t="s">
        <v>13</v>
      </c>
      <c r="E124" s="29" t="n">
        <f aca="false">Calc_2!$E102</f>
        <v>2.48397400954815</v>
      </c>
      <c r="H124" s="40" t="n">
        <v>2.48397400954913</v>
      </c>
      <c r="I124" s="40" t="n">
        <v>2.48397400954913</v>
      </c>
      <c r="J124" s="40" t="n">
        <v>2.48397400954913</v>
      </c>
      <c r="K124" s="40" t="n">
        <v>2.40055427184272</v>
      </c>
      <c r="L124" s="40" t="n">
        <v>2.2126561605366</v>
      </c>
      <c r="M124" s="40" t="n">
        <v>2.78506057799376</v>
      </c>
      <c r="N124" s="40" t="n">
        <v>2.48397400954807</v>
      </c>
      <c r="O124" s="40" t="n">
        <v>2.29509540822652</v>
      </c>
      <c r="P124" s="40" t="n">
        <v>1.63140936187203</v>
      </c>
      <c r="Q124" s="40" t="n">
        <v>2.13043048610751</v>
      </c>
      <c r="R124" s="40" t="n">
        <v>2.54921521529798</v>
      </c>
      <c r="S124" s="40" t="n">
        <v>1.96557114176413</v>
      </c>
      <c r="T124" s="40" t="n">
        <v>2.31571869036718</v>
      </c>
      <c r="U124" s="40" t="n">
        <v>2.54766400380892</v>
      </c>
      <c r="V124" s="40" t="n">
        <v>2.54766400380892</v>
      </c>
      <c r="W124" s="40" t="n">
        <v>2.61065228180401</v>
      </c>
    </row>
    <row r="125" customFormat="false" ht="15" hidden="false" customHeight="false" outlineLevel="0" collapsed="false">
      <c r="C125" s="0" t="s">
        <v>176</v>
      </c>
      <c r="D125" s="11" t="s">
        <v>150</v>
      </c>
      <c r="E125" s="30" t="n">
        <f aca="false">Model_Checks</f>
        <v>0</v>
      </c>
      <c r="H125" s="41" t="n">
        <v>0</v>
      </c>
      <c r="I125" s="41" t="n">
        <v>0</v>
      </c>
      <c r="J125" s="41" t="n">
        <v>0</v>
      </c>
      <c r="K125" s="41" t="n">
        <v>0</v>
      </c>
      <c r="L125" s="41" t="n">
        <v>0</v>
      </c>
      <c r="M125" s="41" t="n">
        <v>0</v>
      </c>
      <c r="N125" s="41" t="n">
        <v>0</v>
      </c>
      <c r="O125" s="41" t="n">
        <v>0</v>
      </c>
      <c r="P125" s="41" t="n">
        <v>0</v>
      </c>
      <c r="Q125" s="41" t="n">
        <v>0</v>
      </c>
      <c r="R125" s="41" t="n">
        <v>0</v>
      </c>
      <c r="S125" s="41" t="n">
        <v>0</v>
      </c>
      <c r="T125" s="41" t="n">
        <v>0</v>
      </c>
      <c r="U125" s="41" t="n">
        <v>0</v>
      </c>
      <c r="V125" s="41" t="n">
        <v>0</v>
      </c>
      <c r="W125" s="41" t="n">
        <v>0</v>
      </c>
    </row>
    <row r="126" customFormat="false" ht="15" hidden="false" customHeight="false" outlineLevel="0" collapsed="false">
      <c r="C126" s="0" t="s">
        <v>177</v>
      </c>
      <c r="D126" s="11" t="s">
        <v>150</v>
      </c>
      <c r="E126" s="30" t="n">
        <f aca="false">Model_Checks</f>
        <v>0</v>
      </c>
      <c r="H126" s="41" t="n">
        <v>0</v>
      </c>
      <c r="I126" s="41" t="n">
        <v>0</v>
      </c>
      <c r="J126" s="41" t="n">
        <v>0</v>
      </c>
      <c r="K126" s="41" t="n">
        <v>0</v>
      </c>
      <c r="L126" s="41" t="n">
        <v>0</v>
      </c>
      <c r="M126" s="41" t="n">
        <v>0</v>
      </c>
      <c r="N126" s="41" t="n">
        <v>0</v>
      </c>
      <c r="O126" s="41" t="n">
        <v>0</v>
      </c>
      <c r="P126" s="41" t="n">
        <v>0</v>
      </c>
      <c r="Q126" s="41" t="n">
        <v>0</v>
      </c>
      <c r="R126" s="41" t="n">
        <v>0</v>
      </c>
      <c r="S126" s="41" t="n">
        <v>0</v>
      </c>
      <c r="T126" s="41" t="n">
        <v>0</v>
      </c>
      <c r="U126" s="41" t="n">
        <v>0</v>
      </c>
      <c r="V126" s="41" t="n">
        <v>0</v>
      </c>
      <c r="W126" s="41" t="n">
        <v>0</v>
      </c>
    </row>
    <row r="128" customFormat="false" ht="15" hidden="false" customHeight="false" outlineLevel="0" collapsed="false">
      <c r="C128" s="42" t="s">
        <v>178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AA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X11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2"/>
    <col collapsed="false" customWidth="false" hidden="true" outlineLevel="1" max="16384" min="25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4" customFormat="false" ht="15" hidden="false" customHeight="false" outlineLevel="0" collapsed="false">
      <c r="B4" s="0" t="s">
        <v>179</v>
      </c>
      <c r="D4" s="0" t="s">
        <v>180</v>
      </c>
      <c r="F4" s="43" t="str">
        <f aca="false">Scenario_Name</f>
        <v>Base</v>
      </c>
    </row>
    <row r="5" customFormat="false" ht="15" hidden="false" customHeight="false" outlineLevel="0" collapsed="false">
      <c r="B5" s="0" t="s">
        <v>181</v>
      </c>
      <c r="F5" s="44" t="n">
        <f aca="false">MATCH(Scenario_Name,Scenario_Names,0)</f>
        <v>1</v>
      </c>
    </row>
    <row r="7" customFormat="false" ht="15" hidden="false" customHeight="false" outlineLevel="0" collapsed="false">
      <c r="B7" s="7" t="s">
        <v>182</v>
      </c>
      <c r="C7" s="7" t="s">
        <v>8</v>
      </c>
      <c r="D7" s="7" t="s">
        <v>183</v>
      </c>
      <c r="F7" s="8" t="s">
        <v>12</v>
      </c>
      <c r="H7" s="45" t="s">
        <v>22</v>
      </c>
      <c r="I7" s="45" t="s">
        <v>184</v>
      </c>
      <c r="J7" s="45" t="s">
        <v>185</v>
      </c>
      <c r="K7" s="45" t="s">
        <v>186</v>
      </c>
      <c r="L7" s="45" t="s">
        <v>187</v>
      </c>
      <c r="M7" s="45" t="s">
        <v>188</v>
      </c>
      <c r="N7" s="45" t="s">
        <v>189</v>
      </c>
      <c r="O7" s="45" t="s">
        <v>190</v>
      </c>
      <c r="P7" s="45" t="s">
        <v>191</v>
      </c>
      <c r="Q7" s="45" t="s">
        <v>192</v>
      </c>
      <c r="R7" s="45" t="s">
        <v>193</v>
      </c>
      <c r="S7" s="45" t="s">
        <v>194</v>
      </c>
      <c r="T7" s="45" t="s">
        <v>195</v>
      </c>
      <c r="U7" s="45" t="s">
        <v>196</v>
      </c>
      <c r="V7" s="45" t="s">
        <v>197</v>
      </c>
      <c r="W7" s="45" t="s">
        <v>198</v>
      </c>
    </row>
    <row r="10" customFormat="false" ht="15" hidden="false" customHeight="false" outlineLevel="0" collapsed="false">
      <c r="A10" s="9" t="s">
        <v>13</v>
      </c>
      <c r="B10" s="9"/>
      <c r="C10" s="9" t="s">
        <v>199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customFormat="false" ht="15" hidden="false" customHeight="false" outlineLevel="0" collapsed="false">
      <c r="B11" s="0" t="s">
        <v>200</v>
      </c>
      <c r="C11" s="11" t="s">
        <v>150</v>
      </c>
      <c r="D11" s="13" t="s">
        <v>201</v>
      </c>
      <c r="F11" s="45" t="n">
        <v>1000</v>
      </c>
    </row>
    <row r="12" customFormat="false" ht="15" hidden="false" customHeight="false" outlineLevel="0" collapsed="false">
      <c r="B12" s="0" t="s">
        <v>202</v>
      </c>
      <c r="C12" s="11" t="s">
        <v>150</v>
      </c>
      <c r="D12" s="13" t="s">
        <v>201</v>
      </c>
      <c r="F12" s="45" t="n">
        <v>1000000</v>
      </c>
    </row>
    <row r="13" customFormat="false" ht="15" hidden="false" customHeight="false" outlineLevel="0" collapsed="false">
      <c r="B13" s="0" t="s">
        <v>203</v>
      </c>
      <c r="C13" s="11" t="s">
        <v>204</v>
      </c>
      <c r="D13" s="13" t="s">
        <v>205</v>
      </c>
      <c r="F13" s="45" t="n">
        <v>365</v>
      </c>
    </row>
    <row r="14" customFormat="false" ht="15" hidden="false" customHeight="false" outlineLevel="0" collapsed="false">
      <c r="B14" s="0" t="s">
        <v>206</v>
      </c>
      <c r="C14" s="11" t="s">
        <v>207</v>
      </c>
      <c r="F14" s="45" t="n">
        <v>12</v>
      </c>
    </row>
    <row r="15" customFormat="false" ht="15" hidden="false" customHeight="false" outlineLevel="0" collapsed="false">
      <c r="B15" s="0" t="s">
        <v>208</v>
      </c>
      <c r="C15" s="11" t="s">
        <v>207</v>
      </c>
      <c r="D15" s="13" t="s">
        <v>209</v>
      </c>
      <c r="F15" s="45" t="n">
        <v>3</v>
      </c>
    </row>
    <row r="16" customFormat="false" ht="15" hidden="false" customHeight="false" outlineLevel="0" collapsed="false">
      <c r="B16" s="0" t="s">
        <v>210</v>
      </c>
      <c r="C16" s="11" t="s">
        <v>150</v>
      </c>
      <c r="D16" s="13" t="s">
        <v>211</v>
      </c>
      <c r="F16" s="45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212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customFormat="false" ht="15" hidden="false" customHeight="false" outlineLevel="0" collapsed="false">
      <c r="B19" s="0" t="s">
        <v>213</v>
      </c>
      <c r="C19" s="11" t="s">
        <v>38</v>
      </c>
      <c r="D19" s="13" t="s">
        <v>214</v>
      </c>
      <c r="F19" s="46" t="n">
        <f aca="false">IF(INDEX($H19:$W19,1,Scenario_Selected)="",$H19,INDEX($H19:$W19,1,Scenario_Selected))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customFormat="false" ht="15" hidden="false" customHeight="false" outlineLevel="0" collapsed="false">
      <c r="B20" s="0" t="s">
        <v>215</v>
      </c>
      <c r="C20" s="11" t="s">
        <v>27</v>
      </c>
      <c r="D20" s="13" t="s">
        <v>216</v>
      </c>
      <c r="F20" s="45" t="n">
        <v>0.1</v>
      </c>
    </row>
    <row r="21" customFormat="false" ht="15" hidden="false" customHeight="false" outlineLevel="0" collapsed="false">
      <c r="B21" s="0" t="s">
        <v>217</v>
      </c>
      <c r="C21" s="11" t="s">
        <v>38</v>
      </c>
      <c r="D21" s="13" t="s">
        <v>218</v>
      </c>
      <c r="F21" s="46" t="n">
        <f aca="false">IF(INDEX($H21:$W21,1,Scenario_Selected)="",$H21,INDEX($H21:$W21,1,Scenario_Selected))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customFormat="false" ht="15" hidden="false" customHeight="false" outlineLevel="0" collapsed="false">
      <c r="B22" s="0" t="s">
        <v>219</v>
      </c>
      <c r="C22" s="11" t="s">
        <v>38</v>
      </c>
      <c r="D22" s="13" t="s">
        <v>220</v>
      </c>
      <c r="F22" s="46" t="n">
        <f aca="false">IF(INDEX($H22:$W22,1,Scenario_Selected)="",$H22,INDEX($H22:$W22,1,Scenario_Selected))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customFormat="false" ht="15" hidden="false" customHeight="false" outlineLevel="0" collapsed="false">
      <c r="B23" s="0" t="s">
        <v>221</v>
      </c>
      <c r="C23" s="11" t="s">
        <v>38</v>
      </c>
      <c r="D23" s="13" t="s">
        <v>222</v>
      </c>
      <c r="F23" s="46" t="n">
        <f aca="false">IF(INDEX($H23:$W23,1,Scenario_Selected)="",$H23,INDEX($H23:$W23,1,Scenario_Selected))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customFormat="false" ht="15" hidden="false" customHeight="false" outlineLevel="0" collapsed="false">
      <c r="B24" s="0" t="s">
        <v>223</v>
      </c>
      <c r="C24" s="11" t="s">
        <v>204</v>
      </c>
      <c r="D24" s="13" t="s">
        <v>224</v>
      </c>
      <c r="F24" s="44" t="n">
        <f aca="false">IF(INDEX($H24:$W24,1,Scenario_Selected)="",$H24,INDEX($H24:$W24,1,Scenario_Selected))</f>
        <v>15</v>
      </c>
      <c r="H24" s="47" t="n">
        <v>15</v>
      </c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customFormat="false" ht="15" hidden="false" customHeight="false" outlineLevel="0" collapsed="false">
      <c r="B25" s="0" t="s">
        <v>225</v>
      </c>
      <c r="C25" s="11" t="s">
        <v>38</v>
      </c>
      <c r="D25" s="13" t="s">
        <v>226</v>
      </c>
      <c r="F25" s="46" t="n">
        <f aca="false">IF(INDEX($H25:$W25,1,Scenario_Selected)="",$H25,INDEX($H25:$W25,1,Scenario_Selected))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customFormat="false" ht="15" hidden="false" customHeight="false" outlineLevel="0" collapsed="false">
      <c r="B26" s="0" t="s">
        <v>227</v>
      </c>
      <c r="C26" s="11" t="s">
        <v>38</v>
      </c>
      <c r="D26" s="13" t="s">
        <v>228</v>
      </c>
      <c r="F26" s="46" t="n">
        <f aca="false">IF(INDEX($H26:$W26,1,Scenario_Selected)="",$H26,INDEX($H26:$W26,1,Scenario_Selected))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customFormat="false" ht="15" hidden="false" customHeight="false" outlineLevel="0" collapsed="false">
      <c r="B27" s="0" t="s">
        <v>229</v>
      </c>
      <c r="C27" s="11" t="s">
        <v>38</v>
      </c>
      <c r="D27" s="13" t="s">
        <v>230</v>
      </c>
      <c r="F27" s="46" t="n">
        <f aca="false">IF(INDEX($H27:$W27,1,Scenario_Selected)="",$H27,INDEX($H27:$W27,1,Scenario_Selected))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customFormat="false" ht="15" hidden="false" customHeight="false" outlineLevel="0" collapsed="false">
      <c r="B28" s="0" t="s">
        <v>231</v>
      </c>
      <c r="C28" s="11" t="s">
        <v>38</v>
      </c>
      <c r="D28" s="13" t="s">
        <v>232</v>
      </c>
      <c r="F28" s="46" t="n">
        <f aca="false">IF(INDEX($H28:$W28,1,Scenario_Selected)="",$H28,INDEX($H28:$W28,1,Scenario_Selected))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customFormat="false" ht="15" hidden="false" customHeight="false" outlineLevel="0" collapsed="false">
      <c r="B29" s="0" t="s">
        <v>233</v>
      </c>
      <c r="C29" s="11" t="s">
        <v>66</v>
      </c>
      <c r="D29" s="13" t="s">
        <v>234</v>
      </c>
      <c r="F29" s="44" t="n">
        <f aca="false">IF(INDEX($H29:$W29,1,Scenario_Selected)="",$H29,INDEX($H29:$W29,1,Scenario_Selected))</f>
        <v>30</v>
      </c>
      <c r="H29" s="47" t="n">
        <v>30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customFormat="false" ht="15" hidden="false" customHeight="false" outlineLevel="0" collapsed="false">
      <c r="B30" s="0" t="s">
        <v>235</v>
      </c>
      <c r="C30" s="11" t="s">
        <v>38</v>
      </c>
      <c r="D30" s="13" t="s">
        <v>236</v>
      </c>
      <c r="F30" s="46" t="n">
        <f aca="false">IF(INDEX($H30:$W30,1,Scenario_Selected)="",$H30,INDEX($H30:$W30,1,Scenario_Selected))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2" customFormat="false" ht="15" hidden="false" customHeight="false" outlineLevel="0" collapsed="false">
      <c r="A32" s="9" t="s">
        <v>13</v>
      </c>
      <c r="B32" s="9"/>
      <c r="C32" s="9" t="s">
        <v>237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customFormat="false" ht="15" hidden="false" customHeight="false" outlineLevel="0" collapsed="false">
      <c r="B33" s="0" t="s">
        <v>238</v>
      </c>
      <c r="C33" s="11" t="s">
        <v>79</v>
      </c>
      <c r="D33" s="13" t="s">
        <v>239</v>
      </c>
      <c r="F33" s="48" t="n">
        <f aca="false">IF(INDEX($H33:$W33,1,Scenario_Selected)="",$H33,INDEX($H33:$W33,1,Scenario_Selected))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customFormat="false" ht="15" hidden="false" customHeight="false" outlineLevel="0" collapsed="false">
      <c r="B34" s="0" t="s">
        <v>240</v>
      </c>
      <c r="C34" s="11" t="s">
        <v>33</v>
      </c>
      <c r="D34" s="13" t="s">
        <v>241</v>
      </c>
      <c r="F34" s="48" t="n">
        <f aca="false">IF(INDEX($H34:$W34,1,Scenario_Selected)="",$H34,INDEX($H34:$W34,1,Scenario_Selected))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</row>
    <row r="35" customFormat="false" ht="15" hidden="false" customHeight="false" outlineLevel="0" collapsed="false">
      <c r="B35" s="0" t="s">
        <v>242</v>
      </c>
      <c r="C35" s="11" t="s">
        <v>33</v>
      </c>
      <c r="D35" s="13" t="s">
        <v>243</v>
      </c>
      <c r="F35" s="48" t="n">
        <f aca="false">IF(INDEX($H35:$W35,1,Scenario_Selected)="",$H35,INDEX($H35:$W35,1,Scenario_Selected))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</row>
    <row r="36" customFormat="false" ht="15" hidden="false" customHeight="false" outlineLevel="0" collapsed="false">
      <c r="B36" s="0" t="s">
        <v>244</v>
      </c>
      <c r="C36" s="11" t="s">
        <v>33</v>
      </c>
      <c r="D36" s="13" t="s">
        <v>245</v>
      </c>
      <c r="F36" s="48" t="n">
        <f aca="false">IF(INDEX($H36:$W36,1,Scenario_Selected)="",$H36,INDEX($H36:$W36,1,Scenario_Selected))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</row>
    <row r="37" customFormat="false" ht="15" hidden="false" customHeight="false" outlineLevel="0" collapsed="false">
      <c r="B37" s="0" t="s">
        <v>246</v>
      </c>
      <c r="C37" s="11" t="s">
        <v>19</v>
      </c>
      <c r="D37" s="13" t="s">
        <v>247</v>
      </c>
      <c r="F37" s="48" t="n">
        <f aca="false">IF(INDEX($H37:$W37,1,Scenario_Selected)="",$H37,INDEX($H37:$W37,1,Scenario_Selected))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</row>
    <row r="38" customFormat="false" ht="15" hidden="false" customHeight="false" outlineLevel="0" collapsed="false">
      <c r="B38" s="0" t="s">
        <v>248</v>
      </c>
      <c r="C38" s="11" t="s">
        <v>19</v>
      </c>
      <c r="D38" s="13" t="s">
        <v>249</v>
      </c>
      <c r="F38" s="48" t="n">
        <f aca="false">IF(INDEX($H38:$W38,1,Scenario_Selected)="",$H38,INDEX($H38:$W38,1,Scenario_Selected))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</row>
    <row r="39" customFormat="false" ht="15" hidden="false" customHeight="false" outlineLevel="0" collapsed="false">
      <c r="B39" s="0" t="s">
        <v>250</v>
      </c>
      <c r="C39" s="11" t="s">
        <v>33</v>
      </c>
      <c r="D39" s="13" t="s">
        <v>251</v>
      </c>
      <c r="F39" s="48" t="n">
        <f aca="false">IF(INDEX($H39:$W39,1,Scenario_Selected)="",$H39,INDEX($H39:$W39,1,Scenario_Selected))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</row>
    <row r="40" customFormat="false" ht="15" hidden="false" customHeight="false" outlineLevel="0" collapsed="false">
      <c r="B40" s="0" t="s">
        <v>252</v>
      </c>
      <c r="C40" s="11" t="s">
        <v>27</v>
      </c>
      <c r="D40" s="13" t="s">
        <v>253</v>
      </c>
      <c r="F40" s="49" t="n">
        <f aca="false">IF(INDEX($H40:$W40,1,Scenario_Selected)="",$H40,INDEX($H40:$W40,1,Scenario_Selected))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</row>
    <row r="41" customFormat="false" ht="15" hidden="false" customHeight="false" outlineLevel="0" collapsed="false">
      <c r="B41" s="0" t="s">
        <v>254</v>
      </c>
      <c r="C41" s="11" t="s">
        <v>27</v>
      </c>
      <c r="D41" s="13" t="s">
        <v>255</v>
      </c>
      <c r="F41" s="49" t="n">
        <f aca="false">IF(INDEX($H41:$W41,1,Scenario_Selected)="",$H41,INDEX($H41:$W41,1,Scenario_Selected))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  <c r="S41" s="17"/>
      <c r="T41" s="17"/>
      <c r="U41" s="17"/>
      <c r="V41" s="17"/>
      <c r="W41" s="17"/>
    </row>
    <row r="42" customFormat="false" ht="15" hidden="false" customHeight="false" outlineLevel="0" collapsed="false">
      <c r="B42" s="0" t="s">
        <v>256</v>
      </c>
      <c r="C42" s="11" t="s">
        <v>43</v>
      </c>
      <c r="D42" s="13" t="s">
        <v>257</v>
      </c>
      <c r="F42" s="50" t="n">
        <f aca="false">IF(INDEX($H42:$W42,1,Scenario_Selected)="",$H42,INDEX($H42:$W42,1,Scenario_Selected))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  <c r="S42" s="23"/>
      <c r="T42" s="23"/>
      <c r="U42" s="23"/>
      <c r="V42" s="23"/>
      <c r="W42" s="23"/>
    </row>
    <row r="43" customFormat="false" ht="15" hidden="false" customHeight="false" outlineLevel="0" collapsed="false">
      <c r="B43" s="0" t="s">
        <v>258</v>
      </c>
      <c r="C43" s="11" t="s">
        <v>27</v>
      </c>
      <c r="D43" s="13" t="s">
        <v>259</v>
      </c>
      <c r="F43" s="49" t="n">
        <f aca="false">IF(INDEX($H43:$W43,1,Scenario_Selected)="",$H43,INDEX($H43:$W43,1,Scenario_Selected))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</row>
    <row r="44" customFormat="false" ht="15" hidden="false" customHeight="false" outlineLevel="0" collapsed="false">
      <c r="B44" s="0" t="s">
        <v>260</v>
      </c>
      <c r="C44" s="11" t="s">
        <v>43</v>
      </c>
      <c r="D44" s="13" t="s">
        <v>261</v>
      </c>
      <c r="F44" s="50" t="n">
        <f aca="false">IF(INDEX($H44:$W44,1,Scenario_Selected)="",$H44,INDEX($H44:$W44,1,Scenario_Selected))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</row>
    <row r="45" customFormat="false" ht="15" hidden="false" customHeight="false" outlineLevel="0" collapsed="false">
      <c r="B45" s="0" t="s">
        <v>262</v>
      </c>
      <c r="C45" s="11" t="s">
        <v>66</v>
      </c>
      <c r="D45" s="13" t="s">
        <v>263</v>
      </c>
      <c r="F45" s="44" t="n">
        <f aca="false">IF(INDEX($H45:$W45,1,Scenario_Selected)="",$H45,INDEX($H45:$W45,1,Scenario_Selected))</f>
        <v>20</v>
      </c>
      <c r="H45" s="47" t="n">
        <v>20</v>
      </c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</row>
    <row r="46" customFormat="false" ht="15" hidden="false" customHeight="false" outlineLevel="0" collapsed="false">
      <c r="B46" s="0" t="s">
        <v>264</v>
      </c>
      <c r="C46" s="11" t="s">
        <v>27</v>
      </c>
      <c r="D46" s="13" t="s">
        <v>265</v>
      </c>
      <c r="F46" s="49" t="n">
        <f aca="false">IF(INDEX($H46:$W46,1,Scenario_Selected)="",$H46,INDEX($H46:$W46,1,Scenario_Selected))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</row>
    <row r="47" customFormat="false" ht="15" hidden="false" customHeight="false" outlineLevel="0" collapsed="false">
      <c r="B47" s="0" t="s">
        <v>266</v>
      </c>
      <c r="C47" s="11" t="s">
        <v>66</v>
      </c>
      <c r="D47" s="13" t="s">
        <v>267</v>
      </c>
      <c r="F47" s="44" t="n">
        <f aca="false">IF(INDEX($H47:$W47,1,Scenario_Selected)="",$H47,INDEX($H47:$W47,1,Scenario_Selected))</f>
        <v>5</v>
      </c>
      <c r="H47" s="47" t="n">
        <v>5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</row>
    <row r="49" customFormat="false" ht="15" hidden="false" customHeight="false" outlineLevel="0" collapsed="false">
      <c r="A49" s="9" t="s">
        <v>13</v>
      </c>
      <c r="B49" s="9"/>
      <c r="C49" s="9" t="s">
        <v>268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customFormat="false" ht="15" hidden="false" customHeight="false" outlineLevel="0" collapsed="false">
      <c r="B50" s="0" t="s">
        <v>269</v>
      </c>
      <c r="C50" s="11" t="s">
        <v>150</v>
      </c>
      <c r="D50" s="13" t="s">
        <v>270</v>
      </c>
      <c r="F50" s="45" t="n">
        <v>2</v>
      </c>
    </row>
    <row r="51" customFormat="false" ht="15" hidden="false" customHeight="false" outlineLevel="0" collapsed="false">
      <c r="B51" s="0" t="s">
        <v>271</v>
      </c>
      <c r="C51" s="11" t="s">
        <v>77</v>
      </c>
      <c r="D51" s="13" t="s">
        <v>272</v>
      </c>
      <c r="F51" s="48" t="n">
        <f aca="false">IF(INDEX($H51:$W51,1,Scenario_Selected)="",$H51,INDEX($H51:$W51,1,Scenario_Selected))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</row>
    <row r="52" customFormat="false" ht="15" hidden="false" customHeight="false" outlineLevel="0" collapsed="false">
      <c r="B52" s="0" t="s">
        <v>273</v>
      </c>
      <c r="C52" s="11" t="s">
        <v>27</v>
      </c>
      <c r="D52" s="13" t="s">
        <v>216</v>
      </c>
      <c r="F52" s="49" t="n">
        <f aca="false">IF(INDEX($H52:$W52,1,Scenario_Selected)="",$H52,INDEX($H52:$W52,1,Scenario_Selected))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 t="n">
        <v>0</v>
      </c>
      <c r="V52" s="17" t="n">
        <v>0</v>
      </c>
      <c r="W52" s="17"/>
    </row>
    <row r="53" customFormat="false" ht="15" hidden="false" customHeight="false" outlineLevel="0" collapsed="false">
      <c r="B53" s="0" t="s">
        <v>274</v>
      </c>
      <c r="C53" s="11" t="s">
        <v>27</v>
      </c>
      <c r="D53" s="13" t="s">
        <v>275</v>
      </c>
      <c r="F53" s="49" t="n">
        <f aca="false">IF(INDEX($H53:$W53,1,Scenario_Selected)="",$H53,INDEX($H53:$W53,1,Scenario_Selected))</f>
        <v>0</v>
      </c>
      <c r="H53" s="17" t="n">
        <v>0</v>
      </c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 t="n">
        <v>0.5</v>
      </c>
      <c r="U53" s="17"/>
      <c r="V53" s="17"/>
      <c r="W53" s="17"/>
    </row>
    <row r="54" customFormat="false" ht="15" hidden="false" customHeight="false" outlineLevel="0" collapsed="false">
      <c r="B54" s="0" t="s">
        <v>276</v>
      </c>
      <c r="C54" s="11" t="s">
        <v>27</v>
      </c>
      <c r="D54" s="13" t="s">
        <v>277</v>
      </c>
      <c r="F54" s="49" t="n">
        <f aca="false">IF(INDEX($H54:$W54,1,Scenario_Selected)="",$H54,INDEX($H54:$W54,1,Scenario_Selected))</f>
        <v>0.05</v>
      </c>
      <c r="H54" s="17" t="n">
        <v>0.05</v>
      </c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</row>
    <row r="55" customFormat="false" ht="15" hidden="false" customHeight="false" outlineLevel="0" collapsed="false">
      <c r="B55" s="0" t="s">
        <v>278</v>
      </c>
      <c r="C55" s="11" t="s">
        <v>43</v>
      </c>
      <c r="D55" s="13" t="s">
        <v>279</v>
      </c>
      <c r="F55" s="50" t="n">
        <f aca="false">IF(INDEX($H55:$W55,1,Scenario_Selected)="",$H55,INDEX($H55:$W55,1,Scenario_Selected))</f>
        <v>1</v>
      </c>
      <c r="H55" s="23" t="n">
        <v>1</v>
      </c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 t="n">
        <v>0</v>
      </c>
      <c r="V55" s="23" t="n">
        <v>0</v>
      </c>
      <c r="W55" s="23" t="n">
        <v>0</v>
      </c>
    </row>
    <row r="56" customFormat="false" ht="15" hidden="false" customHeight="false" outlineLevel="0" collapsed="false">
      <c r="B56" s="0" t="s">
        <v>280</v>
      </c>
      <c r="C56" s="11" t="s">
        <v>35</v>
      </c>
      <c r="D56" s="13" t="s">
        <v>281</v>
      </c>
      <c r="F56" s="36" t="n">
        <f aca="false">IF(INDEX($H56:$W56,1,Scenario_Selected)="",$H56,INDEX($H56:$W56,1,Scenario_Selected))</f>
        <v>4</v>
      </c>
      <c r="H56" s="19" t="n">
        <v>4</v>
      </c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</row>
    <row r="57" customFormat="false" ht="15" hidden="false" customHeight="false" outlineLevel="0" collapsed="false">
      <c r="B57" s="0" t="s">
        <v>282</v>
      </c>
      <c r="C57" s="11" t="s">
        <v>27</v>
      </c>
      <c r="D57" s="13" t="s">
        <v>283</v>
      </c>
      <c r="F57" s="49" t="n">
        <f aca="false">IF(INDEX($H57:$W57,1,Scenario_Selected)="",$H57,INDEX($H57:$W57,1,Scenario_Selected))</f>
        <v>0.1</v>
      </c>
      <c r="H57" s="17" t="n">
        <v>0.1</v>
      </c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</row>
    <row r="58" customFormat="false" ht="15" hidden="false" customHeight="false" outlineLevel="0" collapsed="false">
      <c r="B58" s="0" t="s">
        <v>284</v>
      </c>
      <c r="C58" s="11" t="s">
        <v>43</v>
      </c>
      <c r="D58" s="13" t="s">
        <v>285</v>
      </c>
      <c r="F58" s="50" t="n">
        <f aca="false">IF(INDEX($H58:$W58,1,Scenario_Selected)="",$H58,INDEX($H58:$W58,1,Scenario_Selected))</f>
        <v>1</v>
      </c>
      <c r="H58" s="23" t="n">
        <v>1</v>
      </c>
      <c r="I58" s="23"/>
      <c r="J58" s="23"/>
      <c r="K58" s="23"/>
      <c r="L58" s="23"/>
      <c r="M58" s="23"/>
      <c r="N58" s="23" t="n">
        <v>2</v>
      </c>
      <c r="O58" s="23"/>
      <c r="P58" s="23"/>
      <c r="Q58" s="23"/>
      <c r="R58" s="23"/>
      <c r="S58" s="23"/>
      <c r="T58" s="23"/>
      <c r="U58" s="23"/>
      <c r="V58" s="23" t="n">
        <v>2</v>
      </c>
      <c r="W58" s="23"/>
    </row>
    <row r="59" customFormat="false" ht="15" hidden="false" customHeight="false" outlineLevel="0" collapsed="false">
      <c r="B59" s="0" t="s">
        <v>286</v>
      </c>
      <c r="C59" s="11" t="s">
        <v>207</v>
      </c>
      <c r="D59" s="13" t="s">
        <v>287</v>
      </c>
      <c r="F59" s="44" t="n">
        <f aca="false">IF(INDEX($H59:$W59,1,Scenario_Selected)="",$H59,INDEX($H59:$W59,1,Scenario_Selected))</f>
        <v>6</v>
      </c>
      <c r="H59" s="47" t="n">
        <v>6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</row>
    <row r="60" customFormat="false" ht="15" hidden="false" customHeight="false" outlineLevel="0" collapsed="false">
      <c r="B60" s="0" t="s">
        <v>288</v>
      </c>
      <c r="C60" s="11" t="s">
        <v>289</v>
      </c>
      <c r="D60" s="13" t="s">
        <v>290</v>
      </c>
      <c r="F60" s="48" t="n">
        <f aca="false">IF(INDEX($H60:$W60,1,Scenario_Selected)="",$H60,INDEX($H60:$W60,1,Scenario_Selected))</f>
        <v>200</v>
      </c>
      <c r="H60" s="12" t="n">
        <v>200</v>
      </c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</row>
    <row r="61" customFormat="false" ht="15" hidden="false" customHeight="false" outlineLevel="0" collapsed="false">
      <c r="B61" s="0" t="s">
        <v>291</v>
      </c>
      <c r="C61" s="11" t="s">
        <v>292</v>
      </c>
      <c r="D61" s="13" t="s">
        <v>290</v>
      </c>
      <c r="F61" s="48" t="n">
        <f aca="false">IF(INDEX($H61:$W61,1,Scenario_Selected)="",$H61,INDEX($H61:$W61,1,Scenario_Selected))</f>
        <v>406</v>
      </c>
      <c r="H61" s="12" t="n">
        <v>406</v>
      </c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</row>
    <row r="62" customFormat="false" ht="15" hidden="false" customHeight="false" outlineLevel="0" collapsed="false">
      <c r="B62" s="0" t="s">
        <v>293</v>
      </c>
      <c r="C62" s="11" t="s">
        <v>294</v>
      </c>
      <c r="D62" s="13" t="s">
        <v>295</v>
      </c>
      <c r="F62" s="36" t="n">
        <f aca="false">IF(INDEX($H62:$W62,1,Scenario_Selected)="",$H62,INDEX($H62:$W62,1,Scenario_Selected))</f>
        <v>3</v>
      </c>
      <c r="H62" s="19" t="n">
        <v>3</v>
      </c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</row>
    <row r="63" customFormat="false" ht="15" hidden="false" customHeight="false" outlineLevel="0" collapsed="false">
      <c r="B63" s="0" t="s">
        <v>296</v>
      </c>
      <c r="C63" s="11" t="s">
        <v>27</v>
      </c>
      <c r="D63" s="13" t="s">
        <v>297</v>
      </c>
      <c r="F63" s="51" t="n">
        <f aca="false">IF(INDEX($H63:$W63,1,Scenario_Selected)="",$H63,INDEX($H63:$W63,1,Scenario_Selected))</f>
        <v>0.005</v>
      </c>
      <c r="H63" s="52" t="n">
        <v>0.005</v>
      </c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</row>
    <row r="64" customFormat="false" ht="15" hidden="false" customHeight="false" outlineLevel="0" collapsed="false">
      <c r="B64" s="0" t="s">
        <v>298</v>
      </c>
      <c r="C64" s="11" t="s">
        <v>27</v>
      </c>
      <c r="D64" s="13" t="s">
        <v>299</v>
      </c>
      <c r="F64" s="51" t="n">
        <f aca="false">IF(INDEX($H64:$W64,1,Scenario_Selected)="",$H64,INDEX($H64:$W64,1,Scenario_Selected))</f>
        <v>0.025</v>
      </c>
      <c r="H64" s="52" t="n">
        <v>0.025</v>
      </c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</row>
    <row r="65" customFormat="false" ht="15" hidden="false" customHeight="false" outlineLevel="0" collapsed="false">
      <c r="B65" s="0" t="s">
        <v>300</v>
      </c>
      <c r="C65" s="11" t="s">
        <v>301</v>
      </c>
      <c r="D65" s="13" t="s">
        <v>302</v>
      </c>
      <c r="F65" s="36" t="n">
        <f aca="false">IF(INDEX($H65:$W65,1,Scenario_Selected)="",$H65,INDEX($H65:$W65,1,Scenario_Selected))</f>
        <v>4.5</v>
      </c>
      <c r="H65" s="19" t="n">
        <v>4.5</v>
      </c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</row>
    <row r="66" customFormat="false" ht="15" hidden="false" customHeight="false" outlineLevel="0" collapsed="false">
      <c r="B66" s="0" t="s">
        <v>303</v>
      </c>
      <c r="C66" s="11" t="s">
        <v>294</v>
      </c>
      <c r="D66" s="13" t="s">
        <v>304</v>
      </c>
      <c r="F66" s="36" t="n">
        <f aca="false">IF(INDEX($H66:$W66,1,Scenario_Selected)="",$H66,INDEX($H66:$W66,1,Scenario_Selected))</f>
        <v>460</v>
      </c>
      <c r="H66" s="19" t="n">
        <v>460</v>
      </c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</row>
    <row r="67" customFormat="false" ht="15" hidden="false" customHeight="false" outlineLevel="0" collapsed="false">
      <c r="B67" s="0" t="s">
        <v>305</v>
      </c>
      <c r="C67" s="11" t="s">
        <v>301</v>
      </c>
      <c r="D67" s="13" t="s">
        <v>306</v>
      </c>
      <c r="F67" s="32" t="n">
        <f aca="false">IF(INDEX($H67:$W67,1,Scenario_Selected)="",$H67,INDEX($H67:$W67,1,Scenario_Selected))</f>
        <v>54.830209</v>
      </c>
      <c r="H67" s="16" t="n">
        <v>54.830209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</row>
    <row r="68" customFormat="false" ht="15" hidden="false" customHeight="false" outlineLevel="0" collapsed="false">
      <c r="B68" s="0" t="s">
        <v>307</v>
      </c>
      <c r="C68" s="11" t="s">
        <v>27</v>
      </c>
      <c r="D68" s="13" t="s">
        <v>308</v>
      </c>
      <c r="F68" s="49" t="n">
        <f aca="false">IF(INDEX($H68:$W68,1,Scenario_Selected)="",$H68,INDEX($H68:$W68,1,Scenario_Selected))</f>
        <v>0.06</v>
      </c>
      <c r="H68" s="17" t="n">
        <v>0.06</v>
      </c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</row>
    <row r="70" customFormat="false" ht="15" hidden="false" customHeight="false" outlineLevel="0" collapsed="false">
      <c r="A70" s="9" t="s">
        <v>13</v>
      </c>
      <c r="B70" s="9"/>
      <c r="C70" s="9" t="s">
        <v>309</v>
      </c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</row>
    <row r="71" customFormat="false" ht="15" hidden="false" customHeight="false" outlineLevel="0" collapsed="false">
      <c r="B71" s="0" t="s">
        <v>310</v>
      </c>
      <c r="C71" s="11" t="s">
        <v>19</v>
      </c>
      <c r="D71" s="13" t="s">
        <v>311</v>
      </c>
      <c r="F71" s="48" t="n">
        <f aca="false">IF(INDEX($H71:$W71,1,Scenario_Selected)="",$H71,INDEX($H71:$W71,1,Scenario_Selected))</f>
        <v>950</v>
      </c>
      <c r="H71" s="12" t="n">
        <v>950</v>
      </c>
      <c r="I71" s="12"/>
      <c r="J71" s="12"/>
      <c r="K71" s="12" t="n">
        <f aca="false">H71*(1+Sens_Step)</f>
        <v>1045</v>
      </c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</row>
    <row r="72" customFormat="false" ht="15" hidden="false" customHeight="false" outlineLevel="0" collapsed="false">
      <c r="B72" s="0" t="s">
        <v>312</v>
      </c>
      <c r="C72" s="11" t="s">
        <v>19</v>
      </c>
      <c r="D72" s="13" t="s">
        <v>313</v>
      </c>
      <c r="F72" s="48" t="n">
        <f aca="false">IF(INDEX($H72:$W72,1,Scenario_Selected)="",$H72,INDEX($H72:$W72,1,Scenario_Selected))</f>
        <v>500</v>
      </c>
      <c r="H72" s="12" t="n">
        <v>500</v>
      </c>
      <c r="I72" s="12"/>
      <c r="J72" s="12"/>
      <c r="K72" s="12" t="n">
        <f aca="false">H72*(1+Sens_Step)</f>
        <v>550</v>
      </c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</row>
    <row r="73" customFormat="false" ht="15" hidden="false" customHeight="false" outlineLevel="0" collapsed="false">
      <c r="B73" s="0" t="s">
        <v>314</v>
      </c>
      <c r="C73" s="11" t="s">
        <v>19</v>
      </c>
      <c r="D73" s="13" t="s">
        <v>315</v>
      </c>
      <c r="F73" s="48" t="n">
        <f aca="false">IF(INDEX($H73:$W73,1,Scenario_Selected)="",$H73,INDEX($H73:$W73,1,Scenario_Selected))</f>
        <v>355</v>
      </c>
      <c r="H73" s="12" t="n">
        <v>355</v>
      </c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</row>
    <row r="74" customFormat="false" ht="15" hidden="false" customHeight="false" outlineLevel="0" collapsed="false">
      <c r="B74" s="0" t="s">
        <v>316</v>
      </c>
      <c r="C74" s="11" t="s">
        <v>33</v>
      </c>
      <c r="D74" s="13" t="s">
        <v>317</v>
      </c>
      <c r="F74" s="48" t="n">
        <f aca="false">IF(INDEX($H74:$W74,1,Scenario_Selected)="",$H74,INDEX($H74:$W74,1,Scenario_Selected))</f>
        <v>12000</v>
      </c>
      <c r="H74" s="12" t="n">
        <v>12000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</row>
    <row r="75" customFormat="false" ht="15" hidden="false" customHeight="false" outlineLevel="0" collapsed="false">
      <c r="B75" s="0" t="s">
        <v>318</v>
      </c>
      <c r="C75" s="11" t="s">
        <v>33</v>
      </c>
      <c r="D75" s="13" t="s">
        <v>319</v>
      </c>
      <c r="F75" s="48" t="n">
        <f aca="false">IF(INDEX($H75:$W75,1,Scenario_Selected)="",$H75,INDEX($H75:$W75,1,Scenario_Selected))</f>
        <v>10800</v>
      </c>
      <c r="H75" s="12" t="n">
        <v>10800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</row>
    <row r="76" customFormat="false" ht="15" hidden="false" customHeight="false" outlineLevel="0" collapsed="false">
      <c r="B76" s="0" t="s">
        <v>320</v>
      </c>
      <c r="C76" s="11" t="s">
        <v>27</v>
      </c>
      <c r="D76" s="13" t="s">
        <v>321</v>
      </c>
      <c r="F76" s="49" t="n">
        <f aca="false">IF(INDEX($H76:$W76,1,Scenario_Selected)="",$H76,INDEX($H76:$W76,1,Scenario_Selected))</f>
        <v>0.05</v>
      </c>
      <c r="H76" s="17" t="n">
        <v>0.05</v>
      </c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</row>
    <row r="77" customFormat="false" ht="15" hidden="false" customHeight="false" outlineLevel="0" collapsed="false">
      <c r="B77" s="0" t="s">
        <v>322</v>
      </c>
      <c r="C77" s="11" t="s">
        <v>323</v>
      </c>
      <c r="D77" s="13" t="s">
        <v>324</v>
      </c>
      <c r="F77" s="48" t="n">
        <f aca="false">IF(INDEX($H77:$W77,1,Scenario_Selected)="",$H77,INDEX($H77:$W77,1,Scenario_Selected))</f>
        <v>100</v>
      </c>
      <c r="H77" s="12" t="n">
        <v>100</v>
      </c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</row>
    <row r="79" customFormat="false" ht="15" hidden="false" customHeight="false" outlineLevel="0" collapsed="false">
      <c r="A79" s="9" t="s">
        <v>13</v>
      </c>
      <c r="B79" s="9"/>
      <c r="C79" s="9" t="s">
        <v>325</v>
      </c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customFormat="false" ht="15" hidden="false" customHeight="false" outlineLevel="0" collapsed="false">
      <c r="B80" s="0" t="s">
        <v>56</v>
      </c>
      <c r="C80" s="11" t="s">
        <v>57</v>
      </c>
      <c r="D80" s="13" t="s">
        <v>216</v>
      </c>
      <c r="F80" s="48" t="n">
        <f aca="false">IF(INDEX($H80:$W80,1,Scenario_Selected)="",$H80,INDEX($H80:$W80,1,Scenario_Selected))</f>
        <v>2600</v>
      </c>
      <c r="H80" s="12" t="n">
        <v>2600</v>
      </c>
      <c r="I80" s="12"/>
      <c r="J80" s="12"/>
      <c r="K80" s="12"/>
      <c r="L80" s="12" t="n">
        <f aca="false">H80*(1-Sens_Step)</f>
        <v>2340</v>
      </c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</row>
    <row r="81" customFormat="false" ht="15" hidden="false" customHeight="false" outlineLevel="0" collapsed="false">
      <c r="B81" s="0" t="s">
        <v>326</v>
      </c>
      <c r="C81" s="11" t="s">
        <v>27</v>
      </c>
      <c r="D81" s="13" t="s">
        <v>327</v>
      </c>
      <c r="F81" s="49" t="n">
        <f aca="false">IF(INDEX($H81:$W81,1,Scenario_Selected)="",$H81,INDEX($H81:$W81,1,Scenario_Selected))</f>
        <v>0.02</v>
      </c>
      <c r="H81" s="17" t="n">
        <v>0.02</v>
      </c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</row>
    <row r="82" customFormat="false" ht="15" hidden="false" customHeight="false" outlineLevel="0" collapsed="false">
      <c r="B82" s="0" t="s">
        <v>328</v>
      </c>
      <c r="C82" s="11" t="s">
        <v>27</v>
      </c>
      <c r="D82" s="13" t="s">
        <v>329</v>
      </c>
      <c r="F82" s="51" t="n">
        <f aca="false">IF(INDEX($H82:$W82,1,Scenario_Selected)="",$H82,INDEX($H82:$W82,1,Scenario_Selected))</f>
        <v>0.003</v>
      </c>
      <c r="H82" s="52" t="n">
        <v>0.003</v>
      </c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</row>
    <row r="83" customFormat="false" ht="15" hidden="false" customHeight="false" outlineLevel="0" collapsed="false">
      <c r="B83" s="0" t="s">
        <v>330</v>
      </c>
      <c r="C83" s="11" t="s">
        <v>24</v>
      </c>
      <c r="D83" s="13" t="s">
        <v>216</v>
      </c>
      <c r="F83" s="36" t="n">
        <f aca="false">IF(INDEX($H83:$W83,1,Scenario_Selected)="",$H83,INDEX($H83:$W83,1,Scenario_Selected))</f>
        <v>90</v>
      </c>
      <c r="H83" s="19" t="n">
        <v>90</v>
      </c>
      <c r="I83" s="19"/>
      <c r="J83" s="19"/>
      <c r="K83" s="19"/>
      <c r="L83" s="19"/>
      <c r="M83" s="19" t="n">
        <v>99</v>
      </c>
      <c r="N83" s="19"/>
      <c r="O83" s="19"/>
      <c r="P83" s="19"/>
      <c r="Q83" s="19"/>
      <c r="R83" s="19"/>
      <c r="S83" s="19"/>
      <c r="T83" s="19"/>
      <c r="U83" s="19"/>
      <c r="V83" s="19"/>
      <c r="W83" s="19"/>
    </row>
    <row r="84" customFormat="false" ht="15" hidden="false" customHeight="false" outlineLevel="0" collapsed="false">
      <c r="B84" s="0" t="s">
        <v>331</v>
      </c>
      <c r="C84" s="11" t="s">
        <v>27</v>
      </c>
      <c r="D84" s="13" t="s">
        <v>332</v>
      </c>
      <c r="F84" s="49" t="n">
        <f aca="false">IF(INDEX($H84:$W84,1,Scenario_Selected)="",$H84,INDEX($H84:$W84,1,Scenario_Selected))</f>
        <v>0.01</v>
      </c>
      <c r="H84" s="17" t="n">
        <v>0.01</v>
      </c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</row>
    <row r="85" customFormat="false" ht="15" hidden="false" customHeight="false" outlineLevel="0" collapsed="false">
      <c r="B85" s="0" t="s">
        <v>333</v>
      </c>
      <c r="C85" s="11" t="s">
        <v>24</v>
      </c>
      <c r="D85" s="13" t="s">
        <v>334</v>
      </c>
      <c r="F85" s="36" t="n">
        <f aca="false">IF(INDEX($H85:$W85,1,Scenario_Selected)="",$H85,INDEX($H85:$W85,1,Scenario_Selected))</f>
        <v>5</v>
      </c>
      <c r="H85" s="19" t="n">
        <v>5</v>
      </c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</row>
    <row r="86" customFormat="false" ht="15" hidden="false" customHeight="false" outlineLevel="0" collapsed="false">
      <c r="B86" s="0" t="s">
        <v>335</v>
      </c>
      <c r="C86" s="11" t="s">
        <v>19</v>
      </c>
      <c r="D86" s="13" t="s">
        <v>336</v>
      </c>
      <c r="F86" s="48" t="n">
        <f aca="false">IF(INDEX($H86:$W86,1,Scenario_Selected)="",$H86,INDEX($H86:$W86,1,Scenario_Selected))</f>
        <v>22</v>
      </c>
      <c r="H86" s="12" t="n">
        <v>22</v>
      </c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</row>
    <row r="87" customFormat="false" ht="15" hidden="false" customHeight="false" outlineLevel="0" collapsed="false">
      <c r="B87" s="0" t="s">
        <v>337</v>
      </c>
      <c r="C87" s="11" t="s">
        <v>19</v>
      </c>
      <c r="D87" s="13" t="s">
        <v>338</v>
      </c>
      <c r="F87" s="48" t="n">
        <f aca="false">IF(INDEX($H87:$W87,1,Scenario_Selected)="",$H87,INDEX($H87:$W87,1,Scenario_Selected))</f>
        <v>3</v>
      </c>
      <c r="H87" s="12" t="n">
        <v>3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</row>
    <row r="88" customFormat="false" ht="15" hidden="false" customHeight="false" outlineLevel="0" collapsed="false">
      <c r="B88" s="0" t="s">
        <v>339</v>
      </c>
      <c r="C88" s="11" t="s">
        <v>33</v>
      </c>
      <c r="D88" s="13" t="s">
        <v>340</v>
      </c>
      <c r="F88" s="48" t="n">
        <f aca="false">IF(INDEX($H88:$W88,1,Scenario_Selected)="",$H88,INDEX($H88:$W88,1,Scenario_Selected))</f>
        <v>150</v>
      </c>
      <c r="H88" s="12" t="n">
        <v>150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</row>
    <row r="89" customFormat="false" ht="15" hidden="false" customHeight="false" outlineLevel="0" collapsed="false">
      <c r="B89" s="0" t="s">
        <v>341</v>
      </c>
      <c r="C89" s="11" t="s">
        <v>27</v>
      </c>
      <c r="D89" s="13" t="s">
        <v>342</v>
      </c>
      <c r="F89" s="49" t="n">
        <f aca="false">IF(INDEX($H89:$W89,1,Scenario_Selected)="",$H89,INDEX($H89:$W89,1,Scenario_Selected))</f>
        <v>0.05</v>
      </c>
      <c r="H89" s="17" t="n">
        <v>0.05</v>
      </c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</row>
    <row r="90" customFormat="false" ht="15" hidden="false" customHeight="false" outlineLevel="0" collapsed="false">
      <c r="B90" s="0" t="s">
        <v>343</v>
      </c>
      <c r="C90" s="11" t="s">
        <v>27</v>
      </c>
      <c r="D90" s="13" t="s">
        <v>344</v>
      </c>
      <c r="F90" s="49" t="n">
        <f aca="false">IF(INDEX($H90:$W90,1,Scenario_Selected)="",$H90,INDEX($H90:$W90,1,Scenario_Selected))</f>
        <v>0.025</v>
      </c>
      <c r="H90" s="17" t="n">
        <v>0.025</v>
      </c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</row>
    <row r="91" customFormat="false" ht="15" hidden="false" customHeight="false" outlineLevel="0" collapsed="false">
      <c r="B91" s="0" t="s">
        <v>345</v>
      </c>
      <c r="C91" s="11" t="s">
        <v>27</v>
      </c>
      <c r="D91" s="13" t="s">
        <v>346</v>
      </c>
      <c r="F91" s="51" t="n">
        <f aca="false">IF(INDEX($H91:$W91,1,Scenario_Selected)="",$H91,INDEX($H91:$W91,1,Scenario_Selected))</f>
        <v>0.001</v>
      </c>
      <c r="H91" s="52" t="n">
        <v>0.001</v>
      </c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</row>
    <row r="92" customFormat="false" ht="15" hidden="false" customHeight="false" outlineLevel="0" collapsed="false">
      <c r="B92" s="0" t="s">
        <v>347</v>
      </c>
      <c r="C92" s="11" t="s">
        <v>27</v>
      </c>
      <c r="D92" s="13" t="s">
        <v>348</v>
      </c>
      <c r="F92" s="49" t="n">
        <f aca="false">IF(INDEX($H92:$W92,1,Scenario_Selected)="",$H92,INDEX($H92:$W92,1,Scenario_Selected))</f>
        <v>0.02</v>
      </c>
      <c r="H92" s="17" t="n">
        <v>0.02</v>
      </c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</row>
    <row r="93" customFormat="false" ht="15" hidden="false" customHeight="false" outlineLevel="0" collapsed="false">
      <c r="B93" s="0" t="s">
        <v>349</v>
      </c>
      <c r="C93" s="11" t="s">
        <v>27</v>
      </c>
      <c r="D93" s="13" t="s">
        <v>350</v>
      </c>
      <c r="F93" s="51" t="n">
        <f aca="false">IF(INDEX($H93:$W93,1,Scenario_Selected)="",$H93,INDEX($H93:$W93,1,Scenario_Selected))</f>
        <v>0.003</v>
      </c>
      <c r="H93" s="52" t="n">
        <v>0.003</v>
      </c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</row>
    <row r="95" customFormat="false" ht="15" hidden="false" customHeight="false" outlineLevel="0" collapsed="false">
      <c r="A95" s="9" t="s">
        <v>13</v>
      </c>
      <c r="B95" s="9"/>
      <c r="C95" s="9" t="s">
        <v>351</v>
      </c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customFormat="false" ht="15" hidden="false" customHeight="false" outlineLevel="0" collapsed="false">
      <c r="B96" s="0" t="s">
        <v>352</v>
      </c>
      <c r="C96" s="11" t="s">
        <v>27</v>
      </c>
      <c r="D96" s="13" t="s">
        <v>353</v>
      </c>
      <c r="F96" s="49" t="n">
        <f aca="false">IF(INDEX($H96:$W96,1,Scenario_Selected)="",$H96,INDEX($H96:$W96,1,Scenario_Selected))</f>
        <v>0.55</v>
      </c>
      <c r="H96" s="17" t="n">
        <v>0.55</v>
      </c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 t="n">
        <v>0.7</v>
      </c>
      <c r="T96" s="17"/>
      <c r="U96" s="17"/>
      <c r="V96" s="17"/>
      <c r="W96" s="17"/>
    </row>
    <row r="97" customFormat="false" ht="15" hidden="false" customHeight="false" outlineLevel="0" collapsed="false">
      <c r="B97" s="0" t="s">
        <v>354</v>
      </c>
      <c r="C97" s="11" t="s">
        <v>13</v>
      </c>
      <c r="D97" s="13" t="s">
        <v>353</v>
      </c>
      <c r="F97" s="36" t="n">
        <f aca="false">IF(INDEX($H97:$W97,1,Scenario_Selected)="",$H97,INDEX($H97:$W97,1,Scenario_Selected))</f>
        <v>0</v>
      </c>
      <c r="H97" s="19" t="n">
        <v>0</v>
      </c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 t="n">
        <v>6</v>
      </c>
      <c r="T97" s="19"/>
      <c r="U97" s="19"/>
      <c r="V97" s="19"/>
      <c r="W97" s="19"/>
    </row>
    <row r="98" customFormat="false" ht="15" hidden="false" customHeight="false" outlineLevel="0" collapsed="false">
      <c r="B98" s="0" t="s">
        <v>133</v>
      </c>
      <c r="C98" s="11" t="s">
        <v>13</v>
      </c>
      <c r="D98" s="13" t="s">
        <v>353</v>
      </c>
      <c r="F98" s="53" t="n">
        <f aca="false">IF(INDEX($H98:$W98,1,Scenario_Selected)="",$H98,INDEX($H98:$W98,1,Scenario_Selected))</f>
        <v>1.1</v>
      </c>
      <c r="H98" s="21" t="n">
        <v>1.1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</row>
    <row r="99" customFormat="false" ht="15" hidden="false" customHeight="false" outlineLevel="0" collapsed="false">
      <c r="B99" s="0" t="s">
        <v>136</v>
      </c>
      <c r="C99" s="11" t="s">
        <v>13</v>
      </c>
      <c r="D99" s="13" t="s">
        <v>353</v>
      </c>
      <c r="F99" s="53" t="n">
        <f aca="false">IF(INDEX($H99:$W99,1,Scenario_Selected)="",$H99,INDEX($H99:$W99,1,Scenario_Selected))</f>
        <v>1.2</v>
      </c>
      <c r="H99" s="21" t="n">
        <v>1.2</v>
      </c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</row>
    <row r="100" customFormat="false" ht="15" hidden="false" customHeight="false" outlineLevel="0" collapsed="false">
      <c r="B100" s="0" t="s">
        <v>355</v>
      </c>
      <c r="C100" s="11" t="s">
        <v>13</v>
      </c>
      <c r="D100" s="13" t="s">
        <v>356</v>
      </c>
      <c r="F100" s="53" t="n">
        <f aca="false">IF(INDEX($H100:$W100,1,Scenario_Selected)="",$H100,INDEX($H100:$W100,1,Scenario_Selected))</f>
        <v>1.2</v>
      </c>
      <c r="H100" s="21" t="n">
        <v>1.2</v>
      </c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</row>
    <row r="101" customFormat="false" ht="15" hidden="false" customHeight="false" outlineLevel="0" collapsed="false">
      <c r="B101" s="0" t="s">
        <v>65</v>
      </c>
      <c r="C101" s="11" t="s">
        <v>66</v>
      </c>
      <c r="D101" s="13" t="s">
        <v>357</v>
      </c>
      <c r="F101" s="44" t="n">
        <f aca="false">IF(INDEX($H101:$W101,1,Scenario_Selected)="",$H101,INDEX($H101:$W101,1,Scenario_Selected))</f>
        <v>18</v>
      </c>
      <c r="H101" s="47" t="n">
        <v>18</v>
      </c>
      <c r="I101" s="47"/>
      <c r="J101" s="47"/>
      <c r="K101" s="47"/>
      <c r="L101" s="47"/>
      <c r="M101" s="47"/>
      <c r="N101" s="47"/>
      <c r="O101" s="47"/>
      <c r="P101" s="47" t="n">
        <v>10</v>
      </c>
      <c r="Q101" s="47"/>
      <c r="R101" s="47"/>
      <c r="S101" s="47"/>
      <c r="T101" s="47"/>
      <c r="U101" s="47"/>
      <c r="V101" s="47"/>
      <c r="W101" s="47"/>
    </row>
    <row r="102" customFormat="false" ht="15" hidden="false" customHeight="false" outlineLevel="0" collapsed="false">
      <c r="B102" s="0" t="s">
        <v>358</v>
      </c>
      <c r="C102" s="11" t="s">
        <v>27</v>
      </c>
      <c r="D102" s="13" t="s">
        <v>359</v>
      </c>
      <c r="F102" s="49" t="n">
        <f aca="false">IF(INDEX($H102:$W102,1,Scenario_Selected)="",$H102,INDEX($H102:$W102,1,Scenario_Selected))</f>
        <v>0.05</v>
      </c>
      <c r="H102" s="17" t="n">
        <v>0.05</v>
      </c>
      <c r="I102" s="17"/>
      <c r="J102" s="17"/>
      <c r="K102" s="17"/>
      <c r="L102" s="17"/>
      <c r="M102" s="17"/>
      <c r="N102" s="17"/>
      <c r="O102" s="17" t="n">
        <v>0.06</v>
      </c>
      <c r="P102" s="17"/>
      <c r="Q102" s="17"/>
      <c r="R102" s="17"/>
      <c r="S102" s="17"/>
      <c r="T102" s="17"/>
      <c r="U102" s="17"/>
      <c r="V102" s="17"/>
      <c r="W102" s="17"/>
    </row>
    <row r="103" customFormat="false" ht="15" hidden="false" customHeight="false" outlineLevel="0" collapsed="false">
      <c r="B103" s="0" t="s">
        <v>360</v>
      </c>
      <c r="C103" s="11" t="s">
        <v>27</v>
      </c>
      <c r="D103" s="13" t="s">
        <v>361</v>
      </c>
      <c r="F103" s="51" t="n">
        <f aca="false">IF(INDEX($H103:$W103,1,Scenario_Selected)="",$H103,INDEX($H103:$W103,1,Scenario_Selected))</f>
        <v>0.0175</v>
      </c>
      <c r="H103" s="52" t="n">
        <v>0.0175</v>
      </c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</row>
    <row r="104" customFormat="false" ht="15" hidden="false" customHeight="false" outlineLevel="0" collapsed="false">
      <c r="B104" s="0" t="s">
        <v>362</v>
      </c>
      <c r="C104" s="11" t="s">
        <v>27</v>
      </c>
      <c r="D104" s="13" t="s">
        <v>363</v>
      </c>
      <c r="F104" s="51" t="n">
        <f aca="false">IF(INDEX($H104:$W104,1,Scenario_Selected)="",$H104,INDEX($H104:$W104,1,Scenario_Selected))</f>
        <v>0.009</v>
      </c>
      <c r="H104" s="52" t="n">
        <v>0.009</v>
      </c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</row>
    <row r="105" customFormat="false" ht="15" hidden="false" customHeight="false" outlineLevel="0" collapsed="false">
      <c r="B105" s="0" t="s">
        <v>364</v>
      </c>
      <c r="C105" s="11" t="s">
        <v>207</v>
      </c>
      <c r="D105" s="13" t="s">
        <v>365</v>
      </c>
      <c r="F105" s="44" t="n">
        <f aca="false">IF(INDEX($H105:$W105,1,Scenario_Selected)="",$H105,INDEX($H105:$W105,1,Scenario_Selected))</f>
        <v>6</v>
      </c>
      <c r="H105" s="47" t="n">
        <v>6</v>
      </c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</row>
    <row r="107" customFormat="false" ht="15" hidden="false" customHeight="false" outlineLevel="0" collapsed="false">
      <c r="A107" s="9" t="s">
        <v>13</v>
      </c>
      <c r="B107" s="9"/>
      <c r="C107" s="9" t="s">
        <v>366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</row>
    <row r="108" customFormat="false" ht="15" hidden="false" customHeight="false" outlineLevel="0" collapsed="false">
      <c r="B108" s="0" t="s">
        <v>367</v>
      </c>
      <c r="C108" s="11" t="s">
        <v>21</v>
      </c>
      <c r="D108" s="13" t="s">
        <v>368</v>
      </c>
      <c r="F108" s="3" t="s">
        <v>369</v>
      </c>
    </row>
    <row r="109" customFormat="false" ht="15" hidden="false" customHeight="false" outlineLevel="0" collapsed="false">
      <c r="B109" s="0" t="s">
        <v>370</v>
      </c>
      <c r="C109" s="11" t="s">
        <v>21</v>
      </c>
      <c r="D109" s="13" t="s">
        <v>371</v>
      </c>
      <c r="F109" s="3"/>
    </row>
    <row r="111" customFormat="false" ht="15" hidden="false" customHeight="false" outlineLevel="0" collapsed="false">
      <c r="C111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372</v>
      </c>
      <c r="D5" s="9"/>
      <c r="E5" s="9" t="s">
        <v>373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374</v>
      </c>
      <c r="F6" s="8" t="s">
        <v>375</v>
      </c>
      <c r="J6" s="8" t="s">
        <v>376</v>
      </c>
    </row>
    <row r="7" customFormat="false" ht="15" hidden="false" customHeight="false" outlineLevel="0" collapsed="false">
      <c r="C7" s="0" t="s">
        <v>377</v>
      </c>
      <c r="D7" s="11" t="s">
        <v>19</v>
      </c>
      <c r="E7" s="45" t="n">
        <v>10</v>
      </c>
      <c r="F7" s="45" t="n">
        <v>50</v>
      </c>
      <c r="J7" s="45" t="n">
        <v>10</v>
      </c>
      <c r="K7" s="45" t="n">
        <v>15</v>
      </c>
      <c r="L7" s="45" t="n">
        <v>20</v>
      </c>
      <c r="M7" s="45" t="n">
        <v>25</v>
      </c>
      <c r="N7" s="45" t="n">
        <v>30</v>
      </c>
      <c r="O7" s="45" t="n">
        <v>35</v>
      </c>
      <c r="P7" s="45" t="n">
        <v>40</v>
      </c>
      <c r="Q7" s="45" t="n">
        <v>45</v>
      </c>
      <c r="R7" s="45" t="n">
        <v>50</v>
      </c>
    </row>
    <row r="8" customFormat="false" ht="15" hidden="false" customHeight="false" outlineLevel="0" collapsed="false">
      <c r="C8" s="0" t="s">
        <v>378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379</v>
      </c>
      <c r="D9" s="11" t="s">
        <v>53</v>
      </c>
      <c r="E9" s="17" t="n">
        <v>0.2</v>
      </c>
      <c r="J9" s="47" t="n">
        <v>0</v>
      </c>
      <c r="K9" s="47" t="n">
        <v>10</v>
      </c>
      <c r="L9" s="47" t="n">
        <v>20</v>
      </c>
      <c r="M9" s="47" t="n">
        <v>30</v>
      </c>
      <c r="N9" s="47" t="n">
        <v>40</v>
      </c>
      <c r="O9" s="47" t="n">
        <v>55</v>
      </c>
      <c r="P9" s="47" t="n">
        <v>70</v>
      </c>
      <c r="Q9" s="47" t="n">
        <v>80</v>
      </c>
      <c r="R9" s="47" t="n">
        <v>90</v>
      </c>
      <c r="S9" s="47" t="n">
        <v>100</v>
      </c>
    </row>
    <row r="10" customFormat="false" ht="15" hidden="false" customHeight="false" outlineLevel="0" collapsed="false">
      <c r="C10" s="0" t="s">
        <v>380</v>
      </c>
      <c r="D10" s="11" t="s">
        <v>24</v>
      </c>
      <c r="E10" s="45" t="n">
        <v>2</v>
      </c>
      <c r="F10" s="45" t="n">
        <v>3</v>
      </c>
      <c r="J10" s="45" t="n">
        <v>2</v>
      </c>
      <c r="K10" s="45" t="n">
        <v>2.1</v>
      </c>
      <c r="L10" s="45" t="n">
        <v>2.2</v>
      </c>
      <c r="M10" s="45" t="n">
        <v>2.3</v>
      </c>
      <c r="N10" s="45" t="n">
        <v>2.4</v>
      </c>
      <c r="O10" s="45" t="n">
        <v>2.5</v>
      </c>
      <c r="P10" s="45" t="n">
        <v>2.6</v>
      </c>
      <c r="Q10" s="45" t="n">
        <v>2.7</v>
      </c>
      <c r="R10" s="45" t="n">
        <v>2.8</v>
      </c>
      <c r="S10" s="45" t="n">
        <v>2.9</v>
      </c>
      <c r="T10" s="45" t="n">
        <v>3</v>
      </c>
    </row>
    <row r="11" customFormat="false" ht="15" hidden="false" customHeight="false" outlineLevel="0" collapsed="false">
      <c r="C11" s="0" t="s">
        <v>381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382</v>
      </c>
      <c r="D12" s="11" t="s">
        <v>53</v>
      </c>
      <c r="E12" s="17" t="n">
        <v>0.15</v>
      </c>
      <c r="J12" s="47" t="n">
        <v>0</v>
      </c>
      <c r="K12" s="47" t="n">
        <v>5</v>
      </c>
      <c r="L12" s="47" t="n">
        <v>10</v>
      </c>
      <c r="M12" s="47" t="n">
        <v>20</v>
      </c>
      <c r="N12" s="47" t="n">
        <v>30</v>
      </c>
      <c r="O12" s="47" t="n">
        <v>40</v>
      </c>
      <c r="P12" s="47" t="n">
        <v>50</v>
      </c>
      <c r="Q12" s="47" t="n">
        <v>60</v>
      </c>
      <c r="R12" s="47" t="n">
        <v>70</v>
      </c>
      <c r="S12" s="47" t="n">
        <v>80</v>
      </c>
      <c r="T12" s="47" t="n">
        <v>90</v>
      </c>
      <c r="U12" s="47" t="n">
        <v>100</v>
      </c>
    </row>
    <row r="13" customFormat="false" ht="15" hidden="false" customHeight="false" outlineLevel="0" collapsed="false">
      <c r="C13" s="0" t="s">
        <v>383</v>
      </c>
      <c r="D13" s="11" t="s">
        <v>27</v>
      </c>
      <c r="E13" s="45" t="n">
        <v>0.05</v>
      </c>
      <c r="J13" s="45" t="n">
        <v>0.02</v>
      </c>
      <c r="K13" s="45" t="n">
        <v>0.05</v>
      </c>
      <c r="L13" s="45" t="n">
        <v>0.1</v>
      </c>
      <c r="M13" s="45" t="n">
        <v>0.15</v>
      </c>
      <c r="N13" s="45" t="n">
        <v>0.2</v>
      </c>
      <c r="O13" s="45" t="n">
        <v>0.25</v>
      </c>
      <c r="P13" s="45" t="n">
        <v>0.3</v>
      </c>
      <c r="Q13" s="45" t="n">
        <v>0.35</v>
      </c>
      <c r="R13" s="45" t="n">
        <v>0.4</v>
      </c>
      <c r="S13" s="45" t="n">
        <v>0.5</v>
      </c>
    </row>
    <row r="14" customFormat="false" ht="15" hidden="false" customHeight="false" outlineLevel="0" collapsed="false">
      <c r="C14" s="0" t="s">
        <v>384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385</v>
      </c>
      <c r="D15" s="11" t="s">
        <v>53</v>
      </c>
      <c r="E15" s="17" t="n">
        <v>0.15</v>
      </c>
      <c r="J15" s="47" t="n">
        <v>0</v>
      </c>
      <c r="K15" s="47" t="n">
        <v>10</v>
      </c>
      <c r="L15" s="47" t="n">
        <v>20</v>
      </c>
      <c r="M15" s="47" t="n">
        <v>30</v>
      </c>
      <c r="N15" s="47" t="n">
        <v>40</v>
      </c>
      <c r="O15" s="47" t="n">
        <v>50</v>
      </c>
      <c r="P15" s="47" t="n">
        <v>60</v>
      </c>
      <c r="Q15" s="47" t="n">
        <v>70</v>
      </c>
      <c r="R15" s="47" t="n">
        <v>80</v>
      </c>
      <c r="S15" s="47" t="n">
        <v>90</v>
      </c>
      <c r="T15" s="47" t="n">
        <v>100</v>
      </c>
    </row>
    <row r="16" customFormat="false" ht="15" hidden="false" customHeight="false" outlineLevel="0" collapsed="false">
      <c r="C16" s="0" t="s">
        <v>386</v>
      </c>
      <c r="D16" s="11" t="s">
        <v>27</v>
      </c>
      <c r="J16" s="45" t="n">
        <v>0.02</v>
      </c>
      <c r="K16" s="45" t="n">
        <v>0.05</v>
      </c>
      <c r="L16" s="45" t="n">
        <v>0.1</v>
      </c>
      <c r="M16" s="45" t="n">
        <v>0.15</v>
      </c>
      <c r="N16" s="45" t="n">
        <v>0.2</v>
      </c>
      <c r="O16" s="45" t="n">
        <v>0.25</v>
      </c>
      <c r="P16" s="45" t="n">
        <v>0.3</v>
      </c>
      <c r="Q16" s="45" t="n">
        <v>0.35</v>
      </c>
      <c r="R16" s="45" t="n">
        <v>0.4</v>
      </c>
      <c r="S16" s="45" t="n">
        <v>0.5</v>
      </c>
    </row>
    <row r="17" customFormat="false" ht="15" hidden="false" customHeight="false" outlineLevel="0" collapsed="false">
      <c r="C17" s="0" t="s">
        <v>387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388</v>
      </c>
      <c r="D18" s="11" t="s">
        <v>53</v>
      </c>
      <c r="E18" s="17" t="n">
        <v>0.1</v>
      </c>
      <c r="J18" s="47" t="n">
        <v>0</v>
      </c>
      <c r="K18" s="47" t="n">
        <v>10</v>
      </c>
      <c r="L18" s="47" t="n">
        <v>20</v>
      </c>
      <c r="M18" s="47" t="n">
        <v>30</v>
      </c>
      <c r="N18" s="47" t="n">
        <v>40</v>
      </c>
      <c r="O18" s="47" t="n">
        <v>50</v>
      </c>
      <c r="P18" s="47" t="n">
        <v>60</v>
      </c>
      <c r="Q18" s="47" t="n">
        <v>70</v>
      </c>
      <c r="R18" s="47" t="n">
        <v>80</v>
      </c>
      <c r="S18" s="47" t="n">
        <v>90</v>
      </c>
      <c r="T18" s="47" t="n">
        <v>100</v>
      </c>
    </row>
    <row r="19" customFormat="false" ht="15" hidden="false" customHeight="false" outlineLevel="0" collapsed="false">
      <c r="C19" s="0" t="s">
        <v>389</v>
      </c>
      <c r="D19" s="11" t="s">
        <v>13</v>
      </c>
      <c r="J19" s="45" t="n">
        <v>1</v>
      </c>
      <c r="K19" s="45" t="n">
        <v>1.2</v>
      </c>
      <c r="L19" s="45" t="n">
        <v>1.3</v>
      </c>
      <c r="M19" s="45" t="n">
        <v>1.4</v>
      </c>
      <c r="N19" s="45" t="n">
        <v>1.5</v>
      </c>
      <c r="O19" s="45" t="n">
        <v>1.6</v>
      </c>
      <c r="P19" s="45" t="n">
        <v>1.7</v>
      </c>
      <c r="Q19" s="45" t="n">
        <v>1.8</v>
      </c>
      <c r="R19" s="45" t="n">
        <v>1.9</v>
      </c>
      <c r="S19" s="45" t="n">
        <v>2</v>
      </c>
    </row>
    <row r="20" customFormat="false" ht="15" hidden="false" customHeight="false" outlineLevel="0" collapsed="false">
      <c r="C20" s="0" t="s">
        <v>390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391</v>
      </c>
      <c r="D21" s="11" t="s">
        <v>53</v>
      </c>
      <c r="E21" s="17" t="n">
        <v>0.05</v>
      </c>
      <c r="J21" s="47" t="n">
        <v>0</v>
      </c>
      <c r="K21" s="47" t="n">
        <v>10</v>
      </c>
      <c r="L21" s="47" t="n">
        <v>20</v>
      </c>
      <c r="M21" s="47" t="n">
        <v>30</v>
      </c>
      <c r="N21" s="47" t="n">
        <v>40</v>
      </c>
      <c r="O21" s="47" t="n">
        <v>50</v>
      </c>
      <c r="P21" s="47" t="n">
        <v>60</v>
      </c>
      <c r="Q21" s="47" t="n">
        <v>70</v>
      </c>
      <c r="R21" s="47" t="n">
        <v>80</v>
      </c>
      <c r="S21" s="47" t="n">
        <v>90</v>
      </c>
      <c r="T21" s="47" t="n">
        <v>100</v>
      </c>
    </row>
    <row r="22" customFormat="false" ht="15" hidden="false" customHeight="false" outlineLevel="0" collapsed="false">
      <c r="C22" s="0" t="s">
        <v>392</v>
      </c>
      <c r="D22" s="11" t="s">
        <v>53</v>
      </c>
      <c r="E22" s="17" t="n">
        <v>0.05</v>
      </c>
      <c r="J22" s="47" t="n">
        <v>100</v>
      </c>
    </row>
    <row r="23" customFormat="false" ht="15" hidden="false" customHeight="false" outlineLevel="0" collapsed="false">
      <c r="C23" s="0" t="s">
        <v>393</v>
      </c>
      <c r="D23" s="11" t="s">
        <v>53</v>
      </c>
      <c r="E23" s="17" t="n">
        <v>0.05</v>
      </c>
      <c r="J23" s="47" t="n">
        <v>100</v>
      </c>
    </row>
    <row r="24" customFormat="false" ht="15" hidden="false" customHeight="false" outlineLevel="0" collapsed="false">
      <c r="C24" s="0" t="s">
        <v>394</v>
      </c>
      <c r="D24" s="11" t="s">
        <v>53</v>
      </c>
      <c r="E24" s="17" t="n">
        <v>0.15</v>
      </c>
      <c r="J24" s="47" t="n">
        <v>80</v>
      </c>
    </row>
    <row r="25" customFormat="false" ht="15" hidden="false" customHeight="false" outlineLevel="0" collapsed="false">
      <c r="C25" s="0" t="s">
        <v>395</v>
      </c>
      <c r="D25" s="11" t="s">
        <v>53</v>
      </c>
      <c r="J25" s="47" t="n">
        <v>20</v>
      </c>
    </row>
    <row r="27" customFormat="false" ht="15" hidden="false" customHeight="false" outlineLevel="0" collapsed="false">
      <c r="C27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1</v>
      </c>
      <c r="C1" s="13" t="s">
        <v>396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397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398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399</v>
      </c>
      <c r="D5" s="11" t="s">
        <v>204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400</v>
      </c>
      <c r="D6" s="11" t="s">
        <v>401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402</v>
      </c>
      <c r="D7" s="11" t="s">
        <v>403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404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405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406</v>
      </c>
      <c r="D12" s="11" t="s">
        <v>401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407</v>
      </c>
      <c r="D13" s="11" t="s">
        <v>401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408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325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409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410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54331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1</v>
      </c>
      <c r="CI18" s="55" t="n">
        <f aca="false">MAX(0,(MIN($F18,CI$4)-MAX($E18,CI$3)+1)/CI$5)</f>
        <v>1</v>
      </c>
      <c r="CJ18" s="55" t="n">
        <f aca="false">MAX(0,(MIN($F18,CJ$4)-MAX($E18,CJ$3)+1)/CJ$5)</f>
        <v>1</v>
      </c>
      <c r="CK18" s="55" t="n">
        <f aca="false">MAX(0,(MIN($F18,CK$4)-MAX($E18,CK$3)+1)/CK$5)</f>
        <v>1</v>
      </c>
      <c r="CL18" s="55" t="n">
        <f aca="false">MAX(0,(MIN($F18,CL$4)-MAX($E18,CL$3)+1)/CL$5)</f>
        <v>1</v>
      </c>
      <c r="CM18" s="55" t="n">
        <f aca="false">MAX(0,(MIN($F18,CM$4)-MAX($E18,CM$3)+1)/CM$5)</f>
        <v>1</v>
      </c>
      <c r="CN18" s="55" t="n">
        <f aca="false">MAX(0,(MIN($F18,CN$4)-MAX($E18,CN$3)+1)/CN$5)</f>
        <v>1</v>
      </c>
      <c r="CO18" s="55" t="n">
        <f aca="false">MAX(0,(MIN($F18,CO$4)-MAX($E18,CO$3)+1)/CO$5)</f>
        <v>1</v>
      </c>
      <c r="CP18" s="55" t="n">
        <f aca="false">MAX(0,(MIN($F18,CP$4)-MAX($E18,CP$3)+1)/CP$5)</f>
        <v>1</v>
      </c>
      <c r="CQ18" s="55" t="n">
        <f aca="false">MAX(0,(MIN($F18,CQ$4)-MAX($E18,CQ$3)+1)/CQ$5)</f>
        <v>1</v>
      </c>
      <c r="CR18" s="55" t="n">
        <f aca="false">MAX(0,(MIN($F18,CR$4)-MAX($E18,CR$3)+1)/CR$5)</f>
        <v>1</v>
      </c>
      <c r="CS18" s="55" t="n">
        <f aca="false">MAX(0,(MIN($F18,CS$4)-MAX($E18,CS$3)+1)/CS$5)</f>
        <v>1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411</v>
      </c>
      <c r="D19" s="11" t="s">
        <v>43</v>
      </c>
      <c r="E19" s="46" t="n">
        <f aca="false">EDATE(In_COD,In_Debt_Tenor*Months_In_Year)</f>
        <v>54331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0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1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412</v>
      </c>
      <c r="D20" s="11" t="s">
        <v>401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413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414</v>
      </c>
      <c r="D22" s="11" t="s">
        <v>401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415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416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417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418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419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420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421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422</v>
      </c>
      <c r="D31" s="11" t="s">
        <v>77</v>
      </c>
      <c r="E31" s="36" t="n">
        <f aca="false">($E30&gt;In_Tolerance_Cap)*$E30*In_MVA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423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424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425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426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427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428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429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430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431</v>
      </c>
      <c r="D41" s="11" t="s">
        <v>43</v>
      </c>
      <c r="E41" s="50" t="n">
        <f aca="false">INDEX(Dash_EU_Turbine,1,$A$1)</f>
        <v>1</v>
      </c>
      <c r="F41" s="32" t="n">
        <f aca="false">$E41*Osz9a_Pts*Osz9_W</f>
        <v>12</v>
      </c>
    </row>
    <row r="42" customFormat="false" ht="15" hidden="false" customHeight="false" outlineLevel="0" collapsed="false">
      <c r="C42" s="0" t="s">
        <v>432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59.5</v>
      </c>
    </row>
    <row r="44" customFormat="false" ht="15" hidden="false" customHeight="false" outlineLevel="0" collapsed="false">
      <c r="C44" s="0" t="s">
        <v>433</v>
      </c>
      <c r="D44" s="11" t="s">
        <v>150</v>
      </c>
      <c r="E44" s="44" t="n">
        <f aca="false">($E34&lt;&gt;0)*($E34&lt;Osz1_Min)+($E34&gt;Osz1_Max)+($E35&lt;&gt;0)*($E35&lt;Osz2_Min)+($E35&gt;Osz2_Max)</f>
        <v>0</v>
      </c>
      <c r="F44" s="44" t="n">
        <f aca="false">N($E39&lt;1)+N($E27&gt;$E25)+N($E28&lt;$E27*In_Min_Hours)</f>
        <v>0</v>
      </c>
    </row>
    <row r="46" customFormat="false" ht="15" hidden="false" customHeight="false" outlineLevel="0" collapsed="false">
      <c r="A46" s="9" t="s">
        <v>13</v>
      </c>
      <c r="B46" s="9"/>
      <c r="C46" s="9" t="s">
        <v>434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</row>
    <row r="47" customFormat="false" ht="15" hidden="false" customHeight="false" outlineLevel="0" collapsed="false">
      <c r="C47" s="0" t="s">
        <v>32</v>
      </c>
      <c r="D47" s="11" t="s">
        <v>33</v>
      </c>
      <c r="E47" s="18" t="n">
        <f aca="false">In_Purchase_Price</f>
        <v>4500</v>
      </c>
      <c r="F47" s="20" t="n">
        <f aca="false">In_Closing</f>
        <v>46387</v>
      </c>
      <c r="I47" s="48" t="n">
        <f aca="false">SUM(J47:EO47)</f>
        <v>-4500</v>
      </c>
      <c r="J47" s="48" t="n">
        <f aca="false">-$E47*N(AND(J$3&lt;=$F47,J$4&gt;=$F47))</f>
        <v>-4500</v>
      </c>
      <c r="K47" s="48" t="n">
        <f aca="false">-$E47*N(AND(K$3&lt;=$F47,K$4&gt;=$F47))</f>
        <v>-0</v>
      </c>
      <c r="L47" s="48" t="n">
        <f aca="false">-$E47*N(AND(L$3&lt;=$F47,L$4&gt;=$F47))</f>
        <v>-0</v>
      </c>
      <c r="M47" s="48" t="n">
        <f aca="false">-$E47*N(AND(M$3&lt;=$F47,M$4&gt;=$F47))</f>
        <v>-0</v>
      </c>
      <c r="N47" s="48" t="n">
        <f aca="false">-$E47*N(AND(N$3&lt;=$F47,N$4&gt;=$F47))</f>
        <v>-0</v>
      </c>
      <c r="O47" s="48" t="n">
        <f aca="false">-$E47*N(AND(O$3&lt;=$F47,O$4&gt;=$F47))</f>
        <v>-0</v>
      </c>
      <c r="P47" s="48" t="n">
        <f aca="false">-$E47*N(AND(P$3&lt;=$F47,P$4&gt;=$F47))</f>
        <v>-0</v>
      </c>
      <c r="Q47" s="48" t="n">
        <f aca="false">-$E47*N(AND(Q$3&lt;=$F47,Q$4&gt;=$F47))</f>
        <v>-0</v>
      </c>
      <c r="R47" s="48" t="n">
        <f aca="false">-$E47*N(AND(R$3&lt;=$F47,R$4&gt;=$F47))</f>
        <v>-0</v>
      </c>
      <c r="S47" s="48" t="n">
        <f aca="false">-$E47*N(AND(S$3&lt;=$F47,S$4&gt;=$F47))</f>
        <v>-0</v>
      </c>
      <c r="T47" s="48" t="n">
        <f aca="false">-$E47*N(AND(T$3&lt;=$F47,T$4&gt;=$F47))</f>
        <v>-0</v>
      </c>
      <c r="U47" s="48" t="n">
        <f aca="false">-$E47*N(AND(U$3&lt;=$F47,U$4&gt;=$F47))</f>
        <v>-0</v>
      </c>
      <c r="V47" s="48" t="n">
        <f aca="false">-$E47*N(AND(V$3&lt;=$F47,V$4&gt;=$F47))</f>
        <v>-0</v>
      </c>
      <c r="W47" s="48" t="n">
        <f aca="false">-$E47*N(AND(W$3&lt;=$F47,W$4&gt;=$F47))</f>
        <v>-0</v>
      </c>
      <c r="X47" s="48" t="n">
        <f aca="false">-$E47*N(AND(X$3&lt;=$F47,X$4&gt;=$F47))</f>
        <v>-0</v>
      </c>
      <c r="Y47" s="48" t="n">
        <f aca="false">-$E47*N(AND(Y$3&lt;=$F47,Y$4&gt;=$F47))</f>
        <v>-0</v>
      </c>
      <c r="Z47" s="48" t="n">
        <f aca="false">-$E47*N(AND(Z$3&lt;=$F47,Z$4&gt;=$F47))</f>
        <v>-0</v>
      </c>
      <c r="AA47" s="48" t="n">
        <f aca="false">-$E47*N(AND(AA$3&lt;=$F47,AA$4&gt;=$F47))</f>
        <v>-0</v>
      </c>
      <c r="AB47" s="48" t="n">
        <f aca="false">-$E47*N(AND(AB$3&lt;=$F47,AB$4&gt;=$F47))</f>
        <v>-0</v>
      </c>
      <c r="AC47" s="48" t="n">
        <f aca="false">-$E47*N(AND(AC$3&lt;=$F47,AC$4&gt;=$F47))</f>
        <v>-0</v>
      </c>
      <c r="AD47" s="48" t="n">
        <f aca="false">-$E47*N(AND(AD$3&lt;=$F47,AD$4&gt;=$F47))</f>
        <v>-0</v>
      </c>
      <c r="AE47" s="48" t="n">
        <f aca="false">-$E47*N(AND(AE$3&lt;=$F47,AE$4&gt;=$F47))</f>
        <v>-0</v>
      </c>
      <c r="AF47" s="48" t="n">
        <f aca="false">-$E47*N(AND(AF$3&lt;=$F47,AF$4&gt;=$F47))</f>
        <v>-0</v>
      </c>
      <c r="AG47" s="48" t="n">
        <f aca="false">-$E47*N(AND(AG$3&lt;=$F47,AG$4&gt;=$F47))</f>
        <v>-0</v>
      </c>
      <c r="AH47" s="48" t="n">
        <f aca="false">-$E47*N(AND(AH$3&lt;=$F47,AH$4&gt;=$F47))</f>
        <v>-0</v>
      </c>
      <c r="AI47" s="48" t="n">
        <f aca="false">-$E47*N(AND(AI$3&lt;=$F47,AI$4&gt;=$F47))</f>
        <v>-0</v>
      </c>
      <c r="AJ47" s="48" t="n">
        <f aca="false">-$E47*N(AND(AJ$3&lt;=$F47,AJ$4&gt;=$F47))</f>
        <v>-0</v>
      </c>
      <c r="AK47" s="48" t="n">
        <f aca="false">-$E47*N(AND(AK$3&lt;=$F47,AK$4&gt;=$F47))</f>
        <v>-0</v>
      </c>
      <c r="AL47" s="48" t="n">
        <f aca="false">-$E47*N(AND(AL$3&lt;=$F47,AL$4&gt;=$F47))</f>
        <v>-0</v>
      </c>
      <c r="AM47" s="48" t="n">
        <f aca="false">-$E47*N(AND(AM$3&lt;=$F47,AM$4&gt;=$F47))</f>
        <v>-0</v>
      </c>
      <c r="AN47" s="48" t="n">
        <f aca="false">-$E47*N(AND(AN$3&lt;=$F47,AN$4&gt;=$F47))</f>
        <v>-0</v>
      </c>
      <c r="AO47" s="48" t="n">
        <f aca="false">-$E47*N(AND(AO$3&lt;=$F47,AO$4&gt;=$F47))</f>
        <v>-0</v>
      </c>
      <c r="AP47" s="48" t="n">
        <f aca="false">-$E47*N(AND(AP$3&lt;=$F47,AP$4&gt;=$F47))</f>
        <v>-0</v>
      </c>
      <c r="AQ47" s="48" t="n">
        <f aca="false">-$E47*N(AND(AQ$3&lt;=$F47,AQ$4&gt;=$F47))</f>
        <v>-0</v>
      </c>
      <c r="AR47" s="48" t="n">
        <f aca="false">-$E47*N(AND(AR$3&lt;=$F47,AR$4&gt;=$F47))</f>
        <v>-0</v>
      </c>
      <c r="AS47" s="48" t="n">
        <f aca="false">-$E47*N(AND(AS$3&lt;=$F47,AS$4&gt;=$F47))</f>
        <v>-0</v>
      </c>
      <c r="AT47" s="48" t="n">
        <f aca="false">-$E47*N(AND(AT$3&lt;=$F47,AT$4&gt;=$F47))</f>
        <v>-0</v>
      </c>
      <c r="AU47" s="48" t="n">
        <f aca="false">-$E47*N(AND(AU$3&lt;=$F47,AU$4&gt;=$F47))</f>
        <v>-0</v>
      </c>
      <c r="AV47" s="48" t="n">
        <f aca="false">-$E47*N(AND(AV$3&lt;=$F47,AV$4&gt;=$F47))</f>
        <v>-0</v>
      </c>
      <c r="AW47" s="48" t="n">
        <f aca="false">-$E47*N(AND(AW$3&lt;=$F47,AW$4&gt;=$F47))</f>
        <v>-0</v>
      </c>
      <c r="AX47" s="48" t="n">
        <f aca="false">-$E47*N(AND(AX$3&lt;=$F47,AX$4&gt;=$F47))</f>
        <v>-0</v>
      </c>
      <c r="AY47" s="48" t="n">
        <f aca="false">-$E47*N(AND(AY$3&lt;=$F47,AY$4&gt;=$F47))</f>
        <v>-0</v>
      </c>
      <c r="AZ47" s="48" t="n">
        <f aca="false">-$E47*N(AND(AZ$3&lt;=$F47,AZ$4&gt;=$F47))</f>
        <v>-0</v>
      </c>
      <c r="BA47" s="48" t="n">
        <f aca="false">-$E47*N(AND(BA$3&lt;=$F47,BA$4&gt;=$F47))</f>
        <v>-0</v>
      </c>
      <c r="BB47" s="48" t="n">
        <f aca="false">-$E47*N(AND(BB$3&lt;=$F47,BB$4&gt;=$F47))</f>
        <v>-0</v>
      </c>
      <c r="BC47" s="48" t="n">
        <f aca="false">-$E47*N(AND(BC$3&lt;=$F47,BC$4&gt;=$F47))</f>
        <v>-0</v>
      </c>
      <c r="BD47" s="48" t="n">
        <f aca="false">-$E47*N(AND(BD$3&lt;=$F47,BD$4&gt;=$F47))</f>
        <v>-0</v>
      </c>
      <c r="BE47" s="48" t="n">
        <f aca="false">-$E47*N(AND(BE$3&lt;=$F47,BE$4&gt;=$F47))</f>
        <v>-0</v>
      </c>
      <c r="BF47" s="48" t="n">
        <f aca="false">-$E47*N(AND(BF$3&lt;=$F47,BF$4&gt;=$F47))</f>
        <v>-0</v>
      </c>
      <c r="BG47" s="48" t="n">
        <f aca="false">-$E47*N(AND(BG$3&lt;=$F47,BG$4&gt;=$F47))</f>
        <v>-0</v>
      </c>
      <c r="BH47" s="48" t="n">
        <f aca="false">-$E47*N(AND(BH$3&lt;=$F47,BH$4&gt;=$F47))</f>
        <v>-0</v>
      </c>
      <c r="BI47" s="48" t="n">
        <f aca="false">-$E47*N(AND(BI$3&lt;=$F47,BI$4&gt;=$F47))</f>
        <v>-0</v>
      </c>
      <c r="BJ47" s="48" t="n">
        <f aca="false">-$E47*N(AND(BJ$3&lt;=$F47,BJ$4&gt;=$F47))</f>
        <v>-0</v>
      </c>
      <c r="BK47" s="48" t="n">
        <f aca="false">-$E47*N(AND(BK$3&lt;=$F47,BK$4&gt;=$F47))</f>
        <v>-0</v>
      </c>
      <c r="BL47" s="48" t="n">
        <f aca="false">-$E47*N(AND(BL$3&lt;=$F47,BL$4&gt;=$F47))</f>
        <v>-0</v>
      </c>
      <c r="BM47" s="48" t="n">
        <f aca="false">-$E47*N(AND(BM$3&lt;=$F47,BM$4&gt;=$F47))</f>
        <v>-0</v>
      </c>
      <c r="BN47" s="48" t="n">
        <f aca="false">-$E47*N(AND(BN$3&lt;=$F47,BN$4&gt;=$F47))</f>
        <v>-0</v>
      </c>
      <c r="BO47" s="48" t="n">
        <f aca="false">-$E47*N(AND(BO$3&lt;=$F47,BO$4&gt;=$F47))</f>
        <v>-0</v>
      </c>
      <c r="BP47" s="48" t="n">
        <f aca="false">-$E47*N(AND(BP$3&lt;=$F47,BP$4&gt;=$F47))</f>
        <v>-0</v>
      </c>
      <c r="BQ47" s="48" t="n">
        <f aca="false">-$E47*N(AND(BQ$3&lt;=$F47,BQ$4&gt;=$F47))</f>
        <v>-0</v>
      </c>
      <c r="BR47" s="48" t="n">
        <f aca="false">-$E47*N(AND(BR$3&lt;=$F47,BR$4&gt;=$F47))</f>
        <v>-0</v>
      </c>
      <c r="BS47" s="48" t="n">
        <f aca="false">-$E47*N(AND(BS$3&lt;=$F47,BS$4&gt;=$F47))</f>
        <v>-0</v>
      </c>
      <c r="BT47" s="48" t="n">
        <f aca="false">-$E47*N(AND(BT$3&lt;=$F47,BT$4&gt;=$F47))</f>
        <v>-0</v>
      </c>
      <c r="BU47" s="48" t="n">
        <f aca="false">-$E47*N(AND(BU$3&lt;=$F47,BU$4&gt;=$F47))</f>
        <v>-0</v>
      </c>
      <c r="BV47" s="48" t="n">
        <f aca="false">-$E47*N(AND(BV$3&lt;=$F47,BV$4&gt;=$F47))</f>
        <v>-0</v>
      </c>
      <c r="BW47" s="48" t="n">
        <f aca="false">-$E47*N(AND(BW$3&lt;=$F47,BW$4&gt;=$F47))</f>
        <v>-0</v>
      </c>
      <c r="BX47" s="48" t="n">
        <f aca="false">-$E47*N(AND(BX$3&lt;=$F47,BX$4&gt;=$F47))</f>
        <v>-0</v>
      </c>
      <c r="BY47" s="48" t="n">
        <f aca="false">-$E47*N(AND(BY$3&lt;=$F47,BY$4&gt;=$F47))</f>
        <v>-0</v>
      </c>
      <c r="BZ47" s="48" t="n">
        <f aca="false">-$E47*N(AND(BZ$3&lt;=$F47,BZ$4&gt;=$F47))</f>
        <v>-0</v>
      </c>
      <c r="CA47" s="48" t="n">
        <f aca="false">-$E47*N(AND(CA$3&lt;=$F47,CA$4&gt;=$F47))</f>
        <v>-0</v>
      </c>
      <c r="CB47" s="48" t="n">
        <f aca="false">-$E47*N(AND(CB$3&lt;=$F47,CB$4&gt;=$F47))</f>
        <v>-0</v>
      </c>
      <c r="CC47" s="48" t="n">
        <f aca="false">-$E47*N(AND(CC$3&lt;=$F47,CC$4&gt;=$F47))</f>
        <v>-0</v>
      </c>
      <c r="CD47" s="48" t="n">
        <f aca="false">-$E47*N(AND(CD$3&lt;=$F47,CD$4&gt;=$F47))</f>
        <v>-0</v>
      </c>
      <c r="CE47" s="48" t="n">
        <f aca="false">-$E47*N(AND(CE$3&lt;=$F47,CE$4&gt;=$F47))</f>
        <v>-0</v>
      </c>
      <c r="CF47" s="48" t="n">
        <f aca="false">-$E47*N(AND(CF$3&lt;=$F47,CF$4&gt;=$F47))</f>
        <v>-0</v>
      </c>
      <c r="CG47" s="48" t="n">
        <f aca="false">-$E47*N(AND(CG$3&lt;=$F47,CG$4&gt;=$F47))</f>
        <v>-0</v>
      </c>
      <c r="CH47" s="48" t="n">
        <f aca="false">-$E47*N(AND(CH$3&lt;=$F47,CH$4&gt;=$F47))</f>
        <v>-0</v>
      </c>
      <c r="CI47" s="48" t="n">
        <f aca="false">-$E47*N(AND(CI$3&lt;=$F47,CI$4&gt;=$F47))</f>
        <v>-0</v>
      </c>
      <c r="CJ47" s="48" t="n">
        <f aca="false">-$E47*N(AND(CJ$3&lt;=$F47,CJ$4&gt;=$F47))</f>
        <v>-0</v>
      </c>
      <c r="CK47" s="48" t="n">
        <f aca="false">-$E47*N(AND(CK$3&lt;=$F47,CK$4&gt;=$F47))</f>
        <v>-0</v>
      </c>
      <c r="CL47" s="48" t="n">
        <f aca="false">-$E47*N(AND(CL$3&lt;=$F47,CL$4&gt;=$F47))</f>
        <v>-0</v>
      </c>
      <c r="CM47" s="48" t="n">
        <f aca="false">-$E47*N(AND(CM$3&lt;=$F47,CM$4&gt;=$F47))</f>
        <v>-0</v>
      </c>
      <c r="CN47" s="48" t="n">
        <f aca="false">-$E47*N(AND(CN$3&lt;=$F47,CN$4&gt;=$F47))</f>
        <v>-0</v>
      </c>
      <c r="CO47" s="48" t="n">
        <f aca="false">-$E47*N(AND(CO$3&lt;=$F47,CO$4&gt;=$F47))</f>
        <v>-0</v>
      </c>
      <c r="CP47" s="48" t="n">
        <f aca="false">-$E47*N(AND(CP$3&lt;=$F47,CP$4&gt;=$F47))</f>
        <v>-0</v>
      </c>
      <c r="CQ47" s="48" t="n">
        <f aca="false">-$E47*N(AND(CQ$3&lt;=$F47,CQ$4&gt;=$F47))</f>
        <v>-0</v>
      </c>
      <c r="CR47" s="48" t="n">
        <f aca="false">-$E47*N(AND(CR$3&lt;=$F47,CR$4&gt;=$F47))</f>
        <v>-0</v>
      </c>
      <c r="CS47" s="48" t="n">
        <f aca="false">-$E47*N(AND(CS$3&lt;=$F47,CS$4&gt;=$F47))</f>
        <v>-0</v>
      </c>
      <c r="CT47" s="48" t="n">
        <f aca="false">-$E47*N(AND(CT$3&lt;=$F47,CT$4&gt;=$F47))</f>
        <v>-0</v>
      </c>
      <c r="CU47" s="48" t="n">
        <f aca="false">-$E47*N(AND(CU$3&lt;=$F47,CU$4&gt;=$F47))</f>
        <v>-0</v>
      </c>
      <c r="CV47" s="48" t="n">
        <f aca="false">-$E47*N(AND(CV$3&lt;=$F47,CV$4&gt;=$F47))</f>
        <v>-0</v>
      </c>
      <c r="CW47" s="48" t="n">
        <f aca="false">-$E47*N(AND(CW$3&lt;=$F47,CW$4&gt;=$F47))</f>
        <v>-0</v>
      </c>
      <c r="CX47" s="48" t="n">
        <f aca="false">-$E47*N(AND(CX$3&lt;=$F47,CX$4&gt;=$F47))</f>
        <v>-0</v>
      </c>
      <c r="CY47" s="48" t="n">
        <f aca="false">-$E47*N(AND(CY$3&lt;=$F47,CY$4&gt;=$F47))</f>
        <v>-0</v>
      </c>
      <c r="CZ47" s="48" t="n">
        <f aca="false">-$E47*N(AND(CZ$3&lt;=$F47,CZ$4&gt;=$F47))</f>
        <v>-0</v>
      </c>
      <c r="DA47" s="48" t="n">
        <f aca="false">-$E47*N(AND(DA$3&lt;=$F47,DA$4&gt;=$F47))</f>
        <v>-0</v>
      </c>
      <c r="DB47" s="48" t="n">
        <f aca="false">-$E47*N(AND(DB$3&lt;=$F47,DB$4&gt;=$F47))</f>
        <v>-0</v>
      </c>
      <c r="DC47" s="48" t="n">
        <f aca="false">-$E47*N(AND(DC$3&lt;=$F47,DC$4&gt;=$F47))</f>
        <v>-0</v>
      </c>
      <c r="DD47" s="48" t="n">
        <f aca="false">-$E47*N(AND(DD$3&lt;=$F47,DD$4&gt;=$F47))</f>
        <v>-0</v>
      </c>
      <c r="DE47" s="48" t="n">
        <f aca="false">-$E47*N(AND(DE$3&lt;=$F47,DE$4&gt;=$F47))</f>
        <v>-0</v>
      </c>
      <c r="DF47" s="48" t="n">
        <f aca="false">-$E47*N(AND(DF$3&lt;=$F47,DF$4&gt;=$F47))</f>
        <v>-0</v>
      </c>
      <c r="DG47" s="48" t="n">
        <f aca="false">-$E47*N(AND(DG$3&lt;=$F47,DG$4&gt;=$F47))</f>
        <v>-0</v>
      </c>
      <c r="DH47" s="48" t="n">
        <f aca="false">-$E47*N(AND(DH$3&lt;=$F47,DH$4&gt;=$F47))</f>
        <v>-0</v>
      </c>
      <c r="DI47" s="48" t="n">
        <f aca="false">-$E47*N(AND(DI$3&lt;=$F47,DI$4&gt;=$F47))</f>
        <v>-0</v>
      </c>
      <c r="DJ47" s="48" t="n">
        <f aca="false">-$E47*N(AND(DJ$3&lt;=$F47,DJ$4&gt;=$F47))</f>
        <v>-0</v>
      </c>
      <c r="DK47" s="48" t="n">
        <f aca="false">-$E47*N(AND(DK$3&lt;=$F47,DK$4&gt;=$F47))</f>
        <v>-0</v>
      </c>
      <c r="DL47" s="48" t="n">
        <f aca="false">-$E47*N(AND(DL$3&lt;=$F47,DL$4&gt;=$F47))</f>
        <v>-0</v>
      </c>
      <c r="DM47" s="48" t="n">
        <f aca="false">-$E47*N(AND(DM$3&lt;=$F47,DM$4&gt;=$F47))</f>
        <v>-0</v>
      </c>
      <c r="DN47" s="48" t="n">
        <f aca="false">-$E47*N(AND(DN$3&lt;=$F47,DN$4&gt;=$F47))</f>
        <v>-0</v>
      </c>
      <c r="DO47" s="48" t="n">
        <f aca="false">-$E47*N(AND(DO$3&lt;=$F47,DO$4&gt;=$F47))</f>
        <v>-0</v>
      </c>
      <c r="DP47" s="48" t="n">
        <f aca="false">-$E47*N(AND(DP$3&lt;=$F47,DP$4&gt;=$F47))</f>
        <v>-0</v>
      </c>
      <c r="DQ47" s="48" t="n">
        <f aca="false">-$E47*N(AND(DQ$3&lt;=$F47,DQ$4&gt;=$F47))</f>
        <v>-0</v>
      </c>
      <c r="DR47" s="48" t="n">
        <f aca="false">-$E47*N(AND(DR$3&lt;=$F47,DR$4&gt;=$F47))</f>
        <v>-0</v>
      </c>
      <c r="DS47" s="48" t="n">
        <f aca="false">-$E47*N(AND(DS$3&lt;=$F47,DS$4&gt;=$F47))</f>
        <v>-0</v>
      </c>
      <c r="DT47" s="48" t="n">
        <f aca="false">-$E47*N(AND(DT$3&lt;=$F47,DT$4&gt;=$F47))</f>
        <v>-0</v>
      </c>
      <c r="DU47" s="48" t="n">
        <f aca="false">-$E47*N(AND(DU$3&lt;=$F47,DU$4&gt;=$F47))</f>
        <v>-0</v>
      </c>
      <c r="DV47" s="48" t="n">
        <f aca="false">-$E47*N(AND(DV$3&lt;=$F47,DV$4&gt;=$F47))</f>
        <v>-0</v>
      </c>
      <c r="DW47" s="48" t="n">
        <f aca="false">-$E47*N(AND(DW$3&lt;=$F47,DW$4&gt;=$F47))</f>
        <v>-0</v>
      </c>
      <c r="DX47" s="48" t="n">
        <f aca="false">-$E47*N(AND(DX$3&lt;=$F47,DX$4&gt;=$F47))</f>
        <v>-0</v>
      </c>
      <c r="DY47" s="48" t="n">
        <f aca="false">-$E47*N(AND(DY$3&lt;=$F47,DY$4&gt;=$F47))</f>
        <v>-0</v>
      </c>
      <c r="DZ47" s="48" t="n">
        <f aca="false">-$E47*N(AND(DZ$3&lt;=$F47,DZ$4&gt;=$F47))</f>
        <v>-0</v>
      </c>
      <c r="EA47" s="48" t="n">
        <f aca="false">-$E47*N(AND(EA$3&lt;=$F47,EA$4&gt;=$F47))</f>
        <v>-0</v>
      </c>
      <c r="EB47" s="48" t="n">
        <f aca="false">-$E47*N(AND(EB$3&lt;=$F47,EB$4&gt;=$F47))</f>
        <v>-0</v>
      </c>
      <c r="EC47" s="48" t="n">
        <f aca="false">-$E47*N(AND(EC$3&lt;=$F47,EC$4&gt;=$F47))</f>
        <v>-0</v>
      </c>
      <c r="ED47" s="48" t="n">
        <f aca="false">-$E47*N(AND(ED$3&lt;=$F47,ED$4&gt;=$F47))</f>
        <v>-0</v>
      </c>
      <c r="EE47" s="48" t="n">
        <f aca="false">-$E47*N(AND(EE$3&lt;=$F47,EE$4&gt;=$F47))</f>
        <v>-0</v>
      </c>
      <c r="EF47" s="48" t="n">
        <f aca="false">-$E47*N(AND(EF$3&lt;=$F47,EF$4&gt;=$F47))</f>
        <v>-0</v>
      </c>
      <c r="EG47" s="48" t="n">
        <f aca="false">-$E47*N(AND(EG$3&lt;=$F47,EG$4&gt;=$F47))</f>
        <v>-0</v>
      </c>
      <c r="EH47" s="48" t="n">
        <f aca="false">-$E47*N(AND(EH$3&lt;=$F47,EH$4&gt;=$F47))</f>
        <v>-0</v>
      </c>
      <c r="EI47" s="48" t="n">
        <f aca="false">-$E47*N(AND(EI$3&lt;=$F47,EI$4&gt;=$F47))</f>
        <v>-0</v>
      </c>
      <c r="EJ47" s="48" t="n">
        <f aca="false">-$E47*N(AND(EJ$3&lt;=$F47,EJ$4&gt;=$F47))</f>
        <v>-0</v>
      </c>
      <c r="EK47" s="48" t="n">
        <f aca="false">-$E47*N(AND(EK$3&lt;=$F47,EK$4&gt;=$F47))</f>
        <v>-0</v>
      </c>
      <c r="EL47" s="48" t="n">
        <f aca="false">-$E47*N(AND(EL$3&lt;=$F47,EL$4&gt;=$F47))</f>
        <v>-0</v>
      </c>
      <c r="EM47" s="48" t="n">
        <f aca="false">-$E47*N(AND(EM$3&lt;=$F47,EM$4&gt;=$F47))</f>
        <v>-0</v>
      </c>
      <c r="EN47" s="48" t="n">
        <f aca="false">-$E47*N(AND(EN$3&lt;=$F47,EN$4&gt;=$F47))</f>
        <v>-0</v>
      </c>
      <c r="EO47" s="48" t="n">
        <f aca="false">-$E47*N(AND(EO$3&lt;=$F47,EO$4&gt;=$F47))</f>
        <v>-0</v>
      </c>
    </row>
    <row r="48" customFormat="false" ht="15" hidden="false" customHeight="false" outlineLevel="0" collapsed="false">
      <c r="C48" s="0" t="s">
        <v>242</v>
      </c>
      <c r="D48" s="11" t="s">
        <v>33</v>
      </c>
      <c r="E48" s="18" t="n">
        <f aca="false">In_DD</f>
        <v>150</v>
      </c>
      <c r="F48" s="20" t="n">
        <f aca="false">In_Bid_Date</f>
        <v>46325</v>
      </c>
      <c r="I48" s="48" t="n">
        <f aca="false">SUM(J48:EO48)</f>
        <v>-150</v>
      </c>
      <c r="J48" s="48" t="n">
        <f aca="false">-$E48*N(AND(J$3&lt;=$F48,J$4&gt;=$F48))</f>
        <v>-150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435</v>
      </c>
      <c r="D49" s="11" t="s">
        <v>33</v>
      </c>
      <c r="I49" s="48" t="n">
        <f aca="false">SUM(J49:EO49)</f>
        <v>-500</v>
      </c>
      <c r="J49" s="48" t="n">
        <f aca="false">-In_Devex*J13</f>
        <v>-0</v>
      </c>
      <c r="K49" s="48" t="n">
        <f aca="false">-In_Devex*K13</f>
        <v>-70.4225352112676</v>
      </c>
      <c r="L49" s="48" t="n">
        <f aca="false">-In_Devex*L13</f>
        <v>-71.2050078247261</v>
      </c>
      <c r="M49" s="48" t="n">
        <f aca="false">-In_Devex*M13</f>
        <v>-71.9874804381847</v>
      </c>
      <c r="N49" s="48" t="n">
        <f aca="false">-In_Devex*N13</f>
        <v>-71.9874804381847</v>
      </c>
      <c r="O49" s="48" t="n">
        <f aca="false">-In_Devex*O13</f>
        <v>-71.2050078247261</v>
      </c>
      <c r="P49" s="48" t="n">
        <f aca="false">-In_Devex*P13</f>
        <v>-71.2050078247261</v>
      </c>
      <c r="Q49" s="48" t="n">
        <f aca="false">-In_Devex*Q13</f>
        <v>-71.9874804381847</v>
      </c>
      <c r="R49" s="48" t="n">
        <f aca="false">-In_Devex*R13</f>
        <v>-0</v>
      </c>
      <c r="S49" s="48" t="n">
        <f aca="false">-In_Devex*S13</f>
        <v>-0</v>
      </c>
      <c r="T49" s="48" t="n">
        <f aca="false">-In_Devex*T13</f>
        <v>-0</v>
      </c>
      <c r="U49" s="48" t="n">
        <f aca="false">-In_Devex*U13</f>
        <v>-0</v>
      </c>
      <c r="V49" s="48" t="n">
        <f aca="false">-In_Devex*V13</f>
        <v>-0</v>
      </c>
      <c r="W49" s="48" t="n">
        <f aca="false">-In_Devex*W13</f>
        <v>-0</v>
      </c>
      <c r="X49" s="48" t="n">
        <f aca="false">-In_Devex*X13</f>
        <v>-0</v>
      </c>
      <c r="Y49" s="48" t="n">
        <f aca="false">-In_Devex*Y13</f>
        <v>-0</v>
      </c>
      <c r="Z49" s="48" t="n">
        <f aca="false">-In_Devex*Z13</f>
        <v>-0</v>
      </c>
      <c r="AA49" s="48" t="n">
        <f aca="false">-In_Devex*AA13</f>
        <v>-0</v>
      </c>
      <c r="AB49" s="48" t="n">
        <f aca="false">-In_Devex*AB13</f>
        <v>-0</v>
      </c>
      <c r="AC49" s="48" t="n">
        <f aca="false">-In_Devex*AC13</f>
        <v>-0</v>
      </c>
      <c r="AD49" s="48" t="n">
        <f aca="false">-In_Devex*AD13</f>
        <v>-0</v>
      </c>
      <c r="AE49" s="48" t="n">
        <f aca="false">-In_Devex*AE13</f>
        <v>-0</v>
      </c>
      <c r="AF49" s="48" t="n">
        <f aca="false">-In_Devex*AF13</f>
        <v>-0</v>
      </c>
      <c r="AG49" s="48" t="n">
        <f aca="false">-In_Devex*AG13</f>
        <v>-0</v>
      </c>
      <c r="AH49" s="48" t="n">
        <f aca="false">-In_Devex*AH13</f>
        <v>-0</v>
      </c>
      <c r="AI49" s="48" t="n">
        <f aca="false">-In_Devex*AI13</f>
        <v>-0</v>
      </c>
      <c r="AJ49" s="48" t="n">
        <f aca="false">-In_Devex*AJ13</f>
        <v>-0</v>
      </c>
      <c r="AK49" s="48" t="n">
        <f aca="false">-In_Devex*AK13</f>
        <v>-0</v>
      </c>
      <c r="AL49" s="48" t="n">
        <f aca="false">-In_Devex*AL13</f>
        <v>-0</v>
      </c>
      <c r="AM49" s="48" t="n">
        <f aca="false">-In_Devex*AM13</f>
        <v>-0</v>
      </c>
      <c r="AN49" s="48" t="n">
        <f aca="false">-In_Devex*AN13</f>
        <v>-0</v>
      </c>
      <c r="AO49" s="48" t="n">
        <f aca="false">-In_Devex*AO13</f>
        <v>-0</v>
      </c>
      <c r="AP49" s="48" t="n">
        <f aca="false">-In_Devex*AP13</f>
        <v>-0</v>
      </c>
      <c r="AQ49" s="48" t="n">
        <f aca="false">-In_Devex*AQ13</f>
        <v>-0</v>
      </c>
      <c r="AR49" s="48" t="n">
        <f aca="false">-In_Devex*AR13</f>
        <v>-0</v>
      </c>
      <c r="AS49" s="48" t="n">
        <f aca="false">-In_Devex*AS13</f>
        <v>-0</v>
      </c>
      <c r="AT49" s="48" t="n">
        <f aca="false">-In_Devex*AT13</f>
        <v>-0</v>
      </c>
      <c r="AU49" s="48" t="n">
        <f aca="false">-In_Devex*AU13</f>
        <v>-0</v>
      </c>
      <c r="AV49" s="48" t="n">
        <f aca="false">-In_Devex*AV13</f>
        <v>-0</v>
      </c>
      <c r="AW49" s="48" t="n">
        <f aca="false">-In_Devex*AW13</f>
        <v>-0</v>
      </c>
      <c r="AX49" s="48" t="n">
        <f aca="false">-In_Devex*AX13</f>
        <v>-0</v>
      </c>
      <c r="AY49" s="48" t="n">
        <f aca="false">-In_Devex*AY13</f>
        <v>-0</v>
      </c>
      <c r="AZ49" s="48" t="n">
        <f aca="false">-In_Devex*AZ13</f>
        <v>-0</v>
      </c>
      <c r="BA49" s="48" t="n">
        <f aca="false">-In_Devex*BA13</f>
        <v>-0</v>
      </c>
      <c r="BB49" s="48" t="n">
        <f aca="false">-In_Devex*BB13</f>
        <v>-0</v>
      </c>
      <c r="BC49" s="48" t="n">
        <f aca="false">-In_Devex*BC13</f>
        <v>-0</v>
      </c>
      <c r="BD49" s="48" t="n">
        <f aca="false">-In_Devex*BD13</f>
        <v>-0</v>
      </c>
      <c r="BE49" s="48" t="n">
        <f aca="false">-In_Devex*BE13</f>
        <v>-0</v>
      </c>
      <c r="BF49" s="48" t="n">
        <f aca="false">-In_Devex*BF13</f>
        <v>-0</v>
      </c>
      <c r="BG49" s="48" t="n">
        <f aca="false">-In_Devex*BG13</f>
        <v>-0</v>
      </c>
      <c r="BH49" s="48" t="n">
        <f aca="false">-In_Devex*BH13</f>
        <v>-0</v>
      </c>
      <c r="BI49" s="48" t="n">
        <f aca="false">-In_Devex*BI13</f>
        <v>-0</v>
      </c>
      <c r="BJ49" s="48" t="n">
        <f aca="false">-In_Devex*BJ13</f>
        <v>-0</v>
      </c>
      <c r="BK49" s="48" t="n">
        <f aca="false">-In_Devex*BK13</f>
        <v>-0</v>
      </c>
      <c r="BL49" s="48" t="n">
        <f aca="false">-In_Devex*BL13</f>
        <v>-0</v>
      </c>
      <c r="BM49" s="48" t="n">
        <f aca="false">-In_Devex*BM13</f>
        <v>-0</v>
      </c>
      <c r="BN49" s="48" t="n">
        <f aca="false">-In_Devex*BN13</f>
        <v>-0</v>
      </c>
      <c r="BO49" s="48" t="n">
        <f aca="false">-In_Devex*BO13</f>
        <v>-0</v>
      </c>
      <c r="BP49" s="48" t="n">
        <f aca="false">-In_Devex*BP13</f>
        <v>-0</v>
      </c>
      <c r="BQ49" s="48" t="n">
        <f aca="false">-In_Devex*BQ13</f>
        <v>-0</v>
      </c>
      <c r="BR49" s="48" t="n">
        <f aca="false">-In_Devex*BR13</f>
        <v>-0</v>
      </c>
      <c r="BS49" s="48" t="n">
        <f aca="false">-In_Devex*BS13</f>
        <v>-0</v>
      </c>
      <c r="BT49" s="48" t="n">
        <f aca="false">-In_Devex*BT13</f>
        <v>-0</v>
      </c>
      <c r="BU49" s="48" t="n">
        <f aca="false">-In_Devex*BU13</f>
        <v>-0</v>
      </c>
      <c r="BV49" s="48" t="n">
        <f aca="false">-In_Devex*BV13</f>
        <v>-0</v>
      </c>
      <c r="BW49" s="48" t="n">
        <f aca="false">-In_Devex*BW13</f>
        <v>-0</v>
      </c>
      <c r="BX49" s="48" t="n">
        <f aca="false">-In_Devex*BX13</f>
        <v>-0</v>
      </c>
      <c r="BY49" s="48" t="n">
        <f aca="false">-In_Devex*BY13</f>
        <v>-0</v>
      </c>
      <c r="BZ49" s="48" t="n">
        <f aca="false">-In_Devex*BZ13</f>
        <v>-0</v>
      </c>
      <c r="CA49" s="48" t="n">
        <f aca="false">-In_Devex*CA13</f>
        <v>-0</v>
      </c>
      <c r="CB49" s="48" t="n">
        <f aca="false">-In_Devex*CB13</f>
        <v>-0</v>
      </c>
      <c r="CC49" s="48" t="n">
        <f aca="false">-In_Devex*CC13</f>
        <v>-0</v>
      </c>
      <c r="CD49" s="48" t="n">
        <f aca="false">-In_Devex*CD13</f>
        <v>-0</v>
      </c>
      <c r="CE49" s="48" t="n">
        <f aca="false">-In_Devex*CE13</f>
        <v>-0</v>
      </c>
      <c r="CF49" s="48" t="n">
        <f aca="false">-In_Devex*CF13</f>
        <v>-0</v>
      </c>
      <c r="CG49" s="48" t="n">
        <f aca="false">-In_Devex*CG13</f>
        <v>-0</v>
      </c>
      <c r="CH49" s="48" t="n">
        <f aca="false">-In_Devex*CH13</f>
        <v>-0</v>
      </c>
      <c r="CI49" s="48" t="n">
        <f aca="false">-In_Devex*CI13</f>
        <v>-0</v>
      </c>
      <c r="CJ49" s="48" t="n">
        <f aca="false">-In_Devex*CJ13</f>
        <v>-0</v>
      </c>
      <c r="CK49" s="48" t="n">
        <f aca="false">-In_Devex*CK13</f>
        <v>-0</v>
      </c>
      <c r="CL49" s="48" t="n">
        <f aca="false">-In_Devex*CL13</f>
        <v>-0</v>
      </c>
      <c r="CM49" s="48" t="n">
        <f aca="false">-In_Devex*CM13</f>
        <v>-0</v>
      </c>
      <c r="CN49" s="48" t="n">
        <f aca="false">-In_Devex*CN13</f>
        <v>-0</v>
      </c>
      <c r="CO49" s="48" t="n">
        <f aca="false">-In_Devex*CO13</f>
        <v>-0</v>
      </c>
      <c r="CP49" s="48" t="n">
        <f aca="false">-In_Devex*CP13</f>
        <v>-0</v>
      </c>
      <c r="CQ49" s="48" t="n">
        <f aca="false">-In_Devex*CQ13</f>
        <v>-0</v>
      </c>
      <c r="CR49" s="48" t="n">
        <f aca="false">-In_Devex*CR13</f>
        <v>-0</v>
      </c>
      <c r="CS49" s="48" t="n">
        <f aca="false">-In_Devex*CS13</f>
        <v>-0</v>
      </c>
      <c r="CT49" s="48" t="n">
        <f aca="false">-In_Devex*CT13</f>
        <v>-0</v>
      </c>
      <c r="CU49" s="48" t="n">
        <f aca="false">-In_Devex*CU13</f>
        <v>-0</v>
      </c>
      <c r="CV49" s="48" t="n">
        <f aca="false">-In_Devex*CV13</f>
        <v>-0</v>
      </c>
      <c r="CW49" s="48" t="n">
        <f aca="false">-In_Devex*CW13</f>
        <v>-0</v>
      </c>
      <c r="CX49" s="48" t="n">
        <f aca="false">-In_Devex*CX13</f>
        <v>-0</v>
      </c>
      <c r="CY49" s="48" t="n">
        <f aca="false">-In_Devex*CY13</f>
        <v>-0</v>
      </c>
      <c r="CZ49" s="48" t="n">
        <f aca="false">-In_Devex*CZ13</f>
        <v>-0</v>
      </c>
      <c r="DA49" s="48" t="n">
        <f aca="false">-In_Devex*DA13</f>
        <v>-0</v>
      </c>
      <c r="DB49" s="48" t="n">
        <f aca="false">-In_Devex*DB13</f>
        <v>-0</v>
      </c>
      <c r="DC49" s="48" t="n">
        <f aca="false">-In_Devex*DC13</f>
        <v>-0</v>
      </c>
      <c r="DD49" s="48" t="n">
        <f aca="false">-In_Devex*DD13</f>
        <v>-0</v>
      </c>
      <c r="DE49" s="48" t="n">
        <f aca="false">-In_Devex*DE13</f>
        <v>-0</v>
      </c>
      <c r="DF49" s="48" t="n">
        <f aca="false">-In_Devex*DF13</f>
        <v>-0</v>
      </c>
      <c r="DG49" s="48" t="n">
        <f aca="false">-In_Devex*DG13</f>
        <v>-0</v>
      </c>
      <c r="DH49" s="48" t="n">
        <f aca="false">-In_Devex*DH13</f>
        <v>-0</v>
      </c>
      <c r="DI49" s="48" t="n">
        <f aca="false">-In_Devex*DI13</f>
        <v>-0</v>
      </c>
      <c r="DJ49" s="48" t="n">
        <f aca="false">-In_Devex*DJ13</f>
        <v>-0</v>
      </c>
      <c r="DK49" s="48" t="n">
        <f aca="false">-In_Devex*DK13</f>
        <v>-0</v>
      </c>
      <c r="DL49" s="48" t="n">
        <f aca="false">-In_Devex*DL13</f>
        <v>-0</v>
      </c>
      <c r="DM49" s="48" t="n">
        <f aca="false">-In_Devex*DM13</f>
        <v>-0</v>
      </c>
      <c r="DN49" s="48" t="n">
        <f aca="false">-In_Devex*DN13</f>
        <v>-0</v>
      </c>
      <c r="DO49" s="48" t="n">
        <f aca="false">-In_Devex*DO13</f>
        <v>-0</v>
      </c>
      <c r="DP49" s="48" t="n">
        <f aca="false">-In_Devex*DP13</f>
        <v>-0</v>
      </c>
      <c r="DQ49" s="48" t="n">
        <f aca="false">-In_Devex*DQ13</f>
        <v>-0</v>
      </c>
      <c r="DR49" s="48" t="n">
        <f aca="false">-In_Devex*DR13</f>
        <v>-0</v>
      </c>
      <c r="DS49" s="48" t="n">
        <f aca="false">-In_Devex*DS13</f>
        <v>-0</v>
      </c>
      <c r="DT49" s="48" t="n">
        <f aca="false">-In_Devex*DT13</f>
        <v>-0</v>
      </c>
      <c r="DU49" s="48" t="n">
        <f aca="false">-In_Devex*DU13</f>
        <v>-0</v>
      </c>
      <c r="DV49" s="48" t="n">
        <f aca="false">-In_Devex*DV13</f>
        <v>-0</v>
      </c>
      <c r="DW49" s="48" t="n">
        <f aca="false">-In_Devex*DW13</f>
        <v>-0</v>
      </c>
      <c r="DX49" s="48" t="n">
        <f aca="false">-In_Devex*DX13</f>
        <v>-0</v>
      </c>
      <c r="DY49" s="48" t="n">
        <f aca="false">-In_Devex*DY13</f>
        <v>-0</v>
      </c>
      <c r="DZ49" s="48" t="n">
        <f aca="false">-In_Devex*DZ13</f>
        <v>-0</v>
      </c>
      <c r="EA49" s="48" t="n">
        <f aca="false">-In_Devex*EA13</f>
        <v>-0</v>
      </c>
      <c r="EB49" s="48" t="n">
        <f aca="false">-In_Devex*EB13</f>
        <v>-0</v>
      </c>
      <c r="EC49" s="48" t="n">
        <f aca="false">-In_Devex*EC13</f>
        <v>-0</v>
      </c>
      <c r="ED49" s="48" t="n">
        <f aca="false">-In_Devex*ED13</f>
        <v>-0</v>
      </c>
      <c r="EE49" s="48" t="n">
        <f aca="false">-In_Devex*EE13</f>
        <v>-0</v>
      </c>
      <c r="EF49" s="48" t="n">
        <f aca="false">-In_Devex*EF13</f>
        <v>-0</v>
      </c>
      <c r="EG49" s="48" t="n">
        <f aca="false">-In_Devex*EG13</f>
        <v>-0</v>
      </c>
      <c r="EH49" s="48" t="n">
        <f aca="false">-In_Devex*EH13</f>
        <v>-0</v>
      </c>
      <c r="EI49" s="48" t="n">
        <f aca="false">-In_Devex*EI13</f>
        <v>-0</v>
      </c>
      <c r="EJ49" s="48" t="n">
        <f aca="false">-In_Devex*EJ13</f>
        <v>-0</v>
      </c>
      <c r="EK49" s="48" t="n">
        <f aca="false">-In_Devex*EK13</f>
        <v>-0</v>
      </c>
      <c r="EL49" s="48" t="n">
        <f aca="false">-In_Devex*EL13</f>
        <v>-0</v>
      </c>
      <c r="EM49" s="48" t="n">
        <f aca="false">-In_Devex*EM13</f>
        <v>-0</v>
      </c>
      <c r="EN49" s="48" t="n">
        <f aca="false">-In_Devex*EN13</f>
        <v>-0</v>
      </c>
      <c r="EO49" s="48" t="n">
        <f aca="false">-In_Devex*EO13</f>
        <v>-0</v>
      </c>
    </row>
    <row r="50" customFormat="false" ht="15" hidden="false" customHeight="false" outlineLevel="0" collapsed="false">
      <c r="C50" s="0" t="s">
        <v>436</v>
      </c>
      <c r="D50" s="11" t="s">
        <v>294</v>
      </c>
      <c r="E50" s="48" t="n">
        <f aca="false">$E25*In_Bench_Wind+$E28*In_Bench_BESS</f>
        <v>32360</v>
      </c>
    </row>
    <row r="51" customFormat="false" ht="15" hidden="false" customHeight="false" outlineLevel="0" collapsed="false">
      <c r="C51" s="0" t="s">
        <v>437</v>
      </c>
      <c r="D51" s="11" t="s">
        <v>33</v>
      </c>
      <c r="E51" s="48" t="n">
        <f aca="false">In_Part_Fee*Thousand/In_FX</f>
        <v>8.21917808219178</v>
      </c>
      <c r="F51" s="20" t="n">
        <f aca="false">In_Bid_Date</f>
        <v>46325</v>
      </c>
      <c r="I51" s="48" t="n">
        <f aca="false">SUM(J51:EO51)</f>
        <v>-8.21917808219178</v>
      </c>
      <c r="J51" s="48" t="n">
        <f aca="false">-$E51*N(AND(J$3&lt;=$F51,J$4&gt;=$F51))</f>
        <v>-8.21917808219178</v>
      </c>
      <c r="K51" s="48" t="n">
        <f aca="false">-$E51*N(AND(K$3&lt;=$F51,K$4&gt;=$F51))</f>
        <v>-0</v>
      </c>
      <c r="L51" s="48" t="n">
        <f aca="false">-$E51*N(AND(L$3&lt;=$F51,L$4&gt;=$F51))</f>
        <v>-0</v>
      </c>
      <c r="M51" s="48" t="n">
        <f aca="false">-$E51*N(AND(M$3&lt;=$F51,M$4&gt;=$F51))</f>
        <v>-0</v>
      </c>
      <c r="N51" s="48" t="n">
        <f aca="false">-$E51*N(AND(N$3&lt;=$F51,N$4&gt;=$F51))</f>
        <v>-0</v>
      </c>
      <c r="O51" s="48" t="n">
        <f aca="false">-$E51*N(AND(O$3&lt;=$F51,O$4&gt;=$F51))</f>
        <v>-0</v>
      </c>
      <c r="P51" s="48" t="n">
        <f aca="false">-$E51*N(AND(P$3&lt;=$F51,P$4&gt;=$F51))</f>
        <v>-0</v>
      </c>
      <c r="Q51" s="48" t="n">
        <f aca="false">-$E51*N(AND(Q$3&lt;=$F51,Q$4&gt;=$F51))</f>
        <v>-0</v>
      </c>
      <c r="R51" s="48" t="n">
        <f aca="false">-$E51*N(AND(R$3&lt;=$F51,R$4&gt;=$F51))</f>
        <v>-0</v>
      </c>
      <c r="S51" s="48" t="n">
        <f aca="false">-$E51*N(AND(S$3&lt;=$F51,S$4&gt;=$F51))</f>
        <v>-0</v>
      </c>
      <c r="T51" s="48" t="n">
        <f aca="false">-$E51*N(AND(T$3&lt;=$F51,T$4&gt;=$F51))</f>
        <v>-0</v>
      </c>
      <c r="U51" s="48" t="n">
        <f aca="false">-$E51*N(AND(U$3&lt;=$F51,U$4&gt;=$F51))</f>
        <v>-0</v>
      </c>
      <c r="V51" s="48" t="n">
        <f aca="false">-$E51*N(AND(V$3&lt;=$F51,V$4&gt;=$F51))</f>
        <v>-0</v>
      </c>
      <c r="W51" s="48" t="n">
        <f aca="false">-$E51*N(AND(W$3&lt;=$F51,W$4&gt;=$F51))</f>
        <v>-0</v>
      </c>
      <c r="X51" s="48" t="n">
        <f aca="false">-$E51*N(AND(X$3&lt;=$F51,X$4&gt;=$F51))</f>
        <v>-0</v>
      </c>
      <c r="Y51" s="48" t="n">
        <f aca="false">-$E51*N(AND(Y$3&lt;=$F51,Y$4&gt;=$F51))</f>
        <v>-0</v>
      </c>
      <c r="Z51" s="48" t="n">
        <f aca="false">-$E51*N(AND(Z$3&lt;=$F51,Z$4&gt;=$F51))</f>
        <v>-0</v>
      </c>
      <c r="AA51" s="48" t="n">
        <f aca="false">-$E51*N(AND(AA$3&lt;=$F51,AA$4&gt;=$F51))</f>
        <v>-0</v>
      </c>
      <c r="AB51" s="48" t="n">
        <f aca="false">-$E51*N(AND(AB$3&lt;=$F51,AB$4&gt;=$F51))</f>
        <v>-0</v>
      </c>
      <c r="AC51" s="48" t="n">
        <f aca="false">-$E51*N(AND(AC$3&lt;=$F51,AC$4&gt;=$F51))</f>
        <v>-0</v>
      </c>
      <c r="AD51" s="48" t="n">
        <f aca="false">-$E51*N(AND(AD$3&lt;=$F51,AD$4&gt;=$F51))</f>
        <v>-0</v>
      </c>
      <c r="AE51" s="48" t="n">
        <f aca="false">-$E51*N(AND(AE$3&lt;=$F51,AE$4&gt;=$F51))</f>
        <v>-0</v>
      </c>
      <c r="AF51" s="48" t="n">
        <f aca="false">-$E51*N(AND(AF$3&lt;=$F51,AF$4&gt;=$F51))</f>
        <v>-0</v>
      </c>
      <c r="AG51" s="48" t="n">
        <f aca="false">-$E51*N(AND(AG$3&lt;=$F51,AG$4&gt;=$F51))</f>
        <v>-0</v>
      </c>
      <c r="AH51" s="48" t="n">
        <f aca="false">-$E51*N(AND(AH$3&lt;=$F51,AH$4&gt;=$F51))</f>
        <v>-0</v>
      </c>
      <c r="AI51" s="48" t="n">
        <f aca="false">-$E51*N(AND(AI$3&lt;=$F51,AI$4&gt;=$F51))</f>
        <v>-0</v>
      </c>
      <c r="AJ51" s="48" t="n">
        <f aca="false">-$E51*N(AND(AJ$3&lt;=$F51,AJ$4&gt;=$F51))</f>
        <v>-0</v>
      </c>
      <c r="AK51" s="48" t="n">
        <f aca="false">-$E51*N(AND(AK$3&lt;=$F51,AK$4&gt;=$F51))</f>
        <v>-0</v>
      </c>
      <c r="AL51" s="48" t="n">
        <f aca="false">-$E51*N(AND(AL$3&lt;=$F51,AL$4&gt;=$F51))</f>
        <v>-0</v>
      </c>
      <c r="AM51" s="48" t="n">
        <f aca="false">-$E51*N(AND(AM$3&lt;=$F51,AM$4&gt;=$F51))</f>
        <v>-0</v>
      </c>
      <c r="AN51" s="48" t="n">
        <f aca="false">-$E51*N(AND(AN$3&lt;=$F51,AN$4&gt;=$F51))</f>
        <v>-0</v>
      </c>
      <c r="AO51" s="48" t="n">
        <f aca="false">-$E51*N(AND(AO$3&lt;=$F51,AO$4&gt;=$F51))</f>
        <v>-0</v>
      </c>
      <c r="AP51" s="48" t="n">
        <f aca="false">-$E51*N(AND(AP$3&lt;=$F51,AP$4&gt;=$F51))</f>
        <v>-0</v>
      </c>
      <c r="AQ51" s="48" t="n">
        <f aca="false">-$E51*N(AND(AQ$3&lt;=$F51,AQ$4&gt;=$F51))</f>
        <v>-0</v>
      </c>
      <c r="AR51" s="48" t="n">
        <f aca="false">-$E51*N(AND(AR$3&lt;=$F51,AR$4&gt;=$F51))</f>
        <v>-0</v>
      </c>
      <c r="AS51" s="48" t="n">
        <f aca="false">-$E51*N(AND(AS$3&lt;=$F51,AS$4&gt;=$F51))</f>
        <v>-0</v>
      </c>
      <c r="AT51" s="48" t="n">
        <f aca="false">-$E51*N(AND(AT$3&lt;=$F51,AT$4&gt;=$F51))</f>
        <v>-0</v>
      </c>
      <c r="AU51" s="48" t="n">
        <f aca="false">-$E51*N(AND(AU$3&lt;=$F51,AU$4&gt;=$F51))</f>
        <v>-0</v>
      </c>
      <c r="AV51" s="48" t="n">
        <f aca="false">-$E51*N(AND(AV$3&lt;=$F51,AV$4&gt;=$F51))</f>
        <v>-0</v>
      </c>
      <c r="AW51" s="48" t="n">
        <f aca="false">-$E51*N(AND(AW$3&lt;=$F51,AW$4&gt;=$F51))</f>
        <v>-0</v>
      </c>
      <c r="AX51" s="48" t="n">
        <f aca="false">-$E51*N(AND(AX$3&lt;=$F51,AX$4&gt;=$F51))</f>
        <v>-0</v>
      </c>
      <c r="AY51" s="48" t="n">
        <f aca="false">-$E51*N(AND(AY$3&lt;=$F51,AY$4&gt;=$F51))</f>
        <v>-0</v>
      </c>
      <c r="AZ51" s="48" t="n">
        <f aca="false">-$E51*N(AND(AZ$3&lt;=$F51,AZ$4&gt;=$F51))</f>
        <v>-0</v>
      </c>
      <c r="BA51" s="48" t="n">
        <f aca="false">-$E51*N(AND(BA$3&lt;=$F51,BA$4&gt;=$F51))</f>
        <v>-0</v>
      </c>
      <c r="BB51" s="48" t="n">
        <f aca="false">-$E51*N(AND(BB$3&lt;=$F51,BB$4&gt;=$F51))</f>
        <v>-0</v>
      </c>
      <c r="BC51" s="48" t="n">
        <f aca="false">-$E51*N(AND(BC$3&lt;=$F51,BC$4&gt;=$F51))</f>
        <v>-0</v>
      </c>
      <c r="BD51" s="48" t="n">
        <f aca="false">-$E51*N(AND(BD$3&lt;=$F51,BD$4&gt;=$F51))</f>
        <v>-0</v>
      </c>
      <c r="BE51" s="48" t="n">
        <f aca="false">-$E51*N(AND(BE$3&lt;=$F51,BE$4&gt;=$F51))</f>
        <v>-0</v>
      </c>
      <c r="BF51" s="48" t="n">
        <f aca="false">-$E51*N(AND(BF$3&lt;=$F51,BF$4&gt;=$F51))</f>
        <v>-0</v>
      </c>
      <c r="BG51" s="48" t="n">
        <f aca="false">-$E51*N(AND(BG$3&lt;=$F51,BG$4&gt;=$F51))</f>
        <v>-0</v>
      </c>
      <c r="BH51" s="48" t="n">
        <f aca="false">-$E51*N(AND(BH$3&lt;=$F51,BH$4&gt;=$F51))</f>
        <v>-0</v>
      </c>
      <c r="BI51" s="48" t="n">
        <f aca="false">-$E51*N(AND(BI$3&lt;=$F51,BI$4&gt;=$F51))</f>
        <v>-0</v>
      </c>
      <c r="BJ51" s="48" t="n">
        <f aca="false">-$E51*N(AND(BJ$3&lt;=$F51,BJ$4&gt;=$F51))</f>
        <v>-0</v>
      </c>
      <c r="BK51" s="48" t="n">
        <f aca="false">-$E51*N(AND(BK$3&lt;=$F51,BK$4&gt;=$F51))</f>
        <v>-0</v>
      </c>
      <c r="BL51" s="48" t="n">
        <f aca="false">-$E51*N(AND(BL$3&lt;=$F51,BL$4&gt;=$F51))</f>
        <v>-0</v>
      </c>
      <c r="BM51" s="48" t="n">
        <f aca="false">-$E51*N(AND(BM$3&lt;=$F51,BM$4&gt;=$F51))</f>
        <v>-0</v>
      </c>
      <c r="BN51" s="48" t="n">
        <f aca="false">-$E51*N(AND(BN$3&lt;=$F51,BN$4&gt;=$F51))</f>
        <v>-0</v>
      </c>
      <c r="BO51" s="48" t="n">
        <f aca="false">-$E51*N(AND(BO$3&lt;=$F51,BO$4&gt;=$F51))</f>
        <v>-0</v>
      </c>
      <c r="BP51" s="48" t="n">
        <f aca="false">-$E51*N(AND(BP$3&lt;=$F51,BP$4&gt;=$F51))</f>
        <v>-0</v>
      </c>
      <c r="BQ51" s="48" t="n">
        <f aca="false">-$E51*N(AND(BQ$3&lt;=$F51,BQ$4&gt;=$F51))</f>
        <v>-0</v>
      </c>
      <c r="BR51" s="48" t="n">
        <f aca="false">-$E51*N(AND(BR$3&lt;=$F51,BR$4&gt;=$F51))</f>
        <v>-0</v>
      </c>
      <c r="BS51" s="48" t="n">
        <f aca="false">-$E51*N(AND(BS$3&lt;=$F51,BS$4&gt;=$F51))</f>
        <v>-0</v>
      </c>
      <c r="BT51" s="48" t="n">
        <f aca="false">-$E51*N(AND(BT$3&lt;=$F51,BT$4&gt;=$F51))</f>
        <v>-0</v>
      </c>
      <c r="BU51" s="48" t="n">
        <f aca="false">-$E51*N(AND(BU$3&lt;=$F51,BU$4&gt;=$F51))</f>
        <v>-0</v>
      </c>
      <c r="BV51" s="48" t="n">
        <f aca="false">-$E51*N(AND(BV$3&lt;=$F51,BV$4&gt;=$F51))</f>
        <v>-0</v>
      </c>
      <c r="BW51" s="48" t="n">
        <f aca="false">-$E51*N(AND(BW$3&lt;=$F51,BW$4&gt;=$F51))</f>
        <v>-0</v>
      </c>
      <c r="BX51" s="48" t="n">
        <f aca="false">-$E51*N(AND(BX$3&lt;=$F51,BX$4&gt;=$F51))</f>
        <v>-0</v>
      </c>
      <c r="BY51" s="48" t="n">
        <f aca="false">-$E51*N(AND(BY$3&lt;=$F51,BY$4&gt;=$F51))</f>
        <v>-0</v>
      </c>
      <c r="BZ51" s="48" t="n">
        <f aca="false">-$E51*N(AND(BZ$3&lt;=$F51,BZ$4&gt;=$F51))</f>
        <v>-0</v>
      </c>
      <c r="CA51" s="48" t="n">
        <f aca="false">-$E51*N(AND(CA$3&lt;=$F51,CA$4&gt;=$F51))</f>
        <v>-0</v>
      </c>
      <c r="CB51" s="48" t="n">
        <f aca="false">-$E51*N(AND(CB$3&lt;=$F51,CB$4&gt;=$F51))</f>
        <v>-0</v>
      </c>
      <c r="CC51" s="48" t="n">
        <f aca="false">-$E51*N(AND(CC$3&lt;=$F51,CC$4&gt;=$F51))</f>
        <v>-0</v>
      </c>
      <c r="CD51" s="48" t="n">
        <f aca="false">-$E51*N(AND(CD$3&lt;=$F51,CD$4&gt;=$F51))</f>
        <v>-0</v>
      </c>
      <c r="CE51" s="48" t="n">
        <f aca="false">-$E51*N(AND(CE$3&lt;=$F51,CE$4&gt;=$F51))</f>
        <v>-0</v>
      </c>
      <c r="CF51" s="48" t="n">
        <f aca="false">-$E51*N(AND(CF$3&lt;=$F51,CF$4&gt;=$F51))</f>
        <v>-0</v>
      </c>
      <c r="CG51" s="48" t="n">
        <f aca="false">-$E51*N(AND(CG$3&lt;=$F51,CG$4&gt;=$F51))</f>
        <v>-0</v>
      </c>
      <c r="CH51" s="48" t="n">
        <f aca="false">-$E51*N(AND(CH$3&lt;=$F51,CH$4&gt;=$F51))</f>
        <v>-0</v>
      </c>
      <c r="CI51" s="48" t="n">
        <f aca="false">-$E51*N(AND(CI$3&lt;=$F51,CI$4&gt;=$F51))</f>
        <v>-0</v>
      </c>
      <c r="CJ51" s="48" t="n">
        <f aca="false">-$E51*N(AND(CJ$3&lt;=$F51,CJ$4&gt;=$F51))</f>
        <v>-0</v>
      </c>
      <c r="CK51" s="48" t="n">
        <f aca="false">-$E51*N(AND(CK$3&lt;=$F51,CK$4&gt;=$F51))</f>
        <v>-0</v>
      </c>
      <c r="CL51" s="48" t="n">
        <f aca="false">-$E51*N(AND(CL$3&lt;=$F51,CL$4&gt;=$F51))</f>
        <v>-0</v>
      </c>
      <c r="CM51" s="48" t="n">
        <f aca="false">-$E51*N(AND(CM$3&lt;=$F51,CM$4&gt;=$F51))</f>
        <v>-0</v>
      </c>
      <c r="CN51" s="48" t="n">
        <f aca="false">-$E51*N(AND(CN$3&lt;=$F51,CN$4&gt;=$F51))</f>
        <v>-0</v>
      </c>
      <c r="CO51" s="48" t="n">
        <f aca="false">-$E51*N(AND(CO$3&lt;=$F51,CO$4&gt;=$F51))</f>
        <v>-0</v>
      </c>
      <c r="CP51" s="48" t="n">
        <f aca="false">-$E51*N(AND(CP$3&lt;=$F51,CP$4&gt;=$F51))</f>
        <v>-0</v>
      </c>
      <c r="CQ51" s="48" t="n">
        <f aca="false">-$E51*N(AND(CQ$3&lt;=$F51,CQ$4&gt;=$F51))</f>
        <v>-0</v>
      </c>
      <c r="CR51" s="48" t="n">
        <f aca="false">-$E51*N(AND(CR$3&lt;=$F51,CR$4&gt;=$F51))</f>
        <v>-0</v>
      </c>
      <c r="CS51" s="48" t="n">
        <f aca="false">-$E51*N(AND(CS$3&lt;=$F51,CS$4&gt;=$F51))</f>
        <v>-0</v>
      </c>
      <c r="CT51" s="48" t="n">
        <f aca="false">-$E51*N(AND(CT$3&lt;=$F51,CT$4&gt;=$F51))</f>
        <v>-0</v>
      </c>
      <c r="CU51" s="48" t="n">
        <f aca="false">-$E51*N(AND(CU$3&lt;=$F51,CU$4&gt;=$F51))</f>
        <v>-0</v>
      </c>
      <c r="CV51" s="48" t="n">
        <f aca="false">-$E51*N(AND(CV$3&lt;=$F51,CV$4&gt;=$F51))</f>
        <v>-0</v>
      </c>
      <c r="CW51" s="48" t="n">
        <f aca="false">-$E51*N(AND(CW$3&lt;=$F51,CW$4&gt;=$F51))</f>
        <v>-0</v>
      </c>
      <c r="CX51" s="48" t="n">
        <f aca="false">-$E51*N(AND(CX$3&lt;=$F51,CX$4&gt;=$F51))</f>
        <v>-0</v>
      </c>
      <c r="CY51" s="48" t="n">
        <f aca="false">-$E51*N(AND(CY$3&lt;=$F51,CY$4&gt;=$F51))</f>
        <v>-0</v>
      </c>
      <c r="CZ51" s="48" t="n">
        <f aca="false">-$E51*N(AND(CZ$3&lt;=$F51,CZ$4&gt;=$F51))</f>
        <v>-0</v>
      </c>
      <c r="DA51" s="48" t="n">
        <f aca="false">-$E51*N(AND(DA$3&lt;=$F51,DA$4&gt;=$F51))</f>
        <v>-0</v>
      </c>
      <c r="DB51" s="48" t="n">
        <f aca="false">-$E51*N(AND(DB$3&lt;=$F51,DB$4&gt;=$F51))</f>
        <v>-0</v>
      </c>
      <c r="DC51" s="48" t="n">
        <f aca="false">-$E51*N(AND(DC$3&lt;=$F51,DC$4&gt;=$F51))</f>
        <v>-0</v>
      </c>
      <c r="DD51" s="48" t="n">
        <f aca="false">-$E51*N(AND(DD$3&lt;=$F51,DD$4&gt;=$F51))</f>
        <v>-0</v>
      </c>
      <c r="DE51" s="48" t="n">
        <f aca="false">-$E51*N(AND(DE$3&lt;=$F51,DE$4&gt;=$F51))</f>
        <v>-0</v>
      </c>
      <c r="DF51" s="48" t="n">
        <f aca="false">-$E51*N(AND(DF$3&lt;=$F51,DF$4&gt;=$F51))</f>
        <v>-0</v>
      </c>
      <c r="DG51" s="48" t="n">
        <f aca="false">-$E51*N(AND(DG$3&lt;=$F51,DG$4&gt;=$F51))</f>
        <v>-0</v>
      </c>
      <c r="DH51" s="48" t="n">
        <f aca="false">-$E51*N(AND(DH$3&lt;=$F51,DH$4&gt;=$F51))</f>
        <v>-0</v>
      </c>
      <c r="DI51" s="48" t="n">
        <f aca="false">-$E51*N(AND(DI$3&lt;=$F51,DI$4&gt;=$F51))</f>
        <v>-0</v>
      </c>
      <c r="DJ51" s="48" t="n">
        <f aca="false">-$E51*N(AND(DJ$3&lt;=$F51,DJ$4&gt;=$F51))</f>
        <v>-0</v>
      </c>
      <c r="DK51" s="48" t="n">
        <f aca="false">-$E51*N(AND(DK$3&lt;=$F51,DK$4&gt;=$F51))</f>
        <v>-0</v>
      </c>
      <c r="DL51" s="48" t="n">
        <f aca="false">-$E51*N(AND(DL$3&lt;=$F51,DL$4&gt;=$F51))</f>
        <v>-0</v>
      </c>
      <c r="DM51" s="48" t="n">
        <f aca="false">-$E51*N(AND(DM$3&lt;=$F51,DM$4&gt;=$F51))</f>
        <v>-0</v>
      </c>
      <c r="DN51" s="48" t="n">
        <f aca="false">-$E51*N(AND(DN$3&lt;=$F51,DN$4&gt;=$F51))</f>
        <v>-0</v>
      </c>
      <c r="DO51" s="48" t="n">
        <f aca="false">-$E51*N(AND(DO$3&lt;=$F51,DO$4&gt;=$F51))</f>
        <v>-0</v>
      </c>
      <c r="DP51" s="48" t="n">
        <f aca="false">-$E51*N(AND(DP$3&lt;=$F51,DP$4&gt;=$F51))</f>
        <v>-0</v>
      </c>
      <c r="DQ51" s="48" t="n">
        <f aca="false">-$E51*N(AND(DQ$3&lt;=$F51,DQ$4&gt;=$F51))</f>
        <v>-0</v>
      </c>
      <c r="DR51" s="48" t="n">
        <f aca="false">-$E51*N(AND(DR$3&lt;=$F51,DR$4&gt;=$F51))</f>
        <v>-0</v>
      </c>
      <c r="DS51" s="48" t="n">
        <f aca="false">-$E51*N(AND(DS$3&lt;=$F51,DS$4&gt;=$F51))</f>
        <v>-0</v>
      </c>
      <c r="DT51" s="48" t="n">
        <f aca="false">-$E51*N(AND(DT$3&lt;=$F51,DT$4&gt;=$F51))</f>
        <v>-0</v>
      </c>
      <c r="DU51" s="48" t="n">
        <f aca="false">-$E51*N(AND(DU$3&lt;=$F51,DU$4&gt;=$F51))</f>
        <v>-0</v>
      </c>
      <c r="DV51" s="48" t="n">
        <f aca="false">-$E51*N(AND(DV$3&lt;=$F51,DV$4&gt;=$F51))</f>
        <v>-0</v>
      </c>
      <c r="DW51" s="48" t="n">
        <f aca="false">-$E51*N(AND(DW$3&lt;=$F51,DW$4&gt;=$F51))</f>
        <v>-0</v>
      </c>
      <c r="DX51" s="48" t="n">
        <f aca="false">-$E51*N(AND(DX$3&lt;=$F51,DX$4&gt;=$F51))</f>
        <v>-0</v>
      </c>
      <c r="DY51" s="48" t="n">
        <f aca="false">-$E51*N(AND(DY$3&lt;=$F51,DY$4&gt;=$F51))</f>
        <v>-0</v>
      </c>
      <c r="DZ51" s="48" t="n">
        <f aca="false">-$E51*N(AND(DZ$3&lt;=$F51,DZ$4&gt;=$F51))</f>
        <v>-0</v>
      </c>
      <c r="EA51" s="48" t="n">
        <f aca="false">-$E51*N(AND(EA$3&lt;=$F51,EA$4&gt;=$F51))</f>
        <v>-0</v>
      </c>
      <c r="EB51" s="48" t="n">
        <f aca="false">-$E51*N(AND(EB$3&lt;=$F51,EB$4&gt;=$F51))</f>
        <v>-0</v>
      </c>
      <c r="EC51" s="48" t="n">
        <f aca="false">-$E51*N(AND(EC$3&lt;=$F51,EC$4&gt;=$F51))</f>
        <v>-0</v>
      </c>
      <c r="ED51" s="48" t="n">
        <f aca="false">-$E51*N(AND(ED$3&lt;=$F51,ED$4&gt;=$F51))</f>
        <v>-0</v>
      </c>
      <c r="EE51" s="48" t="n">
        <f aca="false">-$E51*N(AND(EE$3&lt;=$F51,EE$4&gt;=$F51))</f>
        <v>-0</v>
      </c>
      <c r="EF51" s="48" t="n">
        <f aca="false">-$E51*N(AND(EF$3&lt;=$F51,EF$4&gt;=$F51))</f>
        <v>-0</v>
      </c>
      <c r="EG51" s="48" t="n">
        <f aca="false">-$E51*N(AND(EG$3&lt;=$F51,EG$4&gt;=$F51))</f>
        <v>-0</v>
      </c>
      <c r="EH51" s="48" t="n">
        <f aca="false">-$E51*N(AND(EH$3&lt;=$F51,EH$4&gt;=$F51))</f>
        <v>-0</v>
      </c>
      <c r="EI51" s="48" t="n">
        <f aca="false">-$E51*N(AND(EI$3&lt;=$F51,EI$4&gt;=$F51))</f>
        <v>-0</v>
      </c>
      <c r="EJ51" s="48" t="n">
        <f aca="false">-$E51*N(AND(EJ$3&lt;=$F51,EJ$4&gt;=$F51))</f>
        <v>-0</v>
      </c>
      <c r="EK51" s="48" t="n">
        <f aca="false">-$E51*N(AND(EK$3&lt;=$F51,EK$4&gt;=$F51))</f>
        <v>-0</v>
      </c>
      <c r="EL51" s="48" t="n">
        <f aca="false">-$E51*N(AND(EL$3&lt;=$F51,EL$4&gt;=$F51))</f>
        <v>-0</v>
      </c>
      <c r="EM51" s="48" t="n">
        <f aca="false">-$E51*N(AND(EM$3&lt;=$F51,EM$4&gt;=$F51))</f>
        <v>-0</v>
      </c>
      <c r="EN51" s="48" t="n">
        <f aca="false">-$E51*N(AND(EN$3&lt;=$F51,EN$4&gt;=$F51))</f>
        <v>-0</v>
      </c>
      <c r="EO51" s="48" t="n">
        <f aca="false">-$E51*N(AND(EO$3&lt;=$F51,EO$4&gt;=$F51))</f>
        <v>-0</v>
      </c>
    </row>
    <row r="52" customFormat="false" ht="15" hidden="false" customHeight="false" outlineLevel="0" collapsed="false">
      <c r="C52" s="0" t="s">
        <v>438</v>
      </c>
      <c r="D52" s="11" t="s">
        <v>33</v>
      </c>
      <c r="E52" s="48" t="n">
        <f aca="false">In_Bid_Rate*$E50*Thousand/In_FX</f>
        <v>443.287671232877</v>
      </c>
      <c r="F52" s="20" t="n">
        <f aca="false">In_Bid_Date</f>
        <v>46325</v>
      </c>
      <c r="J52" s="48" t="n">
        <f aca="false">$E52*MAX(0,(MIN(In_Decision_Date+In_PB_Days-1,J$4)-MAX($F52,J$3)+1)/J$5)</f>
        <v>303.55568790947</v>
      </c>
      <c r="K52" s="48" t="n">
        <f aca="false">$E52*MAX(0,(MIN(In_Decision_Date+In_PB_Days-1,K$4)-MAX($F52,K$3)+1)/K$5)</f>
        <v>221.643835616438</v>
      </c>
      <c r="L52" s="48" t="n">
        <f aca="false">$E52*MAX(0,(MIN(In_Decision_Date+In_PB_Days-1,L$4)-MAX($F52,L$3)+1)/L$5)</f>
        <v>0</v>
      </c>
      <c r="M52" s="48" t="n">
        <f aca="false">$E52*MAX(0,(MIN(In_Decision_Date+In_PB_Days-1,M$4)-MAX($F52,M$3)+1)/M$5)</f>
        <v>0</v>
      </c>
      <c r="N52" s="48" t="n">
        <f aca="false">$E52*MAX(0,(MIN(In_Decision_Date+In_PB_Days-1,N$4)-MAX($F52,N$3)+1)/N$5)</f>
        <v>0</v>
      </c>
      <c r="O52" s="48" t="n">
        <f aca="false">$E52*MAX(0,(MIN(In_Decision_Date+In_PB_Days-1,O$4)-MAX($F52,O$3)+1)/O$5)</f>
        <v>0</v>
      </c>
      <c r="P52" s="48" t="n">
        <f aca="false">$E52*MAX(0,(MIN(In_Decision_Date+In_PB_Days-1,P$4)-MAX($F52,P$3)+1)/P$5)</f>
        <v>0</v>
      </c>
      <c r="Q52" s="48" t="n">
        <f aca="false">$E52*MAX(0,(MIN(In_Decision_Date+In_PB_Days-1,Q$4)-MAX($F52,Q$3)+1)/Q$5)</f>
        <v>0</v>
      </c>
      <c r="R52" s="48" t="n">
        <f aca="false">$E52*MAX(0,(MIN(In_Decision_Date+In_PB_Days-1,R$4)-MAX($F52,R$3)+1)/R$5)</f>
        <v>0</v>
      </c>
      <c r="S52" s="48" t="n">
        <f aca="false">$E52*MAX(0,(MIN(In_Decision_Date+In_PB_Days-1,S$4)-MAX($F52,S$3)+1)/S$5)</f>
        <v>0</v>
      </c>
      <c r="T52" s="48" t="n">
        <f aca="false">$E52*MAX(0,(MIN(In_Decision_Date+In_PB_Days-1,T$4)-MAX($F52,T$3)+1)/T$5)</f>
        <v>0</v>
      </c>
      <c r="U52" s="48" t="n">
        <f aca="false">$E52*MAX(0,(MIN(In_Decision_Date+In_PB_Days-1,U$4)-MAX($F52,U$3)+1)/U$5)</f>
        <v>0</v>
      </c>
      <c r="V52" s="48" t="n">
        <f aca="false">$E52*MAX(0,(MIN(In_Decision_Date+In_PB_Days-1,V$4)-MAX($F52,V$3)+1)/V$5)</f>
        <v>0</v>
      </c>
      <c r="W52" s="48" t="n">
        <f aca="false">$E52*MAX(0,(MIN(In_Decision_Date+In_PB_Days-1,W$4)-MAX($F52,W$3)+1)/W$5)</f>
        <v>0</v>
      </c>
      <c r="X52" s="48" t="n">
        <f aca="false">$E52*MAX(0,(MIN(In_Decision_Date+In_PB_Days-1,X$4)-MAX($F52,X$3)+1)/X$5)</f>
        <v>0</v>
      </c>
      <c r="Y52" s="48" t="n">
        <f aca="false">$E52*MAX(0,(MIN(In_Decision_Date+In_PB_Days-1,Y$4)-MAX($F52,Y$3)+1)/Y$5)</f>
        <v>0</v>
      </c>
      <c r="Z52" s="48" t="n">
        <f aca="false">$E52*MAX(0,(MIN(In_Decision_Date+In_PB_Days-1,Z$4)-MAX($F52,Z$3)+1)/Z$5)</f>
        <v>0</v>
      </c>
      <c r="AA52" s="48" t="n">
        <f aca="false">$E52*MAX(0,(MIN(In_Decision_Date+In_PB_Days-1,AA$4)-MAX($F52,AA$3)+1)/AA$5)</f>
        <v>0</v>
      </c>
      <c r="AB52" s="48" t="n">
        <f aca="false">$E52*MAX(0,(MIN(In_Decision_Date+In_PB_Days-1,AB$4)-MAX($F52,AB$3)+1)/AB$5)</f>
        <v>0</v>
      </c>
      <c r="AC52" s="48" t="n">
        <f aca="false">$E52*MAX(0,(MIN(In_Decision_Date+In_PB_Days-1,AC$4)-MAX($F52,AC$3)+1)/AC$5)</f>
        <v>0</v>
      </c>
      <c r="AD52" s="48" t="n">
        <f aca="false">$E52*MAX(0,(MIN(In_Decision_Date+In_PB_Days-1,AD$4)-MAX($F52,AD$3)+1)/AD$5)</f>
        <v>0</v>
      </c>
      <c r="AE52" s="48" t="n">
        <f aca="false">$E52*MAX(0,(MIN(In_Decision_Date+In_PB_Days-1,AE$4)-MAX($F52,AE$3)+1)/AE$5)</f>
        <v>0</v>
      </c>
      <c r="AF52" s="48" t="n">
        <f aca="false">$E52*MAX(0,(MIN(In_Decision_Date+In_PB_Days-1,AF$4)-MAX($F52,AF$3)+1)/AF$5)</f>
        <v>0</v>
      </c>
      <c r="AG52" s="48" t="n">
        <f aca="false">$E52*MAX(0,(MIN(In_Decision_Date+In_PB_Days-1,AG$4)-MAX($F52,AG$3)+1)/AG$5)</f>
        <v>0</v>
      </c>
      <c r="AH52" s="48" t="n">
        <f aca="false">$E52*MAX(0,(MIN(In_Decision_Date+In_PB_Days-1,AH$4)-MAX($F52,AH$3)+1)/AH$5)</f>
        <v>0</v>
      </c>
      <c r="AI52" s="48" t="n">
        <f aca="false">$E52*MAX(0,(MIN(In_Decision_Date+In_PB_Days-1,AI$4)-MAX($F52,AI$3)+1)/AI$5)</f>
        <v>0</v>
      </c>
      <c r="AJ52" s="48" t="n">
        <f aca="false">$E52*MAX(0,(MIN(In_Decision_Date+In_PB_Days-1,AJ$4)-MAX($F52,AJ$3)+1)/AJ$5)</f>
        <v>0</v>
      </c>
      <c r="AK52" s="48" t="n">
        <f aca="false">$E52*MAX(0,(MIN(In_Decision_Date+In_PB_Days-1,AK$4)-MAX($F52,AK$3)+1)/AK$5)</f>
        <v>0</v>
      </c>
      <c r="AL52" s="48" t="n">
        <f aca="false">$E52*MAX(0,(MIN(In_Decision_Date+In_PB_Days-1,AL$4)-MAX($F52,AL$3)+1)/AL$5)</f>
        <v>0</v>
      </c>
      <c r="AM52" s="48" t="n">
        <f aca="false">$E52*MAX(0,(MIN(In_Decision_Date+In_PB_Days-1,AM$4)-MAX($F52,AM$3)+1)/AM$5)</f>
        <v>0</v>
      </c>
      <c r="AN52" s="48" t="n">
        <f aca="false">$E52*MAX(0,(MIN(In_Decision_Date+In_PB_Days-1,AN$4)-MAX($F52,AN$3)+1)/AN$5)</f>
        <v>0</v>
      </c>
      <c r="AO52" s="48" t="n">
        <f aca="false">$E52*MAX(0,(MIN(In_Decision_Date+In_PB_Days-1,AO$4)-MAX($F52,AO$3)+1)/AO$5)</f>
        <v>0</v>
      </c>
      <c r="AP52" s="48" t="n">
        <f aca="false">$E52*MAX(0,(MIN(In_Decision_Date+In_PB_Days-1,AP$4)-MAX($F52,AP$3)+1)/AP$5)</f>
        <v>0</v>
      </c>
      <c r="AQ52" s="48" t="n">
        <f aca="false">$E52*MAX(0,(MIN(In_Decision_Date+In_PB_Days-1,AQ$4)-MAX($F52,AQ$3)+1)/AQ$5)</f>
        <v>0</v>
      </c>
      <c r="AR52" s="48" t="n">
        <f aca="false">$E52*MAX(0,(MIN(In_Decision_Date+In_PB_Days-1,AR$4)-MAX($F52,AR$3)+1)/AR$5)</f>
        <v>0</v>
      </c>
      <c r="AS52" s="48" t="n">
        <f aca="false">$E52*MAX(0,(MIN(In_Decision_Date+In_PB_Days-1,AS$4)-MAX($F52,AS$3)+1)/AS$5)</f>
        <v>0</v>
      </c>
      <c r="AT52" s="48" t="n">
        <f aca="false">$E52*MAX(0,(MIN(In_Decision_Date+In_PB_Days-1,AT$4)-MAX($F52,AT$3)+1)/AT$5)</f>
        <v>0</v>
      </c>
      <c r="AU52" s="48" t="n">
        <f aca="false">$E52*MAX(0,(MIN(In_Decision_Date+In_PB_Days-1,AU$4)-MAX($F52,AU$3)+1)/AU$5)</f>
        <v>0</v>
      </c>
      <c r="AV52" s="48" t="n">
        <f aca="false">$E52*MAX(0,(MIN(In_Decision_Date+In_PB_Days-1,AV$4)-MAX($F52,AV$3)+1)/AV$5)</f>
        <v>0</v>
      </c>
      <c r="AW52" s="48" t="n">
        <f aca="false">$E52*MAX(0,(MIN(In_Decision_Date+In_PB_Days-1,AW$4)-MAX($F52,AW$3)+1)/AW$5)</f>
        <v>0</v>
      </c>
      <c r="AX52" s="48" t="n">
        <f aca="false">$E52*MAX(0,(MIN(In_Decision_Date+In_PB_Days-1,AX$4)-MAX($F52,AX$3)+1)/AX$5)</f>
        <v>0</v>
      </c>
      <c r="AY52" s="48" t="n">
        <f aca="false">$E52*MAX(0,(MIN(In_Decision_Date+In_PB_Days-1,AY$4)-MAX($F52,AY$3)+1)/AY$5)</f>
        <v>0</v>
      </c>
      <c r="AZ52" s="48" t="n">
        <f aca="false">$E52*MAX(0,(MIN(In_Decision_Date+In_PB_Days-1,AZ$4)-MAX($F52,AZ$3)+1)/AZ$5)</f>
        <v>0</v>
      </c>
      <c r="BA52" s="48" t="n">
        <f aca="false">$E52*MAX(0,(MIN(In_Decision_Date+In_PB_Days-1,BA$4)-MAX($F52,BA$3)+1)/BA$5)</f>
        <v>0</v>
      </c>
      <c r="BB52" s="48" t="n">
        <f aca="false">$E52*MAX(0,(MIN(In_Decision_Date+In_PB_Days-1,BB$4)-MAX($F52,BB$3)+1)/BB$5)</f>
        <v>0</v>
      </c>
      <c r="BC52" s="48" t="n">
        <f aca="false">$E52*MAX(0,(MIN(In_Decision_Date+In_PB_Days-1,BC$4)-MAX($F52,BC$3)+1)/BC$5)</f>
        <v>0</v>
      </c>
      <c r="BD52" s="48" t="n">
        <f aca="false">$E52*MAX(0,(MIN(In_Decision_Date+In_PB_Days-1,BD$4)-MAX($F52,BD$3)+1)/BD$5)</f>
        <v>0</v>
      </c>
      <c r="BE52" s="48" t="n">
        <f aca="false">$E52*MAX(0,(MIN(In_Decision_Date+In_PB_Days-1,BE$4)-MAX($F52,BE$3)+1)/BE$5)</f>
        <v>0</v>
      </c>
      <c r="BF52" s="48" t="n">
        <f aca="false">$E52*MAX(0,(MIN(In_Decision_Date+In_PB_Days-1,BF$4)-MAX($F52,BF$3)+1)/BF$5)</f>
        <v>0</v>
      </c>
      <c r="BG52" s="48" t="n">
        <f aca="false">$E52*MAX(0,(MIN(In_Decision_Date+In_PB_Days-1,BG$4)-MAX($F52,BG$3)+1)/BG$5)</f>
        <v>0</v>
      </c>
      <c r="BH52" s="48" t="n">
        <f aca="false">$E52*MAX(0,(MIN(In_Decision_Date+In_PB_Days-1,BH$4)-MAX($F52,BH$3)+1)/BH$5)</f>
        <v>0</v>
      </c>
      <c r="BI52" s="48" t="n">
        <f aca="false">$E52*MAX(0,(MIN(In_Decision_Date+In_PB_Days-1,BI$4)-MAX($F52,BI$3)+1)/BI$5)</f>
        <v>0</v>
      </c>
      <c r="BJ52" s="48" t="n">
        <f aca="false">$E52*MAX(0,(MIN(In_Decision_Date+In_PB_Days-1,BJ$4)-MAX($F52,BJ$3)+1)/BJ$5)</f>
        <v>0</v>
      </c>
      <c r="BK52" s="48" t="n">
        <f aca="false">$E52*MAX(0,(MIN(In_Decision_Date+In_PB_Days-1,BK$4)-MAX($F52,BK$3)+1)/BK$5)</f>
        <v>0</v>
      </c>
      <c r="BL52" s="48" t="n">
        <f aca="false">$E52*MAX(0,(MIN(In_Decision_Date+In_PB_Days-1,BL$4)-MAX($F52,BL$3)+1)/BL$5)</f>
        <v>0</v>
      </c>
      <c r="BM52" s="48" t="n">
        <f aca="false">$E52*MAX(0,(MIN(In_Decision_Date+In_PB_Days-1,BM$4)-MAX($F52,BM$3)+1)/BM$5)</f>
        <v>0</v>
      </c>
      <c r="BN52" s="48" t="n">
        <f aca="false">$E52*MAX(0,(MIN(In_Decision_Date+In_PB_Days-1,BN$4)-MAX($F52,BN$3)+1)/BN$5)</f>
        <v>0</v>
      </c>
      <c r="BO52" s="48" t="n">
        <f aca="false">$E52*MAX(0,(MIN(In_Decision_Date+In_PB_Days-1,BO$4)-MAX($F52,BO$3)+1)/BO$5)</f>
        <v>0</v>
      </c>
      <c r="BP52" s="48" t="n">
        <f aca="false">$E52*MAX(0,(MIN(In_Decision_Date+In_PB_Days-1,BP$4)-MAX($F52,BP$3)+1)/BP$5)</f>
        <v>0</v>
      </c>
      <c r="BQ52" s="48" t="n">
        <f aca="false">$E52*MAX(0,(MIN(In_Decision_Date+In_PB_Days-1,BQ$4)-MAX($F52,BQ$3)+1)/BQ$5)</f>
        <v>0</v>
      </c>
      <c r="BR52" s="48" t="n">
        <f aca="false">$E52*MAX(0,(MIN(In_Decision_Date+In_PB_Days-1,BR$4)-MAX($F52,BR$3)+1)/BR$5)</f>
        <v>0</v>
      </c>
      <c r="BS52" s="48" t="n">
        <f aca="false">$E52*MAX(0,(MIN(In_Decision_Date+In_PB_Days-1,BS$4)-MAX($F52,BS$3)+1)/BS$5)</f>
        <v>0</v>
      </c>
      <c r="BT52" s="48" t="n">
        <f aca="false">$E52*MAX(0,(MIN(In_Decision_Date+In_PB_Days-1,BT$4)-MAX($F52,BT$3)+1)/BT$5)</f>
        <v>0</v>
      </c>
      <c r="BU52" s="48" t="n">
        <f aca="false">$E52*MAX(0,(MIN(In_Decision_Date+In_PB_Days-1,BU$4)-MAX($F52,BU$3)+1)/BU$5)</f>
        <v>0</v>
      </c>
      <c r="BV52" s="48" t="n">
        <f aca="false">$E52*MAX(0,(MIN(In_Decision_Date+In_PB_Days-1,BV$4)-MAX($F52,BV$3)+1)/BV$5)</f>
        <v>0</v>
      </c>
      <c r="BW52" s="48" t="n">
        <f aca="false">$E52*MAX(0,(MIN(In_Decision_Date+In_PB_Days-1,BW$4)-MAX($F52,BW$3)+1)/BW$5)</f>
        <v>0</v>
      </c>
      <c r="BX52" s="48" t="n">
        <f aca="false">$E52*MAX(0,(MIN(In_Decision_Date+In_PB_Days-1,BX$4)-MAX($F52,BX$3)+1)/BX$5)</f>
        <v>0</v>
      </c>
      <c r="BY52" s="48" t="n">
        <f aca="false">$E52*MAX(0,(MIN(In_Decision_Date+In_PB_Days-1,BY$4)-MAX($F52,BY$3)+1)/BY$5)</f>
        <v>0</v>
      </c>
      <c r="BZ52" s="48" t="n">
        <f aca="false">$E52*MAX(0,(MIN(In_Decision_Date+In_PB_Days-1,BZ$4)-MAX($F52,BZ$3)+1)/BZ$5)</f>
        <v>0</v>
      </c>
      <c r="CA52" s="48" t="n">
        <f aca="false">$E52*MAX(0,(MIN(In_Decision_Date+In_PB_Days-1,CA$4)-MAX($F52,CA$3)+1)/CA$5)</f>
        <v>0</v>
      </c>
      <c r="CB52" s="48" t="n">
        <f aca="false">$E52*MAX(0,(MIN(In_Decision_Date+In_PB_Days-1,CB$4)-MAX($F52,CB$3)+1)/CB$5)</f>
        <v>0</v>
      </c>
      <c r="CC52" s="48" t="n">
        <f aca="false">$E52*MAX(0,(MIN(In_Decision_Date+In_PB_Days-1,CC$4)-MAX($F52,CC$3)+1)/CC$5)</f>
        <v>0</v>
      </c>
      <c r="CD52" s="48" t="n">
        <f aca="false">$E52*MAX(0,(MIN(In_Decision_Date+In_PB_Days-1,CD$4)-MAX($F52,CD$3)+1)/CD$5)</f>
        <v>0</v>
      </c>
      <c r="CE52" s="48" t="n">
        <f aca="false">$E52*MAX(0,(MIN(In_Decision_Date+In_PB_Days-1,CE$4)-MAX($F52,CE$3)+1)/CE$5)</f>
        <v>0</v>
      </c>
      <c r="CF52" s="48" t="n">
        <f aca="false">$E52*MAX(0,(MIN(In_Decision_Date+In_PB_Days-1,CF$4)-MAX($F52,CF$3)+1)/CF$5)</f>
        <v>0</v>
      </c>
      <c r="CG52" s="48" t="n">
        <f aca="false">$E52*MAX(0,(MIN(In_Decision_Date+In_PB_Days-1,CG$4)-MAX($F52,CG$3)+1)/CG$5)</f>
        <v>0</v>
      </c>
      <c r="CH52" s="48" t="n">
        <f aca="false">$E52*MAX(0,(MIN(In_Decision_Date+In_PB_Days-1,CH$4)-MAX($F52,CH$3)+1)/CH$5)</f>
        <v>0</v>
      </c>
      <c r="CI52" s="48" t="n">
        <f aca="false">$E52*MAX(0,(MIN(In_Decision_Date+In_PB_Days-1,CI$4)-MAX($F52,CI$3)+1)/CI$5)</f>
        <v>0</v>
      </c>
      <c r="CJ52" s="48" t="n">
        <f aca="false">$E52*MAX(0,(MIN(In_Decision_Date+In_PB_Days-1,CJ$4)-MAX($F52,CJ$3)+1)/CJ$5)</f>
        <v>0</v>
      </c>
      <c r="CK52" s="48" t="n">
        <f aca="false">$E52*MAX(0,(MIN(In_Decision_Date+In_PB_Days-1,CK$4)-MAX($F52,CK$3)+1)/CK$5)</f>
        <v>0</v>
      </c>
      <c r="CL52" s="48" t="n">
        <f aca="false">$E52*MAX(0,(MIN(In_Decision_Date+In_PB_Days-1,CL$4)-MAX($F52,CL$3)+1)/CL$5)</f>
        <v>0</v>
      </c>
      <c r="CM52" s="48" t="n">
        <f aca="false">$E52*MAX(0,(MIN(In_Decision_Date+In_PB_Days-1,CM$4)-MAX($F52,CM$3)+1)/CM$5)</f>
        <v>0</v>
      </c>
      <c r="CN52" s="48" t="n">
        <f aca="false">$E52*MAX(0,(MIN(In_Decision_Date+In_PB_Days-1,CN$4)-MAX($F52,CN$3)+1)/CN$5)</f>
        <v>0</v>
      </c>
      <c r="CO52" s="48" t="n">
        <f aca="false">$E52*MAX(0,(MIN(In_Decision_Date+In_PB_Days-1,CO$4)-MAX($F52,CO$3)+1)/CO$5)</f>
        <v>0</v>
      </c>
      <c r="CP52" s="48" t="n">
        <f aca="false">$E52*MAX(0,(MIN(In_Decision_Date+In_PB_Days-1,CP$4)-MAX($F52,CP$3)+1)/CP$5)</f>
        <v>0</v>
      </c>
      <c r="CQ52" s="48" t="n">
        <f aca="false">$E52*MAX(0,(MIN(In_Decision_Date+In_PB_Days-1,CQ$4)-MAX($F52,CQ$3)+1)/CQ$5)</f>
        <v>0</v>
      </c>
      <c r="CR52" s="48" t="n">
        <f aca="false">$E52*MAX(0,(MIN(In_Decision_Date+In_PB_Days-1,CR$4)-MAX($F52,CR$3)+1)/CR$5)</f>
        <v>0</v>
      </c>
      <c r="CS52" s="48" t="n">
        <f aca="false">$E52*MAX(0,(MIN(In_Decision_Date+In_PB_Days-1,CS$4)-MAX($F52,CS$3)+1)/CS$5)</f>
        <v>0</v>
      </c>
      <c r="CT52" s="48" t="n">
        <f aca="false">$E52*MAX(0,(MIN(In_Decision_Date+In_PB_Days-1,CT$4)-MAX($F52,CT$3)+1)/CT$5)</f>
        <v>0</v>
      </c>
      <c r="CU52" s="48" t="n">
        <f aca="false">$E52*MAX(0,(MIN(In_Decision_Date+In_PB_Days-1,CU$4)-MAX($F52,CU$3)+1)/CU$5)</f>
        <v>0</v>
      </c>
      <c r="CV52" s="48" t="n">
        <f aca="false">$E52*MAX(0,(MIN(In_Decision_Date+In_PB_Days-1,CV$4)-MAX($F52,CV$3)+1)/CV$5)</f>
        <v>0</v>
      </c>
      <c r="CW52" s="48" t="n">
        <f aca="false">$E52*MAX(0,(MIN(In_Decision_Date+In_PB_Days-1,CW$4)-MAX($F52,CW$3)+1)/CW$5)</f>
        <v>0</v>
      </c>
      <c r="CX52" s="48" t="n">
        <f aca="false">$E52*MAX(0,(MIN(In_Decision_Date+In_PB_Days-1,CX$4)-MAX($F52,CX$3)+1)/CX$5)</f>
        <v>0</v>
      </c>
      <c r="CY52" s="48" t="n">
        <f aca="false">$E52*MAX(0,(MIN(In_Decision_Date+In_PB_Days-1,CY$4)-MAX($F52,CY$3)+1)/CY$5)</f>
        <v>0</v>
      </c>
      <c r="CZ52" s="48" t="n">
        <f aca="false">$E52*MAX(0,(MIN(In_Decision_Date+In_PB_Days-1,CZ$4)-MAX($F52,CZ$3)+1)/CZ$5)</f>
        <v>0</v>
      </c>
      <c r="DA52" s="48" t="n">
        <f aca="false">$E52*MAX(0,(MIN(In_Decision_Date+In_PB_Days-1,DA$4)-MAX($F52,DA$3)+1)/DA$5)</f>
        <v>0</v>
      </c>
      <c r="DB52" s="48" t="n">
        <f aca="false">$E52*MAX(0,(MIN(In_Decision_Date+In_PB_Days-1,DB$4)-MAX($F52,DB$3)+1)/DB$5)</f>
        <v>0</v>
      </c>
      <c r="DC52" s="48" t="n">
        <f aca="false">$E52*MAX(0,(MIN(In_Decision_Date+In_PB_Days-1,DC$4)-MAX($F52,DC$3)+1)/DC$5)</f>
        <v>0</v>
      </c>
      <c r="DD52" s="48" t="n">
        <f aca="false">$E52*MAX(0,(MIN(In_Decision_Date+In_PB_Days-1,DD$4)-MAX($F52,DD$3)+1)/DD$5)</f>
        <v>0</v>
      </c>
      <c r="DE52" s="48" t="n">
        <f aca="false">$E52*MAX(0,(MIN(In_Decision_Date+In_PB_Days-1,DE$4)-MAX($F52,DE$3)+1)/DE$5)</f>
        <v>0</v>
      </c>
      <c r="DF52" s="48" t="n">
        <f aca="false">$E52*MAX(0,(MIN(In_Decision_Date+In_PB_Days-1,DF$4)-MAX($F52,DF$3)+1)/DF$5)</f>
        <v>0</v>
      </c>
      <c r="DG52" s="48" t="n">
        <f aca="false">$E52*MAX(0,(MIN(In_Decision_Date+In_PB_Days-1,DG$4)-MAX($F52,DG$3)+1)/DG$5)</f>
        <v>0</v>
      </c>
      <c r="DH52" s="48" t="n">
        <f aca="false">$E52*MAX(0,(MIN(In_Decision_Date+In_PB_Days-1,DH$4)-MAX($F52,DH$3)+1)/DH$5)</f>
        <v>0</v>
      </c>
      <c r="DI52" s="48" t="n">
        <f aca="false">$E52*MAX(0,(MIN(In_Decision_Date+In_PB_Days-1,DI$4)-MAX($F52,DI$3)+1)/DI$5)</f>
        <v>0</v>
      </c>
      <c r="DJ52" s="48" t="n">
        <f aca="false">$E52*MAX(0,(MIN(In_Decision_Date+In_PB_Days-1,DJ$4)-MAX($F52,DJ$3)+1)/DJ$5)</f>
        <v>0</v>
      </c>
      <c r="DK52" s="48" t="n">
        <f aca="false">$E52*MAX(0,(MIN(In_Decision_Date+In_PB_Days-1,DK$4)-MAX($F52,DK$3)+1)/DK$5)</f>
        <v>0</v>
      </c>
      <c r="DL52" s="48" t="n">
        <f aca="false">$E52*MAX(0,(MIN(In_Decision_Date+In_PB_Days-1,DL$4)-MAX($F52,DL$3)+1)/DL$5)</f>
        <v>0</v>
      </c>
      <c r="DM52" s="48" t="n">
        <f aca="false">$E52*MAX(0,(MIN(In_Decision_Date+In_PB_Days-1,DM$4)-MAX($F52,DM$3)+1)/DM$5)</f>
        <v>0</v>
      </c>
      <c r="DN52" s="48" t="n">
        <f aca="false">$E52*MAX(0,(MIN(In_Decision_Date+In_PB_Days-1,DN$4)-MAX($F52,DN$3)+1)/DN$5)</f>
        <v>0</v>
      </c>
      <c r="DO52" s="48" t="n">
        <f aca="false">$E52*MAX(0,(MIN(In_Decision_Date+In_PB_Days-1,DO$4)-MAX($F52,DO$3)+1)/DO$5)</f>
        <v>0</v>
      </c>
      <c r="DP52" s="48" t="n">
        <f aca="false">$E52*MAX(0,(MIN(In_Decision_Date+In_PB_Days-1,DP$4)-MAX($F52,DP$3)+1)/DP$5)</f>
        <v>0</v>
      </c>
      <c r="DQ52" s="48" t="n">
        <f aca="false">$E52*MAX(0,(MIN(In_Decision_Date+In_PB_Days-1,DQ$4)-MAX($F52,DQ$3)+1)/DQ$5)</f>
        <v>0</v>
      </c>
      <c r="DR52" s="48" t="n">
        <f aca="false">$E52*MAX(0,(MIN(In_Decision_Date+In_PB_Days-1,DR$4)-MAX($F52,DR$3)+1)/DR$5)</f>
        <v>0</v>
      </c>
      <c r="DS52" s="48" t="n">
        <f aca="false">$E52*MAX(0,(MIN(In_Decision_Date+In_PB_Days-1,DS$4)-MAX($F52,DS$3)+1)/DS$5)</f>
        <v>0</v>
      </c>
      <c r="DT52" s="48" t="n">
        <f aca="false">$E52*MAX(0,(MIN(In_Decision_Date+In_PB_Days-1,DT$4)-MAX($F52,DT$3)+1)/DT$5)</f>
        <v>0</v>
      </c>
      <c r="DU52" s="48" t="n">
        <f aca="false">$E52*MAX(0,(MIN(In_Decision_Date+In_PB_Days-1,DU$4)-MAX($F52,DU$3)+1)/DU$5)</f>
        <v>0</v>
      </c>
      <c r="DV52" s="48" t="n">
        <f aca="false">$E52*MAX(0,(MIN(In_Decision_Date+In_PB_Days-1,DV$4)-MAX($F52,DV$3)+1)/DV$5)</f>
        <v>0</v>
      </c>
      <c r="DW52" s="48" t="n">
        <f aca="false">$E52*MAX(0,(MIN(In_Decision_Date+In_PB_Days-1,DW$4)-MAX($F52,DW$3)+1)/DW$5)</f>
        <v>0</v>
      </c>
      <c r="DX52" s="48" t="n">
        <f aca="false">$E52*MAX(0,(MIN(In_Decision_Date+In_PB_Days-1,DX$4)-MAX($F52,DX$3)+1)/DX$5)</f>
        <v>0</v>
      </c>
      <c r="DY52" s="48" t="n">
        <f aca="false">$E52*MAX(0,(MIN(In_Decision_Date+In_PB_Days-1,DY$4)-MAX($F52,DY$3)+1)/DY$5)</f>
        <v>0</v>
      </c>
      <c r="DZ52" s="48" t="n">
        <f aca="false">$E52*MAX(0,(MIN(In_Decision_Date+In_PB_Days-1,DZ$4)-MAX($F52,DZ$3)+1)/DZ$5)</f>
        <v>0</v>
      </c>
      <c r="EA52" s="48" t="n">
        <f aca="false">$E52*MAX(0,(MIN(In_Decision_Date+In_PB_Days-1,EA$4)-MAX($F52,EA$3)+1)/EA$5)</f>
        <v>0</v>
      </c>
      <c r="EB52" s="48" t="n">
        <f aca="false">$E52*MAX(0,(MIN(In_Decision_Date+In_PB_Days-1,EB$4)-MAX($F52,EB$3)+1)/EB$5)</f>
        <v>0</v>
      </c>
      <c r="EC52" s="48" t="n">
        <f aca="false">$E52*MAX(0,(MIN(In_Decision_Date+In_PB_Days-1,EC$4)-MAX($F52,EC$3)+1)/EC$5)</f>
        <v>0</v>
      </c>
      <c r="ED52" s="48" t="n">
        <f aca="false">$E52*MAX(0,(MIN(In_Decision_Date+In_PB_Days-1,ED$4)-MAX($F52,ED$3)+1)/ED$5)</f>
        <v>0</v>
      </c>
      <c r="EE52" s="48" t="n">
        <f aca="false">$E52*MAX(0,(MIN(In_Decision_Date+In_PB_Days-1,EE$4)-MAX($F52,EE$3)+1)/EE$5)</f>
        <v>0</v>
      </c>
      <c r="EF52" s="48" t="n">
        <f aca="false">$E52*MAX(0,(MIN(In_Decision_Date+In_PB_Days-1,EF$4)-MAX($F52,EF$3)+1)/EF$5)</f>
        <v>0</v>
      </c>
      <c r="EG52" s="48" t="n">
        <f aca="false">$E52*MAX(0,(MIN(In_Decision_Date+In_PB_Days-1,EG$4)-MAX($F52,EG$3)+1)/EG$5)</f>
        <v>0</v>
      </c>
      <c r="EH52" s="48" t="n">
        <f aca="false">$E52*MAX(0,(MIN(In_Decision_Date+In_PB_Days-1,EH$4)-MAX($F52,EH$3)+1)/EH$5)</f>
        <v>0</v>
      </c>
      <c r="EI52" s="48" t="n">
        <f aca="false">$E52*MAX(0,(MIN(In_Decision_Date+In_PB_Days-1,EI$4)-MAX($F52,EI$3)+1)/EI$5)</f>
        <v>0</v>
      </c>
      <c r="EJ52" s="48" t="n">
        <f aca="false">$E52*MAX(0,(MIN(In_Decision_Date+In_PB_Days-1,EJ$4)-MAX($F52,EJ$3)+1)/EJ$5)</f>
        <v>0</v>
      </c>
      <c r="EK52" s="48" t="n">
        <f aca="false">$E52*MAX(0,(MIN(In_Decision_Date+In_PB_Days-1,EK$4)-MAX($F52,EK$3)+1)/EK$5)</f>
        <v>0</v>
      </c>
      <c r="EL52" s="48" t="n">
        <f aca="false">$E52*MAX(0,(MIN(In_Decision_Date+In_PB_Days-1,EL$4)-MAX($F52,EL$3)+1)/EL$5)</f>
        <v>0</v>
      </c>
      <c r="EM52" s="48" t="n">
        <f aca="false">$E52*MAX(0,(MIN(In_Decision_Date+In_PB_Days-1,EM$4)-MAX($F52,EM$3)+1)/EM$5)</f>
        <v>0</v>
      </c>
      <c r="EN52" s="48" t="n">
        <f aca="false">$E52*MAX(0,(MIN(In_Decision_Date+In_PB_Days-1,EN$4)-MAX($F52,EN$3)+1)/EN$5)</f>
        <v>0</v>
      </c>
      <c r="EO52" s="48" t="n">
        <f aca="false">$E52*MAX(0,(MIN(In_Decision_Date+In_PB_Days-1,EO$4)-MAX($F52,EO$3)+1)/EO$5)</f>
        <v>0</v>
      </c>
    </row>
    <row r="53" customFormat="false" ht="15" hidden="false" customHeight="false" outlineLevel="0" collapsed="false">
      <c r="C53" s="0" t="s">
        <v>439</v>
      </c>
      <c r="D53" s="11" t="s">
        <v>33</v>
      </c>
      <c r="E53" s="48" t="n">
        <f aca="false">In_PB_Rate*$E39*$E50*Thousand/In_FX</f>
        <v>2216.43835616438</v>
      </c>
      <c r="F53" s="46" t="n">
        <f aca="false">In_Decision_Date+In_PB_Days</f>
        <v>46433</v>
      </c>
      <c r="J53" s="48" t="n">
        <f aca="false">$E53*MAX(0,(MIN(In_PB_Release,J$4)-MAX($F53,J$3)+1)/J$5)</f>
        <v>0</v>
      </c>
      <c r="K53" s="48" t="n">
        <f aca="false">$E53*MAX(0,(MIN(In_PB_Release,K$4)-MAX($F53,K$3)+1)/K$5)</f>
        <v>1108.21917808219</v>
      </c>
      <c r="L53" s="48" t="n">
        <f aca="false">$E53*MAX(0,(MIN(In_PB_Release,L$4)-MAX($F53,L$3)+1)/L$5)</f>
        <v>2216.43835616438</v>
      </c>
      <c r="M53" s="48" t="n">
        <f aca="false">$E53*MAX(0,(MIN(In_PB_Release,M$4)-MAX($F53,M$3)+1)/M$5)</f>
        <v>2216.43835616438</v>
      </c>
      <c r="N53" s="48" t="n">
        <f aca="false">$E53*MAX(0,(MIN(In_PB_Release,N$4)-MAX($F53,N$3)+1)/N$5)</f>
        <v>2216.43835616438</v>
      </c>
      <c r="O53" s="48" t="n">
        <f aca="false">$E53*MAX(0,(MIN(In_PB_Release,O$4)-MAX($F53,O$3)+1)/O$5)</f>
        <v>2216.43835616438</v>
      </c>
      <c r="P53" s="48" t="n">
        <f aca="false">$E53*MAX(0,(MIN(In_PB_Release,P$4)-MAX($F53,P$3)+1)/P$5)</f>
        <v>2216.43835616438</v>
      </c>
      <c r="Q53" s="48" t="n">
        <f aca="false">$E53*MAX(0,(MIN(In_PB_Release,Q$4)-MAX($F53,Q$3)+1)/Q$5)</f>
        <v>2216.43835616438</v>
      </c>
      <c r="R53" s="48" t="n">
        <f aca="false">$E53*MAX(0,(MIN(In_PB_Release,R$4)-MAX($F53,R$3)+1)/R$5)</f>
        <v>2216.43835616438</v>
      </c>
      <c r="S53" s="48" t="n">
        <f aca="false">$E53*MAX(0,(MIN(In_PB_Release,S$4)-MAX($F53,S$3)+1)/S$5)</f>
        <v>2216.43835616438</v>
      </c>
      <c r="T53" s="48" t="n">
        <f aca="false">$E53*MAX(0,(MIN(In_PB_Release,T$4)-MAX($F53,T$3)+1)/T$5)</f>
        <v>2216.43835616438</v>
      </c>
      <c r="U53" s="48" t="n">
        <f aca="false">$E53*MAX(0,(MIN(In_PB_Release,U$4)-MAX($F53,U$3)+1)/U$5)</f>
        <v>2216.43835616438</v>
      </c>
      <c r="V53" s="48" t="n">
        <f aca="false">$E53*MAX(0,(MIN(In_PB_Release,V$4)-MAX($F53,V$3)+1)/V$5)</f>
        <v>2216.43835616438</v>
      </c>
      <c r="W53" s="48" t="n">
        <f aca="false">$E53*MAX(0,(MIN(In_PB_Release,W$4)-MAX($F53,W$3)+1)/W$5)</f>
        <v>2216.43835616438</v>
      </c>
      <c r="X53" s="48" t="n">
        <f aca="false">$E53*MAX(0,(MIN(In_PB_Release,X$4)-MAX($F53,X$3)+1)/X$5)</f>
        <v>2216.43835616438</v>
      </c>
      <c r="Y53" s="48" t="n">
        <f aca="false">$E53*MAX(0,(MIN(In_PB_Release,Y$4)-MAX($F53,Y$3)+1)/Y$5)</f>
        <v>2216.43835616438</v>
      </c>
      <c r="Z53" s="48" t="n">
        <f aca="false">$E53*MAX(0,(MIN(In_PB_Release,Z$4)-MAX($F53,Z$3)+1)/Z$5)</f>
        <v>2216.43835616438</v>
      </c>
      <c r="AA53" s="48" t="n">
        <f aca="false">$E53*MAX(0,(MIN(In_PB_Release,AA$4)-MAX($F53,AA$3)+1)/AA$5)</f>
        <v>2216.43835616438</v>
      </c>
      <c r="AB53" s="48" t="n">
        <f aca="false">$E53*MAX(0,(MIN(In_PB_Release,AB$4)-MAX($F53,AB$3)+1)/AB$5)</f>
        <v>2216.43835616438</v>
      </c>
      <c r="AC53" s="48" t="n">
        <f aca="false">$E53*MAX(0,(MIN(In_PB_Release,AC$4)-MAX($F53,AC$3)+1)/AC$5)</f>
        <v>2216.43835616438</v>
      </c>
      <c r="AD53" s="48" t="n">
        <f aca="false">$E53*MAX(0,(MIN(In_PB_Release,AD$4)-MAX($F53,AD$3)+1)/AD$5)</f>
        <v>2216.43835616438</v>
      </c>
      <c r="AE53" s="48" t="n">
        <f aca="false">$E53*MAX(0,(MIN(In_PB_Release,AE$4)-MAX($F53,AE$3)+1)/AE$5)</f>
        <v>2216.43835616438</v>
      </c>
      <c r="AF53" s="48" t="n">
        <f aca="false">$E53*MAX(0,(MIN(In_PB_Release,AF$4)-MAX($F53,AF$3)+1)/AF$5)</f>
        <v>2216.43835616438</v>
      </c>
      <c r="AG53" s="48" t="n">
        <f aca="false">$E53*MAX(0,(MIN(In_PB_Release,AG$4)-MAX($F53,AG$3)+1)/AG$5)</f>
        <v>2216.43835616438</v>
      </c>
      <c r="AH53" s="48" t="n">
        <f aca="false">$E53*MAX(0,(MIN(In_PB_Release,AH$4)-MAX($F53,AH$3)+1)/AH$5)</f>
        <v>2216.43835616438</v>
      </c>
      <c r="AI53" s="48" t="n">
        <f aca="false">$E53*MAX(0,(MIN(In_PB_Release,AI$4)-MAX($F53,AI$3)+1)/AI$5)</f>
        <v>2216.43835616438</v>
      </c>
      <c r="AJ53" s="48" t="n">
        <f aca="false">$E53*MAX(0,(MIN(In_PB_Release,AJ$4)-MAX($F53,AJ$3)+1)/AJ$5)</f>
        <v>0</v>
      </c>
      <c r="AK53" s="48" t="n">
        <f aca="false">$E53*MAX(0,(MIN(In_PB_Release,AK$4)-MAX($F53,AK$3)+1)/AK$5)</f>
        <v>0</v>
      </c>
      <c r="AL53" s="48" t="n">
        <f aca="false">$E53*MAX(0,(MIN(In_PB_Release,AL$4)-MAX($F53,AL$3)+1)/AL$5)</f>
        <v>0</v>
      </c>
      <c r="AM53" s="48" t="n">
        <f aca="false">$E53*MAX(0,(MIN(In_PB_Release,AM$4)-MAX($F53,AM$3)+1)/AM$5)</f>
        <v>0</v>
      </c>
      <c r="AN53" s="48" t="n">
        <f aca="false">$E53*MAX(0,(MIN(In_PB_Release,AN$4)-MAX($F53,AN$3)+1)/AN$5)</f>
        <v>0</v>
      </c>
      <c r="AO53" s="48" t="n">
        <f aca="false">$E53*MAX(0,(MIN(In_PB_Release,AO$4)-MAX($F53,AO$3)+1)/AO$5)</f>
        <v>0</v>
      </c>
      <c r="AP53" s="48" t="n">
        <f aca="false">$E53*MAX(0,(MIN(In_PB_Release,AP$4)-MAX($F53,AP$3)+1)/AP$5)</f>
        <v>0</v>
      </c>
      <c r="AQ53" s="48" t="n">
        <f aca="false">$E53*MAX(0,(MIN(In_PB_Release,AQ$4)-MAX($F53,AQ$3)+1)/AQ$5)</f>
        <v>0</v>
      </c>
      <c r="AR53" s="48" t="n">
        <f aca="false">$E53*MAX(0,(MIN(In_PB_Release,AR$4)-MAX($F53,AR$3)+1)/AR$5)</f>
        <v>0</v>
      </c>
      <c r="AS53" s="48" t="n">
        <f aca="false">$E53*MAX(0,(MIN(In_PB_Release,AS$4)-MAX($F53,AS$3)+1)/AS$5)</f>
        <v>0</v>
      </c>
      <c r="AT53" s="48" t="n">
        <f aca="false">$E53*MAX(0,(MIN(In_PB_Release,AT$4)-MAX($F53,AT$3)+1)/AT$5)</f>
        <v>0</v>
      </c>
      <c r="AU53" s="48" t="n">
        <f aca="false">$E53*MAX(0,(MIN(In_PB_Release,AU$4)-MAX($F53,AU$3)+1)/AU$5)</f>
        <v>0</v>
      </c>
      <c r="AV53" s="48" t="n">
        <f aca="false">$E53*MAX(0,(MIN(In_PB_Release,AV$4)-MAX($F53,AV$3)+1)/AV$5)</f>
        <v>0</v>
      </c>
      <c r="AW53" s="48" t="n">
        <f aca="false">$E53*MAX(0,(MIN(In_PB_Release,AW$4)-MAX($F53,AW$3)+1)/AW$5)</f>
        <v>0</v>
      </c>
      <c r="AX53" s="48" t="n">
        <f aca="false">$E53*MAX(0,(MIN(In_PB_Release,AX$4)-MAX($F53,AX$3)+1)/AX$5)</f>
        <v>0</v>
      </c>
      <c r="AY53" s="48" t="n">
        <f aca="false">$E53*MAX(0,(MIN(In_PB_Release,AY$4)-MAX($F53,AY$3)+1)/AY$5)</f>
        <v>0</v>
      </c>
      <c r="AZ53" s="48" t="n">
        <f aca="false">$E53*MAX(0,(MIN(In_PB_Release,AZ$4)-MAX($F53,AZ$3)+1)/AZ$5)</f>
        <v>0</v>
      </c>
      <c r="BA53" s="48" t="n">
        <f aca="false">$E53*MAX(0,(MIN(In_PB_Release,BA$4)-MAX($F53,BA$3)+1)/BA$5)</f>
        <v>0</v>
      </c>
      <c r="BB53" s="48" t="n">
        <f aca="false">$E53*MAX(0,(MIN(In_PB_Release,BB$4)-MAX($F53,BB$3)+1)/BB$5)</f>
        <v>0</v>
      </c>
      <c r="BC53" s="48" t="n">
        <f aca="false">$E53*MAX(0,(MIN(In_PB_Release,BC$4)-MAX($F53,BC$3)+1)/BC$5)</f>
        <v>0</v>
      </c>
      <c r="BD53" s="48" t="n">
        <f aca="false">$E53*MAX(0,(MIN(In_PB_Release,BD$4)-MAX($F53,BD$3)+1)/BD$5)</f>
        <v>0</v>
      </c>
      <c r="BE53" s="48" t="n">
        <f aca="false">$E53*MAX(0,(MIN(In_PB_Release,BE$4)-MAX($F53,BE$3)+1)/BE$5)</f>
        <v>0</v>
      </c>
      <c r="BF53" s="48" t="n">
        <f aca="false">$E53*MAX(0,(MIN(In_PB_Release,BF$4)-MAX($F53,BF$3)+1)/BF$5)</f>
        <v>0</v>
      </c>
      <c r="BG53" s="48" t="n">
        <f aca="false">$E53*MAX(0,(MIN(In_PB_Release,BG$4)-MAX($F53,BG$3)+1)/BG$5)</f>
        <v>0</v>
      </c>
      <c r="BH53" s="48" t="n">
        <f aca="false">$E53*MAX(0,(MIN(In_PB_Release,BH$4)-MAX($F53,BH$3)+1)/BH$5)</f>
        <v>0</v>
      </c>
      <c r="BI53" s="48" t="n">
        <f aca="false">$E53*MAX(0,(MIN(In_PB_Release,BI$4)-MAX($F53,BI$3)+1)/BI$5)</f>
        <v>0</v>
      </c>
      <c r="BJ53" s="48" t="n">
        <f aca="false">$E53*MAX(0,(MIN(In_PB_Release,BJ$4)-MAX($F53,BJ$3)+1)/BJ$5)</f>
        <v>0</v>
      </c>
      <c r="BK53" s="48" t="n">
        <f aca="false">$E53*MAX(0,(MIN(In_PB_Release,BK$4)-MAX($F53,BK$3)+1)/BK$5)</f>
        <v>0</v>
      </c>
      <c r="BL53" s="48" t="n">
        <f aca="false">$E53*MAX(0,(MIN(In_PB_Release,BL$4)-MAX($F53,BL$3)+1)/BL$5)</f>
        <v>0</v>
      </c>
      <c r="BM53" s="48" t="n">
        <f aca="false">$E53*MAX(0,(MIN(In_PB_Release,BM$4)-MAX($F53,BM$3)+1)/BM$5)</f>
        <v>0</v>
      </c>
      <c r="BN53" s="48" t="n">
        <f aca="false">$E53*MAX(0,(MIN(In_PB_Release,BN$4)-MAX($F53,BN$3)+1)/BN$5)</f>
        <v>0</v>
      </c>
      <c r="BO53" s="48" t="n">
        <f aca="false">$E53*MAX(0,(MIN(In_PB_Release,BO$4)-MAX($F53,BO$3)+1)/BO$5)</f>
        <v>0</v>
      </c>
      <c r="BP53" s="48" t="n">
        <f aca="false">$E53*MAX(0,(MIN(In_PB_Release,BP$4)-MAX($F53,BP$3)+1)/BP$5)</f>
        <v>0</v>
      </c>
      <c r="BQ53" s="48" t="n">
        <f aca="false">$E53*MAX(0,(MIN(In_PB_Release,BQ$4)-MAX($F53,BQ$3)+1)/BQ$5)</f>
        <v>0</v>
      </c>
      <c r="BR53" s="48" t="n">
        <f aca="false">$E53*MAX(0,(MIN(In_PB_Release,BR$4)-MAX($F53,BR$3)+1)/BR$5)</f>
        <v>0</v>
      </c>
      <c r="BS53" s="48" t="n">
        <f aca="false">$E53*MAX(0,(MIN(In_PB_Release,BS$4)-MAX($F53,BS$3)+1)/BS$5)</f>
        <v>0</v>
      </c>
      <c r="BT53" s="48" t="n">
        <f aca="false">$E53*MAX(0,(MIN(In_PB_Release,BT$4)-MAX($F53,BT$3)+1)/BT$5)</f>
        <v>0</v>
      </c>
      <c r="BU53" s="48" t="n">
        <f aca="false">$E53*MAX(0,(MIN(In_PB_Release,BU$4)-MAX($F53,BU$3)+1)/BU$5)</f>
        <v>0</v>
      </c>
      <c r="BV53" s="48" t="n">
        <f aca="false">$E53*MAX(0,(MIN(In_PB_Release,BV$4)-MAX($F53,BV$3)+1)/BV$5)</f>
        <v>0</v>
      </c>
      <c r="BW53" s="48" t="n">
        <f aca="false">$E53*MAX(0,(MIN(In_PB_Release,BW$4)-MAX($F53,BW$3)+1)/BW$5)</f>
        <v>0</v>
      </c>
      <c r="BX53" s="48" t="n">
        <f aca="false">$E53*MAX(0,(MIN(In_PB_Release,BX$4)-MAX($F53,BX$3)+1)/BX$5)</f>
        <v>0</v>
      </c>
      <c r="BY53" s="48" t="n">
        <f aca="false">$E53*MAX(0,(MIN(In_PB_Release,BY$4)-MAX($F53,BY$3)+1)/BY$5)</f>
        <v>0</v>
      </c>
      <c r="BZ53" s="48" t="n">
        <f aca="false">$E53*MAX(0,(MIN(In_PB_Release,BZ$4)-MAX($F53,BZ$3)+1)/BZ$5)</f>
        <v>0</v>
      </c>
      <c r="CA53" s="48" t="n">
        <f aca="false">$E53*MAX(0,(MIN(In_PB_Release,CA$4)-MAX($F53,CA$3)+1)/CA$5)</f>
        <v>0</v>
      </c>
      <c r="CB53" s="48" t="n">
        <f aca="false">$E53*MAX(0,(MIN(In_PB_Release,CB$4)-MAX($F53,CB$3)+1)/CB$5)</f>
        <v>0</v>
      </c>
      <c r="CC53" s="48" t="n">
        <f aca="false">$E53*MAX(0,(MIN(In_PB_Release,CC$4)-MAX($F53,CC$3)+1)/CC$5)</f>
        <v>0</v>
      </c>
      <c r="CD53" s="48" t="n">
        <f aca="false">$E53*MAX(0,(MIN(In_PB_Release,CD$4)-MAX($F53,CD$3)+1)/CD$5)</f>
        <v>0</v>
      </c>
      <c r="CE53" s="48" t="n">
        <f aca="false">$E53*MAX(0,(MIN(In_PB_Release,CE$4)-MAX($F53,CE$3)+1)/CE$5)</f>
        <v>0</v>
      </c>
      <c r="CF53" s="48" t="n">
        <f aca="false">$E53*MAX(0,(MIN(In_PB_Release,CF$4)-MAX($F53,CF$3)+1)/CF$5)</f>
        <v>0</v>
      </c>
      <c r="CG53" s="48" t="n">
        <f aca="false">$E53*MAX(0,(MIN(In_PB_Release,CG$4)-MAX($F53,CG$3)+1)/CG$5)</f>
        <v>0</v>
      </c>
      <c r="CH53" s="48" t="n">
        <f aca="false">$E53*MAX(0,(MIN(In_PB_Release,CH$4)-MAX($F53,CH$3)+1)/CH$5)</f>
        <v>0</v>
      </c>
      <c r="CI53" s="48" t="n">
        <f aca="false">$E53*MAX(0,(MIN(In_PB_Release,CI$4)-MAX($F53,CI$3)+1)/CI$5)</f>
        <v>0</v>
      </c>
      <c r="CJ53" s="48" t="n">
        <f aca="false">$E53*MAX(0,(MIN(In_PB_Release,CJ$4)-MAX($F53,CJ$3)+1)/CJ$5)</f>
        <v>0</v>
      </c>
      <c r="CK53" s="48" t="n">
        <f aca="false">$E53*MAX(0,(MIN(In_PB_Release,CK$4)-MAX($F53,CK$3)+1)/CK$5)</f>
        <v>0</v>
      </c>
      <c r="CL53" s="48" t="n">
        <f aca="false">$E53*MAX(0,(MIN(In_PB_Release,CL$4)-MAX($F53,CL$3)+1)/CL$5)</f>
        <v>0</v>
      </c>
      <c r="CM53" s="48" t="n">
        <f aca="false">$E53*MAX(0,(MIN(In_PB_Release,CM$4)-MAX($F53,CM$3)+1)/CM$5)</f>
        <v>0</v>
      </c>
      <c r="CN53" s="48" t="n">
        <f aca="false">$E53*MAX(0,(MIN(In_PB_Release,CN$4)-MAX($F53,CN$3)+1)/CN$5)</f>
        <v>0</v>
      </c>
      <c r="CO53" s="48" t="n">
        <f aca="false">$E53*MAX(0,(MIN(In_PB_Release,CO$4)-MAX($F53,CO$3)+1)/CO$5)</f>
        <v>0</v>
      </c>
      <c r="CP53" s="48" t="n">
        <f aca="false">$E53*MAX(0,(MIN(In_PB_Release,CP$4)-MAX($F53,CP$3)+1)/CP$5)</f>
        <v>0</v>
      </c>
      <c r="CQ53" s="48" t="n">
        <f aca="false">$E53*MAX(0,(MIN(In_PB_Release,CQ$4)-MAX($F53,CQ$3)+1)/CQ$5)</f>
        <v>0</v>
      </c>
      <c r="CR53" s="48" t="n">
        <f aca="false">$E53*MAX(0,(MIN(In_PB_Release,CR$4)-MAX($F53,CR$3)+1)/CR$5)</f>
        <v>0</v>
      </c>
      <c r="CS53" s="48" t="n">
        <f aca="false">$E53*MAX(0,(MIN(In_PB_Release,CS$4)-MAX($F53,CS$3)+1)/CS$5)</f>
        <v>0</v>
      </c>
      <c r="CT53" s="48" t="n">
        <f aca="false">$E53*MAX(0,(MIN(In_PB_Release,CT$4)-MAX($F53,CT$3)+1)/CT$5)</f>
        <v>0</v>
      </c>
      <c r="CU53" s="48" t="n">
        <f aca="false">$E53*MAX(0,(MIN(In_PB_Release,CU$4)-MAX($F53,CU$3)+1)/CU$5)</f>
        <v>0</v>
      </c>
      <c r="CV53" s="48" t="n">
        <f aca="false">$E53*MAX(0,(MIN(In_PB_Release,CV$4)-MAX($F53,CV$3)+1)/CV$5)</f>
        <v>0</v>
      </c>
      <c r="CW53" s="48" t="n">
        <f aca="false">$E53*MAX(0,(MIN(In_PB_Release,CW$4)-MAX($F53,CW$3)+1)/CW$5)</f>
        <v>0</v>
      </c>
      <c r="CX53" s="48" t="n">
        <f aca="false">$E53*MAX(0,(MIN(In_PB_Release,CX$4)-MAX($F53,CX$3)+1)/CX$5)</f>
        <v>0</v>
      </c>
      <c r="CY53" s="48" t="n">
        <f aca="false">$E53*MAX(0,(MIN(In_PB_Release,CY$4)-MAX($F53,CY$3)+1)/CY$5)</f>
        <v>0</v>
      </c>
      <c r="CZ53" s="48" t="n">
        <f aca="false">$E53*MAX(0,(MIN(In_PB_Release,CZ$4)-MAX($F53,CZ$3)+1)/CZ$5)</f>
        <v>0</v>
      </c>
      <c r="DA53" s="48" t="n">
        <f aca="false">$E53*MAX(0,(MIN(In_PB_Release,DA$4)-MAX($F53,DA$3)+1)/DA$5)</f>
        <v>0</v>
      </c>
      <c r="DB53" s="48" t="n">
        <f aca="false">$E53*MAX(0,(MIN(In_PB_Release,DB$4)-MAX($F53,DB$3)+1)/DB$5)</f>
        <v>0</v>
      </c>
      <c r="DC53" s="48" t="n">
        <f aca="false">$E53*MAX(0,(MIN(In_PB_Release,DC$4)-MAX($F53,DC$3)+1)/DC$5)</f>
        <v>0</v>
      </c>
      <c r="DD53" s="48" t="n">
        <f aca="false">$E53*MAX(0,(MIN(In_PB_Release,DD$4)-MAX($F53,DD$3)+1)/DD$5)</f>
        <v>0</v>
      </c>
      <c r="DE53" s="48" t="n">
        <f aca="false">$E53*MAX(0,(MIN(In_PB_Release,DE$4)-MAX($F53,DE$3)+1)/DE$5)</f>
        <v>0</v>
      </c>
      <c r="DF53" s="48" t="n">
        <f aca="false">$E53*MAX(0,(MIN(In_PB_Release,DF$4)-MAX($F53,DF$3)+1)/DF$5)</f>
        <v>0</v>
      </c>
      <c r="DG53" s="48" t="n">
        <f aca="false">$E53*MAX(0,(MIN(In_PB_Release,DG$4)-MAX($F53,DG$3)+1)/DG$5)</f>
        <v>0</v>
      </c>
      <c r="DH53" s="48" t="n">
        <f aca="false">$E53*MAX(0,(MIN(In_PB_Release,DH$4)-MAX($F53,DH$3)+1)/DH$5)</f>
        <v>0</v>
      </c>
      <c r="DI53" s="48" t="n">
        <f aca="false">$E53*MAX(0,(MIN(In_PB_Release,DI$4)-MAX($F53,DI$3)+1)/DI$5)</f>
        <v>0</v>
      </c>
      <c r="DJ53" s="48" t="n">
        <f aca="false">$E53*MAX(0,(MIN(In_PB_Release,DJ$4)-MAX($F53,DJ$3)+1)/DJ$5)</f>
        <v>0</v>
      </c>
      <c r="DK53" s="48" t="n">
        <f aca="false">$E53*MAX(0,(MIN(In_PB_Release,DK$4)-MAX($F53,DK$3)+1)/DK$5)</f>
        <v>0</v>
      </c>
      <c r="DL53" s="48" t="n">
        <f aca="false">$E53*MAX(0,(MIN(In_PB_Release,DL$4)-MAX($F53,DL$3)+1)/DL$5)</f>
        <v>0</v>
      </c>
      <c r="DM53" s="48" t="n">
        <f aca="false">$E53*MAX(0,(MIN(In_PB_Release,DM$4)-MAX($F53,DM$3)+1)/DM$5)</f>
        <v>0</v>
      </c>
      <c r="DN53" s="48" t="n">
        <f aca="false">$E53*MAX(0,(MIN(In_PB_Release,DN$4)-MAX($F53,DN$3)+1)/DN$5)</f>
        <v>0</v>
      </c>
      <c r="DO53" s="48" t="n">
        <f aca="false">$E53*MAX(0,(MIN(In_PB_Release,DO$4)-MAX($F53,DO$3)+1)/DO$5)</f>
        <v>0</v>
      </c>
      <c r="DP53" s="48" t="n">
        <f aca="false">$E53*MAX(0,(MIN(In_PB_Release,DP$4)-MAX($F53,DP$3)+1)/DP$5)</f>
        <v>0</v>
      </c>
      <c r="DQ53" s="48" t="n">
        <f aca="false">$E53*MAX(0,(MIN(In_PB_Release,DQ$4)-MAX($F53,DQ$3)+1)/DQ$5)</f>
        <v>0</v>
      </c>
      <c r="DR53" s="48" t="n">
        <f aca="false">$E53*MAX(0,(MIN(In_PB_Release,DR$4)-MAX($F53,DR$3)+1)/DR$5)</f>
        <v>0</v>
      </c>
      <c r="DS53" s="48" t="n">
        <f aca="false">$E53*MAX(0,(MIN(In_PB_Release,DS$4)-MAX($F53,DS$3)+1)/DS$5)</f>
        <v>0</v>
      </c>
      <c r="DT53" s="48" t="n">
        <f aca="false">$E53*MAX(0,(MIN(In_PB_Release,DT$4)-MAX($F53,DT$3)+1)/DT$5)</f>
        <v>0</v>
      </c>
      <c r="DU53" s="48" t="n">
        <f aca="false">$E53*MAX(0,(MIN(In_PB_Release,DU$4)-MAX($F53,DU$3)+1)/DU$5)</f>
        <v>0</v>
      </c>
      <c r="DV53" s="48" t="n">
        <f aca="false">$E53*MAX(0,(MIN(In_PB_Release,DV$4)-MAX($F53,DV$3)+1)/DV$5)</f>
        <v>0</v>
      </c>
      <c r="DW53" s="48" t="n">
        <f aca="false">$E53*MAX(0,(MIN(In_PB_Release,DW$4)-MAX($F53,DW$3)+1)/DW$5)</f>
        <v>0</v>
      </c>
      <c r="DX53" s="48" t="n">
        <f aca="false">$E53*MAX(0,(MIN(In_PB_Release,DX$4)-MAX($F53,DX$3)+1)/DX$5)</f>
        <v>0</v>
      </c>
      <c r="DY53" s="48" t="n">
        <f aca="false">$E53*MAX(0,(MIN(In_PB_Release,DY$4)-MAX($F53,DY$3)+1)/DY$5)</f>
        <v>0</v>
      </c>
      <c r="DZ53" s="48" t="n">
        <f aca="false">$E53*MAX(0,(MIN(In_PB_Release,DZ$4)-MAX($F53,DZ$3)+1)/DZ$5)</f>
        <v>0</v>
      </c>
      <c r="EA53" s="48" t="n">
        <f aca="false">$E53*MAX(0,(MIN(In_PB_Release,EA$4)-MAX($F53,EA$3)+1)/EA$5)</f>
        <v>0</v>
      </c>
      <c r="EB53" s="48" t="n">
        <f aca="false">$E53*MAX(0,(MIN(In_PB_Release,EB$4)-MAX($F53,EB$3)+1)/EB$5)</f>
        <v>0</v>
      </c>
      <c r="EC53" s="48" t="n">
        <f aca="false">$E53*MAX(0,(MIN(In_PB_Release,EC$4)-MAX($F53,EC$3)+1)/EC$5)</f>
        <v>0</v>
      </c>
      <c r="ED53" s="48" t="n">
        <f aca="false">$E53*MAX(0,(MIN(In_PB_Release,ED$4)-MAX($F53,ED$3)+1)/ED$5)</f>
        <v>0</v>
      </c>
      <c r="EE53" s="48" t="n">
        <f aca="false">$E53*MAX(0,(MIN(In_PB_Release,EE$4)-MAX($F53,EE$3)+1)/EE$5)</f>
        <v>0</v>
      </c>
      <c r="EF53" s="48" t="n">
        <f aca="false">$E53*MAX(0,(MIN(In_PB_Release,EF$4)-MAX($F53,EF$3)+1)/EF$5)</f>
        <v>0</v>
      </c>
      <c r="EG53" s="48" t="n">
        <f aca="false">$E53*MAX(0,(MIN(In_PB_Release,EG$4)-MAX($F53,EG$3)+1)/EG$5)</f>
        <v>0</v>
      </c>
      <c r="EH53" s="48" t="n">
        <f aca="false">$E53*MAX(0,(MIN(In_PB_Release,EH$4)-MAX($F53,EH$3)+1)/EH$5)</f>
        <v>0</v>
      </c>
      <c r="EI53" s="48" t="n">
        <f aca="false">$E53*MAX(0,(MIN(In_PB_Release,EI$4)-MAX($F53,EI$3)+1)/EI$5)</f>
        <v>0</v>
      </c>
      <c r="EJ53" s="48" t="n">
        <f aca="false">$E53*MAX(0,(MIN(In_PB_Release,EJ$4)-MAX($F53,EJ$3)+1)/EJ$5)</f>
        <v>0</v>
      </c>
      <c r="EK53" s="48" t="n">
        <f aca="false">$E53*MAX(0,(MIN(In_PB_Release,EK$4)-MAX($F53,EK$3)+1)/EK$5)</f>
        <v>0</v>
      </c>
      <c r="EL53" s="48" t="n">
        <f aca="false">$E53*MAX(0,(MIN(In_PB_Release,EL$4)-MAX($F53,EL$3)+1)/EL$5)</f>
        <v>0</v>
      </c>
      <c r="EM53" s="48" t="n">
        <f aca="false">$E53*MAX(0,(MIN(In_PB_Release,EM$4)-MAX($F53,EM$3)+1)/EM$5)</f>
        <v>0</v>
      </c>
      <c r="EN53" s="48" t="n">
        <f aca="false">$E53*MAX(0,(MIN(In_PB_Release,EN$4)-MAX($F53,EN$3)+1)/EN$5)</f>
        <v>0</v>
      </c>
      <c r="EO53" s="48" t="n">
        <f aca="false">$E53*MAX(0,(MIN(In_PB_Release,EO$4)-MAX($F53,EO$3)+1)/EO$5)</f>
        <v>0</v>
      </c>
    </row>
    <row r="54" customFormat="false" ht="15" hidden="false" customHeight="false" outlineLevel="0" collapsed="false">
      <c r="C54" s="0" t="s">
        <v>440</v>
      </c>
      <c r="D54" s="11" t="s">
        <v>33</v>
      </c>
      <c r="E54" s="48" t="n">
        <f aca="false">In_TSO_Security*In_MVA*Thousand/In_FX</f>
        <v>616.438356164384</v>
      </c>
      <c r="F54" s="46" t="n">
        <f aca="false">In_Decision_Date+In_PB_Days</f>
        <v>46433</v>
      </c>
      <c r="I54" s="48" t="n">
        <f aca="false">SUM(J54:EO54)</f>
        <v>-616.438356164384</v>
      </c>
      <c r="J54" s="48" t="n">
        <f aca="false">-$E54*N(AND(J$3&lt;=$F54,J$4&gt;=$F54))</f>
        <v>-0</v>
      </c>
      <c r="K54" s="48" t="n">
        <f aca="false">-$E54*N(AND(K$3&lt;=$F54,K$4&gt;=$F54))</f>
        <v>-616.438356164384</v>
      </c>
      <c r="L54" s="48" t="n">
        <f aca="false">-$E54*N(AND(L$3&lt;=$F54,L$4&gt;=$F54))</f>
        <v>-0</v>
      </c>
      <c r="M54" s="48" t="n">
        <f aca="false">-$E54*N(AND(M$3&lt;=$F54,M$4&gt;=$F54))</f>
        <v>-0</v>
      </c>
      <c r="N54" s="48" t="n">
        <f aca="false">-$E54*N(AND(N$3&lt;=$F54,N$4&gt;=$F54))</f>
        <v>-0</v>
      </c>
      <c r="O54" s="48" t="n">
        <f aca="false">-$E54*N(AND(O$3&lt;=$F54,O$4&gt;=$F54))</f>
        <v>-0</v>
      </c>
      <c r="P54" s="48" t="n">
        <f aca="false">-$E54*N(AND(P$3&lt;=$F54,P$4&gt;=$F54))</f>
        <v>-0</v>
      </c>
      <c r="Q54" s="48" t="n">
        <f aca="false">-$E54*N(AND(Q$3&lt;=$F54,Q$4&gt;=$F54))</f>
        <v>-0</v>
      </c>
      <c r="R54" s="48" t="n">
        <f aca="false">-$E54*N(AND(R$3&lt;=$F54,R$4&gt;=$F54))</f>
        <v>-0</v>
      </c>
      <c r="S54" s="48" t="n">
        <f aca="false">-$E54*N(AND(S$3&lt;=$F54,S$4&gt;=$F54))</f>
        <v>-0</v>
      </c>
      <c r="T54" s="48" t="n">
        <f aca="false">-$E54*N(AND(T$3&lt;=$F54,T$4&gt;=$F54))</f>
        <v>-0</v>
      </c>
      <c r="U54" s="48" t="n">
        <f aca="false">-$E54*N(AND(U$3&lt;=$F54,U$4&gt;=$F54))</f>
        <v>-0</v>
      </c>
      <c r="V54" s="48" t="n">
        <f aca="false">-$E54*N(AND(V$3&lt;=$F54,V$4&gt;=$F54))</f>
        <v>-0</v>
      </c>
      <c r="W54" s="48" t="n">
        <f aca="false">-$E54*N(AND(W$3&lt;=$F54,W$4&gt;=$F54))</f>
        <v>-0</v>
      </c>
      <c r="X54" s="48" t="n">
        <f aca="false">-$E54*N(AND(X$3&lt;=$F54,X$4&gt;=$F54))</f>
        <v>-0</v>
      </c>
      <c r="Y54" s="48" t="n">
        <f aca="false">-$E54*N(AND(Y$3&lt;=$F54,Y$4&gt;=$F54))</f>
        <v>-0</v>
      </c>
      <c r="Z54" s="48" t="n">
        <f aca="false">-$E54*N(AND(Z$3&lt;=$F54,Z$4&gt;=$F54))</f>
        <v>-0</v>
      </c>
      <c r="AA54" s="48" t="n">
        <f aca="false">-$E54*N(AND(AA$3&lt;=$F54,AA$4&gt;=$F54))</f>
        <v>-0</v>
      </c>
      <c r="AB54" s="48" t="n">
        <f aca="false">-$E54*N(AND(AB$3&lt;=$F54,AB$4&gt;=$F54))</f>
        <v>-0</v>
      </c>
      <c r="AC54" s="48" t="n">
        <f aca="false">-$E54*N(AND(AC$3&lt;=$F54,AC$4&gt;=$F54))</f>
        <v>-0</v>
      </c>
      <c r="AD54" s="48" t="n">
        <f aca="false">-$E54*N(AND(AD$3&lt;=$F54,AD$4&gt;=$F54))</f>
        <v>-0</v>
      </c>
      <c r="AE54" s="48" t="n">
        <f aca="false">-$E54*N(AND(AE$3&lt;=$F54,AE$4&gt;=$F54))</f>
        <v>-0</v>
      </c>
      <c r="AF54" s="48" t="n">
        <f aca="false">-$E54*N(AND(AF$3&lt;=$F54,AF$4&gt;=$F54))</f>
        <v>-0</v>
      </c>
      <c r="AG54" s="48" t="n">
        <f aca="false">-$E54*N(AND(AG$3&lt;=$F54,AG$4&gt;=$F54))</f>
        <v>-0</v>
      </c>
      <c r="AH54" s="48" t="n">
        <f aca="false">-$E54*N(AND(AH$3&lt;=$F54,AH$4&gt;=$F54))</f>
        <v>-0</v>
      </c>
      <c r="AI54" s="48" t="n">
        <f aca="false">-$E54*N(AND(AI$3&lt;=$F54,AI$4&gt;=$F54))</f>
        <v>-0</v>
      </c>
      <c r="AJ54" s="48" t="n">
        <f aca="false">-$E54*N(AND(AJ$3&lt;=$F54,AJ$4&gt;=$F54))</f>
        <v>-0</v>
      </c>
      <c r="AK54" s="48" t="n">
        <f aca="false">-$E54*N(AND(AK$3&lt;=$F54,AK$4&gt;=$F54))</f>
        <v>-0</v>
      </c>
      <c r="AL54" s="48" t="n">
        <f aca="false">-$E54*N(AND(AL$3&lt;=$F54,AL$4&gt;=$F54))</f>
        <v>-0</v>
      </c>
      <c r="AM54" s="48" t="n">
        <f aca="false">-$E54*N(AND(AM$3&lt;=$F54,AM$4&gt;=$F54))</f>
        <v>-0</v>
      </c>
      <c r="AN54" s="48" t="n">
        <f aca="false">-$E54*N(AND(AN$3&lt;=$F54,AN$4&gt;=$F54))</f>
        <v>-0</v>
      </c>
      <c r="AO54" s="48" t="n">
        <f aca="false">-$E54*N(AND(AO$3&lt;=$F54,AO$4&gt;=$F54))</f>
        <v>-0</v>
      </c>
      <c r="AP54" s="48" t="n">
        <f aca="false">-$E54*N(AND(AP$3&lt;=$F54,AP$4&gt;=$F54))</f>
        <v>-0</v>
      </c>
      <c r="AQ54" s="48" t="n">
        <f aca="false">-$E54*N(AND(AQ$3&lt;=$F54,AQ$4&gt;=$F54))</f>
        <v>-0</v>
      </c>
      <c r="AR54" s="48" t="n">
        <f aca="false">-$E54*N(AND(AR$3&lt;=$F54,AR$4&gt;=$F54))</f>
        <v>-0</v>
      </c>
      <c r="AS54" s="48" t="n">
        <f aca="false">-$E54*N(AND(AS$3&lt;=$F54,AS$4&gt;=$F54))</f>
        <v>-0</v>
      </c>
      <c r="AT54" s="48" t="n">
        <f aca="false">-$E54*N(AND(AT$3&lt;=$F54,AT$4&gt;=$F54))</f>
        <v>-0</v>
      </c>
      <c r="AU54" s="48" t="n">
        <f aca="false">-$E54*N(AND(AU$3&lt;=$F54,AU$4&gt;=$F54))</f>
        <v>-0</v>
      </c>
      <c r="AV54" s="48" t="n">
        <f aca="false">-$E54*N(AND(AV$3&lt;=$F54,AV$4&gt;=$F54))</f>
        <v>-0</v>
      </c>
      <c r="AW54" s="48" t="n">
        <f aca="false">-$E54*N(AND(AW$3&lt;=$F54,AW$4&gt;=$F54))</f>
        <v>-0</v>
      </c>
      <c r="AX54" s="48" t="n">
        <f aca="false">-$E54*N(AND(AX$3&lt;=$F54,AX$4&gt;=$F54))</f>
        <v>-0</v>
      </c>
      <c r="AY54" s="48" t="n">
        <f aca="false">-$E54*N(AND(AY$3&lt;=$F54,AY$4&gt;=$F54))</f>
        <v>-0</v>
      </c>
      <c r="AZ54" s="48" t="n">
        <f aca="false">-$E54*N(AND(AZ$3&lt;=$F54,AZ$4&gt;=$F54))</f>
        <v>-0</v>
      </c>
      <c r="BA54" s="48" t="n">
        <f aca="false">-$E54*N(AND(BA$3&lt;=$F54,BA$4&gt;=$F54))</f>
        <v>-0</v>
      </c>
      <c r="BB54" s="48" t="n">
        <f aca="false">-$E54*N(AND(BB$3&lt;=$F54,BB$4&gt;=$F54))</f>
        <v>-0</v>
      </c>
      <c r="BC54" s="48" t="n">
        <f aca="false">-$E54*N(AND(BC$3&lt;=$F54,BC$4&gt;=$F54))</f>
        <v>-0</v>
      </c>
      <c r="BD54" s="48" t="n">
        <f aca="false">-$E54*N(AND(BD$3&lt;=$F54,BD$4&gt;=$F54))</f>
        <v>-0</v>
      </c>
      <c r="BE54" s="48" t="n">
        <f aca="false">-$E54*N(AND(BE$3&lt;=$F54,BE$4&gt;=$F54))</f>
        <v>-0</v>
      </c>
      <c r="BF54" s="48" t="n">
        <f aca="false">-$E54*N(AND(BF$3&lt;=$F54,BF$4&gt;=$F54))</f>
        <v>-0</v>
      </c>
      <c r="BG54" s="48" t="n">
        <f aca="false">-$E54*N(AND(BG$3&lt;=$F54,BG$4&gt;=$F54))</f>
        <v>-0</v>
      </c>
      <c r="BH54" s="48" t="n">
        <f aca="false">-$E54*N(AND(BH$3&lt;=$F54,BH$4&gt;=$F54))</f>
        <v>-0</v>
      </c>
      <c r="BI54" s="48" t="n">
        <f aca="false">-$E54*N(AND(BI$3&lt;=$F54,BI$4&gt;=$F54))</f>
        <v>-0</v>
      </c>
      <c r="BJ54" s="48" t="n">
        <f aca="false">-$E54*N(AND(BJ$3&lt;=$F54,BJ$4&gt;=$F54))</f>
        <v>-0</v>
      </c>
      <c r="BK54" s="48" t="n">
        <f aca="false">-$E54*N(AND(BK$3&lt;=$F54,BK$4&gt;=$F54))</f>
        <v>-0</v>
      </c>
      <c r="BL54" s="48" t="n">
        <f aca="false">-$E54*N(AND(BL$3&lt;=$F54,BL$4&gt;=$F54))</f>
        <v>-0</v>
      </c>
      <c r="BM54" s="48" t="n">
        <f aca="false">-$E54*N(AND(BM$3&lt;=$F54,BM$4&gt;=$F54))</f>
        <v>-0</v>
      </c>
      <c r="BN54" s="48" t="n">
        <f aca="false">-$E54*N(AND(BN$3&lt;=$F54,BN$4&gt;=$F54))</f>
        <v>-0</v>
      </c>
      <c r="BO54" s="48" t="n">
        <f aca="false">-$E54*N(AND(BO$3&lt;=$F54,BO$4&gt;=$F54))</f>
        <v>-0</v>
      </c>
      <c r="BP54" s="48" t="n">
        <f aca="false">-$E54*N(AND(BP$3&lt;=$F54,BP$4&gt;=$F54))</f>
        <v>-0</v>
      </c>
      <c r="BQ54" s="48" t="n">
        <f aca="false">-$E54*N(AND(BQ$3&lt;=$F54,BQ$4&gt;=$F54))</f>
        <v>-0</v>
      </c>
      <c r="BR54" s="48" t="n">
        <f aca="false">-$E54*N(AND(BR$3&lt;=$F54,BR$4&gt;=$F54))</f>
        <v>-0</v>
      </c>
      <c r="BS54" s="48" t="n">
        <f aca="false">-$E54*N(AND(BS$3&lt;=$F54,BS$4&gt;=$F54))</f>
        <v>-0</v>
      </c>
      <c r="BT54" s="48" t="n">
        <f aca="false">-$E54*N(AND(BT$3&lt;=$F54,BT$4&gt;=$F54))</f>
        <v>-0</v>
      </c>
      <c r="BU54" s="48" t="n">
        <f aca="false">-$E54*N(AND(BU$3&lt;=$F54,BU$4&gt;=$F54))</f>
        <v>-0</v>
      </c>
      <c r="BV54" s="48" t="n">
        <f aca="false">-$E54*N(AND(BV$3&lt;=$F54,BV$4&gt;=$F54))</f>
        <v>-0</v>
      </c>
      <c r="BW54" s="48" t="n">
        <f aca="false">-$E54*N(AND(BW$3&lt;=$F54,BW$4&gt;=$F54))</f>
        <v>-0</v>
      </c>
      <c r="BX54" s="48" t="n">
        <f aca="false">-$E54*N(AND(BX$3&lt;=$F54,BX$4&gt;=$F54))</f>
        <v>-0</v>
      </c>
      <c r="BY54" s="48" t="n">
        <f aca="false">-$E54*N(AND(BY$3&lt;=$F54,BY$4&gt;=$F54))</f>
        <v>-0</v>
      </c>
      <c r="BZ54" s="48" t="n">
        <f aca="false">-$E54*N(AND(BZ$3&lt;=$F54,BZ$4&gt;=$F54))</f>
        <v>-0</v>
      </c>
      <c r="CA54" s="48" t="n">
        <f aca="false">-$E54*N(AND(CA$3&lt;=$F54,CA$4&gt;=$F54))</f>
        <v>-0</v>
      </c>
      <c r="CB54" s="48" t="n">
        <f aca="false">-$E54*N(AND(CB$3&lt;=$F54,CB$4&gt;=$F54))</f>
        <v>-0</v>
      </c>
      <c r="CC54" s="48" t="n">
        <f aca="false">-$E54*N(AND(CC$3&lt;=$F54,CC$4&gt;=$F54))</f>
        <v>-0</v>
      </c>
      <c r="CD54" s="48" t="n">
        <f aca="false">-$E54*N(AND(CD$3&lt;=$F54,CD$4&gt;=$F54))</f>
        <v>-0</v>
      </c>
      <c r="CE54" s="48" t="n">
        <f aca="false">-$E54*N(AND(CE$3&lt;=$F54,CE$4&gt;=$F54))</f>
        <v>-0</v>
      </c>
      <c r="CF54" s="48" t="n">
        <f aca="false">-$E54*N(AND(CF$3&lt;=$F54,CF$4&gt;=$F54))</f>
        <v>-0</v>
      </c>
      <c r="CG54" s="48" t="n">
        <f aca="false">-$E54*N(AND(CG$3&lt;=$F54,CG$4&gt;=$F54))</f>
        <v>-0</v>
      </c>
      <c r="CH54" s="48" t="n">
        <f aca="false">-$E54*N(AND(CH$3&lt;=$F54,CH$4&gt;=$F54))</f>
        <v>-0</v>
      </c>
      <c r="CI54" s="48" t="n">
        <f aca="false">-$E54*N(AND(CI$3&lt;=$F54,CI$4&gt;=$F54))</f>
        <v>-0</v>
      </c>
      <c r="CJ54" s="48" t="n">
        <f aca="false">-$E54*N(AND(CJ$3&lt;=$F54,CJ$4&gt;=$F54))</f>
        <v>-0</v>
      </c>
      <c r="CK54" s="48" t="n">
        <f aca="false">-$E54*N(AND(CK$3&lt;=$F54,CK$4&gt;=$F54))</f>
        <v>-0</v>
      </c>
      <c r="CL54" s="48" t="n">
        <f aca="false">-$E54*N(AND(CL$3&lt;=$F54,CL$4&gt;=$F54))</f>
        <v>-0</v>
      </c>
      <c r="CM54" s="48" t="n">
        <f aca="false">-$E54*N(AND(CM$3&lt;=$F54,CM$4&gt;=$F54))</f>
        <v>-0</v>
      </c>
      <c r="CN54" s="48" t="n">
        <f aca="false">-$E54*N(AND(CN$3&lt;=$F54,CN$4&gt;=$F54))</f>
        <v>-0</v>
      </c>
      <c r="CO54" s="48" t="n">
        <f aca="false">-$E54*N(AND(CO$3&lt;=$F54,CO$4&gt;=$F54))</f>
        <v>-0</v>
      </c>
      <c r="CP54" s="48" t="n">
        <f aca="false">-$E54*N(AND(CP$3&lt;=$F54,CP$4&gt;=$F54))</f>
        <v>-0</v>
      </c>
      <c r="CQ54" s="48" t="n">
        <f aca="false">-$E54*N(AND(CQ$3&lt;=$F54,CQ$4&gt;=$F54))</f>
        <v>-0</v>
      </c>
      <c r="CR54" s="48" t="n">
        <f aca="false">-$E54*N(AND(CR$3&lt;=$F54,CR$4&gt;=$F54))</f>
        <v>-0</v>
      </c>
      <c r="CS54" s="48" t="n">
        <f aca="false">-$E54*N(AND(CS$3&lt;=$F54,CS$4&gt;=$F54))</f>
        <v>-0</v>
      </c>
      <c r="CT54" s="48" t="n">
        <f aca="false">-$E54*N(AND(CT$3&lt;=$F54,CT$4&gt;=$F54))</f>
        <v>-0</v>
      </c>
      <c r="CU54" s="48" t="n">
        <f aca="false">-$E54*N(AND(CU$3&lt;=$F54,CU$4&gt;=$F54))</f>
        <v>-0</v>
      </c>
      <c r="CV54" s="48" t="n">
        <f aca="false">-$E54*N(AND(CV$3&lt;=$F54,CV$4&gt;=$F54))</f>
        <v>-0</v>
      </c>
      <c r="CW54" s="48" t="n">
        <f aca="false">-$E54*N(AND(CW$3&lt;=$F54,CW$4&gt;=$F54))</f>
        <v>-0</v>
      </c>
      <c r="CX54" s="48" t="n">
        <f aca="false">-$E54*N(AND(CX$3&lt;=$F54,CX$4&gt;=$F54))</f>
        <v>-0</v>
      </c>
      <c r="CY54" s="48" t="n">
        <f aca="false">-$E54*N(AND(CY$3&lt;=$F54,CY$4&gt;=$F54))</f>
        <v>-0</v>
      </c>
      <c r="CZ54" s="48" t="n">
        <f aca="false">-$E54*N(AND(CZ$3&lt;=$F54,CZ$4&gt;=$F54))</f>
        <v>-0</v>
      </c>
      <c r="DA54" s="48" t="n">
        <f aca="false">-$E54*N(AND(DA$3&lt;=$F54,DA$4&gt;=$F54))</f>
        <v>-0</v>
      </c>
      <c r="DB54" s="48" t="n">
        <f aca="false">-$E54*N(AND(DB$3&lt;=$F54,DB$4&gt;=$F54))</f>
        <v>-0</v>
      </c>
      <c r="DC54" s="48" t="n">
        <f aca="false">-$E54*N(AND(DC$3&lt;=$F54,DC$4&gt;=$F54))</f>
        <v>-0</v>
      </c>
      <c r="DD54" s="48" t="n">
        <f aca="false">-$E54*N(AND(DD$3&lt;=$F54,DD$4&gt;=$F54))</f>
        <v>-0</v>
      </c>
      <c r="DE54" s="48" t="n">
        <f aca="false">-$E54*N(AND(DE$3&lt;=$F54,DE$4&gt;=$F54))</f>
        <v>-0</v>
      </c>
      <c r="DF54" s="48" t="n">
        <f aca="false">-$E54*N(AND(DF$3&lt;=$F54,DF$4&gt;=$F54))</f>
        <v>-0</v>
      </c>
      <c r="DG54" s="48" t="n">
        <f aca="false">-$E54*N(AND(DG$3&lt;=$F54,DG$4&gt;=$F54))</f>
        <v>-0</v>
      </c>
      <c r="DH54" s="48" t="n">
        <f aca="false">-$E54*N(AND(DH$3&lt;=$F54,DH$4&gt;=$F54))</f>
        <v>-0</v>
      </c>
      <c r="DI54" s="48" t="n">
        <f aca="false">-$E54*N(AND(DI$3&lt;=$F54,DI$4&gt;=$F54))</f>
        <v>-0</v>
      </c>
      <c r="DJ54" s="48" t="n">
        <f aca="false">-$E54*N(AND(DJ$3&lt;=$F54,DJ$4&gt;=$F54))</f>
        <v>-0</v>
      </c>
      <c r="DK54" s="48" t="n">
        <f aca="false">-$E54*N(AND(DK$3&lt;=$F54,DK$4&gt;=$F54))</f>
        <v>-0</v>
      </c>
      <c r="DL54" s="48" t="n">
        <f aca="false">-$E54*N(AND(DL$3&lt;=$F54,DL$4&gt;=$F54))</f>
        <v>-0</v>
      </c>
      <c r="DM54" s="48" t="n">
        <f aca="false">-$E54*N(AND(DM$3&lt;=$F54,DM$4&gt;=$F54))</f>
        <v>-0</v>
      </c>
      <c r="DN54" s="48" t="n">
        <f aca="false">-$E54*N(AND(DN$3&lt;=$F54,DN$4&gt;=$F54))</f>
        <v>-0</v>
      </c>
      <c r="DO54" s="48" t="n">
        <f aca="false">-$E54*N(AND(DO$3&lt;=$F54,DO$4&gt;=$F54))</f>
        <v>-0</v>
      </c>
      <c r="DP54" s="48" t="n">
        <f aca="false">-$E54*N(AND(DP$3&lt;=$F54,DP$4&gt;=$F54))</f>
        <v>-0</v>
      </c>
      <c r="DQ54" s="48" t="n">
        <f aca="false">-$E54*N(AND(DQ$3&lt;=$F54,DQ$4&gt;=$F54))</f>
        <v>-0</v>
      </c>
      <c r="DR54" s="48" t="n">
        <f aca="false">-$E54*N(AND(DR$3&lt;=$F54,DR$4&gt;=$F54))</f>
        <v>-0</v>
      </c>
      <c r="DS54" s="48" t="n">
        <f aca="false">-$E54*N(AND(DS$3&lt;=$F54,DS$4&gt;=$F54))</f>
        <v>-0</v>
      </c>
      <c r="DT54" s="48" t="n">
        <f aca="false">-$E54*N(AND(DT$3&lt;=$F54,DT$4&gt;=$F54))</f>
        <v>-0</v>
      </c>
      <c r="DU54" s="48" t="n">
        <f aca="false">-$E54*N(AND(DU$3&lt;=$F54,DU$4&gt;=$F54))</f>
        <v>-0</v>
      </c>
      <c r="DV54" s="48" t="n">
        <f aca="false">-$E54*N(AND(DV$3&lt;=$F54,DV$4&gt;=$F54))</f>
        <v>-0</v>
      </c>
      <c r="DW54" s="48" t="n">
        <f aca="false">-$E54*N(AND(DW$3&lt;=$F54,DW$4&gt;=$F54))</f>
        <v>-0</v>
      </c>
      <c r="DX54" s="48" t="n">
        <f aca="false">-$E54*N(AND(DX$3&lt;=$F54,DX$4&gt;=$F54))</f>
        <v>-0</v>
      </c>
      <c r="DY54" s="48" t="n">
        <f aca="false">-$E54*N(AND(DY$3&lt;=$F54,DY$4&gt;=$F54))</f>
        <v>-0</v>
      </c>
      <c r="DZ54" s="48" t="n">
        <f aca="false">-$E54*N(AND(DZ$3&lt;=$F54,DZ$4&gt;=$F54))</f>
        <v>-0</v>
      </c>
      <c r="EA54" s="48" t="n">
        <f aca="false">-$E54*N(AND(EA$3&lt;=$F54,EA$4&gt;=$F54))</f>
        <v>-0</v>
      </c>
      <c r="EB54" s="48" t="n">
        <f aca="false">-$E54*N(AND(EB$3&lt;=$F54,EB$4&gt;=$F54))</f>
        <v>-0</v>
      </c>
      <c r="EC54" s="48" t="n">
        <f aca="false">-$E54*N(AND(EC$3&lt;=$F54,EC$4&gt;=$F54))</f>
        <v>-0</v>
      </c>
      <c r="ED54" s="48" t="n">
        <f aca="false">-$E54*N(AND(ED$3&lt;=$F54,ED$4&gt;=$F54))</f>
        <v>-0</v>
      </c>
      <c r="EE54" s="48" t="n">
        <f aca="false">-$E54*N(AND(EE$3&lt;=$F54,EE$4&gt;=$F54))</f>
        <v>-0</v>
      </c>
      <c r="EF54" s="48" t="n">
        <f aca="false">-$E54*N(AND(EF$3&lt;=$F54,EF$4&gt;=$F54))</f>
        <v>-0</v>
      </c>
      <c r="EG54" s="48" t="n">
        <f aca="false">-$E54*N(AND(EG$3&lt;=$F54,EG$4&gt;=$F54))</f>
        <v>-0</v>
      </c>
      <c r="EH54" s="48" t="n">
        <f aca="false">-$E54*N(AND(EH$3&lt;=$F54,EH$4&gt;=$F54))</f>
        <v>-0</v>
      </c>
      <c r="EI54" s="48" t="n">
        <f aca="false">-$E54*N(AND(EI$3&lt;=$F54,EI$4&gt;=$F54))</f>
        <v>-0</v>
      </c>
      <c r="EJ54" s="48" t="n">
        <f aca="false">-$E54*N(AND(EJ$3&lt;=$F54,EJ$4&gt;=$F54))</f>
        <v>-0</v>
      </c>
      <c r="EK54" s="48" t="n">
        <f aca="false">-$E54*N(AND(EK$3&lt;=$F54,EK$4&gt;=$F54))</f>
        <v>-0</v>
      </c>
      <c r="EL54" s="48" t="n">
        <f aca="false">-$E54*N(AND(EL$3&lt;=$F54,EL$4&gt;=$F54))</f>
        <v>-0</v>
      </c>
      <c r="EM54" s="48" t="n">
        <f aca="false">-$E54*N(AND(EM$3&lt;=$F54,EM$4&gt;=$F54))</f>
        <v>-0</v>
      </c>
      <c r="EN54" s="48" t="n">
        <f aca="false">-$E54*N(AND(EN$3&lt;=$F54,EN$4&gt;=$F54))</f>
        <v>-0</v>
      </c>
      <c r="EO54" s="48" t="n">
        <f aca="false">-$E54*N(AND(EO$3&lt;=$F54,EO$4&gt;=$F54))</f>
        <v>-0</v>
      </c>
    </row>
    <row r="55" customFormat="false" ht="15" hidden="false" customHeight="false" outlineLevel="0" collapsed="false">
      <c r="C55" s="0" t="s">
        <v>441</v>
      </c>
      <c r="D55" s="11" t="s">
        <v>33</v>
      </c>
      <c r="E55" s="48" t="n">
        <f aca="false">In_Direct_Fee*Thousand/In_FX</f>
        <v>1260.27397260274</v>
      </c>
      <c r="F55" s="20" t="n">
        <f aca="false">In_HCSSZ_Date</f>
        <v>47126</v>
      </c>
      <c r="I55" s="48" t="n">
        <f aca="false">SUM(J55:EO55)</f>
        <v>-1260.27397260274</v>
      </c>
      <c r="J55" s="48" t="n">
        <f aca="false">-$E55*N(AND(J$3&lt;=$F55,J$4&gt;=$F55))</f>
        <v>-0</v>
      </c>
      <c r="K55" s="48" t="n">
        <f aca="false">-$E55*N(AND(K$3&lt;=$F55,K$4&gt;=$F55))</f>
        <v>-0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-1260.27397260274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442</v>
      </c>
      <c r="D56" s="11" t="s">
        <v>33</v>
      </c>
      <c r="E56" s="48" t="n">
        <f aca="false">(In_Indirect_Fee-In_TSO_Security)*In_MVA*Thousand/In_FX</f>
        <v>6894.54917808219</v>
      </c>
      <c r="F56" s="20" t="n">
        <f aca="false">In_HCSSZ_Date</f>
        <v>47126</v>
      </c>
      <c r="I56" s="48" t="n">
        <f aca="false">SUM(J56:EO56)</f>
        <v>-6894.54917808219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-6894.54917808219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443</v>
      </c>
      <c r="D57" s="11" t="s">
        <v>33</v>
      </c>
      <c r="I57" s="48" t="n">
        <f aca="false">SUM(J57:EO57)</f>
        <v>-8154.82315068493</v>
      </c>
      <c r="J57" s="48" t="n">
        <f aca="false">J55+J56</f>
        <v>-0</v>
      </c>
      <c r="K57" s="48" t="n">
        <f aca="false">K55+K56</f>
        <v>-0</v>
      </c>
      <c r="L57" s="48" t="n">
        <f aca="false">L55+L56</f>
        <v>-0</v>
      </c>
      <c r="M57" s="48" t="n">
        <f aca="false">M55+M56</f>
        <v>-0</v>
      </c>
      <c r="N57" s="48" t="n">
        <f aca="false">N55+N56</f>
        <v>-0</v>
      </c>
      <c r="O57" s="48" t="n">
        <f aca="false">O55+O56</f>
        <v>-0</v>
      </c>
      <c r="P57" s="48" t="n">
        <f aca="false">P55+P56</f>
        <v>-0</v>
      </c>
      <c r="Q57" s="48" t="n">
        <f aca="false">Q55+Q56</f>
        <v>-0</v>
      </c>
      <c r="R57" s="48" t="n">
        <f aca="false">R55+R56</f>
        <v>-0</v>
      </c>
      <c r="S57" s="48" t="n">
        <f aca="false">S55+S56</f>
        <v>-8154.82315068493</v>
      </c>
      <c r="T57" s="48" t="n">
        <f aca="false">T55+T56</f>
        <v>-0</v>
      </c>
      <c r="U57" s="48" t="n">
        <f aca="false">U55+U56</f>
        <v>-0</v>
      </c>
      <c r="V57" s="48" t="n">
        <f aca="false">V55+V56</f>
        <v>-0</v>
      </c>
      <c r="W57" s="48" t="n">
        <f aca="false">W55+W56</f>
        <v>-0</v>
      </c>
      <c r="X57" s="48" t="n">
        <f aca="false">X55+X56</f>
        <v>-0</v>
      </c>
      <c r="Y57" s="48" t="n">
        <f aca="false">Y55+Y56</f>
        <v>-0</v>
      </c>
      <c r="Z57" s="48" t="n">
        <f aca="false">Z55+Z56</f>
        <v>-0</v>
      </c>
      <c r="AA57" s="48" t="n">
        <f aca="false">AA55+AA56</f>
        <v>-0</v>
      </c>
      <c r="AB57" s="48" t="n">
        <f aca="false">AB55+AB56</f>
        <v>-0</v>
      </c>
      <c r="AC57" s="48" t="n">
        <f aca="false">AC55+AC56</f>
        <v>-0</v>
      </c>
      <c r="AD57" s="48" t="n">
        <f aca="false">AD55+AD56</f>
        <v>-0</v>
      </c>
      <c r="AE57" s="48" t="n">
        <f aca="false">AE55+AE56</f>
        <v>-0</v>
      </c>
      <c r="AF57" s="48" t="n">
        <f aca="false">AF55+AF56</f>
        <v>-0</v>
      </c>
      <c r="AG57" s="48" t="n">
        <f aca="false">AG55+AG56</f>
        <v>-0</v>
      </c>
      <c r="AH57" s="48" t="n">
        <f aca="false">AH55+AH56</f>
        <v>-0</v>
      </c>
      <c r="AI57" s="48" t="n">
        <f aca="false">AI55+AI56</f>
        <v>-0</v>
      </c>
      <c r="AJ57" s="48" t="n">
        <f aca="false">AJ55+AJ56</f>
        <v>-0</v>
      </c>
      <c r="AK57" s="48" t="n">
        <f aca="false">AK55+AK56</f>
        <v>-0</v>
      </c>
      <c r="AL57" s="48" t="n">
        <f aca="false">AL55+AL56</f>
        <v>-0</v>
      </c>
      <c r="AM57" s="48" t="n">
        <f aca="false">AM55+AM56</f>
        <v>-0</v>
      </c>
      <c r="AN57" s="48" t="n">
        <f aca="false">AN55+AN56</f>
        <v>-0</v>
      </c>
      <c r="AO57" s="48" t="n">
        <f aca="false">AO55+AO56</f>
        <v>-0</v>
      </c>
      <c r="AP57" s="48" t="n">
        <f aca="false">AP55+AP56</f>
        <v>-0</v>
      </c>
      <c r="AQ57" s="48" t="n">
        <f aca="false">AQ55+AQ56</f>
        <v>-0</v>
      </c>
      <c r="AR57" s="48" t="n">
        <f aca="false">AR55+AR56</f>
        <v>-0</v>
      </c>
      <c r="AS57" s="48" t="n">
        <f aca="false">AS55+AS56</f>
        <v>-0</v>
      </c>
      <c r="AT57" s="48" t="n">
        <f aca="false">AT55+AT56</f>
        <v>-0</v>
      </c>
      <c r="AU57" s="48" t="n">
        <f aca="false">AU55+AU56</f>
        <v>-0</v>
      </c>
      <c r="AV57" s="48" t="n">
        <f aca="false">AV55+AV56</f>
        <v>-0</v>
      </c>
      <c r="AW57" s="48" t="n">
        <f aca="false">AW55+AW56</f>
        <v>-0</v>
      </c>
      <c r="AX57" s="48" t="n">
        <f aca="false">AX55+AX56</f>
        <v>-0</v>
      </c>
      <c r="AY57" s="48" t="n">
        <f aca="false">AY55+AY56</f>
        <v>-0</v>
      </c>
      <c r="AZ57" s="48" t="n">
        <f aca="false">AZ55+AZ56</f>
        <v>-0</v>
      </c>
      <c r="BA57" s="48" t="n">
        <f aca="false">BA55+BA56</f>
        <v>-0</v>
      </c>
      <c r="BB57" s="48" t="n">
        <f aca="false">BB55+BB56</f>
        <v>-0</v>
      </c>
      <c r="BC57" s="48" t="n">
        <f aca="false">BC55+BC56</f>
        <v>-0</v>
      </c>
      <c r="BD57" s="48" t="n">
        <f aca="false">BD55+BD56</f>
        <v>-0</v>
      </c>
      <c r="BE57" s="48" t="n">
        <f aca="false">BE55+BE56</f>
        <v>-0</v>
      </c>
      <c r="BF57" s="48" t="n">
        <f aca="false">BF55+BF56</f>
        <v>-0</v>
      </c>
      <c r="BG57" s="48" t="n">
        <f aca="false">BG55+BG56</f>
        <v>-0</v>
      </c>
      <c r="BH57" s="48" t="n">
        <f aca="false">BH55+BH56</f>
        <v>-0</v>
      </c>
      <c r="BI57" s="48" t="n">
        <f aca="false">BI55+BI56</f>
        <v>-0</v>
      </c>
      <c r="BJ57" s="48" t="n">
        <f aca="false">BJ55+BJ56</f>
        <v>-0</v>
      </c>
      <c r="BK57" s="48" t="n">
        <f aca="false">BK55+BK56</f>
        <v>-0</v>
      </c>
      <c r="BL57" s="48" t="n">
        <f aca="false">BL55+BL56</f>
        <v>-0</v>
      </c>
      <c r="BM57" s="48" t="n">
        <f aca="false">BM55+BM56</f>
        <v>-0</v>
      </c>
      <c r="BN57" s="48" t="n">
        <f aca="false">BN55+BN56</f>
        <v>-0</v>
      </c>
      <c r="BO57" s="48" t="n">
        <f aca="false">BO55+BO56</f>
        <v>-0</v>
      </c>
      <c r="BP57" s="48" t="n">
        <f aca="false">BP55+BP56</f>
        <v>-0</v>
      </c>
      <c r="BQ57" s="48" t="n">
        <f aca="false">BQ55+BQ56</f>
        <v>-0</v>
      </c>
      <c r="BR57" s="48" t="n">
        <f aca="false">BR55+BR56</f>
        <v>-0</v>
      </c>
      <c r="BS57" s="48" t="n">
        <f aca="false">BS55+BS56</f>
        <v>-0</v>
      </c>
      <c r="BT57" s="48" t="n">
        <f aca="false">BT55+BT56</f>
        <v>-0</v>
      </c>
      <c r="BU57" s="48" t="n">
        <f aca="false">BU55+BU56</f>
        <v>-0</v>
      </c>
      <c r="BV57" s="48" t="n">
        <f aca="false">BV55+BV56</f>
        <v>-0</v>
      </c>
      <c r="BW57" s="48" t="n">
        <f aca="false">BW55+BW56</f>
        <v>-0</v>
      </c>
      <c r="BX57" s="48" t="n">
        <f aca="false">BX55+BX56</f>
        <v>-0</v>
      </c>
      <c r="BY57" s="48" t="n">
        <f aca="false">BY55+BY56</f>
        <v>-0</v>
      </c>
      <c r="BZ57" s="48" t="n">
        <f aca="false">BZ55+BZ56</f>
        <v>-0</v>
      </c>
      <c r="CA57" s="48" t="n">
        <f aca="false">CA55+CA56</f>
        <v>-0</v>
      </c>
      <c r="CB57" s="48" t="n">
        <f aca="false">CB55+CB56</f>
        <v>-0</v>
      </c>
      <c r="CC57" s="48" t="n">
        <f aca="false">CC55+CC56</f>
        <v>-0</v>
      </c>
      <c r="CD57" s="48" t="n">
        <f aca="false">CD55+CD56</f>
        <v>-0</v>
      </c>
      <c r="CE57" s="48" t="n">
        <f aca="false">CE55+CE56</f>
        <v>-0</v>
      </c>
      <c r="CF57" s="48" t="n">
        <f aca="false">CF55+CF56</f>
        <v>-0</v>
      </c>
      <c r="CG57" s="48" t="n">
        <f aca="false">CG55+CG56</f>
        <v>-0</v>
      </c>
      <c r="CH57" s="48" t="n">
        <f aca="false">CH55+CH56</f>
        <v>-0</v>
      </c>
      <c r="CI57" s="48" t="n">
        <f aca="false">CI55+CI56</f>
        <v>-0</v>
      </c>
      <c r="CJ57" s="48" t="n">
        <f aca="false">CJ55+CJ56</f>
        <v>-0</v>
      </c>
      <c r="CK57" s="48" t="n">
        <f aca="false">CK55+CK56</f>
        <v>-0</v>
      </c>
      <c r="CL57" s="48" t="n">
        <f aca="false">CL55+CL56</f>
        <v>-0</v>
      </c>
      <c r="CM57" s="48" t="n">
        <f aca="false">CM55+CM56</f>
        <v>-0</v>
      </c>
      <c r="CN57" s="48" t="n">
        <f aca="false">CN55+CN56</f>
        <v>-0</v>
      </c>
      <c r="CO57" s="48" t="n">
        <f aca="false">CO55+CO56</f>
        <v>-0</v>
      </c>
      <c r="CP57" s="48" t="n">
        <f aca="false">CP55+CP56</f>
        <v>-0</v>
      </c>
      <c r="CQ57" s="48" t="n">
        <f aca="false">CQ55+CQ56</f>
        <v>-0</v>
      </c>
      <c r="CR57" s="48" t="n">
        <f aca="false">CR55+CR56</f>
        <v>-0</v>
      </c>
      <c r="CS57" s="48" t="n">
        <f aca="false">CS55+CS56</f>
        <v>-0</v>
      </c>
      <c r="CT57" s="48" t="n">
        <f aca="false">CT55+CT56</f>
        <v>-0</v>
      </c>
      <c r="CU57" s="48" t="n">
        <f aca="false">CU55+CU56</f>
        <v>-0</v>
      </c>
      <c r="CV57" s="48" t="n">
        <f aca="false">CV55+CV56</f>
        <v>-0</v>
      </c>
      <c r="CW57" s="48" t="n">
        <f aca="false">CW55+CW56</f>
        <v>-0</v>
      </c>
      <c r="CX57" s="48" t="n">
        <f aca="false">CX55+CX56</f>
        <v>-0</v>
      </c>
      <c r="CY57" s="48" t="n">
        <f aca="false">CY55+CY56</f>
        <v>-0</v>
      </c>
      <c r="CZ57" s="48" t="n">
        <f aca="false">CZ55+CZ56</f>
        <v>-0</v>
      </c>
      <c r="DA57" s="48" t="n">
        <f aca="false">DA55+DA56</f>
        <v>-0</v>
      </c>
      <c r="DB57" s="48" t="n">
        <f aca="false">DB55+DB56</f>
        <v>-0</v>
      </c>
      <c r="DC57" s="48" t="n">
        <f aca="false">DC55+DC56</f>
        <v>-0</v>
      </c>
      <c r="DD57" s="48" t="n">
        <f aca="false">DD55+DD56</f>
        <v>-0</v>
      </c>
      <c r="DE57" s="48" t="n">
        <f aca="false">DE55+DE56</f>
        <v>-0</v>
      </c>
      <c r="DF57" s="48" t="n">
        <f aca="false">DF55+DF56</f>
        <v>-0</v>
      </c>
      <c r="DG57" s="48" t="n">
        <f aca="false">DG55+DG56</f>
        <v>-0</v>
      </c>
      <c r="DH57" s="48" t="n">
        <f aca="false">DH55+DH56</f>
        <v>-0</v>
      </c>
      <c r="DI57" s="48" t="n">
        <f aca="false">DI55+DI56</f>
        <v>-0</v>
      </c>
      <c r="DJ57" s="48" t="n">
        <f aca="false">DJ55+DJ56</f>
        <v>-0</v>
      </c>
      <c r="DK57" s="48" t="n">
        <f aca="false">DK55+DK56</f>
        <v>-0</v>
      </c>
      <c r="DL57" s="48" t="n">
        <f aca="false">DL55+DL56</f>
        <v>-0</v>
      </c>
      <c r="DM57" s="48" t="n">
        <f aca="false">DM55+DM56</f>
        <v>-0</v>
      </c>
      <c r="DN57" s="48" t="n">
        <f aca="false">DN55+DN56</f>
        <v>-0</v>
      </c>
      <c r="DO57" s="48" t="n">
        <f aca="false">DO55+DO56</f>
        <v>-0</v>
      </c>
      <c r="DP57" s="48" t="n">
        <f aca="false">DP55+DP56</f>
        <v>-0</v>
      </c>
      <c r="DQ57" s="48" t="n">
        <f aca="false">DQ55+DQ56</f>
        <v>-0</v>
      </c>
      <c r="DR57" s="48" t="n">
        <f aca="false">DR55+DR56</f>
        <v>-0</v>
      </c>
      <c r="DS57" s="48" t="n">
        <f aca="false">DS55+DS56</f>
        <v>-0</v>
      </c>
      <c r="DT57" s="48" t="n">
        <f aca="false">DT55+DT56</f>
        <v>-0</v>
      </c>
      <c r="DU57" s="48" t="n">
        <f aca="false">DU55+DU56</f>
        <v>-0</v>
      </c>
      <c r="DV57" s="48" t="n">
        <f aca="false">DV55+DV56</f>
        <v>-0</v>
      </c>
      <c r="DW57" s="48" t="n">
        <f aca="false">DW55+DW56</f>
        <v>-0</v>
      </c>
      <c r="DX57" s="48" t="n">
        <f aca="false">DX55+DX56</f>
        <v>-0</v>
      </c>
      <c r="DY57" s="48" t="n">
        <f aca="false">DY55+DY56</f>
        <v>-0</v>
      </c>
      <c r="DZ57" s="48" t="n">
        <f aca="false">DZ55+DZ56</f>
        <v>-0</v>
      </c>
      <c r="EA57" s="48" t="n">
        <f aca="false">EA55+EA56</f>
        <v>-0</v>
      </c>
      <c r="EB57" s="48" t="n">
        <f aca="false">EB55+EB56</f>
        <v>-0</v>
      </c>
      <c r="EC57" s="48" t="n">
        <f aca="false">EC55+EC56</f>
        <v>-0</v>
      </c>
      <c r="ED57" s="48" t="n">
        <f aca="false">ED55+ED56</f>
        <v>-0</v>
      </c>
      <c r="EE57" s="48" t="n">
        <f aca="false">EE55+EE56</f>
        <v>-0</v>
      </c>
      <c r="EF57" s="48" t="n">
        <f aca="false">EF55+EF56</f>
        <v>-0</v>
      </c>
      <c r="EG57" s="48" t="n">
        <f aca="false">EG55+EG56</f>
        <v>-0</v>
      </c>
      <c r="EH57" s="48" t="n">
        <f aca="false">EH55+EH56</f>
        <v>-0</v>
      </c>
      <c r="EI57" s="48" t="n">
        <f aca="false">EI55+EI56</f>
        <v>-0</v>
      </c>
      <c r="EJ57" s="48" t="n">
        <f aca="false">EJ55+EJ56</f>
        <v>-0</v>
      </c>
      <c r="EK57" s="48" t="n">
        <f aca="false">EK55+EK56</f>
        <v>-0</v>
      </c>
      <c r="EL57" s="48" t="n">
        <f aca="false">EL55+EL56</f>
        <v>-0</v>
      </c>
      <c r="EM57" s="48" t="n">
        <f aca="false">EM55+EM56</f>
        <v>-0</v>
      </c>
      <c r="EN57" s="48" t="n">
        <f aca="false">EN55+EN56</f>
        <v>-0</v>
      </c>
      <c r="EO57" s="48" t="n">
        <f aca="false">EO55+EO56</f>
        <v>-0</v>
      </c>
    </row>
    <row r="58" customFormat="false" ht="15" hidden="false" customHeight="false" outlineLevel="0" collapsed="false">
      <c r="C58" s="0" t="s">
        <v>444</v>
      </c>
      <c r="D58" s="11" t="s">
        <v>33</v>
      </c>
      <c r="E58" s="48" t="n">
        <f aca="false">SUMIF($J$4:$EO$4,"&lt;="&amp;In_COD,$J58:$EO58)</f>
        <v>-490.264019515857</v>
      </c>
      <c r="I58" s="48" t="n">
        <f aca="false">SUM(J58:EO58)</f>
        <v>-822.911945956089</v>
      </c>
      <c r="J58" s="48" t="n">
        <f aca="false">-(J52+J53)*In_Guarantee_Fee*J$5/Days_In_Year</f>
        <v>-4.5907599924939</v>
      </c>
      <c r="K58" s="48" t="n">
        <f aca="false">-(K52+K53)*In_Guarantee_Fee*K$5/Days_In_Year</f>
        <v>-19.6746856821167</v>
      </c>
      <c r="L58" s="48" t="n">
        <f aca="false">-(L52+L53)*In_Guarantee_Fee*L$5/Days_In_Year</f>
        <v>-33.1554888346782</v>
      </c>
      <c r="M58" s="48" t="n">
        <f aca="false">-(M52+M53)*In_Guarantee_Fee*M$5/Days_In_Year</f>
        <v>-33.5198348658285</v>
      </c>
      <c r="N58" s="48" t="n">
        <f aca="false">-(N52+N53)*In_Guarantee_Fee*N$5/Days_In_Year</f>
        <v>-33.5198348658285</v>
      </c>
      <c r="O58" s="48" t="n">
        <f aca="false">-(O52+O53)*In_Guarantee_Fee*O$5/Days_In_Year</f>
        <v>-33.1554888346782</v>
      </c>
      <c r="P58" s="48" t="n">
        <f aca="false">-(P52+P53)*In_Guarantee_Fee*P$5/Days_In_Year</f>
        <v>-33.1554888346782</v>
      </c>
      <c r="Q58" s="48" t="n">
        <f aca="false">-(Q52+Q53)*In_Guarantee_Fee*Q$5/Days_In_Year</f>
        <v>-33.5198348658285</v>
      </c>
      <c r="R58" s="48" t="n">
        <f aca="false">-(R52+R53)*In_Guarantee_Fee*R$5/Days_In_Year</f>
        <v>-33.5198348658285</v>
      </c>
      <c r="S58" s="48" t="n">
        <f aca="false">-(S52+S53)*In_Guarantee_Fee*S$5/Days_In_Year</f>
        <v>-32.7911428035279</v>
      </c>
      <c r="T58" s="48" t="n">
        <f aca="false">-(T52+T53)*In_Guarantee_Fee*T$5/Days_In_Year</f>
        <v>-33.1554888346782</v>
      </c>
      <c r="U58" s="48" t="n">
        <f aca="false">-(U52+U53)*In_Guarantee_Fee*U$5/Days_In_Year</f>
        <v>-33.5198348658285</v>
      </c>
      <c r="V58" s="48" t="n">
        <f aca="false">-(V52+V53)*In_Guarantee_Fee*V$5/Days_In_Year</f>
        <v>-33.5198348658285</v>
      </c>
      <c r="W58" s="48" t="n">
        <f aca="false">-(W52+W53)*In_Guarantee_Fee*W$5/Days_In_Year</f>
        <v>-32.7911428035279</v>
      </c>
      <c r="X58" s="48" t="n">
        <f aca="false">-(X52+X53)*In_Guarantee_Fee*X$5/Days_In_Year</f>
        <v>-33.1554888346782</v>
      </c>
      <c r="Y58" s="48" t="n">
        <f aca="false">-(Y52+Y53)*In_Guarantee_Fee*Y$5/Days_In_Year</f>
        <v>-33.5198348658285</v>
      </c>
      <c r="Z58" s="48" t="n">
        <f aca="false">-(Z52+Z53)*In_Guarantee_Fee*Z$5/Days_In_Year</f>
        <v>-33.5198348658285</v>
      </c>
      <c r="AA58" s="48" t="n">
        <f aca="false">-(AA52+AA53)*In_Guarantee_Fee*AA$5/Days_In_Year</f>
        <v>-32.7911428035279</v>
      </c>
      <c r="AB58" s="48" t="n">
        <f aca="false">-(AB52+AB53)*In_Guarantee_Fee*AB$5/Days_In_Year</f>
        <v>-33.1554888346782</v>
      </c>
      <c r="AC58" s="48" t="n">
        <f aca="false">-(AC52+AC53)*In_Guarantee_Fee*AC$5/Days_In_Year</f>
        <v>-33.5198348658285</v>
      </c>
      <c r="AD58" s="48" t="n">
        <f aca="false">-(AD52+AD53)*In_Guarantee_Fee*AD$5/Days_In_Year</f>
        <v>-33.5198348658285</v>
      </c>
      <c r="AE58" s="48" t="n">
        <f aca="false">-(AE52+AE53)*In_Guarantee_Fee*AE$5/Days_In_Year</f>
        <v>-33.1554888346782</v>
      </c>
      <c r="AF58" s="48" t="n">
        <f aca="false">-(AF52+AF53)*In_Guarantee_Fee*AF$5/Days_In_Year</f>
        <v>-33.1554888346782</v>
      </c>
      <c r="AG58" s="48" t="n">
        <f aca="false">-(AG52+AG53)*In_Guarantee_Fee*AG$5/Days_In_Year</f>
        <v>-33.5198348658285</v>
      </c>
      <c r="AH58" s="48" t="n">
        <f aca="false">-(AH52+AH53)*In_Guarantee_Fee*AH$5/Days_In_Year</f>
        <v>-33.5198348658285</v>
      </c>
      <c r="AI58" s="48" t="n">
        <f aca="false">-(AI52+AI53)*In_Guarantee_Fee*AI$5/Days_In_Year</f>
        <v>-32.7911428035279</v>
      </c>
      <c r="AJ58" s="48" t="n">
        <f aca="false">-(AJ52+AJ53)*In_Guarantee_Fee*AJ$5/Days_In_Year</f>
        <v>-0</v>
      </c>
      <c r="AK58" s="48" t="n">
        <f aca="false">-(AK52+AK53)*In_Guarantee_Fee*AK$5/Days_In_Year</f>
        <v>-0</v>
      </c>
      <c r="AL58" s="48" t="n">
        <f aca="false">-(AL52+AL53)*In_Guarantee_Fee*AL$5/Days_In_Year</f>
        <v>-0</v>
      </c>
      <c r="AM58" s="48" t="n">
        <f aca="false">-(AM52+AM53)*In_Guarantee_Fee*AM$5/Days_In_Year</f>
        <v>-0</v>
      </c>
      <c r="AN58" s="48" t="n">
        <f aca="false">-(AN52+AN53)*In_Guarantee_Fee*AN$5/Days_In_Year</f>
        <v>-0</v>
      </c>
      <c r="AO58" s="48" t="n">
        <f aca="false">-(AO52+AO53)*In_Guarantee_Fee*AO$5/Days_In_Year</f>
        <v>-0</v>
      </c>
      <c r="AP58" s="48" t="n">
        <f aca="false">-(AP52+AP53)*In_Guarantee_Fee*AP$5/Days_In_Year</f>
        <v>-0</v>
      </c>
      <c r="AQ58" s="48" t="n">
        <f aca="false">-(AQ52+AQ53)*In_Guarantee_Fee*AQ$5/Days_In_Year</f>
        <v>-0</v>
      </c>
      <c r="AR58" s="48" t="n">
        <f aca="false">-(AR52+AR53)*In_Guarantee_Fee*AR$5/Days_In_Year</f>
        <v>-0</v>
      </c>
      <c r="AS58" s="48" t="n">
        <f aca="false">-(AS52+AS53)*In_Guarantee_Fee*AS$5/Days_In_Year</f>
        <v>-0</v>
      </c>
      <c r="AT58" s="48" t="n">
        <f aca="false">-(AT52+AT53)*In_Guarantee_Fee*AT$5/Days_In_Year</f>
        <v>-0</v>
      </c>
      <c r="AU58" s="48" t="n">
        <f aca="false">-(AU52+AU53)*In_Guarantee_Fee*AU$5/Days_In_Year</f>
        <v>-0</v>
      </c>
      <c r="AV58" s="48" t="n">
        <f aca="false">-(AV52+AV53)*In_Guarantee_Fee*AV$5/Days_In_Year</f>
        <v>-0</v>
      </c>
      <c r="AW58" s="48" t="n">
        <f aca="false">-(AW52+AW53)*In_Guarantee_Fee*AW$5/Days_In_Year</f>
        <v>-0</v>
      </c>
      <c r="AX58" s="48" t="n">
        <f aca="false">-(AX52+AX53)*In_Guarantee_Fee*AX$5/Days_In_Year</f>
        <v>-0</v>
      </c>
      <c r="AY58" s="48" t="n">
        <f aca="false">-(AY52+AY53)*In_Guarantee_Fee*AY$5/Days_In_Year</f>
        <v>-0</v>
      </c>
      <c r="AZ58" s="48" t="n">
        <f aca="false">-(AZ52+AZ53)*In_Guarantee_Fee*AZ$5/Days_In_Year</f>
        <v>-0</v>
      </c>
      <c r="BA58" s="48" t="n">
        <f aca="false">-(BA52+BA53)*In_Guarantee_Fee*BA$5/Days_In_Year</f>
        <v>-0</v>
      </c>
      <c r="BB58" s="48" t="n">
        <f aca="false">-(BB52+BB53)*In_Guarantee_Fee*BB$5/Days_In_Year</f>
        <v>-0</v>
      </c>
      <c r="BC58" s="48" t="n">
        <f aca="false">-(BC52+BC53)*In_Guarantee_Fee*BC$5/Days_In_Year</f>
        <v>-0</v>
      </c>
      <c r="BD58" s="48" t="n">
        <f aca="false">-(BD52+BD53)*In_Guarantee_Fee*BD$5/Days_In_Year</f>
        <v>-0</v>
      </c>
      <c r="BE58" s="48" t="n">
        <f aca="false">-(BE52+BE53)*In_Guarantee_Fee*BE$5/Days_In_Year</f>
        <v>-0</v>
      </c>
      <c r="BF58" s="48" t="n">
        <f aca="false">-(BF52+BF53)*In_Guarantee_Fee*BF$5/Days_In_Year</f>
        <v>-0</v>
      </c>
      <c r="BG58" s="48" t="n">
        <f aca="false">-(BG52+BG53)*In_Guarantee_Fee*BG$5/Days_In_Year</f>
        <v>-0</v>
      </c>
      <c r="BH58" s="48" t="n">
        <f aca="false">-(BH52+BH53)*In_Guarantee_Fee*BH$5/Days_In_Year</f>
        <v>-0</v>
      </c>
      <c r="BI58" s="48" t="n">
        <f aca="false">-(BI52+BI53)*In_Guarantee_Fee*BI$5/Days_In_Year</f>
        <v>-0</v>
      </c>
      <c r="BJ58" s="48" t="n">
        <f aca="false">-(BJ52+BJ53)*In_Guarantee_Fee*BJ$5/Days_In_Year</f>
        <v>-0</v>
      </c>
      <c r="BK58" s="48" t="n">
        <f aca="false">-(BK52+BK53)*In_Guarantee_Fee*BK$5/Days_In_Year</f>
        <v>-0</v>
      </c>
      <c r="BL58" s="48" t="n">
        <f aca="false">-(BL52+BL53)*In_Guarantee_Fee*BL$5/Days_In_Year</f>
        <v>-0</v>
      </c>
      <c r="BM58" s="48" t="n">
        <f aca="false">-(BM52+BM53)*In_Guarantee_Fee*BM$5/Days_In_Year</f>
        <v>-0</v>
      </c>
      <c r="BN58" s="48" t="n">
        <f aca="false">-(BN52+BN53)*In_Guarantee_Fee*BN$5/Days_In_Year</f>
        <v>-0</v>
      </c>
      <c r="BO58" s="48" t="n">
        <f aca="false">-(BO52+BO53)*In_Guarantee_Fee*BO$5/Days_In_Year</f>
        <v>-0</v>
      </c>
      <c r="BP58" s="48" t="n">
        <f aca="false">-(BP52+BP53)*In_Guarantee_Fee*BP$5/Days_In_Year</f>
        <v>-0</v>
      </c>
      <c r="BQ58" s="48" t="n">
        <f aca="false">-(BQ52+BQ53)*In_Guarantee_Fee*BQ$5/Days_In_Year</f>
        <v>-0</v>
      </c>
      <c r="BR58" s="48" t="n">
        <f aca="false">-(BR52+BR53)*In_Guarantee_Fee*BR$5/Days_In_Year</f>
        <v>-0</v>
      </c>
      <c r="BS58" s="48" t="n">
        <f aca="false">-(BS52+BS53)*In_Guarantee_Fee*BS$5/Days_In_Year</f>
        <v>-0</v>
      </c>
      <c r="BT58" s="48" t="n">
        <f aca="false">-(BT52+BT53)*In_Guarantee_Fee*BT$5/Days_In_Year</f>
        <v>-0</v>
      </c>
      <c r="BU58" s="48" t="n">
        <f aca="false">-(BU52+BU53)*In_Guarantee_Fee*BU$5/Days_In_Year</f>
        <v>-0</v>
      </c>
      <c r="BV58" s="48" t="n">
        <f aca="false">-(BV52+BV53)*In_Guarantee_Fee*BV$5/Days_In_Year</f>
        <v>-0</v>
      </c>
      <c r="BW58" s="48" t="n">
        <f aca="false">-(BW52+BW53)*In_Guarantee_Fee*BW$5/Days_In_Year</f>
        <v>-0</v>
      </c>
      <c r="BX58" s="48" t="n">
        <f aca="false">-(BX52+BX53)*In_Guarantee_Fee*BX$5/Days_In_Year</f>
        <v>-0</v>
      </c>
      <c r="BY58" s="48" t="n">
        <f aca="false">-(BY52+BY53)*In_Guarantee_Fee*BY$5/Days_In_Year</f>
        <v>-0</v>
      </c>
      <c r="BZ58" s="48" t="n">
        <f aca="false">-(BZ52+BZ53)*In_Guarantee_Fee*BZ$5/Days_In_Year</f>
        <v>-0</v>
      </c>
      <c r="CA58" s="48" t="n">
        <f aca="false">-(CA52+CA53)*In_Guarantee_Fee*CA$5/Days_In_Year</f>
        <v>-0</v>
      </c>
      <c r="CB58" s="48" t="n">
        <f aca="false">-(CB52+CB53)*In_Guarantee_Fee*CB$5/Days_In_Year</f>
        <v>-0</v>
      </c>
      <c r="CC58" s="48" t="n">
        <f aca="false">-(CC52+CC53)*In_Guarantee_Fee*CC$5/Days_In_Year</f>
        <v>-0</v>
      </c>
      <c r="CD58" s="48" t="n">
        <f aca="false">-(CD52+CD53)*In_Guarantee_Fee*CD$5/Days_In_Year</f>
        <v>-0</v>
      </c>
      <c r="CE58" s="48" t="n">
        <f aca="false">-(CE52+CE53)*In_Guarantee_Fee*CE$5/Days_In_Year</f>
        <v>-0</v>
      </c>
      <c r="CF58" s="48" t="n">
        <f aca="false">-(CF52+CF53)*In_Guarantee_Fee*CF$5/Days_In_Year</f>
        <v>-0</v>
      </c>
      <c r="CG58" s="48" t="n">
        <f aca="false">-(CG52+CG53)*In_Guarantee_Fee*CG$5/Days_In_Year</f>
        <v>-0</v>
      </c>
      <c r="CH58" s="48" t="n">
        <f aca="false">-(CH52+CH53)*In_Guarantee_Fee*CH$5/Days_In_Year</f>
        <v>-0</v>
      </c>
      <c r="CI58" s="48" t="n">
        <f aca="false">-(CI52+CI53)*In_Guarantee_Fee*CI$5/Days_In_Year</f>
        <v>-0</v>
      </c>
      <c r="CJ58" s="48" t="n">
        <f aca="false">-(CJ52+CJ53)*In_Guarantee_Fee*CJ$5/Days_In_Year</f>
        <v>-0</v>
      </c>
      <c r="CK58" s="48" t="n">
        <f aca="false">-(CK52+CK53)*In_Guarantee_Fee*CK$5/Days_In_Year</f>
        <v>-0</v>
      </c>
      <c r="CL58" s="48" t="n">
        <f aca="false">-(CL52+CL53)*In_Guarantee_Fee*CL$5/Days_In_Year</f>
        <v>-0</v>
      </c>
      <c r="CM58" s="48" t="n">
        <f aca="false">-(CM52+CM53)*In_Guarantee_Fee*CM$5/Days_In_Year</f>
        <v>-0</v>
      </c>
      <c r="CN58" s="48" t="n">
        <f aca="false">-(CN52+CN53)*In_Guarantee_Fee*CN$5/Days_In_Year</f>
        <v>-0</v>
      </c>
      <c r="CO58" s="48" t="n">
        <f aca="false">-(CO52+CO53)*In_Guarantee_Fee*CO$5/Days_In_Year</f>
        <v>-0</v>
      </c>
      <c r="CP58" s="48" t="n">
        <f aca="false">-(CP52+CP53)*In_Guarantee_Fee*CP$5/Days_In_Year</f>
        <v>-0</v>
      </c>
      <c r="CQ58" s="48" t="n">
        <f aca="false">-(CQ52+CQ53)*In_Guarantee_Fee*CQ$5/Days_In_Year</f>
        <v>-0</v>
      </c>
      <c r="CR58" s="48" t="n">
        <f aca="false">-(CR52+CR53)*In_Guarantee_Fee*CR$5/Days_In_Year</f>
        <v>-0</v>
      </c>
      <c r="CS58" s="48" t="n">
        <f aca="false">-(CS52+CS53)*In_Guarantee_Fee*CS$5/Days_In_Year</f>
        <v>-0</v>
      </c>
      <c r="CT58" s="48" t="n">
        <f aca="false">-(CT52+CT53)*In_Guarantee_Fee*CT$5/Days_In_Year</f>
        <v>-0</v>
      </c>
      <c r="CU58" s="48" t="n">
        <f aca="false">-(CU52+CU53)*In_Guarantee_Fee*CU$5/Days_In_Year</f>
        <v>-0</v>
      </c>
      <c r="CV58" s="48" t="n">
        <f aca="false">-(CV52+CV53)*In_Guarantee_Fee*CV$5/Days_In_Year</f>
        <v>-0</v>
      </c>
      <c r="CW58" s="48" t="n">
        <f aca="false">-(CW52+CW53)*In_Guarantee_Fee*CW$5/Days_In_Year</f>
        <v>-0</v>
      </c>
      <c r="CX58" s="48" t="n">
        <f aca="false">-(CX52+CX53)*In_Guarantee_Fee*CX$5/Days_In_Year</f>
        <v>-0</v>
      </c>
      <c r="CY58" s="48" t="n">
        <f aca="false">-(CY52+CY53)*In_Guarantee_Fee*CY$5/Days_In_Year</f>
        <v>-0</v>
      </c>
      <c r="CZ58" s="48" t="n">
        <f aca="false">-(CZ52+CZ53)*In_Guarantee_Fee*CZ$5/Days_In_Year</f>
        <v>-0</v>
      </c>
      <c r="DA58" s="48" t="n">
        <f aca="false">-(DA52+DA53)*In_Guarantee_Fee*DA$5/Days_In_Year</f>
        <v>-0</v>
      </c>
      <c r="DB58" s="48" t="n">
        <f aca="false">-(DB52+DB53)*In_Guarantee_Fee*DB$5/Days_In_Year</f>
        <v>-0</v>
      </c>
      <c r="DC58" s="48" t="n">
        <f aca="false">-(DC52+DC53)*In_Guarantee_Fee*DC$5/Days_In_Year</f>
        <v>-0</v>
      </c>
      <c r="DD58" s="48" t="n">
        <f aca="false">-(DD52+DD53)*In_Guarantee_Fee*DD$5/Days_In_Year</f>
        <v>-0</v>
      </c>
      <c r="DE58" s="48" t="n">
        <f aca="false">-(DE52+DE53)*In_Guarantee_Fee*DE$5/Days_In_Year</f>
        <v>-0</v>
      </c>
      <c r="DF58" s="48" t="n">
        <f aca="false">-(DF52+DF53)*In_Guarantee_Fee*DF$5/Days_In_Year</f>
        <v>-0</v>
      </c>
      <c r="DG58" s="48" t="n">
        <f aca="false">-(DG52+DG53)*In_Guarantee_Fee*DG$5/Days_In_Year</f>
        <v>-0</v>
      </c>
      <c r="DH58" s="48" t="n">
        <f aca="false">-(DH52+DH53)*In_Guarantee_Fee*DH$5/Days_In_Year</f>
        <v>-0</v>
      </c>
      <c r="DI58" s="48" t="n">
        <f aca="false">-(DI52+DI53)*In_Guarantee_Fee*DI$5/Days_In_Year</f>
        <v>-0</v>
      </c>
      <c r="DJ58" s="48" t="n">
        <f aca="false">-(DJ52+DJ53)*In_Guarantee_Fee*DJ$5/Days_In_Year</f>
        <v>-0</v>
      </c>
      <c r="DK58" s="48" t="n">
        <f aca="false">-(DK52+DK53)*In_Guarantee_Fee*DK$5/Days_In_Year</f>
        <v>-0</v>
      </c>
      <c r="DL58" s="48" t="n">
        <f aca="false">-(DL52+DL53)*In_Guarantee_Fee*DL$5/Days_In_Year</f>
        <v>-0</v>
      </c>
      <c r="DM58" s="48" t="n">
        <f aca="false">-(DM52+DM53)*In_Guarantee_Fee*DM$5/Days_In_Year</f>
        <v>-0</v>
      </c>
      <c r="DN58" s="48" t="n">
        <f aca="false">-(DN52+DN53)*In_Guarantee_Fee*DN$5/Days_In_Year</f>
        <v>-0</v>
      </c>
      <c r="DO58" s="48" t="n">
        <f aca="false">-(DO52+DO53)*In_Guarantee_Fee*DO$5/Days_In_Year</f>
        <v>-0</v>
      </c>
      <c r="DP58" s="48" t="n">
        <f aca="false">-(DP52+DP53)*In_Guarantee_Fee*DP$5/Days_In_Year</f>
        <v>-0</v>
      </c>
      <c r="DQ58" s="48" t="n">
        <f aca="false">-(DQ52+DQ53)*In_Guarantee_Fee*DQ$5/Days_In_Year</f>
        <v>-0</v>
      </c>
      <c r="DR58" s="48" t="n">
        <f aca="false">-(DR52+DR53)*In_Guarantee_Fee*DR$5/Days_In_Year</f>
        <v>-0</v>
      </c>
      <c r="DS58" s="48" t="n">
        <f aca="false">-(DS52+DS53)*In_Guarantee_Fee*DS$5/Days_In_Year</f>
        <v>-0</v>
      </c>
      <c r="DT58" s="48" t="n">
        <f aca="false">-(DT52+DT53)*In_Guarantee_Fee*DT$5/Days_In_Year</f>
        <v>-0</v>
      </c>
      <c r="DU58" s="48" t="n">
        <f aca="false">-(DU52+DU53)*In_Guarantee_Fee*DU$5/Days_In_Year</f>
        <v>-0</v>
      </c>
      <c r="DV58" s="48" t="n">
        <f aca="false">-(DV52+DV53)*In_Guarantee_Fee*DV$5/Days_In_Year</f>
        <v>-0</v>
      </c>
      <c r="DW58" s="48" t="n">
        <f aca="false">-(DW52+DW53)*In_Guarantee_Fee*DW$5/Days_In_Year</f>
        <v>-0</v>
      </c>
      <c r="DX58" s="48" t="n">
        <f aca="false">-(DX52+DX53)*In_Guarantee_Fee*DX$5/Days_In_Year</f>
        <v>-0</v>
      </c>
      <c r="DY58" s="48" t="n">
        <f aca="false">-(DY52+DY53)*In_Guarantee_Fee*DY$5/Days_In_Year</f>
        <v>-0</v>
      </c>
      <c r="DZ58" s="48" t="n">
        <f aca="false">-(DZ52+DZ53)*In_Guarantee_Fee*DZ$5/Days_In_Year</f>
        <v>-0</v>
      </c>
      <c r="EA58" s="48" t="n">
        <f aca="false">-(EA52+EA53)*In_Guarantee_Fee*EA$5/Days_In_Year</f>
        <v>-0</v>
      </c>
      <c r="EB58" s="48" t="n">
        <f aca="false">-(EB52+EB53)*In_Guarantee_Fee*EB$5/Days_In_Year</f>
        <v>-0</v>
      </c>
      <c r="EC58" s="48" t="n">
        <f aca="false">-(EC52+EC53)*In_Guarantee_Fee*EC$5/Days_In_Year</f>
        <v>-0</v>
      </c>
      <c r="ED58" s="48" t="n">
        <f aca="false">-(ED52+ED53)*In_Guarantee_Fee*ED$5/Days_In_Year</f>
        <v>-0</v>
      </c>
      <c r="EE58" s="48" t="n">
        <f aca="false">-(EE52+EE53)*In_Guarantee_Fee*EE$5/Days_In_Year</f>
        <v>-0</v>
      </c>
      <c r="EF58" s="48" t="n">
        <f aca="false">-(EF52+EF53)*In_Guarantee_Fee*EF$5/Days_In_Year</f>
        <v>-0</v>
      </c>
      <c r="EG58" s="48" t="n">
        <f aca="false">-(EG52+EG53)*In_Guarantee_Fee*EG$5/Days_In_Year</f>
        <v>-0</v>
      </c>
      <c r="EH58" s="48" t="n">
        <f aca="false">-(EH52+EH53)*In_Guarantee_Fee*EH$5/Days_In_Year</f>
        <v>-0</v>
      </c>
      <c r="EI58" s="48" t="n">
        <f aca="false">-(EI52+EI53)*In_Guarantee_Fee*EI$5/Days_In_Year</f>
        <v>-0</v>
      </c>
      <c r="EJ58" s="48" t="n">
        <f aca="false">-(EJ52+EJ53)*In_Guarantee_Fee*EJ$5/Days_In_Year</f>
        <v>-0</v>
      </c>
      <c r="EK58" s="48" t="n">
        <f aca="false">-(EK52+EK53)*In_Guarantee_Fee*EK$5/Days_In_Year</f>
        <v>-0</v>
      </c>
      <c r="EL58" s="48" t="n">
        <f aca="false">-(EL52+EL53)*In_Guarantee_Fee*EL$5/Days_In_Year</f>
        <v>-0</v>
      </c>
      <c r="EM58" s="48" t="n">
        <f aca="false">-(EM52+EM53)*In_Guarantee_Fee*EM$5/Days_In_Year</f>
        <v>-0</v>
      </c>
      <c r="EN58" s="48" t="n">
        <f aca="false">-(EN52+EN53)*In_Guarantee_Fee*EN$5/Days_In_Year</f>
        <v>-0</v>
      </c>
      <c r="EO58" s="48" t="n">
        <f aca="false">-(EO52+EO53)*In_Guarantee_Fee*EO$5/Days_In_Year</f>
        <v>-0</v>
      </c>
    </row>
    <row r="59" customFormat="false" ht="15" hidden="false" customHeight="false" outlineLevel="0" collapsed="false">
      <c r="C59" s="0" t="s">
        <v>445</v>
      </c>
      <c r="D59" s="11" t="s">
        <v>33</v>
      </c>
      <c r="E59" s="48" t="n">
        <f aca="false">$E53*$E25*In_Bench_Wind/$E50</f>
        <v>1668.49315068493</v>
      </c>
      <c r="F59" s="48" t="n">
        <f aca="false">$E53-$E59</f>
        <v>547.945205479452</v>
      </c>
    </row>
    <row r="60" customFormat="false" ht="15" hidden="false" customHeight="false" outlineLevel="0" collapsed="false">
      <c r="C60" s="0" t="s">
        <v>446</v>
      </c>
      <c r="D60" s="11" t="s">
        <v>33</v>
      </c>
      <c r="E60" s="48" t="n">
        <f aca="false">($E30&gt;In_Tolerance_Cap)*$E30*$E59+($F30&gt;In_Tolerance_Cap)*$F30*$F59</f>
        <v>0</v>
      </c>
      <c r="F60" s="48" t="n">
        <f aca="false">($E30+$F30&gt;0)*$E53</f>
        <v>2216.43835616438</v>
      </c>
    </row>
    <row r="61" customFormat="false" ht="15" hidden="false" customHeight="false" outlineLevel="0" collapsed="false">
      <c r="C61" s="0" t="s">
        <v>447</v>
      </c>
      <c r="D61" s="11" t="s">
        <v>33</v>
      </c>
      <c r="E61" s="46" t="n">
        <f aca="false">EDATE(In_COD,In_Sanction_Lag)</f>
        <v>47937</v>
      </c>
      <c r="I61" s="48" t="n">
        <f aca="false">SUM(J61:EO61)</f>
        <v>0</v>
      </c>
      <c r="J61" s="48" t="n">
        <f aca="false">-CHOOSE(In_Sanction_Regime,$E60,$F60)*N(AND(J$3&lt;=$E61,J$4&gt;=$E61))</f>
        <v>-0</v>
      </c>
      <c r="K61" s="48" t="n">
        <f aca="false">-CHOOSE(In_Sanction_Regime,$E60,$F60)*N(AND(K$3&lt;=$E61,K$4&gt;=$E61))</f>
        <v>-0</v>
      </c>
      <c r="L61" s="48" t="n">
        <f aca="false">-CHOOSE(In_Sanction_Regime,$E60,$F60)*N(AND(L$3&lt;=$E61,L$4&gt;=$E61))</f>
        <v>-0</v>
      </c>
      <c r="M61" s="48" t="n">
        <f aca="false">-CHOOSE(In_Sanction_Regime,$E60,$F60)*N(AND(M$3&lt;=$E61,M$4&gt;=$E61))</f>
        <v>-0</v>
      </c>
      <c r="N61" s="48" t="n">
        <f aca="false">-CHOOSE(In_Sanction_Regime,$E60,$F60)*N(AND(N$3&lt;=$E61,N$4&gt;=$E61))</f>
        <v>-0</v>
      </c>
      <c r="O61" s="48" t="n">
        <f aca="false">-CHOOSE(In_Sanction_Regime,$E60,$F60)*N(AND(O$3&lt;=$E61,O$4&gt;=$E61))</f>
        <v>-0</v>
      </c>
      <c r="P61" s="48" t="n">
        <f aca="false">-CHOOSE(In_Sanction_Regime,$E60,$F60)*N(AND(P$3&lt;=$E61,P$4&gt;=$E61))</f>
        <v>-0</v>
      </c>
      <c r="Q61" s="48" t="n">
        <f aca="false">-CHOOSE(In_Sanction_Regime,$E60,$F60)*N(AND(Q$3&lt;=$E61,Q$4&gt;=$E61))</f>
        <v>-0</v>
      </c>
      <c r="R61" s="48" t="n">
        <f aca="false">-CHOOSE(In_Sanction_Regime,$E60,$F60)*N(AND(R$3&lt;=$E61,R$4&gt;=$E61))</f>
        <v>-0</v>
      </c>
      <c r="S61" s="48" t="n">
        <f aca="false">-CHOOSE(In_Sanction_Regime,$E60,$F60)*N(AND(S$3&lt;=$E61,S$4&gt;=$E61))</f>
        <v>-0</v>
      </c>
      <c r="T61" s="48" t="n">
        <f aca="false">-CHOOSE(In_Sanction_Regime,$E60,$F60)*N(AND(T$3&lt;=$E61,T$4&gt;=$E61))</f>
        <v>-0</v>
      </c>
      <c r="U61" s="48" t="n">
        <f aca="false">-CHOOSE(In_Sanction_Regime,$E60,$F60)*N(AND(U$3&lt;=$E61,U$4&gt;=$E61))</f>
        <v>-0</v>
      </c>
      <c r="V61" s="48" t="n">
        <f aca="false">-CHOOSE(In_Sanction_Regime,$E60,$F60)*N(AND(V$3&lt;=$E61,V$4&gt;=$E61))</f>
        <v>-0</v>
      </c>
      <c r="W61" s="48" t="n">
        <f aca="false">-CHOOSE(In_Sanction_Regime,$E60,$F60)*N(AND(W$3&lt;=$E61,W$4&gt;=$E61))</f>
        <v>-0</v>
      </c>
      <c r="X61" s="48" t="n">
        <f aca="false">-CHOOSE(In_Sanction_Regime,$E60,$F60)*N(AND(X$3&lt;=$E61,X$4&gt;=$E61))</f>
        <v>-0</v>
      </c>
      <c r="Y61" s="48" t="n">
        <f aca="false">-CHOOSE(In_Sanction_Regime,$E60,$F60)*N(AND(Y$3&lt;=$E61,Y$4&gt;=$E61))</f>
        <v>-0</v>
      </c>
      <c r="Z61" s="48" t="n">
        <f aca="false">-CHOOSE(In_Sanction_Regime,$E60,$F60)*N(AND(Z$3&lt;=$E61,Z$4&gt;=$E61))</f>
        <v>-0</v>
      </c>
      <c r="AA61" s="48" t="n">
        <f aca="false">-CHOOSE(In_Sanction_Regime,$E60,$F60)*N(AND(AA$3&lt;=$E61,AA$4&gt;=$E61))</f>
        <v>-0</v>
      </c>
      <c r="AB61" s="48" t="n">
        <f aca="false">-CHOOSE(In_Sanction_Regime,$E60,$F60)*N(AND(AB$3&lt;=$E61,AB$4&gt;=$E61))</f>
        <v>-0</v>
      </c>
      <c r="AC61" s="48" t="n">
        <f aca="false">-CHOOSE(In_Sanction_Regime,$E60,$F60)*N(AND(AC$3&lt;=$E61,AC$4&gt;=$E61))</f>
        <v>-0</v>
      </c>
      <c r="AD61" s="48" t="n">
        <f aca="false">-CHOOSE(In_Sanction_Regime,$E60,$F60)*N(AND(AD$3&lt;=$E61,AD$4&gt;=$E61))</f>
        <v>-0</v>
      </c>
      <c r="AE61" s="48" t="n">
        <f aca="false">-CHOOSE(In_Sanction_Regime,$E60,$F60)*N(AND(AE$3&lt;=$E61,AE$4&gt;=$E61))</f>
        <v>-0</v>
      </c>
      <c r="AF61" s="48" t="n">
        <f aca="false">-CHOOSE(In_Sanction_Regime,$E60,$F60)*N(AND(AF$3&lt;=$E61,AF$4&gt;=$E61))</f>
        <v>-0</v>
      </c>
      <c r="AG61" s="48" t="n">
        <f aca="false">-CHOOSE(In_Sanction_Regime,$E60,$F60)*N(AND(AG$3&lt;=$E61,AG$4&gt;=$E61))</f>
        <v>-0</v>
      </c>
      <c r="AH61" s="48" t="n">
        <f aca="false">-CHOOSE(In_Sanction_Regime,$E60,$F60)*N(AND(AH$3&lt;=$E61,AH$4&gt;=$E61))</f>
        <v>-0</v>
      </c>
      <c r="AI61" s="48" t="n">
        <f aca="false">-CHOOSE(In_Sanction_Regime,$E60,$F60)*N(AND(AI$3&lt;=$E61,AI$4&gt;=$E61))</f>
        <v>-0</v>
      </c>
      <c r="AJ61" s="48" t="n">
        <f aca="false">-CHOOSE(In_Sanction_Regime,$E60,$F60)*N(AND(AJ$3&lt;=$E61,AJ$4&gt;=$E61))</f>
        <v>-0</v>
      </c>
      <c r="AK61" s="48" t="n">
        <f aca="false">-CHOOSE(In_Sanction_Regime,$E60,$F60)*N(AND(AK$3&lt;=$E61,AK$4&gt;=$E61))</f>
        <v>-0</v>
      </c>
      <c r="AL61" s="48" t="n">
        <f aca="false">-CHOOSE(In_Sanction_Regime,$E60,$F60)*N(AND(AL$3&lt;=$E61,AL$4&gt;=$E61))</f>
        <v>-0</v>
      </c>
      <c r="AM61" s="48" t="n">
        <f aca="false">-CHOOSE(In_Sanction_Regime,$E60,$F60)*N(AND(AM$3&lt;=$E61,AM$4&gt;=$E61))</f>
        <v>-0</v>
      </c>
      <c r="AN61" s="48" t="n">
        <f aca="false">-CHOOSE(In_Sanction_Regime,$E60,$F60)*N(AND(AN$3&lt;=$E61,AN$4&gt;=$E61))</f>
        <v>-0</v>
      </c>
      <c r="AO61" s="48" t="n">
        <f aca="false">-CHOOSE(In_Sanction_Regime,$E60,$F60)*N(AND(AO$3&lt;=$E61,AO$4&gt;=$E61))</f>
        <v>-0</v>
      </c>
      <c r="AP61" s="48" t="n">
        <f aca="false">-CHOOSE(In_Sanction_Regime,$E60,$F60)*N(AND(AP$3&lt;=$E61,AP$4&gt;=$E61))</f>
        <v>-0</v>
      </c>
      <c r="AQ61" s="48" t="n">
        <f aca="false">-CHOOSE(In_Sanction_Regime,$E60,$F60)*N(AND(AQ$3&lt;=$E61,AQ$4&gt;=$E61))</f>
        <v>-0</v>
      </c>
      <c r="AR61" s="48" t="n">
        <f aca="false">-CHOOSE(In_Sanction_Regime,$E60,$F60)*N(AND(AR$3&lt;=$E61,AR$4&gt;=$E61))</f>
        <v>-0</v>
      </c>
      <c r="AS61" s="48" t="n">
        <f aca="false">-CHOOSE(In_Sanction_Regime,$E60,$F60)*N(AND(AS$3&lt;=$E61,AS$4&gt;=$E61))</f>
        <v>-0</v>
      </c>
      <c r="AT61" s="48" t="n">
        <f aca="false">-CHOOSE(In_Sanction_Regime,$E60,$F60)*N(AND(AT$3&lt;=$E61,AT$4&gt;=$E61))</f>
        <v>-0</v>
      </c>
      <c r="AU61" s="48" t="n">
        <f aca="false">-CHOOSE(In_Sanction_Regime,$E60,$F60)*N(AND(AU$3&lt;=$E61,AU$4&gt;=$E61))</f>
        <v>-0</v>
      </c>
      <c r="AV61" s="48" t="n">
        <f aca="false">-CHOOSE(In_Sanction_Regime,$E60,$F60)*N(AND(AV$3&lt;=$E61,AV$4&gt;=$E61))</f>
        <v>-0</v>
      </c>
      <c r="AW61" s="48" t="n">
        <f aca="false">-CHOOSE(In_Sanction_Regime,$E60,$F60)*N(AND(AW$3&lt;=$E61,AW$4&gt;=$E61))</f>
        <v>-0</v>
      </c>
      <c r="AX61" s="48" t="n">
        <f aca="false">-CHOOSE(In_Sanction_Regime,$E60,$F60)*N(AND(AX$3&lt;=$E61,AX$4&gt;=$E61))</f>
        <v>-0</v>
      </c>
      <c r="AY61" s="48" t="n">
        <f aca="false">-CHOOSE(In_Sanction_Regime,$E60,$F60)*N(AND(AY$3&lt;=$E61,AY$4&gt;=$E61))</f>
        <v>-0</v>
      </c>
      <c r="AZ61" s="48" t="n">
        <f aca="false">-CHOOSE(In_Sanction_Regime,$E60,$F60)*N(AND(AZ$3&lt;=$E61,AZ$4&gt;=$E61))</f>
        <v>-0</v>
      </c>
      <c r="BA61" s="48" t="n">
        <f aca="false">-CHOOSE(In_Sanction_Regime,$E60,$F60)*N(AND(BA$3&lt;=$E61,BA$4&gt;=$E61))</f>
        <v>-0</v>
      </c>
      <c r="BB61" s="48" t="n">
        <f aca="false">-CHOOSE(In_Sanction_Regime,$E60,$F60)*N(AND(BB$3&lt;=$E61,BB$4&gt;=$E61))</f>
        <v>-0</v>
      </c>
      <c r="BC61" s="48" t="n">
        <f aca="false">-CHOOSE(In_Sanction_Regime,$E60,$F60)*N(AND(BC$3&lt;=$E61,BC$4&gt;=$E61))</f>
        <v>-0</v>
      </c>
      <c r="BD61" s="48" t="n">
        <f aca="false">-CHOOSE(In_Sanction_Regime,$E60,$F60)*N(AND(BD$3&lt;=$E61,BD$4&gt;=$E61))</f>
        <v>-0</v>
      </c>
      <c r="BE61" s="48" t="n">
        <f aca="false">-CHOOSE(In_Sanction_Regime,$E60,$F60)*N(AND(BE$3&lt;=$E61,BE$4&gt;=$E61))</f>
        <v>-0</v>
      </c>
      <c r="BF61" s="48" t="n">
        <f aca="false">-CHOOSE(In_Sanction_Regime,$E60,$F60)*N(AND(BF$3&lt;=$E61,BF$4&gt;=$E61))</f>
        <v>-0</v>
      </c>
      <c r="BG61" s="48" t="n">
        <f aca="false">-CHOOSE(In_Sanction_Regime,$E60,$F60)*N(AND(BG$3&lt;=$E61,BG$4&gt;=$E61))</f>
        <v>-0</v>
      </c>
      <c r="BH61" s="48" t="n">
        <f aca="false">-CHOOSE(In_Sanction_Regime,$E60,$F60)*N(AND(BH$3&lt;=$E61,BH$4&gt;=$E61))</f>
        <v>-0</v>
      </c>
      <c r="BI61" s="48" t="n">
        <f aca="false">-CHOOSE(In_Sanction_Regime,$E60,$F60)*N(AND(BI$3&lt;=$E61,BI$4&gt;=$E61))</f>
        <v>-0</v>
      </c>
      <c r="BJ61" s="48" t="n">
        <f aca="false">-CHOOSE(In_Sanction_Regime,$E60,$F60)*N(AND(BJ$3&lt;=$E61,BJ$4&gt;=$E61))</f>
        <v>-0</v>
      </c>
      <c r="BK61" s="48" t="n">
        <f aca="false">-CHOOSE(In_Sanction_Regime,$E60,$F60)*N(AND(BK$3&lt;=$E61,BK$4&gt;=$E61))</f>
        <v>-0</v>
      </c>
      <c r="BL61" s="48" t="n">
        <f aca="false">-CHOOSE(In_Sanction_Regime,$E60,$F60)*N(AND(BL$3&lt;=$E61,BL$4&gt;=$E61))</f>
        <v>-0</v>
      </c>
      <c r="BM61" s="48" t="n">
        <f aca="false">-CHOOSE(In_Sanction_Regime,$E60,$F60)*N(AND(BM$3&lt;=$E61,BM$4&gt;=$E61))</f>
        <v>-0</v>
      </c>
      <c r="BN61" s="48" t="n">
        <f aca="false">-CHOOSE(In_Sanction_Regime,$E60,$F60)*N(AND(BN$3&lt;=$E61,BN$4&gt;=$E61))</f>
        <v>-0</v>
      </c>
      <c r="BO61" s="48" t="n">
        <f aca="false">-CHOOSE(In_Sanction_Regime,$E60,$F60)*N(AND(BO$3&lt;=$E61,BO$4&gt;=$E61))</f>
        <v>-0</v>
      </c>
      <c r="BP61" s="48" t="n">
        <f aca="false">-CHOOSE(In_Sanction_Regime,$E60,$F60)*N(AND(BP$3&lt;=$E61,BP$4&gt;=$E61))</f>
        <v>-0</v>
      </c>
      <c r="BQ61" s="48" t="n">
        <f aca="false">-CHOOSE(In_Sanction_Regime,$E60,$F60)*N(AND(BQ$3&lt;=$E61,BQ$4&gt;=$E61))</f>
        <v>-0</v>
      </c>
      <c r="BR61" s="48" t="n">
        <f aca="false">-CHOOSE(In_Sanction_Regime,$E60,$F60)*N(AND(BR$3&lt;=$E61,BR$4&gt;=$E61))</f>
        <v>-0</v>
      </c>
      <c r="BS61" s="48" t="n">
        <f aca="false">-CHOOSE(In_Sanction_Regime,$E60,$F60)*N(AND(BS$3&lt;=$E61,BS$4&gt;=$E61))</f>
        <v>-0</v>
      </c>
      <c r="BT61" s="48" t="n">
        <f aca="false">-CHOOSE(In_Sanction_Regime,$E60,$F60)*N(AND(BT$3&lt;=$E61,BT$4&gt;=$E61))</f>
        <v>-0</v>
      </c>
      <c r="BU61" s="48" t="n">
        <f aca="false">-CHOOSE(In_Sanction_Regime,$E60,$F60)*N(AND(BU$3&lt;=$E61,BU$4&gt;=$E61))</f>
        <v>-0</v>
      </c>
      <c r="BV61" s="48" t="n">
        <f aca="false">-CHOOSE(In_Sanction_Regime,$E60,$F60)*N(AND(BV$3&lt;=$E61,BV$4&gt;=$E61))</f>
        <v>-0</v>
      </c>
      <c r="BW61" s="48" t="n">
        <f aca="false">-CHOOSE(In_Sanction_Regime,$E60,$F60)*N(AND(BW$3&lt;=$E61,BW$4&gt;=$E61))</f>
        <v>-0</v>
      </c>
      <c r="BX61" s="48" t="n">
        <f aca="false">-CHOOSE(In_Sanction_Regime,$E60,$F60)*N(AND(BX$3&lt;=$E61,BX$4&gt;=$E61))</f>
        <v>-0</v>
      </c>
      <c r="BY61" s="48" t="n">
        <f aca="false">-CHOOSE(In_Sanction_Regime,$E60,$F60)*N(AND(BY$3&lt;=$E61,BY$4&gt;=$E61))</f>
        <v>-0</v>
      </c>
      <c r="BZ61" s="48" t="n">
        <f aca="false">-CHOOSE(In_Sanction_Regime,$E60,$F60)*N(AND(BZ$3&lt;=$E61,BZ$4&gt;=$E61))</f>
        <v>-0</v>
      </c>
      <c r="CA61" s="48" t="n">
        <f aca="false">-CHOOSE(In_Sanction_Regime,$E60,$F60)*N(AND(CA$3&lt;=$E61,CA$4&gt;=$E61))</f>
        <v>-0</v>
      </c>
      <c r="CB61" s="48" t="n">
        <f aca="false">-CHOOSE(In_Sanction_Regime,$E60,$F60)*N(AND(CB$3&lt;=$E61,CB$4&gt;=$E61))</f>
        <v>-0</v>
      </c>
      <c r="CC61" s="48" t="n">
        <f aca="false">-CHOOSE(In_Sanction_Regime,$E60,$F60)*N(AND(CC$3&lt;=$E61,CC$4&gt;=$E61))</f>
        <v>-0</v>
      </c>
      <c r="CD61" s="48" t="n">
        <f aca="false">-CHOOSE(In_Sanction_Regime,$E60,$F60)*N(AND(CD$3&lt;=$E61,CD$4&gt;=$E61))</f>
        <v>-0</v>
      </c>
      <c r="CE61" s="48" t="n">
        <f aca="false">-CHOOSE(In_Sanction_Regime,$E60,$F60)*N(AND(CE$3&lt;=$E61,CE$4&gt;=$E61))</f>
        <v>-0</v>
      </c>
      <c r="CF61" s="48" t="n">
        <f aca="false">-CHOOSE(In_Sanction_Regime,$E60,$F60)*N(AND(CF$3&lt;=$E61,CF$4&gt;=$E61))</f>
        <v>-0</v>
      </c>
      <c r="CG61" s="48" t="n">
        <f aca="false">-CHOOSE(In_Sanction_Regime,$E60,$F60)*N(AND(CG$3&lt;=$E61,CG$4&gt;=$E61))</f>
        <v>-0</v>
      </c>
      <c r="CH61" s="48" t="n">
        <f aca="false">-CHOOSE(In_Sanction_Regime,$E60,$F60)*N(AND(CH$3&lt;=$E61,CH$4&gt;=$E61))</f>
        <v>-0</v>
      </c>
      <c r="CI61" s="48" t="n">
        <f aca="false">-CHOOSE(In_Sanction_Regime,$E60,$F60)*N(AND(CI$3&lt;=$E61,CI$4&gt;=$E61))</f>
        <v>-0</v>
      </c>
      <c r="CJ61" s="48" t="n">
        <f aca="false">-CHOOSE(In_Sanction_Regime,$E60,$F60)*N(AND(CJ$3&lt;=$E61,CJ$4&gt;=$E61))</f>
        <v>-0</v>
      </c>
      <c r="CK61" s="48" t="n">
        <f aca="false">-CHOOSE(In_Sanction_Regime,$E60,$F60)*N(AND(CK$3&lt;=$E61,CK$4&gt;=$E61))</f>
        <v>-0</v>
      </c>
      <c r="CL61" s="48" t="n">
        <f aca="false">-CHOOSE(In_Sanction_Regime,$E60,$F60)*N(AND(CL$3&lt;=$E61,CL$4&gt;=$E61))</f>
        <v>-0</v>
      </c>
      <c r="CM61" s="48" t="n">
        <f aca="false">-CHOOSE(In_Sanction_Regime,$E60,$F60)*N(AND(CM$3&lt;=$E61,CM$4&gt;=$E61))</f>
        <v>-0</v>
      </c>
      <c r="CN61" s="48" t="n">
        <f aca="false">-CHOOSE(In_Sanction_Regime,$E60,$F60)*N(AND(CN$3&lt;=$E61,CN$4&gt;=$E61))</f>
        <v>-0</v>
      </c>
      <c r="CO61" s="48" t="n">
        <f aca="false">-CHOOSE(In_Sanction_Regime,$E60,$F60)*N(AND(CO$3&lt;=$E61,CO$4&gt;=$E61))</f>
        <v>-0</v>
      </c>
      <c r="CP61" s="48" t="n">
        <f aca="false">-CHOOSE(In_Sanction_Regime,$E60,$F60)*N(AND(CP$3&lt;=$E61,CP$4&gt;=$E61))</f>
        <v>-0</v>
      </c>
      <c r="CQ61" s="48" t="n">
        <f aca="false">-CHOOSE(In_Sanction_Regime,$E60,$F60)*N(AND(CQ$3&lt;=$E61,CQ$4&gt;=$E61))</f>
        <v>-0</v>
      </c>
      <c r="CR61" s="48" t="n">
        <f aca="false">-CHOOSE(In_Sanction_Regime,$E60,$F60)*N(AND(CR$3&lt;=$E61,CR$4&gt;=$E61))</f>
        <v>-0</v>
      </c>
      <c r="CS61" s="48" t="n">
        <f aca="false">-CHOOSE(In_Sanction_Regime,$E60,$F60)*N(AND(CS$3&lt;=$E61,CS$4&gt;=$E61))</f>
        <v>-0</v>
      </c>
      <c r="CT61" s="48" t="n">
        <f aca="false">-CHOOSE(In_Sanction_Regime,$E60,$F60)*N(AND(CT$3&lt;=$E61,CT$4&gt;=$E61))</f>
        <v>-0</v>
      </c>
      <c r="CU61" s="48" t="n">
        <f aca="false">-CHOOSE(In_Sanction_Regime,$E60,$F60)*N(AND(CU$3&lt;=$E61,CU$4&gt;=$E61))</f>
        <v>-0</v>
      </c>
      <c r="CV61" s="48" t="n">
        <f aca="false">-CHOOSE(In_Sanction_Regime,$E60,$F60)*N(AND(CV$3&lt;=$E61,CV$4&gt;=$E61))</f>
        <v>-0</v>
      </c>
      <c r="CW61" s="48" t="n">
        <f aca="false">-CHOOSE(In_Sanction_Regime,$E60,$F60)*N(AND(CW$3&lt;=$E61,CW$4&gt;=$E61))</f>
        <v>-0</v>
      </c>
      <c r="CX61" s="48" t="n">
        <f aca="false">-CHOOSE(In_Sanction_Regime,$E60,$F60)*N(AND(CX$3&lt;=$E61,CX$4&gt;=$E61))</f>
        <v>-0</v>
      </c>
      <c r="CY61" s="48" t="n">
        <f aca="false">-CHOOSE(In_Sanction_Regime,$E60,$F60)*N(AND(CY$3&lt;=$E61,CY$4&gt;=$E61))</f>
        <v>-0</v>
      </c>
      <c r="CZ61" s="48" t="n">
        <f aca="false">-CHOOSE(In_Sanction_Regime,$E60,$F60)*N(AND(CZ$3&lt;=$E61,CZ$4&gt;=$E61))</f>
        <v>-0</v>
      </c>
      <c r="DA61" s="48" t="n">
        <f aca="false">-CHOOSE(In_Sanction_Regime,$E60,$F60)*N(AND(DA$3&lt;=$E61,DA$4&gt;=$E61))</f>
        <v>-0</v>
      </c>
      <c r="DB61" s="48" t="n">
        <f aca="false">-CHOOSE(In_Sanction_Regime,$E60,$F60)*N(AND(DB$3&lt;=$E61,DB$4&gt;=$E61))</f>
        <v>-0</v>
      </c>
      <c r="DC61" s="48" t="n">
        <f aca="false">-CHOOSE(In_Sanction_Regime,$E60,$F60)*N(AND(DC$3&lt;=$E61,DC$4&gt;=$E61))</f>
        <v>-0</v>
      </c>
      <c r="DD61" s="48" t="n">
        <f aca="false">-CHOOSE(In_Sanction_Regime,$E60,$F60)*N(AND(DD$3&lt;=$E61,DD$4&gt;=$E61))</f>
        <v>-0</v>
      </c>
      <c r="DE61" s="48" t="n">
        <f aca="false">-CHOOSE(In_Sanction_Regime,$E60,$F60)*N(AND(DE$3&lt;=$E61,DE$4&gt;=$E61))</f>
        <v>-0</v>
      </c>
      <c r="DF61" s="48" t="n">
        <f aca="false">-CHOOSE(In_Sanction_Regime,$E60,$F60)*N(AND(DF$3&lt;=$E61,DF$4&gt;=$E61))</f>
        <v>-0</v>
      </c>
      <c r="DG61" s="48" t="n">
        <f aca="false">-CHOOSE(In_Sanction_Regime,$E60,$F60)*N(AND(DG$3&lt;=$E61,DG$4&gt;=$E61))</f>
        <v>-0</v>
      </c>
      <c r="DH61" s="48" t="n">
        <f aca="false">-CHOOSE(In_Sanction_Regime,$E60,$F60)*N(AND(DH$3&lt;=$E61,DH$4&gt;=$E61))</f>
        <v>-0</v>
      </c>
      <c r="DI61" s="48" t="n">
        <f aca="false">-CHOOSE(In_Sanction_Regime,$E60,$F60)*N(AND(DI$3&lt;=$E61,DI$4&gt;=$E61))</f>
        <v>-0</v>
      </c>
      <c r="DJ61" s="48" t="n">
        <f aca="false">-CHOOSE(In_Sanction_Regime,$E60,$F60)*N(AND(DJ$3&lt;=$E61,DJ$4&gt;=$E61))</f>
        <v>-0</v>
      </c>
      <c r="DK61" s="48" t="n">
        <f aca="false">-CHOOSE(In_Sanction_Regime,$E60,$F60)*N(AND(DK$3&lt;=$E61,DK$4&gt;=$E61))</f>
        <v>-0</v>
      </c>
      <c r="DL61" s="48" t="n">
        <f aca="false">-CHOOSE(In_Sanction_Regime,$E60,$F60)*N(AND(DL$3&lt;=$E61,DL$4&gt;=$E61))</f>
        <v>-0</v>
      </c>
      <c r="DM61" s="48" t="n">
        <f aca="false">-CHOOSE(In_Sanction_Regime,$E60,$F60)*N(AND(DM$3&lt;=$E61,DM$4&gt;=$E61))</f>
        <v>-0</v>
      </c>
      <c r="DN61" s="48" t="n">
        <f aca="false">-CHOOSE(In_Sanction_Regime,$E60,$F60)*N(AND(DN$3&lt;=$E61,DN$4&gt;=$E61))</f>
        <v>-0</v>
      </c>
      <c r="DO61" s="48" t="n">
        <f aca="false">-CHOOSE(In_Sanction_Regime,$E60,$F60)*N(AND(DO$3&lt;=$E61,DO$4&gt;=$E61))</f>
        <v>-0</v>
      </c>
      <c r="DP61" s="48" t="n">
        <f aca="false">-CHOOSE(In_Sanction_Regime,$E60,$F60)*N(AND(DP$3&lt;=$E61,DP$4&gt;=$E61))</f>
        <v>-0</v>
      </c>
      <c r="DQ61" s="48" t="n">
        <f aca="false">-CHOOSE(In_Sanction_Regime,$E60,$F60)*N(AND(DQ$3&lt;=$E61,DQ$4&gt;=$E61))</f>
        <v>-0</v>
      </c>
      <c r="DR61" s="48" t="n">
        <f aca="false">-CHOOSE(In_Sanction_Regime,$E60,$F60)*N(AND(DR$3&lt;=$E61,DR$4&gt;=$E61))</f>
        <v>-0</v>
      </c>
      <c r="DS61" s="48" t="n">
        <f aca="false">-CHOOSE(In_Sanction_Regime,$E60,$F60)*N(AND(DS$3&lt;=$E61,DS$4&gt;=$E61))</f>
        <v>-0</v>
      </c>
      <c r="DT61" s="48" t="n">
        <f aca="false">-CHOOSE(In_Sanction_Regime,$E60,$F60)*N(AND(DT$3&lt;=$E61,DT$4&gt;=$E61))</f>
        <v>-0</v>
      </c>
      <c r="DU61" s="48" t="n">
        <f aca="false">-CHOOSE(In_Sanction_Regime,$E60,$F60)*N(AND(DU$3&lt;=$E61,DU$4&gt;=$E61))</f>
        <v>-0</v>
      </c>
      <c r="DV61" s="48" t="n">
        <f aca="false">-CHOOSE(In_Sanction_Regime,$E60,$F60)*N(AND(DV$3&lt;=$E61,DV$4&gt;=$E61))</f>
        <v>-0</v>
      </c>
      <c r="DW61" s="48" t="n">
        <f aca="false">-CHOOSE(In_Sanction_Regime,$E60,$F60)*N(AND(DW$3&lt;=$E61,DW$4&gt;=$E61))</f>
        <v>-0</v>
      </c>
      <c r="DX61" s="48" t="n">
        <f aca="false">-CHOOSE(In_Sanction_Regime,$E60,$F60)*N(AND(DX$3&lt;=$E61,DX$4&gt;=$E61))</f>
        <v>-0</v>
      </c>
      <c r="DY61" s="48" t="n">
        <f aca="false">-CHOOSE(In_Sanction_Regime,$E60,$F60)*N(AND(DY$3&lt;=$E61,DY$4&gt;=$E61))</f>
        <v>-0</v>
      </c>
      <c r="DZ61" s="48" t="n">
        <f aca="false">-CHOOSE(In_Sanction_Regime,$E60,$F60)*N(AND(DZ$3&lt;=$E61,DZ$4&gt;=$E61))</f>
        <v>-0</v>
      </c>
      <c r="EA61" s="48" t="n">
        <f aca="false">-CHOOSE(In_Sanction_Regime,$E60,$F60)*N(AND(EA$3&lt;=$E61,EA$4&gt;=$E61))</f>
        <v>-0</v>
      </c>
      <c r="EB61" s="48" t="n">
        <f aca="false">-CHOOSE(In_Sanction_Regime,$E60,$F60)*N(AND(EB$3&lt;=$E61,EB$4&gt;=$E61))</f>
        <v>-0</v>
      </c>
      <c r="EC61" s="48" t="n">
        <f aca="false">-CHOOSE(In_Sanction_Regime,$E60,$F60)*N(AND(EC$3&lt;=$E61,EC$4&gt;=$E61))</f>
        <v>-0</v>
      </c>
      <c r="ED61" s="48" t="n">
        <f aca="false">-CHOOSE(In_Sanction_Regime,$E60,$F60)*N(AND(ED$3&lt;=$E61,ED$4&gt;=$E61))</f>
        <v>-0</v>
      </c>
      <c r="EE61" s="48" t="n">
        <f aca="false">-CHOOSE(In_Sanction_Regime,$E60,$F60)*N(AND(EE$3&lt;=$E61,EE$4&gt;=$E61))</f>
        <v>-0</v>
      </c>
      <c r="EF61" s="48" t="n">
        <f aca="false">-CHOOSE(In_Sanction_Regime,$E60,$F60)*N(AND(EF$3&lt;=$E61,EF$4&gt;=$E61))</f>
        <v>-0</v>
      </c>
      <c r="EG61" s="48" t="n">
        <f aca="false">-CHOOSE(In_Sanction_Regime,$E60,$F60)*N(AND(EG$3&lt;=$E61,EG$4&gt;=$E61))</f>
        <v>-0</v>
      </c>
      <c r="EH61" s="48" t="n">
        <f aca="false">-CHOOSE(In_Sanction_Regime,$E60,$F60)*N(AND(EH$3&lt;=$E61,EH$4&gt;=$E61))</f>
        <v>-0</v>
      </c>
      <c r="EI61" s="48" t="n">
        <f aca="false">-CHOOSE(In_Sanction_Regime,$E60,$F60)*N(AND(EI$3&lt;=$E61,EI$4&gt;=$E61))</f>
        <v>-0</v>
      </c>
      <c r="EJ61" s="48" t="n">
        <f aca="false">-CHOOSE(In_Sanction_Regime,$E60,$F60)*N(AND(EJ$3&lt;=$E61,EJ$4&gt;=$E61))</f>
        <v>-0</v>
      </c>
      <c r="EK61" s="48" t="n">
        <f aca="false">-CHOOSE(In_Sanction_Regime,$E60,$F60)*N(AND(EK$3&lt;=$E61,EK$4&gt;=$E61))</f>
        <v>-0</v>
      </c>
      <c r="EL61" s="48" t="n">
        <f aca="false">-CHOOSE(In_Sanction_Regime,$E60,$F60)*N(AND(EL$3&lt;=$E61,EL$4&gt;=$E61))</f>
        <v>-0</v>
      </c>
      <c r="EM61" s="48" t="n">
        <f aca="false">-CHOOSE(In_Sanction_Regime,$E60,$F60)*N(AND(EM$3&lt;=$E61,EM$4&gt;=$E61))</f>
        <v>-0</v>
      </c>
      <c r="EN61" s="48" t="n">
        <f aca="false">-CHOOSE(In_Sanction_Regime,$E60,$F60)*N(AND(EN$3&lt;=$E61,EN$4&gt;=$E61))</f>
        <v>-0</v>
      </c>
      <c r="EO61" s="48" t="n">
        <f aca="false">-CHOOSE(In_Sanction_Regime,$E60,$F60)*N(AND(EO$3&lt;=$E61,EO$4&gt;=$E61))</f>
        <v>-0</v>
      </c>
    </row>
    <row r="62" customFormat="false" ht="15" hidden="false" customHeight="false" outlineLevel="0" collapsed="false">
      <c r="C62" s="25" t="s">
        <v>448</v>
      </c>
      <c r="D62" s="11" t="s">
        <v>33</v>
      </c>
      <c r="I62" s="57" t="n">
        <f aca="false">SUM(J62:EO62)</f>
        <v>-6597.56948020267</v>
      </c>
      <c r="J62" s="57" t="n">
        <f aca="false">J47+J48+J49+J51+J54+J58</f>
        <v>-4662.80993807469</v>
      </c>
      <c r="K62" s="57" t="n">
        <f aca="false">K47+K48+K49+K51+K54+K58</f>
        <v>-706.535577057768</v>
      </c>
      <c r="L62" s="57" t="n">
        <f aca="false">L47+L48+L49+L51+L54+L58</f>
        <v>-104.360496659404</v>
      </c>
      <c r="M62" s="57" t="n">
        <f aca="false">M47+M48+M49+M51+M54+M58</f>
        <v>-105.507315304013</v>
      </c>
      <c r="N62" s="57" t="n">
        <f aca="false">N47+N48+N49+N51+N54+N58</f>
        <v>-105.507315304013</v>
      </c>
      <c r="O62" s="57" t="n">
        <f aca="false">O47+O48+O49+O51+O54+O58</f>
        <v>-104.360496659404</v>
      </c>
      <c r="P62" s="57" t="n">
        <f aca="false">P47+P48+P49+P51+P54+P58</f>
        <v>-104.360496659404</v>
      </c>
      <c r="Q62" s="57" t="n">
        <f aca="false">Q47+Q48+Q49+Q51+Q54+Q58</f>
        <v>-105.507315304013</v>
      </c>
      <c r="R62" s="57" t="n">
        <f aca="false">R47+R48+R49+R51+R54+R58</f>
        <v>-33.5198348658285</v>
      </c>
      <c r="S62" s="57" t="n">
        <f aca="false">S47+S48+S49+S51+S54+S58</f>
        <v>-32.7911428035279</v>
      </c>
      <c r="T62" s="57" t="n">
        <f aca="false">T47+T48+T49+T51+T54+T58</f>
        <v>-33.1554888346782</v>
      </c>
      <c r="U62" s="57" t="n">
        <f aca="false">U47+U48+U49+U51+U54+U58</f>
        <v>-33.5198348658285</v>
      </c>
      <c r="V62" s="57" t="n">
        <f aca="false">V47+V48+V49+V51+V54+V58</f>
        <v>-33.5198348658285</v>
      </c>
      <c r="W62" s="57" t="n">
        <f aca="false">W47+W48+W49+W51+W54+W58</f>
        <v>-32.7911428035279</v>
      </c>
      <c r="X62" s="57" t="n">
        <f aca="false">X47+X48+X49+X51+X54+X58</f>
        <v>-33.1554888346782</v>
      </c>
      <c r="Y62" s="57" t="n">
        <f aca="false">Y47+Y48+Y49+Y51+Y54+Y58</f>
        <v>-33.5198348658285</v>
      </c>
      <c r="Z62" s="57" t="n">
        <f aca="false">Z47+Z48+Z49+Z51+Z54+Z58</f>
        <v>-33.5198348658285</v>
      </c>
      <c r="AA62" s="57" t="n">
        <f aca="false">AA47+AA48+AA49+AA51+AA54+AA58</f>
        <v>-32.7911428035279</v>
      </c>
      <c r="AB62" s="57" t="n">
        <f aca="false">AB47+AB48+AB49+AB51+AB54+AB58</f>
        <v>-33.1554888346782</v>
      </c>
      <c r="AC62" s="57" t="n">
        <f aca="false">AC47+AC48+AC49+AC51+AC54+AC58</f>
        <v>-33.5198348658285</v>
      </c>
      <c r="AD62" s="57" t="n">
        <f aca="false">AD47+AD48+AD49+AD51+AD54+AD58</f>
        <v>-33.5198348658285</v>
      </c>
      <c r="AE62" s="57" t="n">
        <f aca="false">AE47+AE48+AE49+AE51+AE54+AE58</f>
        <v>-33.1554888346782</v>
      </c>
      <c r="AF62" s="57" t="n">
        <f aca="false">AF47+AF48+AF49+AF51+AF54+AF58</f>
        <v>-33.1554888346782</v>
      </c>
      <c r="AG62" s="57" t="n">
        <f aca="false">AG47+AG48+AG49+AG51+AG54+AG58</f>
        <v>-33.5198348658285</v>
      </c>
      <c r="AH62" s="57" t="n">
        <f aca="false">AH47+AH48+AH49+AH51+AH54+AH58</f>
        <v>-33.5198348658285</v>
      </c>
      <c r="AI62" s="57" t="n">
        <f aca="false">AI47+AI48+AI49+AI51+AI54+AI58</f>
        <v>-32.7911428035279</v>
      </c>
      <c r="AJ62" s="57" t="n">
        <f aca="false">AJ47+AJ48+AJ49+AJ51+AJ54+AJ58</f>
        <v>-0</v>
      </c>
      <c r="AK62" s="57" t="n">
        <f aca="false">AK47+AK48+AK49+AK51+AK54+AK58</f>
        <v>-0</v>
      </c>
      <c r="AL62" s="57" t="n">
        <f aca="false">AL47+AL48+AL49+AL51+AL54+AL58</f>
        <v>-0</v>
      </c>
      <c r="AM62" s="57" t="n">
        <f aca="false">AM47+AM48+AM49+AM51+AM54+AM58</f>
        <v>-0</v>
      </c>
      <c r="AN62" s="57" t="n">
        <f aca="false">AN47+AN48+AN49+AN51+AN54+AN58</f>
        <v>-0</v>
      </c>
      <c r="AO62" s="57" t="n">
        <f aca="false">AO47+AO48+AO49+AO51+AO54+AO58</f>
        <v>-0</v>
      </c>
      <c r="AP62" s="57" t="n">
        <f aca="false">AP47+AP48+AP49+AP51+AP54+AP58</f>
        <v>-0</v>
      </c>
      <c r="AQ62" s="57" t="n">
        <f aca="false">AQ47+AQ48+AQ49+AQ51+AQ54+AQ58</f>
        <v>-0</v>
      </c>
      <c r="AR62" s="57" t="n">
        <f aca="false">AR47+AR48+AR49+AR51+AR54+AR58</f>
        <v>-0</v>
      </c>
      <c r="AS62" s="57" t="n">
        <f aca="false">AS47+AS48+AS49+AS51+AS54+AS58</f>
        <v>-0</v>
      </c>
      <c r="AT62" s="57" t="n">
        <f aca="false">AT47+AT48+AT49+AT51+AT54+AT58</f>
        <v>-0</v>
      </c>
      <c r="AU62" s="57" t="n">
        <f aca="false">AU47+AU48+AU49+AU51+AU54+AU58</f>
        <v>-0</v>
      </c>
      <c r="AV62" s="57" t="n">
        <f aca="false">AV47+AV48+AV49+AV51+AV54+AV58</f>
        <v>-0</v>
      </c>
      <c r="AW62" s="57" t="n">
        <f aca="false">AW47+AW48+AW49+AW51+AW54+AW58</f>
        <v>-0</v>
      </c>
      <c r="AX62" s="57" t="n">
        <f aca="false">AX47+AX48+AX49+AX51+AX54+AX58</f>
        <v>-0</v>
      </c>
      <c r="AY62" s="57" t="n">
        <f aca="false">AY47+AY48+AY49+AY51+AY54+AY58</f>
        <v>-0</v>
      </c>
      <c r="AZ62" s="57" t="n">
        <f aca="false">AZ47+AZ48+AZ49+AZ51+AZ54+AZ58</f>
        <v>-0</v>
      </c>
      <c r="BA62" s="57" t="n">
        <f aca="false">BA47+BA48+BA49+BA51+BA54+BA58</f>
        <v>-0</v>
      </c>
      <c r="BB62" s="57" t="n">
        <f aca="false">BB47+BB48+BB49+BB51+BB54+BB58</f>
        <v>-0</v>
      </c>
      <c r="BC62" s="57" t="n">
        <f aca="false">BC47+BC48+BC49+BC51+BC54+BC58</f>
        <v>-0</v>
      </c>
      <c r="BD62" s="57" t="n">
        <f aca="false">BD47+BD48+BD49+BD51+BD54+BD58</f>
        <v>-0</v>
      </c>
      <c r="BE62" s="57" t="n">
        <f aca="false">BE47+BE48+BE49+BE51+BE54+BE58</f>
        <v>-0</v>
      </c>
      <c r="BF62" s="57" t="n">
        <f aca="false">BF47+BF48+BF49+BF51+BF54+BF58</f>
        <v>-0</v>
      </c>
      <c r="BG62" s="57" t="n">
        <f aca="false">BG47+BG48+BG49+BG51+BG54+BG58</f>
        <v>-0</v>
      </c>
      <c r="BH62" s="57" t="n">
        <f aca="false">BH47+BH48+BH49+BH51+BH54+BH58</f>
        <v>-0</v>
      </c>
      <c r="BI62" s="57" t="n">
        <f aca="false">BI47+BI48+BI49+BI51+BI54+BI58</f>
        <v>-0</v>
      </c>
      <c r="BJ62" s="57" t="n">
        <f aca="false">BJ47+BJ48+BJ49+BJ51+BJ54+BJ58</f>
        <v>-0</v>
      </c>
      <c r="BK62" s="57" t="n">
        <f aca="false">BK47+BK48+BK49+BK51+BK54+BK58</f>
        <v>-0</v>
      </c>
      <c r="BL62" s="57" t="n">
        <f aca="false">BL47+BL48+BL49+BL51+BL54+BL58</f>
        <v>-0</v>
      </c>
      <c r="BM62" s="57" t="n">
        <f aca="false">BM47+BM48+BM49+BM51+BM54+BM58</f>
        <v>-0</v>
      </c>
      <c r="BN62" s="57" t="n">
        <f aca="false">BN47+BN48+BN49+BN51+BN54+BN58</f>
        <v>-0</v>
      </c>
      <c r="BO62" s="57" t="n">
        <f aca="false">BO47+BO48+BO49+BO51+BO54+BO58</f>
        <v>-0</v>
      </c>
      <c r="BP62" s="57" t="n">
        <f aca="false">BP47+BP48+BP49+BP51+BP54+BP58</f>
        <v>-0</v>
      </c>
      <c r="BQ62" s="57" t="n">
        <f aca="false">BQ47+BQ48+BQ49+BQ51+BQ54+BQ58</f>
        <v>-0</v>
      </c>
      <c r="BR62" s="57" t="n">
        <f aca="false">BR47+BR48+BR49+BR51+BR54+BR58</f>
        <v>-0</v>
      </c>
      <c r="BS62" s="57" t="n">
        <f aca="false">BS47+BS48+BS49+BS51+BS54+BS58</f>
        <v>-0</v>
      </c>
      <c r="BT62" s="57" t="n">
        <f aca="false">BT47+BT48+BT49+BT51+BT54+BT58</f>
        <v>-0</v>
      </c>
      <c r="BU62" s="57" t="n">
        <f aca="false">BU47+BU48+BU49+BU51+BU54+BU58</f>
        <v>-0</v>
      </c>
      <c r="BV62" s="57" t="n">
        <f aca="false">BV47+BV48+BV49+BV51+BV54+BV58</f>
        <v>-0</v>
      </c>
      <c r="BW62" s="57" t="n">
        <f aca="false">BW47+BW48+BW49+BW51+BW54+BW58</f>
        <v>-0</v>
      </c>
      <c r="BX62" s="57" t="n">
        <f aca="false">BX47+BX48+BX49+BX51+BX54+BX58</f>
        <v>-0</v>
      </c>
      <c r="BY62" s="57" t="n">
        <f aca="false">BY47+BY48+BY49+BY51+BY54+BY58</f>
        <v>-0</v>
      </c>
      <c r="BZ62" s="57" t="n">
        <f aca="false">BZ47+BZ48+BZ49+BZ51+BZ54+BZ58</f>
        <v>-0</v>
      </c>
      <c r="CA62" s="57" t="n">
        <f aca="false">CA47+CA48+CA49+CA51+CA54+CA58</f>
        <v>-0</v>
      </c>
      <c r="CB62" s="57" t="n">
        <f aca="false">CB47+CB48+CB49+CB51+CB54+CB58</f>
        <v>-0</v>
      </c>
      <c r="CC62" s="57" t="n">
        <f aca="false">CC47+CC48+CC49+CC51+CC54+CC58</f>
        <v>-0</v>
      </c>
      <c r="CD62" s="57" t="n">
        <f aca="false">CD47+CD48+CD49+CD51+CD54+CD58</f>
        <v>-0</v>
      </c>
      <c r="CE62" s="57" t="n">
        <f aca="false">CE47+CE48+CE49+CE51+CE54+CE58</f>
        <v>-0</v>
      </c>
      <c r="CF62" s="57" t="n">
        <f aca="false">CF47+CF48+CF49+CF51+CF54+CF58</f>
        <v>-0</v>
      </c>
      <c r="CG62" s="57" t="n">
        <f aca="false">CG47+CG48+CG49+CG51+CG54+CG58</f>
        <v>-0</v>
      </c>
      <c r="CH62" s="57" t="n">
        <f aca="false">CH47+CH48+CH49+CH51+CH54+CH58</f>
        <v>-0</v>
      </c>
      <c r="CI62" s="57" t="n">
        <f aca="false">CI47+CI48+CI49+CI51+CI54+CI58</f>
        <v>-0</v>
      </c>
      <c r="CJ62" s="57" t="n">
        <f aca="false">CJ47+CJ48+CJ49+CJ51+CJ54+CJ58</f>
        <v>-0</v>
      </c>
      <c r="CK62" s="57" t="n">
        <f aca="false">CK47+CK48+CK49+CK51+CK54+CK58</f>
        <v>-0</v>
      </c>
      <c r="CL62" s="57" t="n">
        <f aca="false">CL47+CL48+CL49+CL51+CL54+CL58</f>
        <v>-0</v>
      </c>
      <c r="CM62" s="57" t="n">
        <f aca="false">CM47+CM48+CM49+CM51+CM54+CM58</f>
        <v>-0</v>
      </c>
      <c r="CN62" s="57" t="n">
        <f aca="false">CN47+CN48+CN49+CN51+CN54+CN58</f>
        <v>-0</v>
      </c>
      <c r="CO62" s="57" t="n">
        <f aca="false">CO47+CO48+CO49+CO51+CO54+CO58</f>
        <v>-0</v>
      </c>
      <c r="CP62" s="57" t="n">
        <f aca="false">CP47+CP48+CP49+CP51+CP54+CP58</f>
        <v>-0</v>
      </c>
      <c r="CQ62" s="57" t="n">
        <f aca="false">CQ47+CQ48+CQ49+CQ51+CQ54+CQ58</f>
        <v>-0</v>
      </c>
      <c r="CR62" s="57" t="n">
        <f aca="false">CR47+CR48+CR49+CR51+CR54+CR58</f>
        <v>-0</v>
      </c>
      <c r="CS62" s="57" t="n">
        <f aca="false">CS47+CS48+CS49+CS51+CS54+CS58</f>
        <v>-0</v>
      </c>
      <c r="CT62" s="57" t="n">
        <f aca="false">CT47+CT48+CT49+CT51+CT54+CT58</f>
        <v>-0</v>
      </c>
      <c r="CU62" s="57" t="n">
        <f aca="false">CU47+CU48+CU49+CU51+CU54+CU58</f>
        <v>-0</v>
      </c>
      <c r="CV62" s="57" t="n">
        <f aca="false">CV47+CV48+CV49+CV51+CV54+CV58</f>
        <v>-0</v>
      </c>
      <c r="CW62" s="57" t="n">
        <f aca="false">CW47+CW48+CW49+CW51+CW54+CW58</f>
        <v>-0</v>
      </c>
      <c r="CX62" s="57" t="n">
        <f aca="false">CX47+CX48+CX49+CX51+CX54+CX58</f>
        <v>-0</v>
      </c>
      <c r="CY62" s="57" t="n">
        <f aca="false">CY47+CY48+CY49+CY51+CY54+CY58</f>
        <v>-0</v>
      </c>
      <c r="CZ62" s="57" t="n">
        <f aca="false">CZ47+CZ48+CZ49+CZ51+CZ54+CZ58</f>
        <v>-0</v>
      </c>
      <c r="DA62" s="57" t="n">
        <f aca="false">DA47+DA48+DA49+DA51+DA54+DA58</f>
        <v>-0</v>
      </c>
      <c r="DB62" s="57" t="n">
        <f aca="false">DB47+DB48+DB49+DB51+DB54+DB58</f>
        <v>-0</v>
      </c>
      <c r="DC62" s="57" t="n">
        <f aca="false">DC47+DC48+DC49+DC51+DC54+DC58</f>
        <v>-0</v>
      </c>
      <c r="DD62" s="57" t="n">
        <f aca="false">DD47+DD48+DD49+DD51+DD54+DD58</f>
        <v>-0</v>
      </c>
      <c r="DE62" s="57" t="n">
        <f aca="false">DE47+DE48+DE49+DE51+DE54+DE58</f>
        <v>-0</v>
      </c>
      <c r="DF62" s="57" t="n">
        <f aca="false">DF47+DF48+DF49+DF51+DF54+DF58</f>
        <v>-0</v>
      </c>
      <c r="DG62" s="57" t="n">
        <f aca="false">DG47+DG48+DG49+DG51+DG54+DG58</f>
        <v>-0</v>
      </c>
      <c r="DH62" s="57" t="n">
        <f aca="false">DH47+DH48+DH49+DH51+DH54+DH58</f>
        <v>-0</v>
      </c>
      <c r="DI62" s="57" t="n">
        <f aca="false">DI47+DI48+DI49+DI51+DI54+DI58</f>
        <v>-0</v>
      </c>
      <c r="DJ62" s="57" t="n">
        <f aca="false">DJ47+DJ48+DJ49+DJ51+DJ54+DJ58</f>
        <v>-0</v>
      </c>
      <c r="DK62" s="57" t="n">
        <f aca="false">DK47+DK48+DK49+DK51+DK54+DK58</f>
        <v>-0</v>
      </c>
      <c r="DL62" s="57" t="n">
        <f aca="false">DL47+DL48+DL49+DL51+DL54+DL58</f>
        <v>-0</v>
      </c>
      <c r="DM62" s="57" t="n">
        <f aca="false">DM47+DM48+DM49+DM51+DM54+DM58</f>
        <v>-0</v>
      </c>
      <c r="DN62" s="57" t="n">
        <f aca="false">DN47+DN48+DN49+DN51+DN54+DN58</f>
        <v>-0</v>
      </c>
      <c r="DO62" s="57" t="n">
        <f aca="false">DO47+DO48+DO49+DO51+DO54+DO58</f>
        <v>-0</v>
      </c>
      <c r="DP62" s="57" t="n">
        <f aca="false">DP47+DP48+DP49+DP51+DP54+DP58</f>
        <v>-0</v>
      </c>
      <c r="DQ62" s="57" t="n">
        <f aca="false">DQ47+DQ48+DQ49+DQ51+DQ54+DQ58</f>
        <v>-0</v>
      </c>
      <c r="DR62" s="57" t="n">
        <f aca="false">DR47+DR48+DR49+DR51+DR54+DR58</f>
        <v>-0</v>
      </c>
      <c r="DS62" s="57" t="n">
        <f aca="false">DS47+DS48+DS49+DS51+DS54+DS58</f>
        <v>-0</v>
      </c>
      <c r="DT62" s="57" t="n">
        <f aca="false">DT47+DT48+DT49+DT51+DT54+DT58</f>
        <v>-0</v>
      </c>
      <c r="DU62" s="57" t="n">
        <f aca="false">DU47+DU48+DU49+DU51+DU54+DU58</f>
        <v>-0</v>
      </c>
      <c r="DV62" s="57" t="n">
        <f aca="false">DV47+DV48+DV49+DV51+DV54+DV58</f>
        <v>-0</v>
      </c>
      <c r="DW62" s="57" t="n">
        <f aca="false">DW47+DW48+DW49+DW51+DW54+DW58</f>
        <v>-0</v>
      </c>
      <c r="DX62" s="57" t="n">
        <f aca="false">DX47+DX48+DX49+DX51+DX54+DX58</f>
        <v>-0</v>
      </c>
      <c r="DY62" s="57" t="n">
        <f aca="false">DY47+DY48+DY49+DY51+DY54+DY58</f>
        <v>-0</v>
      </c>
      <c r="DZ62" s="57" t="n">
        <f aca="false">DZ47+DZ48+DZ49+DZ51+DZ54+DZ58</f>
        <v>-0</v>
      </c>
      <c r="EA62" s="57" t="n">
        <f aca="false">EA47+EA48+EA49+EA51+EA54+EA58</f>
        <v>-0</v>
      </c>
      <c r="EB62" s="57" t="n">
        <f aca="false">EB47+EB48+EB49+EB51+EB54+EB58</f>
        <v>-0</v>
      </c>
      <c r="EC62" s="57" t="n">
        <f aca="false">EC47+EC48+EC49+EC51+EC54+EC58</f>
        <v>-0</v>
      </c>
      <c r="ED62" s="57" t="n">
        <f aca="false">ED47+ED48+ED49+ED51+ED54+ED58</f>
        <v>-0</v>
      </c>
      <c r="EE62" s="57" t="n">
        <f aca="false">EE47+EE48+EE49+EE51+EE54+EE58</f>
        <v>-0</v>
      </c>
      <c r="EF62" s="57" t="n">
        <f aca="false">EF47+EF48+EF49+EF51+EF54+EF58</f>
        <v>-0</v>
      </c>
      <c r="EG62" s="57" t="n">
        <f aca="false">EG47+EG48+EG49+EG51+EG54+EG58</f>
        <v>-0</v>
      </c>
      <c r="EH62" s="57" t="n">
        <f aca="false">EH47+EH48+EH49+EH51+EH54+EH58</f>
        <v>-0</v>
      </c>
      <c r="EI62" s="57" t="n">
        <f aca="false">EI47+EI48+EI49+EI51+EI54+EI58</f>
        <v>-0</v>
      </c>
      <c r="EJ62" s="57" t="n">
        <f aca="false">EJ47+EJ48+EJ49+EJ51+EJ54+EJ58</f>
        <v>-0</v>
      </c>
      <c r="EK62" s="57" t="n">
        <f aca="false">EK47+EK48+EK49+EK51+EK54+EK58</f>
        <v>-0</v>
      </c>
      <c r="EL62" s="57" t="n">
        <f aca="false">EL47+EL48+EL49+EL51+EL54+EL58</f>
        <v>-0</v>
      </c>
      <c r="EM62" s="57" t="n">
        <f aca="false">EM47+EM48+EM49+EM51+EM54+EM58</f>
        <v>-0</v>
      </c>
      <c r="EN62" s="57" t="n">
        <f aca="false">EN47+EN48+EN49+EN51+EN54+EN58</f>
        <v>-0</v>
      </c>
      <c r="EO62" s="57" t="n">
        <f aca="false">EO47+EO48+EO49+EO51+EO54+EO58</f>
        <v>-0</v>
      </c>
    </row>
    <row r="64" customFormat="false" ht="15" hidden="false" customHeight="false" outlineLevel="0" collapsed="false">
      <c r="A64" s="9" t="s">
        <v>13</v>
      </c>
      <c r="B64" s="9"/>
      <c r="C64" s="9" t="s">
        <v>449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</row>
    <row r="65" customFormat="false" ht="15" hidden="false" customHeight="false" outlineLevel="0" collapsed="false">
      <c r="C65" s="0" t="s">
        <v>450</v>
      </c>
      <c r="D65" s="11" t="s">
        <v>19</v>
      </c>
      <c r="E65" s="48" t="n">
        <f aca="false">IF($E41=1,In_Turbine,In_Turbine_CN)</f>
        <v>950</v>
      </c>
    </row>
    <row r="66" customFormat="false" ht="15" hidden="false" customHeight="false" outlineLevel="0" collapsed="false">
      <c r="C66" s="0" t="s">
        <v>451</v>
      </c>
      <c r="D66" s="11" t="s">
        <v>33</v>
      </c>
      <c r="E66" s="48" t="n">
        <f aca="false">IF($E41=1,In_Substation,In_Substation_CN)</f>
        <v>12000</v>
      </c>
    </row>
    <row r="67" customFormat="false" ht="15" hidden="false" customHeight="false" outlineLevel="0" collapsed="false">
      <c r="C67" s="0" t="s">
        <v>452</v>
      </c>
      <c r="D67" s="11" t="s">
        <v>33</v>
      </c>
      <c r="E67" s="48" t="n">
        <f aca="false">(($E65+In_Other_Wind)*$F25+$E66)*(1+In_Capex_Contingency)+In_BESS_Capex*$E28*In_BESS_Built</f>
        <v>91963.75</v>
      </c>
      <c r="I67" s="48" t="n">
        <f aca="false">SUM(J67:EO67)</f>
        <v>-91963.75</v>
      </c>
      <c r="J67" s="48" t="n">
        <f aca="false">-$E67*J12</f>
        <v>-0</v>
      </c>
      <c r="K67" s="48" t="n">
        <f aca="false">-$E67*K12</f>
        <v>-0</v>
      </c>
      <c r="L67" s="48" t="n">
        <f aca="false">-$E67*L12</f>
        <v>-0</v>
      </c>
      <c r="M67" s="48" t="n">
        <f aca="false">-$E67*M12</f>
        <v>-0</v>
      </c>
      <c r="N67" s="48" t="n">
        <f aca="false">-$E67*N12</f>
        <v>-0</v>
      </c>
      <c r="O67" s="48" t="n">
        <f aca="false">-$E67*O12</f>
        <v>-0</v>
      </c>
      <c r="P67" s="48" t="n">
        <f aca="false">-$E67*P12</f>
        <v>-0</v>
      </c>
      <c r="Q67" s="48" t="n">
        <f aca="false">-$E67*Q12</f>
        <v>-0</v>
      </c>
      <c r="R67" s="48" t="n">
        <f aca="false">-$E67*R12</f>
        <v>-11589.9520547945</v>
      </c>
      <c r="S67" s="48" t="n">
        <f aca="false">-$E67*S12</f>
        <v>-11337.9965753425</v>
      </c>
      <c r="T67" s="48" t="n">
        <f aca="false">-$E67*T12</f>
        <v>-11463.9743150685</v>
      </c>
      <c r="U67" s="48" t="n">
        <f aca="false">-$E67*U12</f>
        <v>-11589.9520547945</v>
      </c>
      <c r="V67" s="48" t="n">
        <f aca="false">-$E67*V12</f>
        <v>-11589.9520547945</v>
      </c>
      <c r="W67" s="48" t="n">
        <f aca="false">-$E67*W12</f>
        <v>-11337.9965753425</v>
      </c>
      <c r="X67" s="48" t="n">
        <f aca="false">-$E67*X12</f>
        <v>-11463.9743150685</v>
      </c>
      <c r="Y67" s="48" t="n">
        <f aca="false">-$E67*Y12</f>
        <v>-11589.9520547945</v>
      </c>
      <c r="Z67" s="48" t="n">
        <f aca="false">-$E67*Z12</f>
        <v>-0</v>
      </c>
      <c r="AA67" s="48" t="n">
        <f aca="false">-$E67*AA12</f>
        <v>-0</v>
      </c>
      <c r="AB67" s="48" t="n">
        <f aca="false">-$E67*AB12</f>
        <v>-0</v>
      </c>
      <c r="AC67" s="48" t="n">
        <f aca="false">-$E67*AC12</f>
        <v>-0</v>
      </c>
      <c r="AD67" s="48" t="n">
        <f aca="false">-$E67*AD12</f>
        <v>-0</v>
      </c>
      <c r="AE67" s="48" t="n">
        <f aca="false">-$E67*AE12</f>
        <v>-0</v>
      </c>
      <c r="AF67" s="48" t="n">
        <f aca="false">-$E67*AF12</f>
        <v>-0</v>
      </c>
      <c r="AG67" s="48" t="n">
        <f aca="false">-$E67*AG12</f>
        <v>-0</v>
      </c>
      <c r="AH67" s="48" t="n">
        <f aca="false">-$E67*AH12</f>
        <v>-0</v>
      </c>
      <c r="AI67" s="48" t="n">
        <f aca="false">-$E67*AI12</f>
        <v>-0</v>
      </c>
      <c r="AJ67" s="48" t="n">
        <f aca="false">-$E67*AJ12</f>
        <v>-0</v>
      </c>
      <c r="AK67" s="48" t="n">
        <f aca="false">-$E67*AK12</f>
        <v>-0</v>
      </c>
      <c r="AL67" s="48" t="n">
        <f aca="false">-$E67*AL12</f>
        <v>-0</v>
      </c>
      <c r="AM67" s="48" t="n">
        <f aca="false">-$E67*AM12</f>
        <v>-0</v>
      </c>
      <c r="AN67" s="48" t="n">
        <f aca="false">-$E67*AN12</f>
        <v>-0</v>
      </c>
      <c r="AO67" s="48" t="n">
        <f aca="false">-$E67*AO12</f>
        <v>-0</v>
      </c>
      <c r="AP67" s="48" t="n">
        <f aca="false">-$E67*AP12</f>
        <v>-0</v>
      </c>
      <c r="AQ67" s="48" t="n">
        <f aca="false">-$E67*AQ12</f>
        <v>-0</v>
      </c>
      <c r="AR67" s="48" t="n">
        <f aca="false">-$E67*AR12</f>
        <v>-0</v>
      </c>
      <c r="AS67" s="48" t="n">
        <f aca="false">-$E67*AS12</f>
        <v>-0</v>
      </c>
      <c r="AT67" s="48" t="n">
        <f aca="false">-$E67*AT12</f>
        <v>-0</v>
      </c>
      <c r="AU67" s="48" t="n">
        <f aca="false">-$E67*AU12</f>
        <v>-0</v>
      </c>
      <c r="AV67" s="48" t="n">
        <f aca="false">-$E67*AV12</f>
        <v>-0</v>
      </c>
      <c r="AW67" s="48" t="n">
        <f aca="false">-$E67*AW12</f>
        <v>-0</v>
      </c>
      <c r="AX67" s="48" t="n">
        <f aca="false">-$E67*AX12</f>
        <v>-0</v>
      </c>
      <c r="AY67" s="48" t="n">
        <f aca="false">-$E67*AY12</f>
        <v>-0</v>
      </c>
      <c r="AZ67" s="48" t="n">
        <f aca="false">-$E67*AZ12</f>
        <v>-0</v>
      </c>
      <c r="BA67" s="48" t="n">
        <f aca="false">-$E67*BA12</f>
        <v>-0</v>
      </c>
      <c r="BB67" s="48" t="n">
        <f aca="false">-$E67*BB12</f>
        <v>-0</v>
      </c>
      <c r="BC67" s="48" t="n">
        <f aca="false">-$E67*BC12</f>
        <v>-0</v>
      </c>
      <c r="BD67" s="48" t="n">
        <f aca="false">-$E67*BD12</f>
        <v>-0</v>
      </c>
      <c r="BE67" s="48" t="n">
        <f aca="false">-$E67*BE12</f>
        <v>-0</v>
      </c>
      <c r="BF67" s="48" t="n">
        <f aca="false">-$E67*BF12</f>
        <v>-0</v>
      </c>
      <c r="BG67" s="48" t="n">
        <f aca="false">-$E67*BG12</f>
        <v>-0</v>
      </c>
      <c r="BH67" s="48" t="n">
        <f aca="false">-$E67*BH12</f>
        <v>-0</v>
      </c>
      <c r="BI67" s="48" t="n">
        <f aca="false">-$E67*BI12</f>
        <v>-0</v>
      </c>
      <c r="BJ67" s="48" t="n">
        <f aca="false">-$E67*BJ12</f>
        <v>-0</v>
      </c>
      <c r="BK67" s="48" t="n">
        <f aca="false">-$E67*BK12</f>
        <v>-0</v>
      </c>
      <c r="BL67" s="48" t="n">
        <f aca="false">-$E67*BL12</f>
        <v>-0</v>
      </c>
      <c r="BM67" s="48" t="n">
        <f aca="false">-$E67*BM12</f>
        <v>-0</v>
      </c>
      <c r="BN67" s="48" t="n">
        <f aca="false">-$E67*BN12</f>
        <v>-0</v>
      </c>
      <c r="BO67" s="48" t="n">
        <f aca="false">-$E67*BO12</f>
        <v>-0</v>
      </c>
      <c r="BP67" s="48" t="n">
        <f aca="false">-$E67*BP12</f>
        <v>-0</v>
      </c>
      <c r="BQ67" s="48" t="n">
        <f aca="false">-$E67*BQ12</f>
        <v>-0</v>
      </c>
      <c r="BR67" s="48" t="n">
        <f aca="false">-$E67*BR12</f>
        <v>-0</v>
      </c>
      <c r="BS67" s="48" t="n">
        <f aca="false">-$E67*BS12</f>
        <v>-0</v>
      </c>
      <c r="BT67" s="48" t="n">
        <f aca="false">-$E67*BT12</f>
        <v>-0</v>
      </c>
      <c r="BU67" s="48" t="n">
        <f aca="false">-$E67*BU12</f>
        <v>-0</v>
      </c>
      <c r="BV67" s="48" t="n">
        <f aca="false">-$E67*BV12</f>
        <v>-0</v>
      </c>
      <c r="BW67" s="48" t="n">
        <f aca="false">-$E67*BW12</f>
        <v>-0</v>
      </c>
      <c r="BX67" s="48" t="n">
        <f aca="false">-$E67*BX12</f>
        <v>-0</v>
      </c>
      <c r="BY67" s="48" t="n">
        <f aca="false">-$E67*BY12</f>
        <v>-0</v>
      </c>
      <c r="BZ67" s="48" t="n">
        <f aca="false">-$E67*BZ12</f>
        <v>-0</v>
      </c>
      <c r="CA67" s="48" t="n">
        <f aca="false">-$E67*CA12</f>
        <v>-0</v>
      </c>
      <c r="CB67" s="48" t="n">
        <f aca="false">-$E67*CB12</f>
        <v>-0</v>
      </c>
      <c r="CC67" s="48" t="n">
        <f aca="false">-$E67*CC12</f>
        <v>-0</v>
      </c>
      <c r="CD67" s="48" t="n">
        <f aca="false">-$E67*CD12</f>
        <v>-0</v>
      </c>
      <c r="CE67" s="48" t="n">
        <f aca="false">-$E67*CE12</f>
        <v>-0</v>
      </c>
      <c r="CF67" s="48" t="n">
        <f aca="false">-$E67*CF12</f>
        <v>-0</v>
      </c>
      <c r="CG67" s="48" t="n">
        <f aca="false">-$E67*CG12</f>
        <v>-0</v>
      </c>
      <c r="CH67" s="48" t="n">
        <f aca="false">-$E67*CH12</f>
        <v>-0</v>
      </c>
      <c r="CI67" s="48" t="n">
        <f aca="false">-$E67*CI12</f>
        <v>-0</v>
      </c>
      <c r="CJ67" s="48" t="n">
        <f aca="false">-$E67*CJ12</f>
        <v>-0</v>
      </c>
      <c r="CK67" s="48" t="n">
        <f aca="false">-$E67*CK12</f>
        <v>-0</v>
      </c>
      <c r="CL67" s="48" t="n">
        <f aca="false">-$E67*CL12</f>
        <v>-0</v>
      </c>
      <c r="CM67" s="48" t="n">
        <f aca="false">-$E67*CM12</f>
        <v>-0</v>
      </c>
      <c r="CN67" s="48" t="n">
        <f aca="false">-$E67*CN12</f>
        <v>-0</v>
      </c>
      <c r="CO67" s="48" t="n">
        <f aca="false">-$E67*CO12</f>
        <v>-0</v>
      </c>
      <c r="CP67" s="48" t="n">
        <f aca="false">-$E67*CP12</f>
        <v>-0</v>
      </c>
      <c r="CQ67" s="48" t="n">
        <f aca="false">-$E67*CQ12</f>
        <v>-0</v>
      </c>
      <c r="CR67" s="48" t="n">
        <f aca="false">-$E67*CR12</f>
        <v>-0</v>
      </c>
      <c r="CS67" s="48" t="n">
        <f aca="false">-$E67*CS12</f>
        <v>-0</v>
      </c>
      <c r="CT67" s="48" t="n">
        <f aca="false">-$E67*CT12</f>
        <v>-0</v>
      </c>
      <c r="CU67" s="48" t="n">
        <f aca="false">-$E67*CU12</f>
        <v>-0</v>
      </c>
      <c r="CV67" s="48" t="n">
        <f aca="false">-$E67*CV12</f>
        <v>-0</v>
      </c>
      <c r="CW67" s="48" t="n">
        <f aca="false">-$E67*CW12</f>
        <v>-0</v>
      </c>
      <c r="CX67" s="48" t="n">
        <f aca="false">-$E67*CX12</f>
        <v>-0</v>
      </c>
      <c r="CY67" s="48" t="n">
        <f aca="false">-$E67*CY12</f>
        <v>-0</v>
      </c>
      <c r="CZ67" s="48" t="n">
        <f aca="false">-$E67*CZ12</f>
        <v>-0</v>
      </c>
      <c r="DA67" s="48" t="n">
        <f aca="false">-$E67*DA12</f>
        <v>-0</v>
      </c>
      <c r="DB67" s="48" t="n">
        <f aca="false">-$E67*DB12</f>
        <v>-0</v>
      </c>
      <c r="DC67" s="48" t="n">
        <f aca="false">-$E67*DC12</f>
        <v>-0</v>
      </c>
      <c r="DD67" s="48" t="n">
        <f aca="false">-$E67*DD12</f>
        <v>-0</v>
      </c>
      <c r="DE67" s="48" t="n">
        <f aca="false">-$E67*DE12</f>
        <v>-0</v>
      </c>
      <c r="DF67" s="48" t="n">
        <f aca="false">-$E67*DF12</f>
        <v>-0</v>
      </c>
      <c r="DG67" s="48" t="n">
        <f aca="false">-$E67*DG12</f>
        <v>-0</v>
      </c>
      <c r="DH67" s="48" t="n">
        <f aca="false">-$E67*DH12</f>
        <v>-0</v>
      </c>
      <c r="DI67" s="48" t="n">
        <f aca="false">-$E67*DI12</f>
        <v>-0</v>
      </c>
      <c r="DJ67" s="48" t="n">
        <f aca="false">-$E67*DJ12</f>
        <v>-0</v>
      </c>
      <c r="DK67" s="48" t="n">
        <f aca="false">-$E67*DK12</f>
        <v>-0</v>
      </c>
      <c r="DL67" s="48" t="n">
        <f aca="false">-$E67*DL12</f>
        <v>-0</v>
      </c>
      <c r="DM67" s="48" t="n">
        <f aca="false">-$E67*DM12</f>
        <v>-0</v>
      </c>
      <c r="DN67" s="48" t="n">
        <f aca="false">-$E67*DN12</f>
        <v>-0</v>
      </c>
      <c r="DO67" s="48" t="n">
        <f aca="false">-$E67*DO12</f>
        <v>-0</v>
      </c>
      <c r="DP67" s="48" t="n">
        <f aca="false">-$E67*DP12</f>
        <v>-0</v>
      </c>
      <c r="DQ67" s="48" t="n">
        <f aca="false">-$E67*DQ12</f>
        <v>-0</v>
      </c>
      <c r="DR67" s="48" t="n">
        <f aca="false">-$E67*DR12</f>
        <v>-0</v>
      </c>
      <c r="DS67" s="48" t="n">
        <f aca="false">-$E67*DS12</f>
        <v>-0</v>
      </c>
      <c r="DT67" s="48" t="n">
        <f aca="false">-$E67*DT12</f>
        <v>-0</v>
      </c>
      <c r="DU67" s="48" t="n">
        <f aca="false">-$E67*DU12</f>
        <v>-0</v>
      </c>
      <c r="DV67" s="48" t="n">
        <f aca="false">-$E67*DV12</f>
        <v>-0</v>
      </c>
      <c r="DW67" s="48" t="n">
        <f aca="false">-$E67*DW12</f>
        <v>-0</v>
      </c>
      <c r="DX67" s="48" t="n">
        <f aca="false">-$E67*DX12</f>
        <v>-0</v>
      </c>
      <c r="DY67" s="48" t="n">
        <f aca="false">-$E67*DY12</f>
        <v>-0</v>
      </c>
      <c r="DZ67" s="48" t="n">
        <f aca="false">-$E67*DZ12</f>
        <v>-0</v>
      </c>
      <c r="EA67" s="48" t="n">
        <f aca="false">-$E67*EA12</f>
        <v>-0</v>
      </c>
      <c r="EB67" s="48" t="n">
        <f aca="false">-$E67*EB12</f>
        <v>-0</v>
      </c>
      <c r="EC67" s="48" t="n">
        <f aca="false">-$E67*EC12</f>
        <v>-0</v>
      </c>
      <c r="ED67" s="48" t="n">
        <f aca="false">-$E67*ED12</f>
        <v>-0</v>
      </c>
      <c r="EE67" s="48" t="n">
        <f aca="false">-$E67*EE12</f>
        <v>-0</v>
      </c>
      <c r="EF67" s="48" t="n">
        <f aca="false">-$E67*EF12</f>
        <v>-0</v>
      </c>
      <c r="EG67" s="48" t="n">
        <f aca="false">-$E67*EG12</f>
        <v>-0</v>
      </c>
      <c r="EH67" s="48" t="n">
        <f aca="false">-$E67*EH12</f>
        <v>-0</v>
      </c>
      <c r="EI67" s="48" t="n">
        <f aca="false">-$E67*EI12</f>
        <v>-0</v>
      </c>
      <c r="EJ67" s="48" t="n">
        <f aca="false">-$E67*EJ12</f>
        <v>-0</v>
      </c>
      <c r="EK67" s="48" t="n">
        <f aca="false">-$E67*EK12</f>
        <v>-0</v>
      </c>
      <c r="EL67" s="48" t="n">
        <f aca="false">-$E67*EL12</f>
        <v>-0</v>
      </c>
      <c r="EM67" s="48" t="n">
        <f aca="false">-$E67*EM12</f>
        <v>-0</v>
      </c>
      <c r="EN67" s="48" t="n">
        <f aca="false">-$E67*EN12</f>
        <v>-0</v>
      </c>
      <c r="EO67" s="48" t="n">
        <f aca="false">-$E67*EO12</f>
        <v>-0</v>
      </c>
    </row>
    <row r="68" customFormat="false" ht="15" hidden="false" customHeight="false" outlineLevel="0" collapsed="false">
      <c r="C68" s="0" t="s">
        <v>453</v>
      </c>
      <c r="D68" s="11" t="s">
        <v>33</v>
      </c>
      <c r="E68" s="48" t="n">
        <f aca="false">$E34*In_MVA</f>
        <v>2500</v>
      </c>
      <c r="I68" s="48" t="n">
        <f aca="false">SUM(J68:EO68)</f>
        <v>-2500</v>
      </c>
      <c r="J68" s="48" t="n">
        <f aca="false">-$E68*J14</f>
        <v>-0</v>
      </c>
      <c r="K68" s="48" t="n">
        <f aca="false">-$E68*K14</f>
        <v>-0</v>
      </c>
      <c r="L68" s="48" t="n">
        <f aca="false">-$E68*L14</f>
        <v>-0</v>
      </c>
      <c r="M68" s="48" t="n">
        <f aca="false">-$E68*M14</f>
        <v>-0</v>
      </c>
      <c r="N68" s="48" t="n">
        <f aca="false">-$E68*N14</f>
        <v>-0</v>
      </c>
      <c r="O68" s="48" t="n">
        <f aca="false">-$E68*O14</f>
        <v>-0</v>
      </c>
      <c r="P68" s="48" t="n">
        <f aca="false">-$E68*P14</f>
        <v>-0</v>
      </c>
      <c r="Q68" s="48" t="n">
        <f aca="false">-$E68*Q14</f>
        <v>-0</v>
      </c>
      <c r="R68" s="48" t="n">
        <f aca="false">-$E68*R14</f>
        <v>-0</v>
      </c>
      <c r="S68" s="48" t="n">
        <f aca="false">-$E68*S14</f>
        <v>-0</v>
      </c>
      <c r="T68" s="48" t="n">
        <f aca="false">-$E68*T14</f>
        <v>-0</v>
      </c>
      <c r="U68" s="48" t="n">
        <f aca="false">-$E68*U14</f>
        <v>-0</v>
      </c>
      <c r="V68" s="48" t="n">
        <f aca="false">-$E68*V14</f>
        <v>-0</v>
      </c>
      <c r="W68" s="48" t="n">
        <f aca="false">-$E68*W14</f>
        <v>-0</v>
      </c>
      <c r="X68" s="48" t="n">
        <f aca="false">-$E68*X14</f>
        <v>-0</v>
      </c>
      <c r="Y68" s="48" t="n">
        <f aca="false">-$E68*Y14</f>
        <v>-2500</v>
      </c>
      <c r="Z68" s="48" t="n">
        <f aca="false">-$E68*Z14</f>
        <v>-0</v>
      </c>
      <c r="AA68" s="48" t="n">
        <f aca="false">-$E68*AA14</f>
        <v>-0</v>
      </c>
      <c r="AB68" s="48" t="n">
        <f aca="false">-$E68*AB14</f>
        <v>-0</v>
      </c>
      <c r="AC68" s="48" t="n">
        <f aca="false">-$E68*AC14</f>
        <v>-0</v>
      </c>
      <c r="AD68" s="48" t="n">
        <f aca="false">-$E68*AD14</f>
        <v>-0</v>
      </c>
      <c r="AE68" s="48" t="n">
        <f aca="false">-$E68*AE14</f>
        <v>-0</v>
      </c>
      <c r="AF68" s="48" t="n">
        <f aca="false">-$E68*AF14</f>
        <v>-0</v>
      </c>
      <c r="AG68" s="48" t="n">
        <f aca="false">-$E68*AG14</f>
        <v>-0</v>
      </c>
      <c r="AH68" s="48" t="n">
        <f aca="false">-$E68*AH14</f>
        <v>-0</v>
      </c>
      <c r="AI68" s="48" t="n">
        <f aca="false">-$E68*AI14</f>
        <v>-0</v>
      </c>
      <c r="AJ68" s="48" t="n">
        <f aca="false">-$E68*AJ14</f>
        <v>-0</v>
      </c>
      <c r="AK68" s="48" t="n">
        <f aca="false">-$E68*AK14</f>
        <v>-0</v>
      </c>
      <c r="AL68" s="48" t="n">
        <f aca="false">-$E68*AL14</f>
        <v>-0</v>
      </c>
      <c r="AM68" s="48" t="n">
        <f aca="false">-$E68*AM14</f>
        <v>-0</v>
      </c>
      <c r="AN68" s="48" t="n">
        <f aca="false">-$E68*AN14</f>
        <v>-0</v>
      </c>
      <c r="AO68" s="48" t="n">
        <f aca="false">-$E68*AO14</f>
        <v>-0</v>
      </c>
      <c r="AP68" s="48" t="n">
        <f aca="false">-$E68*AP14</f>
        <v>-0</v>
      </c>
      <c r="AQ68" s="48" t="n">
        <f aca="false">-$E68*AQ14</f>
        <v>-0</v>
      </c>
      <c r="AR68" s="48" t="n">
        <f aca="false">-$E68*AR14</f>
        <v>-0</v>
      </c>
      <c r="AS68" s="48" t="n">
        <f aca="false">-$E68*AS14</f>
        <v>-0</v>
      </c>
      <c r="AT68" s="48" t="n">
        <f aca="false">-$E68*AT14</f>
        <v>-0</v>
      </c>
      <c r="AU68" s="48" t="n">
        <f aca="false">-$E68*AU14</f>
        <v>-0</v>
      </c>
      <c r="AV68" s="48" t="n">
        <f aca="false">-$E68*AV14</f>
        <v>-0</v>
      </c>
      <c r="AW68" s="48" t="n">
        <f aca="false">-$E68*AW14</f>
        <v>-0</v>
      </c>
      <c r="AX68" s="48" t="n">
        <f aca="false">-$E68*AX14</f>
        <v>-0</v>
      </c>
      <c r="AY68" s="48" t="n">
        <f aca="false">-$E68*AY14</f>
        <v>-0</v>
      </c>
      <c r="AZ68" s="48" t="n">
        <f aca="false">-$E68*AZ14</f>
        <v>-0</v>
      </c>
      <c r="BA68" s="48" t="n">
        <f aca="false">-$E68*BA14</f>
        <v>-0</v>
      </c>
      <c r="BB68" s="48" t="n">
        <f aca="false">-$E68*BB14</f>
        <v>-0</v>
      </c>
      <c r="BC68" s="48" t="n">
        <f aca="false">-$E68*BC14</f>
        <v>-0</v>
      </c>
      <c r="BD68" s="48" t="n">
        <f aca="false">-$E68*BD14</f>
        <v>-0</v>
      </c>
      <c r="BE68" s="48" t="n">
        <f aca="false">-$E68*BE14</f>
        <v>-0</v>
      </c>
      <c r="BF68" s="48" t="n">
        <f aca="false">-$E68*BF14</f>
        <v>-0</v>
      </c>
      <c r="BG68" s="48" t="n">
        <f aca="false">-$E68*BG14</f>
        <v>-0</v>
      </c>
      <c r="BH68" s="48" t="n">
        <f aca="false">-$E68*BH14</f>
        <v>-0</v>
      </c>
      <c r="BI68" s="48" t="n">
        <f aca="false">-$E68*BI14</f>
        <v>-0</v>
      </c>
      <c r="BJ68" s="48" t="n">
        <f aca="false">-$E68*BJ14</f>
        <v>-0</v>
      </c>
      <c r="BK68" s="48" t="n">
        <f aca="false">-$E68*BK14</f>
        <v>-0</v>
      </c>
      <c r="BL68" s="48" t="n">
        <f aca="false">-$E68*BL14</f>
        <v>-0</v>
      </c>
      <c r="BM68" s="48" t="n">
        <f aca="false">-$E68*BM14</f>
        <v>-0</v>
      </c>
      <c r="BN68" s="48" t="n">
        <f aca="false">-$E68*BN14</f>
        <v>-0</v>
      </c>
      <c r="BO68" s="48" t="n">
        <f aca="false">-$E68*BO14</f>
        <v>-0</v>
      </c>
      <c r="BP68" s="48" t="n">
        <f aca="false">-$E68*BP14</f>
        <v>-0</v>
      </c>
      <c r="BQ68" s="48" t="n">
        <f aca="false">-$E68*BQ14</f>
        <v>-0</v>
      </c>
      <c r="BR68" s="48" t="n">
        <f aca="false">-$E68*BR14</f>
        <v>-0</v>
      </c>
      <c r="BS68" s="48" t="n">
        <f aca="false">-$E68*BS14</f>
        <v>-0</v>
      </c>
      <c r="BT68" s="48" t="n">
        <f aca="false">-$E68*BT14</f>
        <v>-0</v>
      </c>
      <c r="BU68" s="48" t="n">
        <f aca="false">-$E68*BU14</f>
        <v>-0</v>
      </c>
      <c r="BV68" s="48" t="n">
        <f aca="false">-$E68*BV14</f>
        <v>-0</v>
      </c>
      <c r="BW68" s="48" t="n">
        <f aca="false">-$E68*BW14</f>
        <v>-0</v>
      </c>
      <c r="BX68" s="48" t="n">
        <f aca="false">-$E68*BX14</f>
        <v>-0</v>
      </c>
      <c r="BY68" s="48" t="n">
        <f aca="false">-$E68*BY14</f>
        <v>-0</v>
      </c>
      <c r="BZ68" s="48" t="n">
        <f aca="false">-$E68*BZ14</f>
        <v>-0</v>
      </c>
      <c r="CA68" s="48" t="n">
        <f aca="false">-$E68*CA14</f>
        <v>-0</v>
      </c>
      <c r="CB68" s="48" t="n">
        <f aca="false">-$E68*CB14</f>
        <v>-0</v>
      </c>
      <c r="CC68" s="48" t="n">
        <f aca="false">-$E68*CC14</f>
        <v>-0</v>
      </c>
      <c r="CD68" s="48" t="n">
        <f aca="false">-$E68*CD14</f>
        <v>-0</v>
      </c>
      <c r="CE68" s="48" t="n">
        <f aca="false">-$E68*CE14</f>
        <v>-0</v>
      </c>
      <c r="CF68" s="48" t="n">
        <f aca="false">-$E68*CF14</f>
        <v>-0</v>
      </c>
      <c r="CG68" s="48" t="n">
        <f aca="false">-$E68*CG14</f>
        <v>-0</v>
      </c>
      <c r="CH68" s="48" t="n">
        <f aca="false">-$E68*CH14</f>
        <v>-0</v>
      </c>
      <c r="CI68" s="48" t="n">
        <f aca="false">-$E68*CI14</f>
        <v>-0</v>
      </c>
      <c r="CJ68" s="48" t="n">
        <f aca="false">-$E68*CJ14</f>
        <v>-0</v>
      </c>
      <c r="CK68" s="48" t="n">
        <f aca="false">-$E68*CK14</f>
        <v>-0</v>
      </c>
      <c r="CL68" s="48" t="n">
        <f aca="false">-$E68*CL14</f>
        <v>-0</v>
      </c>
      <c r="CM68" s="48" t="n">
        <f aca="false">-$E68*CM14</f>
        <v>-0</v>
      </c>
      <c r="CN68" s="48" t="n">
        <f aca="false">-$E68*CN14</f>
        <v>-0</v>
      </c>
      <c r="CO68" s="48" t="n">
        <f aca="false">-$E68*CO14</f>
        <v>-0</v>
      </c>
      <c r="CP68" s="48" t="n">
        <f aca="false">-$E68*CP14</f>
        <v>-0</v>
      </c>
      <c r="CQ68" s="48" t="n">
        <f aca="false">-$E68*CQ14</f>
        <v>-0</v>
      </c>
      <c r="CR68" s="48" t="n">
        <f aca="false">-$E68*CR14</f>
        <v>-0</v>
      </c>
      <c r="CS68" s="48" t="n">
        <f aca="false">-$E68*CS14</f>
        <v>-0</v>
      </c>
      <c r="CT68" s="48" t="n">
        <f aca="false">-$E68*CT14</f>
        <v>-0</v>
      </c>
      <c r="CU68" s="48" t="n">
        <f aca="false">-$E68*CU14</f>
        <v>-0</v>
      </c>
      <c r="CV68" s="48" t="n">
        <f aca="false">-$E68*CV14</f>
        <v>-0</v>
      </c>
      <c r="CW68" s="48" t="n">
        <f aca="false">-$E68*CW14</f>
        <v>-0</v>
      </c>
      <c r="CX68" s="48" t="n">
        <f aca="false">-$E68*CX14</f>
        <v>-0</v>
      </c>
      <c r="CY68" s="48" t="n">
        <f aca="false">-$E68*CY14</f>
        <v>-0</v>
      </c>
      <c r="CZ68" s="48" t="n">
        <f aca="false">-$E68*CZ14</f>
        <v>-0</v>
      </c>
      <c r="DA68" s="48" t="n">
        <f aca="false">-$E68*DA14</f>
        <v>-0</v>
      </c>
      <c r="DB68" s="48" t="n">
        <f aca="false">-$E68*DB14</f>
        <v>-0</v>
      </c>
      <c r="DC68" s="48" t="n">
        <f aca="false">-$E68*DC14</f>
        <v>-0</v>
      </c>
      <c r="DD68" s="48" t="n">
        <f aca="false">-$E68*DD14</f>
        <v>-0</v>
      </c>
      <c r="DE68" s="48" t="n">
        <f aca="false">-$E68*DE14</f>
        <v>-0</v>
      </c>
      <c r="DF68" s="48" t="n">
        <f aca="false">-$E68*DF14</f>
        <v>-0</v>
      </c>
      <c r="DG68" s="48" t="n">
        <f aca="false">-$E68*DG14</f>
        <v>-0</v>
      </c>
      <c r="DH68" s="48" t="n">
        <f aca="false">-$E68*DH14</f>
        <v>-0</v>
      </c>
      <c r="DI68" s="48" t="n">
        <f aca="false">-$E68*DI14</f>
        <v>-0</v>
      </c>
      <c r="DJ68" s="48" t="n">
        <f aca="false">-$E68*DJ14</f>
        <v>-0</v>
      </c>
      <c r="DK68" s="48" t="n">
        <f aca="false">-$E68*DK14</f>
        <v>-0</v>
      </c>
      <c r="DL68" s="48" t="n">
        <f aca="false">-$E68*DL14</f>
        <v>-0</v>
      </c>
      <c r="DM68" s="48" t="n">
        <f aca="false">-$E68*DM14</f>
        <v>-0</v>
      </c>
      <c r="DN68" s="48" t="n">
        <f aca="false">-$E68*DN14</f>
        <v>-0</v>
      </c>
      <c r="DO68" s="48" t="n">
        <f aca="false">-$E68*DO14</f>
        <v>-0</v>
      </c>
      <c r="DP68" s="48" t="n">
        <f aca="false">-$E68*DP14</f>
        <v>-0</v>
      </c>
      <c r="DQ68" s="48" t="n">
        <f aca="false">-$E68*DQ14</f>
        <v>-0</v>
      </c>
      <c r="DR68" s="48" t="n">
        <f aca="false">-$E68*DR14</f>
        <v>-0</v>
      </c>
      <c r="DS68" s="48" t="n">
        <f aca="false">-$E68*DS14</f>
        <v>-0</v>
      </c>
      <c r="DT68" s="48" t="n">
        <f aca="false">-$E68*DT14</f>
        <v>-0</v>
      </c>
      <c r="DU68" s="48" t="n">
        <f aca="false">-$E68*DU14</f>
        <v>-0</v>
      </c>
      <c r="DV68" s="48" t="n">
        <f aca="false">-$E68*DV14</f>
        <v>-0</v>
      </c>
      <c r="DW68" s="48" t="n">
        <f aca="false">-$E68*DW14</f>
        <v>-0</v>
      </c>
      <c r="DX68" s="48" t="n">
        <f aca="false">-$E68*DX14</f>
        <v>-0</v>
      </c>
      <c r="DY68" s="48" t="n">
        <f aca="false">-$E68*DY14</f>
        <v>-0</v>
      </c>
      <c r="DZ68" s="48" t="n">
        <f aca="false">-$E68*DZ14</f>
        <v>-0</v>
      </c>
      <c r="EA68" s="48" t="n">
        <f aca="false">-$E68*EA14</f>
        <v>-0</v>
      </c>
      <c r="EB68" s="48" t="n">
        <f aca="false">-$E68*EB14</f>
        <v>-0</v>
      </c>
      <c r="EC68" s="48" t="n">
        <f aca="false">-$E68*EC14</f>
        <v>-0</v>
      </c>
      <c r="ED68" s="48" t="n">
        <f aca="false">-$E68*ED14</f>
        <v>-0</v>
      </c>
      <c r="EE68" s="48" t="n">
        <f aca="false">-$E68*EE14</f>
        <v>-0</v>
      </c>
      <c r="EF68" s="48" t="n">
        <f aca="false">-$E68*EF14</f>
        <v>-0</v>
      </c>
      <c r="EG68" s="48" t="n">
        <f aca="false">-$E68*EG14</f>
        <v>-0</v>
      </c>
      <c r="EH68" s="48" t="n">
        <f aca="false">-$E68*EH14</f>
        <v>-0</v>
      </c>
      <c r="EI68" s="48" t="n">
        <f aca="false">-$E68*EI14</f>
        <v>-0</v>
      </c>
      <c r="EJ68" s="48" t="n">
        <f aca="false">-$E68*EJ14</f>
        <v>-0</v>
      </c>
      <c r="EK68" s="48" t="n">
        <f aca="false">-$E68*EK14</f>
        <v>-0</v>
      </c>
      <c r="EL68" s="48" t="n">
        <f aca="false">-$E68*EL14</f>
        <v>-0</v>
      </c>
      <c r="EM68" s="48" t="n">
        <f aca="false">-$E68*EM14</f>
        <v>-0</v>
      </c>
      <c r="EN68" s="48" t="n">
        <f aca="false">-$E68*EN14</f>
        <v>-0</v>
      </c>
      <c r="EO68" s="48" t="n">
        <f aca="false">-$E68*EO14</f>
        <v>-0</v>
      </c>
    </row>
    <row r="69" customFormat="false" ht="15" hidden="false" customHeight="false" outlineLevel="0" collapsed="false">
      <c r="C69" s="25" t="s">
        <v>454</v>
      </c>
      <c r="D69" s="11" t="s">
        <v>33</v>
      </c>
      <c r="E69" s="57" t="n">
        <f aca="false">SUMPRODUCT($J69:$EO69/$J22:$EO22)*$E22</f>
        <v>-107373.632093313</v>
      </c>
      <c r="I69" s="57" t="n">
        <f aca="false">SUM(J69:EO69)</f>
        <v>-102618.573150685</v>
      </c>
      <c r="J69" s="57" t="n">
        <f aca="false">J67+J57+J68</f>
        <v>-0</v>
      </c>
      <c r="K69" s="57" t="n">
        <f aca="false">K67+K57+K68</f>
        <v>-0</v>
      </c>
      <c r="L69" s="57" t="n">
        <f aca="false">L67+L57+L68</f>
        <v>-0</v>
      </c>
      <c r="M69" s="57" t="n">
        <f aca="false">M67+M57+M68</f>
        <v>-0</v>
      </c>
      <c r="N69" s="57" t="n">
        <f aca="false">N67+N57+N68</f>
        <v>-0</v>
      </c>
      <c r="O69" s="57" t="n">
        <f aca="false">O67+O57+O68</f>
        <v>-0</v>
      </c>
      <c r="P69" s="57" t="n">
        <f aca="false">P67+P57+P68</f>
        <v>-0</v>
      </c>
      <c r="Q69" s="57" t="n">
        <f aca="false">Q67+Q57+Q68</f>
        <v>-0</v>
      </c>
      <c r="R69" s="57" t="n">
        <f aca="false">R67+R57+R68</f>
        <v>-11589.9520547945</v>
      </c>
      <c r="S69" s="57" t="n">
        <f aca="false">S67+S57+S68</f>
        <v>-19492.8197260274</v>
      </c>
      <c r="T69" s="57" t="n">
        <f aca="false">T67+T57+T68</f>
        <v>-11463.9743150685</v>
      </c>
      <c r="U69" s="57" t="n">
        <f aca="false">U67+U57+U68</f>
        <v>-11589.9520547945</v>
      </c>
      <c r="V69" s="57" t="n">
        <f aca="false">V67+V57+V68</f>
        <v>-11589.9520547945</v>
      </c>
      <c r="W69" s="57" t="n">
        <f aca="false">W67+W57+W68</f>
        <v>-11337.9965753425</v>
      </c>
      <c r="X69" s="57" t="n">
        <f aca="false">X67+X57+X68</f>
        <v>-11463.9743150685</v>
      </c>
      <c r="Y69" s="57" t="n">
        <f aca="false">Y67+Y57+Y68</f>
        <v>-14089.9520547945</v>
      </c>
      <c r="Z69" s="57" t="n">
        <f aca="false">Z67+Z57+Z68</f>
        <v>-0</v>
      </c>
      <c r="AA69" s="57" t="n">
        <f aca="false">AA67+AA57+AA68</f>
        <v>-0</v>
      </c>
      <c r="AB69" s="57" t="n">
        <f aca="false">AB67+AB57+AB68</f>
        <v>-0</v>
      </c>
      <c r="AC69" s="57" t="n">
        <f aca="false">AC67+AC57+AC68</f>
        <v>-0</v>
      </c>
      <c r="AD69" s="57" t="n">
        <f aca="false">AD67+AD57+AD68</f>
        <v>-0</v>
      </c>
      <c r="AE69" s="57" t="n">
        <f aca="false">AE67+AE57+AE68</f>
        <v>-0</v>
      </c>
      <c r="AF69" s="57" t="n">
        <f aca="false">AF67+AF57+AF68</f>
        <v>-0</v>
      </c>
      <c r="AG69" s="57" t="n">
        <f aca="false">AG67+AG57+AG68</f>
        <v>-0</v>
      </c>
      <c r="AH69" s="57" t="n">
        <f aca="false">AH67+AH57+AH68</f>
        <v>-0</v>
      </c>
      <c r="AI69" s="57" t="n">
        <f aca="false">AI67+AI57+AI68</f>
        <v>-0</v>
      </c>
      <c r="AJ69" s="57" t="n">
        <f aca="false">AJ67+AJ57+AJ68</f>
        <v>-0</v>
      </c>
      <c r="AK69" s="57" t="n">
        <f aca="false">AK67+AK57+AK68</f>
        <v>-0</v>
      </c>
      <c r="AL69" s="57" t="n">
        <f aca="false">AL67+AL57+AL68</f>
        <v>-0</v>
      </c>
      <c r="AM69" s="57" t="n">
        <f aca="false">AM67+AM57+AM68</f>
        <v>-0</v>
      </c>
      <c r="AN69" s="57" t="n">
        <f aca="false">AN67+AN57+AN68</f>
        <v>-0</v>
      </c>
      <c r="AO69" s="57" t="n">
        <f aca="false">AO67+AO57+AO68</f>
        <v>-0</v>
      </c>
      <c r="AP69" s="57" t="n">
        <f aca="false">AP67+AP57+AP68</f>
        <v>-0</v>
      </c>
      <c r="AQ69" s="57" t="n">
        <f aca="false">AQ67+AQ57+AQ68</f>
        <v>-0</v>
      </c>
      <c r="AR69" s="57" t="n">
        <f aca="false">AR67+AR57+AR68</f>
        <v>-0</v>
      </c>
      <c r="AS69" s="57" t="n">
        <f aca="false">AS67+AS57+AS68</f>
        <v>-0</v>
      </c>
      <c r="AT69" s="57" t="n">
        <f aca="false">AT67+AT57+AT68</f>
        <v>-0</v>
      </c>
      <c r="AU69" s="57" t="n">
        <f aca="false">AU67+AU57+AU68</f>
        <v>-0</v>
      </c>
      <c r="AV69" s="57" t="n">
        <f aca="false">AV67+AV57+AV68</f>
        <v>-0</v>
      </c>
      <c r="AW69" s="57" t="n">
        <f aca="false">AW67+AW57+AW68</f>
        <v>-0</v>
      </c>
      <c r="AX69" s="57" t="n">
        <f aca="false">AX67+AX57+AX68</f>
        <v>-0</v>
      </c>
      <c r="AY69" s="57" t="n">
        <f aca="false">AY67+AY57+AY68</f>
        <v>-0</v>
      </c>
      <c r="AZ69" s="57" t="n">
        <f aca="false">AZ67+AZ57+AZ68</f>
        <v>-0</v>
      </c>
      <c r="BA69" s="57" t="n">
        <f aca="false">BA67+BA57+BA68</f>
        <v>-0</v>
      </c>
      <c r="BB69" s="57" t="n">
        <f aca="false">BB67+BB57+BB68</f>
        <v>-0</v>
      </c>
      <c r="BC69" s="57" t="n">
        <f aca="false">BC67+BC57+BC68</f>
        <v>-0</v>
      </c>
      <c r="BD69" s="57" t="n">
        <f aca="false">BD67+BD57+BD68</f>
        <v>-0</v>
      </c>
      <c r="BE69" s="57" t="n">
        <f aca="false">BE67+BE57+BE68</f>
        <v>-0</v>
      </c>
      <c r="BF69" s="57" t="n">
        <f aca="false">BF67+BF57+BF68</f>
        <v>-0</v>
      </c>
      <c r="BG69" s="57" t="n">
        <f aca="false">BG67+BG57+BG68</f>
        <v>-0</v>
      </c>
      <c r="BH69" s="57" t="n">
        <f aca="false">BH67+BH57+BH68</f>
        <v>-0</v>
      </c>
      <c r="BI69" s="57" t="n">
        <f aca="false">BI67+BI57+BI68</f>
        <v>-0</v>
      </c>
      <c r="BJ69" s="57" t="n">
        <f aca="false">BJ67+BJ57+BJ68</f>
        <v>-0</v>
      </c>
      <c r="BK69" s="57" t="n">
        <f aca="false">BK67+BK57+BK68</f>
        <v>-0</v>
      </c>
      <c r="BL69" s="57" t="n">
        <f aca="false">BL67+BL57+BL68</f>
        <v>-0</v>
      </c>
      <c r="BM69" s="57" t="n">
        <f aca="false">BM67+BM57+BM68</f>
        <v>-0</v>
      </c>
      <c r="BN69" s="57" t="n">
        <f aca="false">BN67+BN57+BN68</f>
        <v>-0</v>
      </c>
      <c r="BO69" s="57" t="n">
        <f aca="false">BO67+BO57+BO68</f>
        <v>-0</v>
      </c>
      <c r="BP69" s="57" t="n">
        <f aca="false">BP67+BP57+BP68</f>
        <v>-0</v>
      </c>
      <c r="BQ69" s="57" t="n">
        <f aca="false">BQ67+BQ57+BQ68</f>
        <v>-0</v>
      </c>
      <c r="BR69" s="57" t="n">
        <f aca="false">BR67+BR57+BR68</f>
        <v>-0</v>
      </c>
      <c r="BS69" s="57" t="n">
        <f aca="false">BS67+BS57+BS68</f>
        <v>-0</v>
      </c>
      <c r="BT69" s="57" t="n">
        <f aca="false">BT67+BT57+BT68</f>
        <v>-0</v>
      </c>
      <c r="BU69" s="57" t="n">
        <f aca="false">BU67+BU57+BU68</f>
        <v>-0</v>
      </c>
      <c r="BV69" s="57" t="n">
        <f aca="false">BV67+BV57+BV68</f>
        <v>-0</v>
      </c>
      <c r="BW69" s="57" t="n">
        <f aca="false">BW67+BW57+BW68</f>
        <v>-0</v>
      </c>
      <c r="BX69" s="57" t="n">
        <f aca="false">BX67+BX57+BX68</f>
        <v>-0</v>
      </c>
      <c r="BY69" s="57" t="n">
        <f aca="false">BY67+BY57+BY68</f>
        <v>-0</v>
      </c>
      <c r="BZ69" s="57" t="n">
        <f aca="false">BZ67+BZ57+BZ68</f>
        <v>-0</v>
      </c>
      <c r="CA69" s="57" t="n">
        <f aca="false">CA67+CA57+CA68</f>
        <v>-0</v>
      </c>
      <c r="CB69" s="57" t="n">
        <f aca="false">CB67+CB57+CB68</f>
        <v>-0</v>
      </c>
      <c r="CC69" s="57" t="n">
        <f aca="false">CC67+CC57+CC68</f>
        <v>-0</v>
      </c>
      <c r="CD69" s="57" t="n">
        <f aca="false">CD67+CD57+CD68</f>
        <v>-0</v>
      </c>
      <c r="CE69" s="57" t="n">
        <f aca="false">CE67+CE57+CE68</f>
        <v>-0</v>
      </c>
      <c r="CF69" s="57" t="n">
        <f aca="false">CF67+CF57+CF68</f>
        <v>-0</v>
      </c>
      <c r="CG69" s="57" t="n">
        <f aca="false">CG67+CG57+CG68</f>
        <v>-0</v>
      </c>
      <c r="CH69" s="57" t="n">
        <f aca="false">CH67+CH57+CH68</f>
        <v>-0</v>
      </c>
      <c r="CI69" s="57" t="n">
        <f aca="false">CI67+CI57+CI68</f>
        <v>-0</v>
      </c>
      <c r="CJ69" s="57" t="n">
        <f aca="false">CJ67+CJ57+CJ68</f>
        <v>-0</v>
      </c>
      <c r="CK69" s="57" t="n">
        <f aca="false">CK67+CK57+CK68</f>
        <v>-0</v>
      </c>
      <c r="CL69" s="57" t="n">
        <f aca="false">CL67+CL57+CL68</f>
        <v>-0</v>
      </c>
      <c r="CM69" s="57" t="n">
        <f aca="false">CM67+CM57+CM68</f>
        <v>-0</v>
      </c>
      <c r="CN69" s="57" t="n">
        <f aca="false">CN67+CN57+CN68</f>
        <v>-0</v>
      </c>
      <c r="CO69" s="57" t="n">
        <f aca="false">CO67+CO57+CO68</f>
        <v>-0</v>
      </c>
      <c r="CP69" s="57" t="n">
        <f aca="false">CP67+CP57+CP68</f>
        <v>-0</v>
      </c>
      <c r="CQ69" s="57" t="n">
        <f aca="false">CQ67+CQ57+CQ68</f>
        <v>-0</v>
      </c>
      <c r="CR69" s="57" t="n">
        <f aca="false">CR67+CR57+CR68</f>
        <v>-0</v>
      </c>
      <c r="CS69" s="57" t="n">
        <f aca="false">CS67+CS57+CS68</f>
        <v>-0</v>
      </c>
      <c r="CT69" s="57" t="n">
        <f aca="false">CT67+CT57+CT68</f>
        <v>-0</v>
      </c>
      <c r="CU69" s="57" t="n">
        <f aca="false">CU67+CU57+CU68</f>
        <v>-0</v>
      </c>
      <c r="CV69" s="57" t="n">
        <f aca="false">CV67+CV57+CV68</f>
        <v>-0</v>
      </c>
      <c r="CW69" s="57" t="n">
        <f aca="false">CW67+CW57+CW68</f>
        <v>-0</v>
      </c>
      <c r="CX69" s="57" t="n">
        <f aca="false">CX67+CX57+CX68</f>
        <v>-0</v>
      </c>
      <c r="CY69" s="57" t="n">
        <f aca="false">CY67+CY57+CY68</f>
        <v>-0</v>
      </c>
      <c r="CZ69" s="57" t="n">
        <f aca="false">CZ67+CZ57+CZ68</f>
        <v>-0</v>
      </c>
      <c r="DA69" s="57" t="n">
        <f aca="false">DA67+DA57+DA68</f>
        <v>-0</v>
      </c>
      <c r="DB69" s="57" t="n">
        <f aca="false">DB67+DB57+DB68</f>
        <v>-0</v>
      </c>
      <c r="DC69" s="57" t="n">
        <f aca="false">DC67+DC57+DC68</f>
        <v>-0</v>
      </c>
      <c r="DD69" s="57" t="n">
        <f aca="false">DD67+DD57+DD68</f>
        <v>-0</v>
      </c>
      <c r="DE69" s="57" t="n">
        <f aca="false">DE67+DE57+DE68</f>
        <v>-0</v>
      </c>
      <c r="DF69" s="57" t="n">
        <f aca="false">DF67+DF57+DF68</f>
        <v>-0</v>
      </c>
      <c r="DG69" s="57" t="n">
        <f aca="false">DG67+DG57+DG68</f>
        <v>-0</v>
      </c>
      <c r="DH69" s="57" t="n">
        <f aca="false">DH67+DH57+DH68</f>
        <v>-0</v>
      </c>
      <c r="DI69" s="57" t="n">
        <f aca="false">DI67+DI57+DI68</f>
        <v>-0</v>
      </c>
      <c r="DJ69" s="57" t="n">
        <f aca="false">DJ67+DJ57+DJ68</f>
        <v>-0</v>
      </c>
      <c r="DK69" s="57" t="n">
        <f aca="false">DK67+DK57+DK68</f>
        <v>-0</v>
      </c>
      <c r="DL69" s="57" t="n">
        <f aca="false">DL67+DL57+DL68</f>
        <v>-0</v>
      </c>
      <c r="DM69" s="57" t="n">
        <f aca="false">DM67+DM57+DM68</f>
        <v>-0</v>
      </c>
      <c r="DN69" s="57" t="n">
        <f aca="false">DN67+DN57+DN68</f>
        <v>-0</v>
      </c>
      <c r="DO69" s="57" t="n">
        <f aca="false">DO67+DO57+DO68</f>
        <v>-0</v>
      </c>
      <c r="DP69" s="57" t="n">
        <f aca="false">DP67+DP57+DP68</f>
        <v>-0</v>
      </c>
      <c r="DQ69" s="57" t="n">
        <f aca="false">DQ67+DQ57+DQ68</f>
        <v>-0</v>
      </c>
      <c r="DR69" s="57" t="n">
        <f aca="false">DR67+DR57+DR68</f>
        <v>-0</v>
      </c>
      <c r="DS69" s="57" t="n">
        <f aca="false">DS67+DS57+DS68</f>
        <v>-0</v>
      </c>
      <c r="DT69" s="57" t="n">
        <f aca="false">DT67+DT57+DT68</f>
        <v>-0</v>
      </c>
      <c r="DU69" s="57" t="n">
        <f aca="false">DU67+DU57+DU68</f>
        <v>-0</v>
      </c>
      <c r="DV69" s="57" t="n">
        <f aca="false">DV67+DV57+DV68</f>
        <v>-0</v>
      </c>
      <c r="DW69" s="57" t="n">
        <f aca="false">DW67+DW57+DW68</f>
        <v>-0</v>
      </c>
      <c r="DX69" s="57" t="n">
        <f aca="false">DX67+DX57+DX68</f>
        <v>-0</v>
      </c>
      <c r="DY69" s="57" t="n">
        <f aca="false">DY67+DY57+DY68</f>
        <v>-0</v>
      </c>
      <c r="DZ69" s="57" t="n">
        <f aca="false">DZ67+DZ57+DZ68</f>
        <v>-0</v>
      </c>
      <c r="EA69" s="57" t="n">
        <f aca="false">EA67+EA57+EA68</f>
        <v>-0</v>
      </c>
      <c r="EB69" s="57" t="n">
        <f aca="false">EB67+EB57+EB68</f>
        <v>-0</v>
      </c>
      <c r="EC69" s="57" t="n">
        <f aca="false">EC67+EC57+EC68</f>
        <v>-0</v>
      </c>
      <c r="ED69" s="57" t="n">
        <f aca="false">ED67+ED57+ED68</f>
        <v>-0</v>
      </c>
      <c r="EE69" s="57" t="n">
        <f aca="false">EE67+EE57+EE68</f>
        <v>-0</v>
      </c>
      <c r="EF69" s="57" t="n">
        <f aca="false">EF67+EF57+EF68</f>
        <v>-0</v>
      </c>
      <c r="EG69" s="57" t="n">
        <f aca="false">EG67+EG57+EG68</f>
        <v>-0</v>
      </c>
      <c r="EH69" s="57" t="n">
        <f aca="false">EH67+EH57+EH68</f>
        <v>-0</v>
      </c>
      <c r="EI69" s="57" t="n">
        <f aca="false">EI67+EI57+EI68</f>
        <v>-0</v>
      </c>
      <c r="EJ69" s="57" t="n">
        <f aca="false">EJ67+EJ57+EJ68</f>
        <v>-0</v>
      </c>
      <c r="EK69" s="57" t="n">
        <f aca="false">EK67+EK57+EK68</f>
        <v>-0</v>
      </c>
      <c r="EL69" s="57" t="n">
        <f aca="false">EL67+EL57+EL68</f>
        <v>-0</v>
      </c>
      <c r="EM69" s="57" t="n">
        <f aca="false">EM67+EM57+EM68</f>
        <v>-0</v>
      </c>
      <c r="EN69" s="57" t="n">
        <f aca="false">EN67+EN57+EN68</f>
        <v>-0</v>
      </c>
      <c r="EO69" s="57" t="n">
        <f aca="false">EO67+EO57+EO68</f>
        <v>-0</v>
      </c>
    </row>
    <row r="71" customFormat="false" ht="15" hidden="false" customHeight="false" outlineLevel="0" collapsed="false">
      <c r="A71" s="9" t="s">
        <v>13</v>
      </c>
      <c r="B71" s="9"/>
      <c r="C71" s="9" t="s">
        <v>325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</row>
    <row r="72" customFormat="false" ht="15" hidden="false" customHeight="false" outlineLevel="0" collapsed="false">
      <c r="C72" s="0" t="s">
        <v>455</v>
      </c>
      <c r="D72" s="11" t="s">
        <v>401</v>
      </c>
      <c r="J72" s="55" t="n">
        <f aca="false">(1+In_Opex_Esc)^(J$7-YEAR(In_COD))</f>
        <v>0.905950644799755</v>
      </c>
      <c r="K72" s="55" t="n">
        <f aca="false">(1+In_Opex_Esc)^(K$7-YEAR(In_COD))</f>
        <v>0.928599410919749</v>
      </c>
      <c r="L72" s="55" t="n">
        <f aca="false">(1+In_Opex_Esc)^(L$7-YEAR(In_COD))</f>
        <v>0.928599410919749</v>
      </c>
      <c r="M72" s="55" t="n">
        <f aca="false">(1+In_Opex_Esc)^(M$7-YEAR(In_COD))</f>
        <v>0.928599410919749</v>
      </c>
      <c r="N72" s="55" t="n">
        <f aca="false">(1+In_Opex_Esc)^(N$7-YEAR(In_COD))</f>
        <v>0.928599410919749</v>
      </c>
      <c r="O72" s="55" t="n">
        <f aca="false">(1+In_Opex_Esc)^(O$7-YEAR(In_COD))</f>
        <v>0.951814396192743</v>
      </c>
      <c r="P72" s="55" t="n">
        <f aca="false">(1+In_Opex_Esc)^(P$7-YEAR(In_COD))</f>
        <v>0.951814396192743</v>
      </c>
      <c r="Q72" s="55" t="n">
        <f aca="false">(1+In_Opex_Esc)^(Q$7-YEAR(In_COD))</f>
        <v>0.951814396192743</v>
      </c>
      <c r="R72" s="55" t="n">
        <f aca="false">(1+In_Opex_Esc)^(R$7-YEAR(In_COD))</f>
        <v>0.951814396192743</v>
      </c>
      <c r="S72" s="55" t="n">
        <f aca="false">(1+In_Opex_Esc)^(S$7-YEAR(In_COD))</f>
        <v>0.975609756097561</v>
      </c>
      <c r="T72" s="55" t="n">
        <f aca="false">(1+In_Opex_Esc)^(T$7-YEAR(In_COD))</f>
        <v>0.975609756097561</v>
      </c>
      <c r="U72" s="55" t="n">
        <f aca="false">(1+In_Opex_Esc)^(U$7-YEAR(In_COD))</f>
        <v>0.975609756097561</v>
      </c>
      <c r="V72" s="55" t="n">
        <f aca="false">(1+In_Opex_Esc)^(V$7-YEAR(In_COD))</f>
        <v>0.975609756097561</v>
      </c>
      <c r="W72" s="55" t="n">
        <f aca="false">(1+In_Opex_Esc)^(W$7-YEAR(In_COD))</f>
        <v>1</v>
      </c>
      <c r="X72" s="55" t="n">
        <f aca="false">(1+In_Opex_Esc)^(X$7-YEAR(In_COD))</f>
        <v>1</v>
      </c>
      <c r="Y72" s="55" t="n">
        <f aca="false">(1+In_Opex_Esc)^(Y$7-YEAR(In_COD))</f>
        <v>1</v>
      </c>
      <c r="Z72" s="55" t="n">
        <f aca="false">(1+In_Opex_Esc)^(Z$7-YEAR(In_COD))</f>
        <v>1</v>
      </c>
      <c r="AA72" s="55" t="n">
        <f aca="false">(1+In_Opex_Esc)^(AA$7-YEAR(In_COD))</f>
        <v>1.025</v>
      </c>
      <c r="AB72" s="55" t="n">
        <f aca="false">(1+In_Opex_Esc)^(AB$7-YEAR(In_COD))</f>
        <v>1.025</v>
      </c>
      <c r="AC72" s="55" t="n">
        <f aca="false">(1+In_Opex_Esc)^(AC$7-YEAR(In_COD))</f>
        <v>1.025</v>
      </c>
      <c r="AD72" s="55" t="n">
        <f aca="false">(1+In_Opex_Esc)^(AD$7-YEAR(In_COD))</f>
        <v>1.025</v>
      </c>
      <c r="AE72" s="55" t="n">
        <f aca="false">(1+In_Opex_Esc)^(AE$7-YEAR(In_COD))</f>
        <v>1.050625</v>
      </c>
      <c r="AF72" s="55" t="n">
        <f aca="false">(1+In_Opex_Esc)^(AF$7-YEAR(In_COD))</f>
        <v>1.050625</v>
      </c>
      <c r="AG72" s="55" t="n">
        <f aca="false">(1+In_Opex_Esc)^(AG$7-YEAR(In_COD))</f>
        <v>1.050625</v>
      </c>
      <c r="AH72" s="55" t="n">
        <f aca="false">(1+In_Opex_Esc)^(AH$7-YEAR(In_COD))</f>
        <v>1.050625</v>
      </c>
      <c r="AI72" s="55" t="n">
        <f aca="false">(1+In_Opex_Esc)^(AI$7-YEAR(In_COD))</f>
        <v>1.076890625</v>
      </c>
      <c r="AJ72" s="55" t="n">
        <f aca="false">(1+In_Opex_Esc)^(AJ$7-YEAR(In_COD))</f>
        <v>1.076890625</v>
      </c>
      <c r="AK72" s="55" t="n">
        <f aca="false">(1+In_Opex_Esc)^(AK$7-YEAR(In_COD))</f>
        <v>1.076890625</v>
      </c>
      <c r="AL72" s="55" t="n">
        <f aca="false">(1+In_Opex_Esc)^(AL$7-YEAR(In_COD))</f>
        <v>1.076890625</v>
      </c>
      <c r="AM72" s="55" t="n">
        <f aca="false">(1+In_Opex_Esc)^(AM$7-YEAR(In_COD))</f>
        <v>1.103812890625</v>
      </c>
      <c r="AN72" s="55" t="n">
        <f aca="false">(1+In_Opex_Esc)^(AN$7-YEAR(In_COD))</f>
        <v>1.103812890625</v>
      </c>
      <c r="AO72" s="55" t="n">
        <f aca="false">(1+In_Opex_Esc)^(AO$7-YEAR(In_COD))</f>
        <v>1.103812890625</v>
      </c>
      <c r="AP72" s="55" t="n">
        <f aca="false">(1+In_Opex_Esc)^(AP$7-YEAR(In_COD))</f>
        <v>1.103812890625</v>
      </c>
      <c r="AQ72" s="55" t="n">
        <f aca="false">(1+In_Opex_Esc)^(AQ$7-YEAR(In_COD))</f>
        <v>1.13140821289062</v>
      </c>
      <c r="AR72" s="55" t="n">
        <f aca="false">(1+In_Opex_Esc)^(AR$7-YEAR(In_COD))</f>
        <v>1.13140821289062</v>
      </c>
      <c r="AS72" s="55" t="n">
        <f aca="false">(1+In_Opex_Esc)^(AS$7-YEAR(In_COD))</f>
        <v>1.13140821289062</v>
      </c>
      <c r="AT72" s="55" t="n">
        <f aca="false">(1+In_Opex_Esc)^(AT$7-YEAR(In_COD))</f>
        <v>1.13140821289062</v>
      </c>
      <c r="AU72" s="55" t="n">
        <f aca="false">(1+In_Opex_Esc)^(AU$7-YEAR(In_COD))</f>
        <v>1.15969341821289</v>
      </c>
      <c r="AV72" s="55" t="n">
        <f aca="false">(1+In_Opex_Esc)^(AV$7-YEAR(In_COD))</f>
        <v>1.15969341821289</v>
      </c>
      <c r="AW72" s="55" t="n">
        <f aca="false">(1+In_Opex_Esc)^(AW$7-YEAR(In_COD))</f>
        <v>1.15969341821289</v>
      </c>
      <c r="AX72" s="55" t="n">
        <f aca="false">(1+In_Opex_Esc)^(AX$7-YEAR(In_COD))</f>
        <v>1.15969341821289</v>
      </c>
      <c r="AY72" s="55" t="n">
        <f aca="false">(1+In_Opex_Esc)^(AY$7-YEAR(In_COD))</f>
        <v>1.18868575366821</v>
      </c>
      <c r="AZ72" s="55" t="n">
        <f aca="false">(1+In_Opex_Esc)^(AZ$7-YEAR(In_COD))</f>
        <v>1.18868575366821</v>
      </c>
      <c r="BA72" s="55" t="n">
        <f aca="false">(1+In_Opex_Esc)^(BA$7-YEAR(In_COD))</f>
        <v>1.18868575366821</v>
      </c>
      <c r="BB72" s="55" t="n">
        <f aca="false">(1+In_Opex_Esc)^(BB$7-YEAR(In_COD))</f>
        <v>1.18868575366821</v>
      </c>
      <c r="BC72" s="55" t="n">
        <f aca="false">(1+In_Opex_Esc)^(BC$7-YEAR(In_COD))</f>
        <v>1.21840289750992</v>
      </c>
      <c r="BD72" s="55" t="n">
        <f aca="false">(1+In_Opex_Esc)^(BD$7-YEAR(In_COD))</f>
        <v>1.21840289750992</v>
      </c>
      <c r="BE72" s="55" t="n">
        <f aca="false">(1+In_Opex_Esc)^(BE$7-YEAR(In_COD))</f>
        <v>1.21840289750992</v>
      </c>
      <c r="BF72" s="55" t="n">
        <f aca="false">(1+In_Opex_Esc)^(BF$7-YEAR(In_COD))</f>
        <v>1.21840289750992</v>
      </c>
      <c r="BG72" s="55" t="n">
        <f aca="false">(1+In_Opex_Esc)^(BG$7-YEAR(In_COD))</f>
        <v>1.24886296994767</v>
      </c>
      <c r="BH72" s="55" t="n">
        <f aca="false">(1+In_Opex_Esc)^(BH$7-YEAR(In_COD))</f>
        <v>1.24886296994767</v>
      </c>
      <c r="BI72" s="55" t="n">
        <f aca="false">(1+In_Opex_Esc)^(BI$7-YEAR(In_COD))</f>
        <v>1.24886296994767</v>
      </c>
      <c r="BJ72" s="55" t="n">
        <f aca="false">(1+In_Opex_Esc)^(BJ$7-YEAR(In_COD))</f>
        <v>1.24886296994767</v>
      </c>
      <c r="BK72" s="55" t="n">
        <f aca="false">(1+In_Opex_Esc)^(BK$7-YEAR(In_COD))</f>
        <v>1.28008454419636</v>
      </c>
      <c r="BL72" s="55" t="n">
        <f aca="false">(1+In_Opex_Esc)^(BL$7-YEAR(In_COD))</f>
        <v>1.28008454419636</v>
      </c>
      <c r="BM72" s="55" t="n">
        <f aca="false">(1+In_Opex_Esc)^(BM$7-YEAR(In_COD))</f>
        <v>1.28008454419636</v>
      </c>
      <c r="BN72" s="55" t="n">
        <f aca="false">(1+In_Opex_Esc)^(BN$7-YEAR(In_COD))</f>
        <v>1.28008454419636</v>
      </c>
      <c r="BO72" s="55" t="n">
        <f aca="false">(1+In_Opex_Esc)^(BO$7-YEAR(In_COD))</f>
        <v>1.31208665780127</v>
      </c>
      <c r="BP72" s="55" t="n">
        <f aca="false">(1+In_Opex_Esc)^(BP$7-YEAR(In_COD))</f>
        <v>1.31208665780127</v>
      </c>
      <c r="BQ72" s="55" t="n">
        <f aca="false">(1+In_Opex_Esc)^(BQ$7-YEAR(In_COD))</f>
        <v>1.31208665780127</v>
      </c>
      <c r="BR72" s="55" t="n">
        <f aca="false">(1+In_Opex_Esc)^(BR$7-YEAR(In_COD))</f>
        <v>1.31208665780127</v>
      </c>
      <c r="BS72" s="55" t="n">
        <f aca="false">(1+In_Opex_Esc)^(BS$7-YEAR(In_COD))</f>
        <v>1.3448888242463</v>
      </c>
      <c r="BT72" s="55" t="n">
        <f aca="false">(1+In_Opex_Esc)^(BT$7-YEAR(In_COD))</f>
        <v>1.3448888242463</v>
      </c>
      <c r="BU72" s="55" t="n">
        <f aca="false">(1+In_Opex_Esc)^(BU$7-YEAR(In_COD))</f>
        <v>1.3448888242463</v>
      </c>
      <c r="BV72" s="55" t="n">
        <f aca="false">(1+In_Opex_Esc)^(BV$7-YEAR(In_COD))</f>
        <v>1.3448888242463</v>
      </c>
      <c r="BW72" s="55" t="n">
        <f aca="false">(1+In_Opex_Esc)^(BW$7-YEAR(In_COD))</f>
        <v>1.37851104485245</v>
      </c>
      <c r="BX72" s="55" t="n">
        <f aca="false">(1+In_Opex_Esc)^(BX$7-YEAR(In_COD))</f>
        <v>1.37851104485245</v>
      </c>
      <c r="BY72" s="55" t="n">
        <f aca="false">(1+In_Opex_Esc)^(BY$7-YEAR(In_COD))</f>
        <v>1.37851104485245</v>
      </c>
      <c r="BZ72" s="55" t="n">
        <f aca="false">(1+In_Opex_Esc)^(BZ$7-YEAR(In_COD))</f>
        <v>1.37851104485245</v>
      </c>
      <c r="CA72" s="55" t="n">
        <f aca="false">(1+In_Opex_Esc)^(CA$7-YEAR(In_COD))</f>
        <v>1.41297382097377</v>
      </c>
      <c r="CB72" s="55" t="n">
        <f aca="false">(1+In_Opex_Esc)^(CB$7-YEAR(In_COD))</f>
        <v>1.41297382097377</v>
      </c>
      <c r="CC72" s="55" t="n">
        <f aca="false">(1+In_Opex_Esc)^(CC$7-YEAR(In_COD))</f>
        <v>1.41297382097377</v>
      </c>
      <c r="CD72" s="55" t="n">
        <f aca="false">(1+In_Opex_Esc)^(CD$7-YEAR(In_COD))</f>
        <v>1.41297382097377</v>
      </c>
      <c r="CE72" s="55" t="n">
        <f aca="false">(1+In_Opex_Esc)^(CE$7-YEAR(In_COD))</f>
        <v>1.44829816649811</v>
      </c>
      <c r="CF72" s="55" t="n">
        <f aca="false">(1+In_Opex_Esc)^(CF$7-YEAR(In_COD))</f>
        <v>1.44829816649811</v>
      </c>
      <c r="CG72" s="55" t="n">
        <f aca="false">(1+In_Opex_Esc)^(CG$7-YEAR(In_COD))</f>
        <v>1.44829816649811</v>
      </c>
      <c r="CH72" s="55" t="n">
        <f aca="false">(1+In_Opex_Esc)^(CH$7-YEAR(In_COD))</f>
        <v>1.44829816649811</v>
      </c>
      <c r="CI72" s="55" t="n">
        <f aca="false">(1+In_Opex_Esc)^(CI$7-YEAR(In_COD))</f>
        <v>1.48450562066056</v>
      </c>
      <c r="CJ72" s="55" t="n">
        <f aca="false">(1+In_Opex_Esc)^(CJ$7-YEAR(In_COD))</f>
        <v>1.48450562066056</v>
      </c>
      <c r="CK72" s="55" t="n">
        <f aca="false">(1+In_Opex_Esc)^(CK$7-YEAR(In_COD))</f>
        <v>1.48450562066056</v>
      </c>
      <c r="CL72" s="55" t="n">
        <f aca="false">(1+In_Opex_Esc)^(CL$7-YEAR(In_COD))</f>
        <v>1.48450562066056</v>
      </c>
      <c r="CM72" s="55" t="n">
        <f aca="false">(1+In_Opex_Esc)^(CM$7-YEAR(In_COD))</f>
        <v>1.52161826117708</v>
      </c>
      <c r="CN72" s="55" t="n">
        <f aca="false">(1+In_Opex_Esc)^(CN$7-YEAR(In_COD))</f>
        <v>1.52161826117708</v>
      </c>
      <c r="CO72" s="55" t="n">
        <f aca="false">(1+In_Opex_Esc)^(CO$7-YEAR(In_COD))</f>
        <v>1.52161826117708</v>
      </c>
      <c r="CP72" s="55" t="n">
        <f aca="false">(1+In_Opex_Esc)^(CP$7-YEAR(In_COD))</f>
        <v>1.52161826117708</v>
      </c>
      <c r="CQ72" s="55" t="n">
        <f aca="false">(1+In_Opex_Esc)^(CQ$7-YEAR(In_COD))</f>
        <v>1.5596587177065</v>
      </c>
      <c r="CR72" s="55" t="n">
        <f aca="false">(1+In_Opex_Esc)^(CR$7-YEAR(In_COD))</f>
        <v>1.5596587177065</v>
      </c>
      <c r="CS72" s="55" t="n">
        <f aca="false">(1+In_Opex_Esc)^(CS$7-YEAR(In_COD))</f>
        <v>1.5596587177065</v>
      </c>
      <c r="CT72" s="55" t="n">
        <f aca="false">(1+In_Opex_Esc)^(CT$7-YEAR(In_COD))</f>
        <v>1.5596587177065</v>
      </c>
      <c r="CU72" s="55" t="n">
        <f aca="false">(1+In_Opex_Esc)^(CU$7-YEAR(In_COD))</f>
        <v>1.59865018564917</v>
      </c>
      <c r="CV72" s="55" t="n">
        <f aca="false">(1+In_Opex_Esc)^(CV$7-YEAR(In_COD))</f>
        <v>1.59865018564917</v>
      </c>
      <c r="CW72" s="55" t="n">
        <f aca="false">(1+In_Opex_Esc)^(CW$7-YEAR(In_COD))</f>
        <v>1.59865018564917</v>
      </c>
      <c r="CX72" s="55" t="n">
        <f aca="false">(1+In_Opex_Esc)^(CX$7-YEAR(In_COD))</f>
        <v>1.59865018564917</v>
      </c>
      <c r="CY72" s="55" t="n">
        <f aca="false">(1+In_Opex_Esc)^(CY$7-YEAR(In_COD))</f>
        <v>1.63861644029039</v>
      </c>
      <c r="CZ72" s="55" t="n">
        <f aca="false">(1+In_Opex_Esc)^(CZ$7-YEAR(In_COD))</f>
        <v>1.63861644029039</v>
      </c>
      <c r="DA72" s="55" t="n">
        <f aca="false">(1+In_Opex_Esc)^(DA$7-YEAR(In_COD))</f>
        <v>1.63861644029039</v>
      </c>
      <c r="DB72" s="55" t="n">
        <f aca="false">(1+In_Opex_Esc)^(DB$7-YEAR(In_COD))</f>
        <v>1.63861644029039</v>
      </c>
      <c r="DC72" s="55" t="n">
        <f aca="false">(1+In_Opex_Esc)^(DC$7-YEAR(In_COD))</f>
        <v>1.67958185129765</v>
      </c>
      <c r="DD72" s="55" t="n">
        <f aca="false">(1+In_Opex_Esc)^(DD$7-YEAR(In_COD))</f>
        <v>1.67958185129765</v>
      </c>
      <c r="DE72" s="55" t="n">
        <f aca="false">(1+In_Opex_Esc)^(DE$7-YEAR(In_COD))</f>
        <v>1.67958185129765</v>
      </c>
      <c r="DF72" s="55" t="n">
        <f aca="false">(1+In_Opex_Esc)^(DF$7-YEAR(In_COD))</f>
        <v>1.67958185129765</v>
      </c>
      <c r="DG72" s="55" t="n">
        <f aca="false">(1+In_Opex_Esc)^(DG$7-YEAR(In_COD))</f>
        <v>1.7215713975801</v>
      </c>
      <c r="DH72" s="55" t="n">
        <f aca="false">(1+In_Opex_Esc)^(DH$7-YEAR(In_COD))</f>
        <v>1.7215713975801</v>
      </c>
      <c r="DI72" s="55" t="n">
        <f aca="false">(1+In_Opex_Esc)^(DI$7-YEAR(In_COD))</f>
        <v>1.7215713975801</v>
      </c>
      <c r="DJ72" s="55" t="n">
        <f aca="false">(1+In_Opex_Esc)^(DJ$7-YEAR(In_COD))</f>
        <v>1.7215713975801</v>
      </c>
      <c r="DK72" s="55" t="n">
        <f aca="false">(1+In_Opex_Esc)^(DK$7-YEAR(In_COD))</f>
        <v>1.7646106825196</v>
      </c>
      <c r="DL72" s="55" t="n">
        <f aca="false">(1+In_Opex_Esc)^(DL$7-YEAR(In_COD))</f>
        <v>1.7646106825196</v>
      </c>
      <c r="DM72" s="55" t="n">
        <f aca="false">(1+In_Opex_Esc)^(DM$7-YEAR(In_COD))</f>
        <v>1.7646106825196</v>
      </c>
      <c r="DN72" s="55" t="n">
        <f aca="false">(1+In_Opex_Esc)^(DN$7-YEAR(In_COD))</f>
        <v>1.7646106825196</v>
      </c>
      <c r="DO72" s="55" t="n">
        <f aca="false">(1+In_Opex_Esc)^(DO$7-YEAR(In_COD))</f>
        <v>1.80872594958259</v>
      </c>
      <c r="DP72" s="55" t="n">
        <f aca="false">(1+In_Opex_Esc)^(DP$7-YEAR(In_COD))</f>
        <v>1.80872594958259</v>
      </c>
      <c r="DQ72" s="55" t="n">
        <f aca="false">(1+In_Opex_Esc)^(DQ$7-YEAR(In_COD))</f>
        <v>1.80872594958259</v>
      </c>
      <c r="DR72" s="55" t="n">
        <f aca="false">(1+In_Opex_Esc)^(DR$7-YEAR(In_COD))</f>
        <v>1.80872594958259</v>
      </c>
      <c r="DS72" s="55" t="n">
        <f aca="false">(1+In_Opex_Esc)^(DS$7-YEAR(In_COD))</f>
        <v>1.85394409832215</v>
      </c>
      <c r="DT72" s="55" t="n">
        <f aca="false">(1+In_Opex_Esc)^(DT$7-YEAR(In_COD))</f>
        <v>1.85394409832215</v>
      </c>
      <c r="DU72" s="55" t="n">
        <f aca="false">(1+In_Opex_Esc)^(DU$7-YEAR(In_COD))</f>
        <v>1.85394409832215</v>
      </c>
      <c r="DV72" s="55" t="n">
        <f aca="false">(1+In_Opex_Esc)^(DV$7-YEAR(In_COD))</f>
        <v>1.85394409832215</v>
      </c>
      <c r="DW72" s="55" t="n">
        <f aca="false">(1+In_Opex_Esc)^(DW$7-YEAR(In_COD))</f>
        <v>1.90029270078021</v>
      </c>
      <c r="DX72" s="55" t="n">
        <f aca="false">(1+In_Opex_Esc)^(DX$7-YEAR(In_COD))</f>
        <v>1.90029270078021</v>
      </c>
      <c r="DY72" s="55" t="n">
        <f aca="false">(1+In_Opex_Esc)^(DY$7-YEAR(In_COD))</f>
        <v>1.90029270078021</v>
      </c>
      <c r="DZ72" s="55" t="n">
        <f aca="false">(1+In_Opex_Esc)^(DZ$7-YEAR(In_COD))</f>
        <v>1.90029270078021</v>
      </c>
      <c r="EA72" s="55" t="n">
        <f aca="false">(1+In_Opex_Esc)^(EA$7-YEAR(In_COD))</f>
        <v>1.94780001829971</v>
      </c>
      <c r="EB72" s="55" t="n">
        <f aca="false">(1+In_Opex_Esc)^(EB$7-YEAR(In_COD))</f>
        <v>1.94780001829971</v>
      </c>
      <c r="EC72" s="55" t="n">
        <f aca="false">(1+In_Opex_Esc)^(EC$7-YEAR(In_COD))</f>
        <v>1.94780001829971</v>
      </c>
      <c r="ED72" s="55" t="n">
        <f aca="false">(1+In_Opex_Esc)^(ED$7-YEAR(In_COD))</f>
        <v>1.94780001829971</v>
      </c>
      <c r="EE72" s="55" t="n">
        <f aca="false">(1+In_Opex_Esc)^(EE$7-YEAR(In_COD))</f>
        <v>1.9964950187572</v>
      </c>
      <c r="EF72" s="55" t="n">
        <f aca="false">(1+In_Opex_Esc)^(EF$7-YEAR(In_COD))</f>
        <v>1.9964950187572</v>
      </c>
      <c r="EG72" s="55" t="n">
        <f aca="false">(1+In_Opex_Esc)^(EG$7-YEAR(In_COD))</f>
        <v>1.9964950187572</v>
      </c>
      <c r="EH72" s="55" t="n">
        <f aca="false">(1+In_Opex_Esc)^(EH$7-YEAR(In_COD))</f>
        <v>1.9964950187572</v>
      </c>
      <c r="EI72" s="55" t="n">
        <f aca="false">(1+In_Opex_Esc)^(EI$7-YEAR(In_COD))</f>
        <v>2.04640739422613</v>
      </c>
      <c r="EJ72" s="55" t="n">
        <f aca="false">(1+In_Opex_Esc)^(EJ$7-YEAR(In_COD))</f>
        <v>2.04640739422613</v>
      </c>
      <c r="EK72" s="55" t="n">
        <f aca="false">(1+In_Opex_Esc)^(EK$7-YEAR(In_COD))</f>
        <v>2.04640739422613</v>
      </c>
      <c r="EL72" s="55" t="n">
        <f aca="false">(1+In_Opex_Esc)^(EL$7-YEAR(In_COD))</f>
        <v>2.04640739422613</v>
      </c>
      <c r="EM72" s="55" t="n">
        <f aca="false">(1+In_Opex_Esc)^(EM$7-YEAR(In_COD))</f>
        <v>2.09756757908179</v>
      </c>
      <c r="EN72" s="55" t="n">
        <f aca="false">(1+In_Opex_Esc)^(EN$7-YEAR(In_COD))</f>
        <v>2.09756757908179</v>
      </c>
      <c r="EO72" s="55" t="n">
        <f aca="false">(1+In_Opex_Esc)^(EO$7-YEAR(In_COD))</f>
        <v>2.09756757908179</v>
      </c>
    </row>
    <row r="73" customFormat="false" ht="15" hidden="false" customHeight="false" outlineLevel="0" collapsed="false">
      <c r="C73" s="0" t="s">
        <v>456</v>
      </c>
      <c r="D73" s="11" t="s">
        <v>24</v>
      </c>
      <c r="J73" s="32" t="n">
        <f aca="false">In_PPA_Price*(1+In_PPA_Esc)^(J$7-YEAR(In_COD))</f>
        <v>86.4882310034535</v>
      </c>
      <c r="K73" s="32" t="n">
        <f aca="false">In_PPA_Price*(1+In_PPA_Esc)^(K$7-YEAR(In_COD))</f>
        <v>87.353113313488</v>
      </c>
      <c r="L73" s="32" t="n">
        <f aca="false">In_PPA_Price*(1+In_PPA_Esc)^(L$7-YEAR(In_COD))</f>
        <v>87.353113313488</v>
      </c>
      <c r="M73" s="32" t="n">
        <f aca="false">In_PPA_Price*(1+In_PPA_Esc)^(M$7-YEAR(In_COD))</f>
        <v>87.353113313488</v>
      </c>
      <c r="N73" s="32" t="n">
        <f aca="false">In_PPA_Price*(1+In_PPA_Esc)^(N$7-YEAR(In_COD))</f>
        <v>87.353113313488</v>
      </c>
      <c r="O73" s="32" t="n">
        <f aca="false">In_PPA_Price*(1+In_PPA_Esc)^(O$7-YEAR(In_COD))</f>
        <v>88.2266444466229</v>
      </c>
      <c r="P73" s="32" t="n">
        <f aca="false">In_PPA_Price*(1+In_PPA_Esc)^(P$7-YEAR(In_COD))</f>
        <v>88.2266444466229</v>
      </c>
      <c r="Q73" s="32" t="n">
        <f aca="false">In_PPA_Price*(1+In_PPA_Esc)^(Q$7-YEAR(In_COD))</f>
        <v>88.2266444466229</v>
      </c>
      <c r="R73" s="32" t="n">
        <f aca="false">In_PPA_Price*(1+In_PPA_Esc)^(R$7-YEAR(In_COD))</f>
        <v>88.2266444466229</v>
      </c>
      <c r="S73" s="32" t="n">
        <f aca="false">In_PPA_Price*(1+In_PPA_Esc)^(S$7-YEAR(In_COD))</f>
        <v>89.1089108910891</v>
      </c>
      <c r="T73" s="32" t="n">
        <f aca="false">In_PPA_Price*(1+In_PPA_Esc)^(T$7-YEAR(In_COD))</f>
        <v>89.1089108910891</v>
      </c>
      <c r="U73" s="32" t="n">
        <f aca="false">In_PPA_Price*(1+In_PPA_Esc)^(U$7-YEAR(In_COD))</f>
        <v>89.1089108910891</v>
      </c>
      <c r="V73" s="32" t="n">
        <f aca="false">In_PPA_Price*(1+In_PPA_Esc)^(V$7-YEAR(In_COD))</f>
        <v>89.1089108910891</v>
      </c>
      <c r="W73" s="32" t="n">
        <f aca="false">In_PPA_Price*(1+In_PPA_Esc)^(W$7-YEAR(In_COD))</f>
        <v>90</v>
      </c>
      <c r="X73" s="32" t="n">
        <f aca="false">In_PPA_Price*(1+In_PPA_Esc)^(X$7-YEAR(In_COD))</f>
        <v>90</v>
      </c>
      <c r="Y73" s="32" t="n">
        <f aca="false">In_PPA_Price*(1+In_PPA_Esc)^(Y$7-YEAR(In_COD))</f>
        <v>90</v>
      </c>
      <c r="Z73" s="32" t="n">
        <f aca="false">In_PPA_Price*(1+In_PPA_Esc)^(Z$7-YEAR(In_COD))</f>
        <v>90</v>
      </c>
      <c r="AA73" s="32" t="n">
        <f aca="false">In_PPA_Price*(1+In_PPA_Esc)^(AA$7-YEAR(In_COD))</f>
        <v>90.9</v>
      </c>
      <c r="AB73" s="32" t="n">
        <f aca="false">In_PPA_Price*(1+In_PPA_Esc)^(AB$7-YEAR(In_COD))</f>
        <v>90.9</v>
      </c>
      <c r="AC73" s="32" t="n">
        <f aca="false">In_PPA_Price*(1+In_PPA_Esc)^(AC$7-YEAR(In_COD))</f>
        <v>90.9</v>
      </c>
      <c r="AD73" s="32" t="n">
        <f aca="false">In_PPA_Price*(1+In_PPA_Esc)^(AD$7-YEAR(In_COD))</f>
        <v>90.9</v>
      </c>
      <c r="AE73" s="32" t="n">
        <f aca="false">In_PPA_Price*(1+In_PPA_Esc)^(AE$7-YEAR(In_COD))</f>
        <v>91.809</v>
      </c>
      <c r="AF73" s="32" t="n">
        <f aca="false">In_PPA_Price*(1+In_PPA_Esc)^(AF$7-YEAR(In_COD))</f>
        <v>91.809</v>
      </c>
      <c r="AG73" s="32" t="n">
        <f aca="false">In_PPA_Price*(1+In_PPA_Esc)^(AG$7-YEAR(In_COD))</f>
        <v>91.809</v>
      </c>
      <c r="AH73" s="32" t="n">
        <f aca="false">In_PPA_Price*(1+In_PPA_Esc)^(AH$7-YEAR(In_COD))</f>
        <v>91.809</v>
      </c>
      <c r="AI73" s="32" t="n">
        <f aca="false">In_PPA_Price*(1+In_PPA_Esc)^(AI$7-YEAR(In_COD))</f>
        <v>92.72709</v>
      </c>
      <c r="AJ73" s="32" t="n">
        <f aca="false">In_PPA_Price*(1+In_PPA_Esc)^(AJ$7-YEAR(In_COD))</f>
        <v>92.72709</v>
      </c>
      <c r="AK73" s="32" t="n">
        <f aca="false">In_PPA_Price*(1+In_PPA_Esc)^(AK$7-YEAR(In_COD))</f>
        <v>92.72709</v>
      </c>
      <c r="AL73" s="32" t="n">
        <f aca="false">In_PPA_Price*(1+In_PPA_Esc)^(AL$7-YEAR(In_COD))</f>
        <v>92.72709</v>
      </c>
      <c r="AM73" s="32" t="n">
        <f aca="false">In_PPA_Price*(1+In_PPA_Esc)^(AM$7-YEAR(In_COD))</f>
        <v>93.6543609</v>
      </c>
      <c r="AN73" s="32" t="n">
        <f aca="false">In_PPA_Price*(1+In_PPA_Esc)^(AN$7-YEAR(In_COD))</f>
        <v>93.6543609</v>
      </c>
      <c r="AO73" s="32" t="n">
        <f aca="false">In_PPA_Price*(1+In_PPA_Esc)^(AO$7-YEAR(In_COD))</f>
        <v>93.6543609</v>
      </c>
      <c r="AP73" s="32" t="n">
        <f aca="false">In_PPA_Price*(1+In_PPA_Esc)^(AP$7-YEAR(In_COD))</f>
        <v>93.6543609</v>
      </c>
      <c r="AQ73" s="32" t="n">
        <f aca="false">In_PPA_Price*(1+In_PPA_Esc)^(AQ$7-YEAR(In_COD))</f>
        <v>94.590904509</v>
      </c>
      <c r="AR73" s="32" t="n">
        <f aca="false">In_PPA_Price*(1+In_PPA_Esc)^(AR$7-YEAR(In_COD))</f>
        <v>94.590904509</v>
      </c>
      <c r="AS73" s="32" t="n">
        <f aca="false">In_PPA_Price*(1+In_PPA_Esc)^(AS$7-YEAR(In_COD))</f>
        <v>94.590904509</v>
      </c>
      <c r="AT73" s="32" t="n">
        <f aca="false">In_PPA_Price*(1+In_PPA_Esc)^(AT$7-YEAR(In_COD))</f>
        <v>94.590904509</v>
      </c>
      <c r="AU73" s="32" t="n">
        <f aca="false">In_PPA_Price*(1+In_PPA_Esc)^(AU$7-YEAR(In_COD))</f>
        <v>95.53681355409</v>
      </c>
      <c r="AV73" s="32" t="n">
        <f aca="false">In_PPA_Price*(1+In_PPA_Esc)^(AV$7-YEAR(In_COD))</f>
        <v>95.53681355409</v>
      </c>
      <c r="AW73" s="32" t="n">
        <f aca="false">In_PPA_Price*(1+In_PPA_Esc)^(AW$7-YEAR(In_COD))</f>
        <v>95.53681355409</v>
      </c>
      <c r="AX73" s="32" t="n">
        <f aca="false">In_PPA_Price*(1+In_PPA_Esc)^(AX$7-YEAR(In_COD))</f>
        <v>95.53681355409</v>
      </c>
      <c r="AY73" s="32" t="n">
        <f aca="false">In_PPA_Price*(1+In_PPA_Esc)^(AY$7-YEAR(In_COD))</f>
        <v>96.4921816896309</v>
      </c>
      <c r="AZ73" s="32" t="n">
        <f aca="false">In_PPA_Price*(1+In_PPA_Esc)^(AZ$7-YEAR(In_COD))</f>
        <v>96.4921816896309</v>
      </c>
      <c r="BA73" s="32" t="n">
        <f aca="false">In_PPA_Price*(1+In_PPA_Esc)^(BA$7-YEAR(In_COD))</f>
        <v>96.4921816896309</v>
      </c>
      <c r="BB73" s="32" t="n">
        <f aca="false">In_PPA_Price*(1+In_PPA_Esc)^(BB$7-YEAR(In_COD))</f>
        <v>96.4921816896309</v>
      </c>
      <c r="BC73" s="32" t="n">
        <f aca="false">In_PPA_Price*(1+In_PPA_Esc)^(BC$7-YEAR(In_COD))</f>
        <v>97.4571035065272</v>
      </c>
      <c r="BD73" s="32" t="n">
        <f aca="false">In_PPA_Price*(1+In_PPA_Esc)^(BD$7-YEAR(In_COD))</f>
        <v>97.4571035065272</v>
      </c>
      <c r="BE73" s="32" t="n">
        <f aca="false">In_PPA_Price*(1+In_PPA_Esc)^(BE$7-YEAR(In_COD))</f>
        <v>97.4571035065272</v>
      </c>
      <c r="BF73" s="32" t="n">
        <f aca="false">In_PPA_Price*(1+In_PPA_Esc)^(BF$7-YEAR(In_COD))</f>
        <v>97.4571035065272</v>
      </c>
      <c r="BG73" s="32" t="n">
        <f aca="false">In_PPA_Price*(1+In_PPA_Esc)^(BG$7-YEAR(In_COD))</f>
        <v>98.4316745415925</v>
      </c>
      <c r="BH73" s="32" t="n">
        <f aca="false">In_PPA_Price*(1+In_PPA_Esc)^(BH$7-YEAR(In_COD))</f>
        <v>98.4316745415925</v>
      </c>
      <c r="BI73" s="32" t="n">
        <f aca="false">In_PPA_Price*(1+In_PPA_Esc)^(BI$7-YEAR(In_COD))</f>
        <v>98.4316745415925</v>
      </c>
      <c r="BJ73" s="32" t="n">
        <f aca="false">In_PPA_Price*(1+In_PPA_Esc)^(BJ$7-YEAR(In_COD))</f>
        <v>98.4316745415925</v>
      </c>
      <c r="BK73" s="32" t="n">
        <f aca="false">In_PPA_Price*(1+In_PPA_Esc)^(BK$7-YEAR(In_COD))</f>
        <v>99.4159912870084</v>
      </c>
      <c r="BL73" s="32" t="n">
        <f aca="false">In_PPA_Price*(1+In_PPA_Esc)^(BL$7-YEAR(In_COD))</f>
        <v>99.4159912870084</v>
      </c>
      <c r="BM73" s="32" t="n">
        <f aca="false">In_PPA_Price*(1+In_PPA_Esc)^(BM$7-YEAR(In_COD))</f>
        <v>99.4159912870084</v>
      </c>
      <c r="BN73" s="32" t="n">
        <f aca="false">In_PPA_Price*(1+In_PPA_Esc)^(BN$7-YEAR(In_COD))</f>
        <v>99.4159912870084</v>
      </c>
      <c r="BO73" s="32" t="n">
        <f aca="false">In_PPA_Price*(1+In_PPA_Esc)^(BO$7-YEAR(In_COD))</f>
        <v>100.410151199878</v>
      </c>
      <c r="BP73" s="32" t="n">
        <f aca="false">In_PPA_Price*(1+In_PPA_Esc)^(BP$7-YEAR(In_COD))</f>
        <v>100.410151199878</v>
      </c>
      <c r="BQ73" s="32" t="n">
        <f aca="false">In_PPA_Price*(1+In_PPA_Esc)^(BQ$7-YEAR(In_COD))</f>
        <v>100.410151199878</v>
      </c>
      <c r="BR73" s="32" t="n">
        <f aca="false">In_PPA_Price*(1+In_PPA_Esc)^(BR$7-YEAR(In_COD))</f>
        <v>100.410151199878</v>
      </c>
      <c r="BS73" s="32" t="n">
        <f aca="false">In_PPA_Price*(1+In_PPA_Esc)^(BS$7-YEAR(In_COD))</f>
        <v>101.414252711877</v>
      </c>
      <c r="BT73" s="32" t="n">
        <f aca="false">In_PPA_Price*(1+In_PPA_Esc)^(BT$7-YEAR(In_COD))</f>
        <v>101.414252711877</v>
      </c>
      <c r="BU73" s="32" t="n">
        <f aca="false">In_PPA_Price*(1+In_PPA_Esc)^(BU$7-YEAR(In_COD))</f>
        <v>101.414252711877</v>
      </c>
      <c r="BV73" s="32" t="n">
        <f aca="false">In_PPA_Price*(1+In_PPA_Esc)^(BV$7-YEAR(In_COD))</f>
        <v>101.414252711877</v>
      </c>
      <c r="BW73" s="32" t="n">
        <f aca="false">In_PPA_Price*(1+In_PPA_Esc)^(BW$7-YEAR(In_COD))</f>
        <v>102.428395238996</v>
      </c>
      <c r="BX73" s="32" t="n">
        <f aca="false">In_PPA_Price*(1+In_PPA_Esc)^(BX$7-YEAR(In_COD))</f>
        <v>102.428395238996</v>
      </c>
      <c r="BY73" s="32" t="n">
        <f aca="false">In_PPA_Price*(1+In_PPA_Esc)^(BY$7-YEAR(In_COD))</f>
        <v>102.428395238996</v>
      </c>
      <c r="BZ73" s="32" t="n">
        <f aca="false">In_PPA_Price*(1+In_PPA_Esc)^(BZ$7-YEAR(In_COD))</f>
        <v>102.428395238996</v>
      </c>
      <c r="CA73" s="32" t="n">
        <f aca="false">In_PPA_Price*(1+In_PPA_Esc)^(CA$7-YEAR(In_COD))</f>
        <v>103.452679191386</v>
      </c>
      <c r="CB73" s="32" t="n">
        <f aca="false">In_PPA_Price*(1+In_PPA_Esc)^(CB$7-YEAR(In_COD))</f>
        <v>103.452679191386</v>
      </c>
      <c r="CC73" s="32" t="n">
        <f aca="false">In_PPA_Price*(1+In_PPA_Esc)^(CC$7-YEAR(In_COD))</f>
        <v>103.452679191386</v>
      </c>
      <c r="CD73" s="32" t="n">
        <f aca="false">In_PPA_Price*(1+In_PPA_Esc)^(CD$7-YEAR(In_COD))</f>
        <v>103.452679191386</v>
      </c>
      <c r="CE73" s="32" t="n">
        <f aca="false">In_PPA_Price*(1+In_PPA_Esc)^(CE$7-YEAR(In_COD))</f>
        <v>104.4872059833</v>
      </c>
      <c r="CF73" s="32" t="n">
        <f aca="false">In_PPA_Price*(1+In_PPA_Esc)^(CF$7-YEAR(In_COD))</f>
        <v>104.4872059833</v>
      </c>
      <c r="CG73" s="32" t="n">
        <f aca="false">In_PPA_Price*(1+In_PPA_Esc)^(CG$7-YEAR(In_COD))</f>
        <v>104.4872059833</v>
      </c>
      <c r="CH73" s="32" t="n">
        <f aca="false">In_PPA_Price*(1+In_PPA_Esc)^(CH$7-YEAR(In_COD))</f>
        <v>104.4872059833</v>
      </c>
      <c r="CI73" s="32" t="n">
        <f aca="false">In_PPA_Price*(1+In_PPA_Esc)^(CI$7-YEAR(In_COD))</f>
        <v>105.532078043133</v>
      </c>
      <c r="CJ73" s="32" t="n">
        <f aca="false">In_PPA_Price*(1+In_PPA_Esc)^(CJ$7-YEAR(In_COD))</f>
        <v>105.532078043133</v>
      </c>
      <c r="CK73" s="32" t="n">
        <f aca="false">In_PPA_Price*(1+In_PPA_Esc)^(CK$7-YEAR(In_COD))</f>
        <v>105.532078043133</v>
      </c>
      <c r="CL73" s="32" t="n">
        <f aca="false">In_PPA_Price*(1+In_PPA_Esc)^(CL$7-YEAR(In_COD))</f>
        <v>105.532078043133</v>
      </c>
      <c r="CM73" s="32" t="n">
        <f aca="false">In_PPA_Price*(1+In_PPA_Esc)^(CM$7-YEAR(In_COD))</f>
        <v>106.587398823564</v>
      </c>
      <c r="CN73" s="32" t="n">
        <f aca="false">In_PPA_Price*(1+In_PPA_Esc)^(CN$7-YEAR(In_COD))</f>
        <v>106.587398823564</v>
      </c>
      <c r="CO73" s="32" t="n">
        <f aca="false">In_PPA_Price*(1+In_PPA_Esc)^(CO$7-YEAR(In_COD))</f>
        <v>106.587398823564</v>
      </c>
      <c r="CP73" s="32" t="n">
        <f aca="false">In_PPA_Price*(1+In_PPA_Esc)^(CP$7-YEAR(In_COD))</f>
        <v>106.587398823564</v>
      </c>
      <c r="CQ73" s="32" t="n">
        <f aca="false">In_PPA_Price*(1+In_PPA_Esc)^(CQ$7-YEAR(In_COD))</f>
        <v>107.6532728118</v>
      </c>
      <c r="CR73" s="32" t="n">
        <f aca="false">In_PPA_Price*(1+In_PPA_Esc)^(CR$7-YEAR(In_COD))</f>
        <v>107.6532728118</v>
      </c>
      <c r="CS73" s="32" t="n">
        <f aca="false">In_PPA_Price*(1+In_PPA_Esc)^(CS$7-YEAR(In_COD))</f>
        <v>107.6532728118</v>
      </c>
      <c r="CT73" s="32" t="n">
        <f aca="false">In_PPA_Price*(1+In_PPA_Esc)^(CT$7-YEAR(In_COD))</f>
        <v>107.6532728118</v>
      </c>
      <c r="CU73" s="32" t="n">
        <f aca="false">In_PPA_Price*(1+In_PPA_Esc)^(CU$7-YEAR(In_COD))</f>
        <v>108.729805539918</v>
      </c>
      <c r="CV73" s="32" t="n">
        <f aca="false">In_PPA_Price*(1+In_PPA_Esc)^(CV$7-YEAR(In_COD))</f>
        <v>108.729805539918</v>
      </c>
      <c r="CW73" s="32" t="n">
        <f aca="false">In_PPA_Price*(1+In_PPA_Esc)^(CW$7-YEAR(In_COD))</f>
        <v>108.729805539918</v>
      </c>
      <c r="CX73" s="32" t="n">
        <f aca="false">In_PPA_Price*(1+In_PPA_Esc)^(CX$7-YEAR(In_COD))</f>
        <v>108.729805539918</v>
      </c>
      <c r="CY73" s="32" t="n">
        <f aca="false">In_PPA_Price*(1+In_PPA_Esc)^(CY$7-YEAR(In_COD))</f>
        <v>109.817103595317</v>
      </c>
      <c r="CZ73" s="32" t="n">
        <f aca="false">In_PPA_Price*(1+In_PPA_Esc)^(CZ$7-YEAR(In_COD))</f>
        <v>109.817103595317</v>
      </c>
      <c r="DA73" s="32" t="n">
        <f aca="false">In_PPA_Price*(1+In_PPA_Esc)^(DA$7-YEAR(In_COD))</f>
        <v>109.817103595317</v>
      </c>
      <c r="DB73" s="32" t="n">
        <f aca="false">In_PPA_Price*(1+In_PPA_Esc)^(DB$7-YEAR(In_COD))</f>
        <v>109.817103595317</v>
      </c>
      <c r="DC73" s="32" t="n">
        <f aca="false">In_PPA_Price*(1+In_PPA_Esc)^(DC$7-YEAR(In_COD))</f>
        <v>110.91527463127</v>
      </c>
      <c r="DD73" s="32" t="n">
        <f aca="false">In_PPA_Price*(1+In_PPA_Esc)^(DD$7-YEAR(In_COD))</f>
        <v>110.91527463127</v>
      </c>
      <c r="DE73" s="32" t="n">
        <f aca="false">In_PPA_Price*(1+In_PPA_Esc)^(DE$7-YEAR(In_COD))</f>
        <v>110.91527463127</v>
      </c>
      <c r="DF73" s="32" t="n">
        <f aca="false">In_PPA_Price*(1+In_PPA_Esc)^(DF$7-YEAR(In_COD))</f>
        <v>110.91527463127</v>
      </c>
      <c r="DG73" s="32" t="n">
        <f aca="false">In_PPA_Price*(1+In_PPA_Esc)^(DG$7-YEAR(In_COD))</f>
        <v>112.024427377583</v>
      </c>
      <c r="DH73" s="32" t="n">
        <f aca="false">In_PPA_Price*(1+In_PPA_Esc)^(DH$7-YEAR(In_COD))</f>
        <v>112.024427377583</v>
      </c>
      <c r="DI73" s="32" t="n">
        <f aca="false">In_PPA_Price*(1+In_PPA_Esc)^(DI$7-YEAR(In_COD))</f>
        <v>112.024427377583</v>
      </c>
      <c r="DJ73" s="32" t="n">
        <f aca="false">In_PPA_Price*(1+In_PPA_Esc)^(DJ$7-YEAR(In_COD))</f>
        <v>112.024427377583</v>
      </c>
      <c r="DK73" s="32" t="n">
        <f aca="false">In_PPA_Price*(1+In_PPA_Esc)^(DK$7-YEAR(In_COD))</f>
        <v>113.144671651359</v>
      </c>
      <c r="DL73" s="32" t="n">
        <f aca="false">In_PPA_Price*(1+In_PPA_Esc)^(DL$7-YEAR(In_COD))</f>
        <v>113.144671651359</v>
      </c>
      <c r="DM73" s="32" t="n">
        <f aca="false">In_PPA_Price*(1+In_PPA_Esc)^(DM$7-YEAR(In_COD))</f>
        <v>113.144671651359</v>
      </c>
      <c r="DN73" s="32" t="n">
        <f aca="false">In_PPA_Price*(1+In_PPA_Esc)^(DN$7-YEAR(In_COD))</f>
        <v>113.144671651359</v>
      </c>
      <c r="DO73" s="32" t="n">
        <f aca="false">In_PPA_Price*(1+In_PPA_Esc)^(DO$7-YEAR(In_COD))</f>
        <v>114.276118367872</v>
      </c>
      <c r="DP73" s="32" t="n">
        <f aca="false">In_PPA_Price*(1+In_PPA_Esc)^(DP$7-YEAR(In_COD))</f>
        <v>114.276118367872</v>
      </c>
      <c r="DQ73" s="32" t="n">
        <f aca="false">In_PPA_Price*(1+In_PPA_Esc)^(DQ$7-YEAR(In_COD))</f>
        <v>114.276118367872</v>
      </c>
      <c r="DR73" s="32" t="n">
        <f aca="false">In_PPA_Price*(1+In_PPA_Esc)^(DR$7-YEAR(In_COD))</f>
        <v>114.276118367872</v>
      </c>
      <c r="DS73" s="32" t="n">
        <f aca="false">In_PPA_Price*(1+In_PPA_Esc)^(DS$7-YEAR(In_COD))</f>
        <v>115.418879551551</v>
      </c>
      <c r="DT73" s="32" t="n">
        <f aca="false">In_PPA_Price*(1+In_PPA_Esc)^(DT$7-YEAR(In_COD))</f>
        <v>115.418879551551</v>
      </c>
      <c r="DU73" s="32" t="n">
        <f aca="false">In_PPA_Price*(1+In_PPA_Esc)^(DU$7-YEAR(In_COD))</f>
        <v>115.418879551551</v>
      </c>
      <c r="DV73" s="32" t="n">
        <f aca="false">In_PPA_Price*(1+In_PPA_Esc)^(DV$7-YEAR(In_COD))</f>
        <v>115.418879551551</v>
      </c>
      <c r="DW73" s="32" t="n">
        <f aca="false">In_PPA_Price*(1+In_PPA_Esc)^(DW$7-YEAR(In_COD))</f>
        <v>116.573068347067</v>
      </c>
      <c r="DX73" s="32" t="n">
        <f aca="false">In_PPA_Price*(1+In_PPA_Esc)^(DX$7-YEAR(In_COD))</f>
        <v>116.573068347067</v>
      </c>
      <c r="DY73" s="32" t="n">
        <f aca="false">In_PPA_Price*(1+In_PPA_Esc)^(DY$7-YEAR(In_COD))</f>
        <v>116.573068347067</v>
      </c>
      <c r="DZ73" s="32" t="n">
        <f aca="false">In_PPA_Price*(1+In_PPA_Esc)^(DZ$7-YEAR(In_COD))</f>
        <v>116.573068347067</v>
      </c>
      <c r="EA73" s="32" t="n">
        <f aca="false">In_PPA_Price*(1+In_PPA_Esc)^(EA$7-YEAR(In_COD))</f>
        <v>117.738799030537</v>
      </c>
      <c r="EB73" s="32" t="n">
        <f aca="false">In_PPA_Price*(1+In_PPA_Esc)^(EB$7-YEAR(In_COD))</f>
        <v>117.738799030537</v>
      </c>
      <c r="EC73" s="32" t="n">
        <f aca="false">In_PPA_Price*(1+In_PPA_Esc)^(EC$7-YEAR(In_COD))</f>
        <v>117.738799030537</v>
      </c>
      <c r="ED73" s="32" t="n">
        <f aca="false">In_PPA_Price*(1+In_PPA_Esc)^(ED$7-YEAR(In_COD))</f>
        <v>117.738799030537</v>
      </c>
      <c r="EE73" s="32" t="n">
        <f aca="false">In_PPA_Price*(1+In_PPA_Esc)^(EE$7-YEAR(In_COD))</f>
        <v>118.916187020843</v>
      </c>
      <c r="EF73" s="32" t="n">
        <f aca="false">In_PPA_Price*(1+In_PPA_Esc)^(EF$7-YEAR(In_COD))</f>
        <v>118.916187020843</v>
      </c>
      <c r="EG73" s="32" t="n">
        <f aca="false">In_PPA_Price*(1+In_PPA_Esc)^(EG$7-YEAR(In_COD))</f>
        <v>118.916187020843</v>
      </c>
      <c r="EH73" s="32" t="n">
        <f aca="false">In_PPA_Price*(1+In_PPA_Esc)^(EH$7-YEAR(In_COD))</f>
        <v>118.916187020843</v>
      </c>
      <c r="EI73" s="32" t="n">
        <f aca="false">In_PPA_Price*(1+In_PPA_Esc)^(EI$7-YEAR(In_COD))</f>
        <v>120.105348891051</v>
      </c>
      <c r="EJ73" s="32" t="n">
        <f aca="false">In_PPA_Price*(1+In_PPA_Esc)^(EJ$7-YEAR(In_COD))</f>
        <v>120.105348891051</v>
      </c>
      <c r="EK73" s="32" t="n">
        <f aca="false">In_PPA_Price*(1+In_PPA_Esc)^(EK$7-YEAR(In_COD))</f>
        <v>120.105348891051</v>
      </c>
      <c r="EL73" s="32" t="n">
        <f aca="false">In_PPA_Price*(1+In_PPA_Esc)^(EL$7-YEAR(In_COD))</f>
        <v>120.105348891051</v>
      </c>
      <c r="EM73" s="32" t="n">
        <f aca="false">In_PPA_Price*(1+In_PPA_Esc)^(EM$7-YEAR(In_COD))</f>
        <v>121.306402379962</v>
      </c>
      <c r="EN73" s="32" t="n">
        <f aca="false">In_PPA_Price*(1+In_PPA_Esc)^(EN$7-YEAR(In_COD))</f>
        <v>121.306402379962</v>
      </c>
      <c r="EO73" s="32" t="n">
        <f aca="false">In_PPA_Price*(1+In_PPA_Esc)^(EO$7-YEAR(In_COD))</f>
        <v>121.306402379962</v>
      </c>
    </row>
    <row r="74" customFormat="false" ht="15" hidden="false" customHeight="false" outlineLevel="0" collapsed="false">
      <c r="C74" s="0" t="s">
        <v>457</v>
      </c>
      <c r="D74" s="11" t="s">
        <v>70</v>
      </c>
      <c r="E74" s="48" t="n">
        <f aca="false">SUMIF($J$7:$EO$7,YEAR(In_COD)+1,$J74:$EO74)</f>
        <v>139397.5128</v>
      </c>
      <c r="I74" s="48" t="n">
        <f aca="false">SUM(J74:EO74)</f>
        <v>4010958.36031905</v>
      </c>
      <c r="J74" s="48" t="n">
        <f aca="false">$F25*In_P50_Hours*(1-In_Curtailment)*(1-$E29)*(1-In_Degradation)^(J21-1)*J16*J$6</f>
        <v>0</v>
      </c>
      <c r="K74" s="48" t="n">
        <f aca="false">$F25*In_P50_Hours*(1-In_Curtailment)*(1-$E29)*(1-In_Degradation)^(K21-1)*K16*K$6</f>
        <v>0</v>
      </c>
      <c r="L74" s="48" t="n">
        <f aca="false">$F25*In_P50_Hours*(1-In_Curtailment)*(1-$E29)*(1-In_Degradation)^(L21-1)*L16*L$6</f>
        <v>0</v>
      </c>
      <c r="M74" s="48" t="n">
        <f aca="false">$F25*In_P50_Hours*(1-In_Curtailment)*(1-$E29)*(1-In_Degradation)^(M21-1)*M16*M$6</f>
        <v>0</v>
      </c>
      <c r="N74" s="48" t="n">
        <f aca="false">$F25*In_P50_Hours*(1-In_Curtailment)*(1-$E29)*(1-In_Degradation)^(N21-1)*N16*N$6</f>
        <v>0</v>
      </c>
      <c r="O74" s="48" t="n">
        <f aca="false">$F25*In_P50_Hours*(1-In_Curtailment)*(1-$E29)*(1-In_Degradation)^(O21-1)*O16*O$6</f>
        <v>0</v>
      </c>
      <c r="P74" s="48" t="n">
        <f aca="false">$F25*In_P50_Hours*(1-In_Curtailment)*(1-$E29)*(1-In_Degradation)^(P21-1)*P16*P$6</f>
        <v>0</v>
      </c>
      <c r="Q74" s="48" t="n">
        <f aca="false">$F25*In_P50_Hours*(1-In_Curtailment)*(1-$E29)*(1-In_Degradation)^(Q21-1)*Q16*Q$6</f>
        <v>0</v>
      </c>
      <c r="R74" s="48" t="n">
        <f aca="false">$F25*In_P50_Hours*(1-In_Curtailment)*(1-$E29)*(1-In_Degradation)^(R21-1)*R16*R$6</f>
        <v>0</v>
      </c>
      <c r="S74" s="48" t="n">
        <f aca="false">$F25*In_P50_Hours*(1-In_Curtailment)*(1-$E29)*(1-In_Degradation)^(S21-1)*S16*S$6</f>
        <v>0</v>
      </c>
      <c r="T74" s="48" t="n">
        <f aca="false">$F25*In_P50_Hours*(1-In_Curtailment)*(1-$E29)*(1-In_Degradation)^(T21-1)*T16*T$6</f>
        <v>0</v>
      </c>
      <c r="U74" s="48" t="n">
        <f aca="false">$F25*In_P50_Hours*(1-In_Curtailment)*(1-$E29)*(1-In_Degradation)^(U21-1)*U16*U$6</f>
        <v>0</v>
      </c>
      <c r="V74" s="48" t="n">
        <f aca="false">$F25*In_P50_Hours*(1-In_Curtailment)*(1-$E29)*(1-In_Degradation)^(V21-1)*V16*V$6</f>
        <v>0</v>
      </c>
      <c r="W74" s="48" t="n">
        <f aca="false">$F25*In_P50_Hours*(1-In_Curtailment)*(1-$E29)*(1-In_Degradation)^(W21-1)*W16*W$6</f>
        <v>0</v>
      </c>
      <c r="X74" s="48" t="n">
        <f aca="false">$F25*In_P50_Hours*(1-In_Curtailment)*(1-$E29)*(1-In_Degradation)^(X21-1)*X16*X$6</f>
        <v>0</v>
      </c>
      <c r="Y74" s="48" t="n">
        <f aca="false">$F25*In_P50_Hours*(1-In_Curtailment)*(1-$E29)*(1-In_Degradation)^(Y21-1)*Y16*Y$6</f>
        <v>0</v>
      </c>
      <c r="Z74" s="48" t="n">
        <f aca="false">$F25*In_P50_Hours*(1-In_Curtailment)*(1-$E29)*(1-In_Degradation)^(Z21-1)*Z16*Z$6</f>
        <v>35162.4</v>
      </c>
      <c r="AA74" s="48" t="n">
        <f aca="false">$F25*In_P50_Hours*(1-In_Curtailment)*(1-$E29)*(1-In_Degradation)^(AA21-1)*AA16*AA$6</f>
        <v>34398</v>
      </c>
      <c r="AB74" s="48" t="n">
        <f aca="false">$F25*In_P50_Hours*(1-In_Curtailment)*(1-$E29)*(1-In_Degradation)^(AB21-1)*AB16*AB$6</f>
        <v>34780.2</v>
      </c>
      <c r="AC74" s="48" t="n">
        <f aca="false">$F25*In_P50_Hours*(1-In_Curtailment)*(1-$E29)*(1-In_Degradation)^(AC21-1)*AC16*AC$6</f>
        <v>35162.4</v>
      </c>
      <c r="AD74" s="48" t="n">
        <f aca="false">$F25*In_P50_Hours*(1-In_Curtailment)*(1-$E29)*(1-In_Degradation)^(AD21-1)*AD16*AD$6</f>
        <v>35056.9128</v>
      </c>
      <c r="AE74" s="48" t="n">
        <f aca="false">$F25*In_P50_Hours*(1-In_Curtailment)*(1-$E29)*(1-In_Degradation)^(AE21-1)*AE16*AE$6</f>
        <v>34675.8594</v>
      </c>
      <c r="AF74" s="48" t="n">
        <f aca="false">$F25*In_P50_Hours*(1-In_Curtailment)*(1-$E29)*(1-In_Degradation)^(AF21-1)*AF16*AF$6</f>
        <v>34675.8594</v>
      </c>
      <c r="AG74" s="48" t="n">
        <f aca="false">$F25*In_P50_Hours*(1-In_Curtailment)*(1-$E29)*(1-In_Degradation)^(AG21-1)*AG16*AG$6</f>
        <v>35056.9128</v>
      </c>
      <c r="AH74" s="48" t="n">
        <f aca="false">$F25*In_P50_Hours*(1-In_Curtailment)*(1-$E29)*(1-In_Degradation)^(AH21-1)*AH16*AH$6</f>
        <v>34951.7420616</v>
      </c>
      <c r="AI74" s="48" t="n">
        <f aca="false">$F25*In_P50_Hours*(1-In_Curtailment)*(1-$E29)*(1-In_Degradation)^(AI21-1)*AI16*AI$6</f>
        <v>34191.921582</v>
      </c>
      <c r="AJ74" s="48" t="n">
        <f aca="false">$F25*In_P50_Hours*(1-In_Curtailment)*(1-$E29)*(1-In_Degradation)^(AJ21-1)*AJ16*AJ$6</f>
        <v>34571.8318218</v>
      </c>
      <c r="AK74" s="48" t="n">
        <f aca="false">$F25*In_P50_Hours*(1-In_Curtailment)*(1-$E29)*(1-In_Degradation)^(AK21-1)*AK16*AK$6</f>
        <v>34951.7420616</v>
      </c>
      <c r="AL74" s="48" t="n">
        <f aca="false">$F25*In_P50_Hours*(1-In_Curtailment)*(1-$E29)*(1-In_Degradation)^(AL21-1)*AL16*AL$6</f>
        <v>34846.8868354152</v>
      </c>
      <c r="AM74" s="48" t="n">
        <f aca="false">$F25*In_P50_Hours*(1-In_Curtailment)*(1-$E29)*(1-In_Degradation)^(AM21-1)*AM16*AM$6</f>
        <v>34089.345817254</v>
      </c>
      <c r="AN74" s="48" t="n">
        <f aca="false">$F25*In_P50_Hours*(1-In_Curtailment)*(1-$E29)*(1-In_Degradation)^(AN21-1)*AN16*AN$6</f>
        <v>34468.1163263346</v>
      </c>
      <c r="AO74" s="48" t="n">
        <f aca="false">$F25*In_P50_Hours*(1-In_Curtailment)*(1-$E29)*(1-In_Degradation)^(AO21-1)*AO16*AO$6</f>
        <v>34846.8868354152</v>
      </c>
      <c r="AP74" s="48" t="n">
        <f aca="false">$F25*In_P50_Hours*(1-In_Curtailment)*(1-$E29)*(1-In_Degradation)^(AP21-1)*AP16*AP$6</f>
        <v>34742.346174909</v>
      </c>
      <c r="AQ74" s="48" t="n">
        <f aca="false">$F25*In_P50_Hours*(1-In_Curtailment)*(1-$E29)*(1-In_Degradation)^(AQ21-1)*AQ16*AQ$6</f>
        <v>33987.0777798023</v>
      </c>
      <c r="AR74" s="48" t="n">
        <f aca="false">$F25*In_P50_Hours*(1-In_Curtailment)*(1-$E29)*(1-In_Degradation)^(AR21-1)*AR16*AR$6</f>
        <v>34364.7119773556</v>
      </c>
      <c r="AS74" s="48" t="n">
        <f aca="false">$F25*In_P50_Hours*(1-In_Curtailment)*(1-$E29)*(1-In_Degradation)^(AS21-1)*AS16*AS$6</f>
        <v>34742.346174909</v>
      </c>
      <c r="AT74" s="48" t="n">
        <f aca="false">$F25*In_P50_Hours*(1-In_Curtailment)*(1-$E29)*(1-In_Degradation)^(AT21-1)*AT16*AT$6</f>
        <v>34638.1191363842</v>
      </c>
      <c r="AU74" s="48" t="n">
        <f aca="false">$F25*In_P50_Hours*(1-In_Curtailment)*(1-$E29)*(1-In_Degradation)^(AU21-1)*AU16*AU$6</f>
        <v>34261.6178414235</v>
      </c>
      <c r="AV74" s="48" t="n">
        <f aca="false">$F25*In_P50_Hours*(1-In_Curtailment)*(1-$E29)*(1-In_Degradation)^(AV21-1)*AV16*AV$6</f>
        <v>34261.6178414235</v>
      </c>
      <c r="AW74" s="48" t="n">
        <f aca="false">$F25*In_P50_Hours*(1-In_Curtailment)*(1-$E29)*(1-In_Degradation)^(AW21-1)*AW16*AW$6</f>
        <v>34638.1191363842</v>
      </c>
      <c r="AX74" s="48" t="n">
        <f aca="false">$F25*In_P50_Hours*(1-In_Curtailment)*(1-$E29)*(1-In_Degradation)^(AX21-1)*AX16*AX$6</f>
        <v>34534.2047789751</v>
      </c>
      <c r="AY74" s="48" t="n">
        <f aca="false">$F25*In_P50_Hours*(1-In_Curtailment)*(1-$E29)*(1-In_Degradation)^(AY21-1)*AY16*AY$6</f>
        <v>33783.4611968235</v>
      </c>
      <c r="AZ74" s="48" t="n">
        <f aca="false">$F25*In_P50_Hours*(1-In_Curtailment)*(1-$E29)*(1-In_Degradation)^(AZ21-1)*AZ16*AZ$6</f>
        <v>34158.8329878993</v>
      </c>
      <c r="BA74" s="48" t="n">
        <f aca="false">$F25*In_P50_Hours*(1-In_Curtailment)*(1-$E29)*(1-In_Degradation)^(BA21-1)*BA16*BA$6</f>
        <v>34534.2047789751</v>
      </c>
      <c r="BB74" s="48" t="n">
        <f aca="false">$F25*In_P50_Hours*(1-In_Curtailment)*(1-$E29)*(1-In_Degradation)^(BB21-1)*BB16*BB$6</f>
        <v>34430.6021646382</v>
      </c>
      <c r="BC74" s="48" t="n">
        <f aca="false">$F25*In_P50_Hours*(1-In_Curtailment)*(1-$E29)*(1-In_Degradation)^(BC21-1)*BC16*BC$6</f>
        <v>33682.110813233</v>
      </c>
      <c r="BD74" s="48" t="n">
        <f aca="false">$F25*In_P50_Hours*(1-In_Curtailment)*(1-$E29)*(1-In_Degradation)^(BD21-1)*BD16*BD$6</f>
        <v>34056.3564889356</v>
      </c>
      <c r="BE74" s="48" t="n">
        <f aca="false">$F25*In_P50_Hours*(1-In_Curtailment)*(1-$E29)*(1-In_Degradation)^(BE21-1)*BE16*BE$6</f>
        <v>34430.6021646382</v>
      </c>
      <c r="BF74" s="48" t="n">
        <f aca="false">$F25*In_P50_Hours*(1-In_Curtailment)*(1-$E29)*(1-In_Degradation)^(BF21-1)*BF16*BF$6</f>
        <v>34327.3103581443</v>
      </c>
      <c r="BG74" s="48" t="n">
        <f aca="false">$F25*In_P50_Hours*(1-In_Curtailment)*(1-$E29)*(1-In_Degradation)^(BG21-1)*BG16*BG$6</f>
        <v>33581.0644807933</v>
      </c>
      <c r="BH74" s="48" t="n">
        <f aca="false">$F25*In_P50_Hours*(1-In_Curtailment)*(1-$E29)*(1-In_Degradation)^(BH21-1)*BH16*BH$6</f>
        <v>33954.1874194688</v>
      </c>
      <c r="BI74" s="48" t="n">
        <f aca="false">$F25*In_P50_Hours*(1-In_Curtailment)*(1-$E29)*(1-In_Degradation)^(BI21-1)*BI16*BI$6</f>
        <v>34327.3103581443</v>
      </c>
      <c r="BJ74" s="48" t="n">
        <f aca="false">$F25*In_P50_Hours*(1-In_Curtailment)*(1-$E29)*(1-In_Degradation)^(BJ21-1)*BJ16*BJ$6</f>
        <v>34224.3284270698</v>
      </c>
      <c r="BK74" s="48" t="n">
        <f aca="false">$F25*In_P50_Hours*(1-In_Curtailment)*(1-$E29)*(1-In_Degradation)^(BK21-1)*BK16*BK$6</f>
        <v>33852.3248572104</v>
      </c>
      <c r="BL74" s="48" t="n">
        <f aca="false">$F25*In_P50_Hours*(1-In_Curtailment)*(1-$E29)*(1-In_Degradation)^(BL21-1)*BL16*BL$6</f>
        <v>33852.3248572104</v>
      </c>
      <c r="BM74" s="48" t="n">
        <f aca="false">$F25*In_P50_Hours*(1-In_Curtailment)*(1-$E29)*(1-In_Degradation)^(BM21-1)*BM16*BM$6</f>
        <v>34224.3284270698</v>
      </c>
      <c r="BN74" s="48" t="n">
        <f aca="false">$F25*In_P50_Hours*(1-In_Curtailment)*(1-$E29)*(1-In_Degradation)^(BN21-1)*BN16*BN$6</f>
        <v>34121.6554417886</v>
      </c>
      <c r="BO74" s="48" t="n">
        <f aca="false">$F25*In_P50_Hours*(1-In_Curtailment)*(1-$E29)*(1-In_Degradation)^(BO21-1)*BO16*BO$6</f>
        <v>33379.8803234888</v>
      </c>
      <c r="BP74" s="48" t="n">
        <f aca="false">$F25*In_P50_Hours*(1-In_Curtailment)*(1-$E29)*(1-In_Degradation)^(BP21-1)*BP16*BP$6</f>
        <v>33750.7678826387</v>
      </c>
      <c r="BQ74" s="48" t="n">
        <f aca="false">$F25*In_P50_Hours*(1-In_Curtailment)*(1-$E29)*(1-In_Degradation)^(BQ21-1)*BQ16*BQ$6</f>
        <v>34121.6554417886</v>
      </c>
      <c r="BR74" s="48" t="n">
        <f aca="false">$F25*In_P50_Hours*(1-In_Curtailment)*(1-$E29)*(1-In_Degradation)^(BR21-1)*BR16*BR$6</f>
        <v>34019.2904754632</v>
      </c>
      <c r="BS74" s="48" t="n">
        <f aca="false">$F25*In_P50_Hours*(1-In_Curtailment)*(1-$E29)*(1-In_Degradation)^(BS21-1)*BS16*BS$6</f>
        <v>33279.7406825184</v>
      </c>
      <c r="BT74" s="48" t="n">
        <f aca="false">$F25*In_P50_Hours*(1-In_Curtailment)*(1-$E29)*(1-In_Degradation)^(BT21-1)*BT16*BT$6</f>
        <v>33649.5155789908</v>
      </c>
      <c r="BU74" s="48" t="n">
        <f aca="false">$F25*In_P50_Hours*(1-In_Curtailment)*(1-$E29)*(1-In_Degradation)^(BU21-1)*BU16*BU$6</f>
        <v>34019.2904754632</v>
      </c>
      <c r="BV74" s="48" t="n">
        <f aca="false">$F25*In_P50_Hours*(1-In_Curtailment)*(1-$E29)*(1-In_Degradation)^(BV21-1)*BV16*BV$6</f>
        <v>33917.2326040368</v>
      </c>
      <c r="BW74" s="48" t="n">
        <f aca="false">$F25*In_P50_Hours*(1-In_Curtailment)*(1-$E29)*(1-In_Degradation)^(BW21-1)*BW16*BW$6</f>
        <v>33179.9014604708</v>
      </c>
      <c r="BX74" s="48" t="n">
        <f aca="false">$F25*In_P50_Hours*(1-In_Curtailment)*(1-$E29)*(1-In_Degradation)^(BX21-1)*BX16*BX$6</f>
        <v>33548.5670322538</v>
      </c>
      <c r="BY74" s="48" t="n">
        <f aca="false">$F25*In_P50_Hours*(1-In_Curtailment)*(1-$E29)*(1-In_Degradation)^(BY21-1)*BY16*BY$6</f>
        <v>33917.2326040368</v>
      </c>
      <c r="BZ74" s="48" t="n">
        <f aca="false">$F25*In_P50_Hours*(1-In_Curtailment)*(1-$E29)*(1-In_Degradation)^(BZ21-1)*BZ16*BZ$6</f>
        <v>33815.4809062247</v>
      </c>
      <c r="CA74" s="48" t="n">
        <f aca="false">$F25*In_P50_Hours*(1-In_Curtailment)*(1-$E29)*(1-In_Degradation)^(CA21-1)*CA16*CA$6</f>
        <v>33447.9213311571</v>
      </c>
      <c r="CB74" s="48" t="n">
        <f aca="false">$F25*In_P50_Hours*(1-In_Curtailment)*(1-$E29)*(1-In_Degradation)^(CB21-1)*CB16*CB$6</f>
        <v>33447.9213311571</v>
      </c>
      <c r="CC74" s="48" t="n">
        <f aca="false">$F25*In_P50_Hours*(1-In_Curtailment)*(1-$E29)*(1-In_Degradation)^(CC21-1)*CC16*CC$6</f>
        <v>33815.4809062247</v>
      </c>
      <c r="CD74" s="48" t="n">
        <f aca="false">$F25*In_P50_Hours*(1-In_Curtailment)*(1-$E29)*(1-In_Degradation)^(CD21-1)*CD16*CD$6</f>
        <v>33714.0344635061</v>
      </c>
      <c r="CE74" s="48" t="n">
        <f aca="false">$F25*In_P50_Hours*(1-In_Curtailment)*(1-$E29)*(1-In_Degradation)^(CE21-1)*CE16*CE$6</f>
        <v>32981.1206708211</v>
      </c>
      <c r="CF74" s="48" t="n">
        <f aca="false">$F25*In_P50_Hours*(1-In_Curtailment)*(1-$E29)*(1-In_Degradation)^(CF21-1)*CF16*CF$6</f>
        <v>33347.5775671636</v>
      </c>
      <c r="CG74" s="48" t="n">
        <f aca="false">$F25*In_P50_Hours*(1-In_Curtailment)*(1-$E29)*(1-In_Degradation)^(CG21-1)*CG16*CG$6</f>
        <v>33714.0344635061</v>
      </c>
      <c r="CH74" s="48" t="n">
        <f aca="false">$F25*In_P50_Hours*(1-In_Curtailment)*(1-$E29)*(1-In_Degradation)^(CH21-1)*CH16*CH$6</f>
        <v>33612.8923601155</v>
      </c>
      <c r="CI74" s="48" t="n">
        <f aca="false">$F25*In_P50_Hours*(1-In_Curtailment)*(1-$E29)*(1-In_Degradation)^(CI21-1)*CI16*CI$6</f>
        <v>32882.1773088087</v>
      </c>
      <c r="CJ74" s="48" t="n">
        <f aca="false">$F25*In_P50_Hours*(1-In_Curtailment)*(1-$E29)*(1-In_Degradation)^(CJ21-1)*CJ16*CJ$6</f>
        <v>33247.5348344621</v>
      </c>
      <c r="CK74" s="48" t="n">
        <f aca="false">$F25*In_P50_Hours*(1-In_Curtailment)*(1-$E29)*(1-In_Degradation)^(CK21-1)*CK16*CK$6</f>
        <v>33612.8923601155</v>
      </c>
      <c r="CL74" s="48" t="n">
        <f aca="false">$F25*In_P50_Hours*(1-In_Curtailment)*(1-$E29)*(1-In_Degradation)^(CL21-1)*CL16*CL$6</f>
        <v>33512.0536830352</v>
      </c>
      <c r="CM74" s="48" t="n">
        <f aca="false">$F25*In_P50_Hours*(1-In_Curtailment)*(1-$E29)*(1-In_Degradation)^(CM21-1)*CM16*CM$6</f>
        <v>32783.5307768823</v>
      </c>
      <c r="CN74" s="48" t="n">
        <f aca="false">$F25*In_P50_Hours*(1-In_Curtailment)*(1-$E29)*(1-In_Degradation)^(CN21-1)*CN16*CN$6</f>
        <v>33147.7922299587</v>
      </c>
      <c r="CO74" s="48" t="n">
        <f aca="false">$F25*In_P50_Hours*(1-In_Curtailment)*(1-$E29)*(1-In_Degradation)^(CO21-1)*CO16*CO$6</f>
        <v>33512.0536830352</v>
      </c>
      <c r="CP74" s="48" t="n">
        <f aca="false">$F25*In_P50_Hours*(1-In_Curtailment)*(1-$E29)*(1-In_Degradation)^(CP21-1)*CP16*CP$6</f>
        <v>33411.5175219861</v>
      </c>
      <c r="CQ74" s="48" t="n">
        <f aca="false">$F25*In_P50_Hours*(1-In_Curtailment)*(1-$E29)*(1-In_Degradation)^(CQ21-1)*CQ16*CQ$6</f>
        <v>33048.3488532689</v>
      </c>
      <c r="CR74" s="48" t="n">
        <f aca="false">$F25*In_P50_Hours*(1-In_Curtailment)*(1-$E29)*(1-In_Degradation)^(CR21-1)*CR16*CR$6</f>
        <v>33048.3488532689</v>
      </c>
      <c r="CS74" s="48" t="n">
        <f aca="false">$F25*In_P50_Hours*(1-In_Curtailment)*(1-$E29)*(1-In_Degradation)^(CS21-1)*CS16*CS$6</f>
        <v>33411.5175219861</v>
      </c>
      <c r="CT74" s="48" t="n">
        <f aca="false">$F25*In_P50_Hours*(1-In_Curtailment)*(1-$E29)*(1-In_Degradation)^(CT21-1)*CT16*CT$6</f>
        <v>33311.2829694201</v>
      </c>
      <c r="CU74" s="48" t="n">
        <f aca="false">$F25*In_P50_Hours*(1-In_Curtailment)*(1-$E29)*(1-In_Degradation)^(CU21-1)*CU16*CU$6</f>
        <v>32587.124643998</v>
      </c>
      <c r="CV74" s="48" t="n">
        <f aca="false">$F25*In_P50_Hours*(1-In_Curtailment)*(1-$E29)*(1-In_Degradation)^(CV21-1)*CV16*CV$6</f>
        <v>32949.2038067091</v>
      </c>
      <c r="CW74" s="48" t="n">
        <f aca="false">$F25*In_P50_Hours*(1-In_Curtailment)*(1-$E29)*(1-In_Degradation)^(CW21-1)*CW16*CW$6</f>
        <v>33311.2829694201</v>
      </c>
      <c r="CX74" s="48" t="n">
        <f aca="false">$F25*In_P50_Hours*(1-In_Curtailment)*(1-$E29)*(1-In_Degradation)^(CX21-1)*CX16*CX$6</f>
        <v>33211.3491205119</v>
      </c>
      <c r="CY74" s="48" t="n">
        <f aca="false">$F25*In_P50_Hours*(1-In_Curtailment)*(1-$E29)*(1-In_Degradation)^(CY21-1)*CY16*CY$6</f>
        <v>32489.363270066</v>
      </c>
      <c r="CZ74" s="48" t="n">
        <f aca="false">$F25*In_P50_Hours*(1-In_Curtailment)*(1-$E29)*(1-In_Degradation)^(CZ21-1)*CZ16*CZ$6</f>
        <v>32850.3561952889</v>
      </c>
      <c r="DA74" s="48" t="n">
        <f aca="false">$F25*In_P50_Hours*(1-In_Curtailment)*(1-$E29)*(1-In_Degradation)^(DA21-1)*DA16*DA$6</f>
        <v>33211.3491205119</v>
      </c>
      <c r="DB74" s="48" t="n">
        <f aca="false">$F25*In_P50_Hours*(1-In_Curtailment)*(1-$E29)*(1-In_Degradation)^(DB21-1)*DB16*DB$6</f>
        <v>33111.7150731503</v>
      </c>
      <c r="DC74" s="48" t="n">
        <f aca="false">$F25*In_P50_Hours*(1-In_Curtailment)*(1-$E29)*(1-In_Degradation)^(DC21-1)*DC16*DC$6</f>
        <v>32391.8951802558</v>
      </c>
      <c r="DD74" s="48" t="n">
        <f aca="false">$F25*In_P50_Hours*(1-In_Curtailment)*(1-$E29)*(1-In_Degradation)^(DD21-1)*DD16*DD$6</f>
        <v>32751.8051267031</v>
      </c>
      <c r="DE74" s="48" t="n">
        <f aca="false">$F25*In_P50_Hours*(1-In_Curtailment)*(1-$E29)*(1-In_Degradation)^(DE21-1)*DE16*DE$6</f>
        <v>33111.7150731503</v>
      </c>
      <c r="DF74" s="48" t="n">
        <f aca="false">$F25*In_P50_Hours*(1-In_Curtailment)*(1-$E29)*(1-In_Degradation)^(DF21-1)*DF16*DF$6</f>
        <v>33012.3799279309</v>
      </c>
      <c r="DG74" s="48" t="n">
        <f aca="false">$F25*In_P50_Hours*(1-In_Curtailment)*(1-$E29)*(1-In_Degradation)^(DG21-1)*DG16*DG$6</f>
        <v>32653.5497113229</v>
      </c>
      <c r="DH74" s="48" t="n">
        <f aca="false">$F25*In_P50_Hours*(1-In_Curtailment)*(1-$E29)*(1-In_Degradation)^(DH21-1)*DH16*DH$6</f>
        <v>32653.5497113229</v>
      </c>
      <c r="DI74" s="48" t="n">
        <f aca="false">$F25*In_P50_Hours*(1-In_Curtailment)*(1-$E29)*(1-In_Degradation)^(DI21-1)*DI16*DI$6</f>
        <v>33012.3799279309</v>
      </c>
      <c r="DJ74" s="48" t="n">
        <f aca="false">$F25*In_P50_Hours*(1-In_Curtailment)*(1-$E29)*(1-In_Degradation)^(DJ21-1)*DJ16*DJ$6</f>
        <v>32913.3427881471</v>
      </c>
      <c r="DK74" s="48" t="n">
        <f aca="false">$F25*In_P50_Hours*(1-In_Curtailment)*(1-$E29)*(1-In_Degradation)^(DK21-1)*DK16*DK$6</f>
        <v>32197.8353362308</v>
      </c>
      <c r="DL74" s="48" t="n">
        <f aca="false">$F25*In_P50_Hours*(1-In_Curtailment)*(1-$E29)*(1-In_Degradation)^(DL21-1)*DL16*DL$6</f>
        <v>32555.589062189</v>
      </c>
      <c r="DM74" s="48" t="n">
        <f aca="false">$F25*In_P50_Hours*(1-In_Curtailment)*(1-$E29)*(1-In_Degradation)^(DM21-1)*DM16*DM$6</f>
        <v>32913.3427881471</v>
      </c>
      <c r="DN74" s="48" t="n">
        <f aca="false">$F25*In_P50_Hours*(1-In_Curtailment)*(1-$E29)*(1-In_Degradation)^(DN21-1)*DN16*DN$6</f>
        <v>32814.6027597827</v>
      </c>
      <c r="DO74" s="48" t="n">
        <f aca="false">$F25*In_P50_Hours*(1-In_Curtailment)*(1-$E29)*(1-In_Degradation)^(DO21-1)*DO16*DO$6</f>
        <v>32101.2418302222</v>
      </c>
      <c r="DP74" s="48" t="n">
        <f aca="false">$F25*In_P50_Hours*(1-In_Curtailment)*(1-$E29)*(1-In_Degradation)^(DP21-1)*DP16*DP$6</f>
        <v>32457.9222950024</v>
      </c>
      <c r="DQ74" s="48" t="n">
        <f aca="false">$F25*In_P50_Hours*(1-In_Curtailment)*(1-$E29)*(1-In_Degradation)^(DQ21-1)*DQ16*DQ$6</f>
        <v>32814.6027597827</v>
      </c>
      <c r="DR74" s="48" t="n">
        <f aca="false">$F25*In_P50_Hours*(1-In_Curtailment)*(1-$E29)*(1-In_Degradation)^(DR21-1)*DR16*DR$6</f>
        <v>32716.1589515033</v>
      </c>
      <c r="DS74" s="48" t="n">
        <f aca="false">$F25*In_P50_Hours*(1-In_Curtailment)*(1-$E29)*(1-In_Degradation)^(DS21-1)*DS16*DS$6</f>
        <v>32004.9381047315</v>
      </c>
      <c r="DT74" s="48" t="n">
        <f aca="false">$F25*In_P50_Hours*(1-In_Curtailment)*(1-$E29)*(1-In_Degradation)^(DT21-1)*DT16*DT$6</f>
        <v>32360.5485281174</v>
      </c>
      <c r="DU74" s="48" t="n">
        <f aca="false">$F25*In_P50_Hours*(1-In_Curtailment)*(1-$E29)*(1-In_Degradation)^(DU21-1)*DU16*DU$6</f>
        <v>32716.1589515033</v>
      </c>
      <c r="DV74" s="48" t="n">
        <f aca="false">$F25*In_P50_Hours*(1-In_Curtailment)*(1-$E29)*(1-In_Degradation)^(DV21-1)*DV16*DV$6</f>
        <v>32618.0104746488</v>
      </c>
      <c r="DW74" s="48" t="n">
        <f aca="false">$F25*In_P50_Hours*(1-In_Curtailment)*(1-$E29)*(1-In_Degradation)^(DW21-1)*DW16*DW$6</f>
        <v>32263.466882533</v>
      </c>
      <c r="DX74" s="48" t="n">
        <f aca="false">$F25*In_P50_Hours*(1-In_Curtailment)*(1-$E29)*(1-In_Degradation)^(DX21-1)*DX16*DX$6</f>
        <v>32263.466882533</v>
      </c>
      <c r="DY74" s="48" t="n">
        <f aca="false">$F25*In_P50_Hours*(1-In_Curtailment)*(1-$E29)*(1-In_Degradation)^(DY21-1)*DY16*DY$6</f>
        <v>32618.0104746488</v>
      </c>
      <c r="DZ74" s="48" t="n">
        <f aca="false">$F25*In_P50_Hours*(1-In_Curtailment)*(1-$E29)*(1-In_Degradation)^(DZ21-1)*DZ16*DZ$6</f>
        <v>32520.1564432249</v>
      </c>
      <c r="EA74" s="48" t="n">
        <f aca="false">$F25*In_P50_Hours*(1-In_Curtailment)*(1-$E29)*(1-In_Degradation)^(EA21-1)*EA16*EA$6</f>
        <v>31813.196520546</v>
      </c>
      <c r="EB74" s="48" t="n">
        <f aca="false">$F25*In_P50_Hours*(1-In_Curtailment)*(1-$E29)*(1-In_Degradation)^(EB21-1)*EB16*EB$6</f>
        <v>32166.6764818854</v>
      </c>
      <c r="EC74" s="48" t="n">
        <f aca="false">$F25*In_P50_Hours*(1-In_Curtailment)*(1-$E29)*(1-In_Degradation)^(EC21-1)*EC16*EC$6</f>
        <v>32520.1564432249</v>
      </c>
      <c r="ED74" s="48" t="n">
        <f aca="false">$F25*In_P50_Hours*(1-In_Curtailment)*(1-$E29)*(1-In_Degradation)^(ED21-1)*ED16*ED$6</f>
        <v>32422.5959738952</v>
      </c>
      <c r="EE74" s="48" t="n">
        <f aca="false">$F25*In_P50_Hours*(1-In_Curtailment)*(1-$E29)*(1-In_Degradation)^(EE21-1)*EE16*EE$6</f>
        <v>31717.7569309844</v>
      </c>
      <c r="EF74" s="48" t="n">
        <f aca="false">$F25*In_P50_Hours*(1-In_Curtailment)*(1-$E29)*(1-In_Degradation)^(EF21-1)*EF16*EF$6</f>
        <v>32070.1764524398</v>
      </c>
      <c r="EG74" s="48" t="n">
        <f aca="false">$F25*In_P50_Hours*(1-In_Curtailment)*(1-$E29)*(1-In_Degradation)^(EG21-1)*EG16*EG$6</f>
        <v>32422.5959738952</v>
      </c>
      <c r="EH74" s="48" t="n">
        <f aca="false">$F25*In_P50_Hours*(1-In_Curtailment)*(1-$E29)*(1-In_Degradation)^(EH21-1)*EH16*EH$6</f>
        <v>32325.3281859735</v>
      </c>
      <c r="EI74" s="48" t="n">
        <f aca="false">$F25*In_P50_Hours*(1-In_Curtailment)*(1-$E29)*(1-In_Degradation)^(EI21-1)*EI16*EI$6</f>
        <v>31622.6036601915</v>
      </c>
      <c r="EJ74" s="48" t="n">
        <f aca="false">$F25*In_P50_Hours*(1-In_Curtailment)*(1-$E29)*(1-In_Degradation)^(EJ21-1)*EJ16*EJ$6</f>
        <v>31973.9659230825</v>
      </c>
      <c r="EK74" s="48" t="n">
        <f aca="false">$F25*In_P50_Hours*(1-In_Curtailment)*(1-$E29)*(1-In_Degradation)^(EK21-1)*EK16*EK$6</f>
        <v>32325.3281859735</v>
      </c>
      <c r="EL74" s="48" t="n">
        <f aca="false">$F25*In_P50_Hours*(1-In_Curtailment)*(1-$E29)*(1-In_Degradation)^(EL21-1)*EL16*EL$6</f>
        <v>32228.3522014156</v>
      </c>
      <c r="EM74" s="48" t="n">
        <f aca="false">$F25*In_P50_Hours*(1-In_Curtailment)*(1-$E29)*(1-In_Degradation)^(EM21-1)*EM16*EM$6</f>
        <v>31878.0440253132</v>
      </c>
      <c r="EN74" s="48" t="n">
        <f aca="false">$F25*In_P50_Hours*(1-In_Curtailment)*(1-$E29)*(1-In_Degradation)^(EN21-1)*EN16*EN$6</f>
        <v>31878.0440253132</v>
      </c>
      <c r="EO74" s="48" t="n">
        <f aca="false">$F25*In_P50_Hours*(1-In_Curtailment)*(1-$E29)*(1-In_Degradation)^(EO21-1)*EO16*EO$6</f>
        <v>32228.3522014156</v>
      </c>
    </row>
    <row r="75" customFormat="false" ht="15" hidden="false" customHeight="false" outlineLevel="0" collapsed="false">
      <c r="C75" s="0" t="s">
        <v>458</v>
      </c>
      <c r="D75" s="11" t="s">
        <v>33</v>
      </c>
      <c r="E75" s="48" t="n">
        <f aca="false">SUMIF($J$7:$EO$7,YEAR(In_COD)+1,$J75:$EO75)</f>
        <v>12671.23391352</v>
      </c>
      <c r="I75" s="48" t="n">
        <f aca="false">SUM(J75:EO75)</f>
        <v>420752.711777652</v>
      </c>
      <c r="J75" s="48" t="n">
        <f aca="false">J74*J73/Thousand</f>
        <v>0</v>
      </c>
      <c r="K75" s="48" t="n">
        <f aca="false">K74*K73/Thousand</f>
        <v>0</v>
      </c>
      <c r="L75" s="48" t="n">
        <f aca="false">L74*L73/Thousand</f>
        <v>0</v>
      </c>
      <c r="M75" s="48" t="n">
        <f aca="false">M74*M73/Thousand</f>
        <v>0</v>
      </c>
      <c r="N75" s="48" t="n">
        <f aca="false">N74*N73/Thousand</f>
        <v>0</v>
      </c>
      <c r="O75" s="48" t="n">
        <f aca="false">O74*O73/Thousand</f>
        <v>0</v>
      </c>
      <c r="P75" s="48" t="n">
        <f aca="false">P74*P73/Thousand</f>
        <v>0</v>
      </c>
      <c r="Q75" s="48" t="n">
        <f aca="false">Q74*Q73/Thousand</f>
        <v>0</v>
      </c>
      <c r="R75" s="48" t="n">
        <f aca="false">R74*R73/Thousand</f>
        <v>0</v>
      </c>
      <c r="S75" s="48" t="n">
        <f aca="false">S74*S73/Thousand</f>
        <v>0</v>
      </c>
      <c r="T75" s="48" t="n">
        <f aca="false">T74*T73/Thousand</f>
        <v>0</v>
      </c>
      <c r="U75" s="48" t="n">
        <f aca="false">U74*U73/Thousand</f>
        <v>0</v>
      </c>
      <c r="V75" s="48" t="n">
        <f aca="false">V74*V73/Thousand</f>
        <v>0</v>
      </c>
      <c r="W75" s="48" t="n">
        <f aca="false">W74*W73/Thousand</f>
        <v>0</v>
      </c>
      <c r="X75" s="48" t="n">
        <f aca="false">X74*X73/Thousand</f>
        <v>0</v>
      </c>
      <c r="Y75" s="48" t="n">
        <f aca="false">Y74*Y73/Thousand</f>
        <v>0</v>
      </c>
      <c r="Z75" s="48" t="n">
        <f aca="false">Z74*Z73/Thousand</f>
        <v>3164.616</v>
      </c>
      <c r="AA75" s="48" t="n">
        <f aca="false">AA74*AA73/Thousand</f>
        <v>3126.7782</v>
      </c>
      <c r="AB75" s="48" t="n">
        <f aca="false">AB74*AB73/Thousand</f>
        <v>3161.52018</v>
      </c>
      <c r="AC75" s="48" t="n">
        <f aca="false">AC74*AC73/Thousand</f>
        <v>3196.26216</v>
      </c>
      <c r="AD75" s="48" t="n">
        <f aca="false">AD74*AD73/Thousand</f>
        <v>3186.67337352</v>
      </c>
      <c r="AE75" s="48" t="n">
        <f aca="false">AE74*AE73/Thousand</f>
        <v>3183.5559756546</v>
      </c>
      <c r="AF75" s="48" t="n">
        <f aca="false">AF74*AF73/Thousand</f>
        <v>3183.5559756546</v>
      </c>
      <c r="AG75" s="48" t="n">
        <f aca="false">AG74*AG73/Thousand</f>
        <v>3218.5401072552</v>
      </c>
      <c r="AH75" s="48" t="n">
        <f aca="false">AH74*AH73/Thousand</f>
        <v>3208.88448693344</v>
      </c>
      <c r="AI75" s="48" t="n">
        <f aca="false">AI74*AI73/Thousand</f>
        <v>3170.51738980706</v>
      </c>
      <c r="AJ75" s="48" t="n">
        <f aca="false">AJ74*AJ73/Thousand</f>
        <v>3205.74536080491</v>
      </c>
      <c r="AK75" s="48" t="n">
        <f aca="false">AK74*AK73/Thousand</f>
        <v>3240.97333180277</v>
      </c>
      <c r="AL75" s="48" t="n">
        <f aca="false">AL74*AL73/Thousand</f>
        <v>3231.25041180736</v>
      </c>
      <c r="AM75" s="48" t="n">
        <f aca="false">AM74*AM73/Thousand</f>
        <v>3192.61589601401</v>
      </c>
      <c r="AN75" s="48" t="n">
        <f aca="false">AN74*AN73/Thousand</f>
        <v>3228.08940596972</v>
      </c>
      <c r="AO75" s="48" t="n">
        <f aca="false">AO74*AO73/Thousand</f>
        <v>3263.56291592544</v>
      </c>
      <c r="AP75" s="48" t="n">
        <f aca="false">AP74*AP73/Thousand</f>
        <v>3253.77222717766</v>
      </c>
      <c r="AQ75" s="48" t="n">
        <f aca="false">AQ74*AQ73/Thousand</f>
        <v>3214.86842880923</v>
      </c>
      <c r="AR75" s="48" t="n">
        <f aca="false">AR74*AR73/Thousand</f>
        <v>3250.58918912933</v>
      </c>
      <c r="AS75" s="48" t="n">
        <f aca="false">AS74*AS73/Thousand</f>
        <v>3286.30994944944</v>
      </c>
      <c r="AT75" s="48" t="n">
        <f aca="false">AT74*AT73/Thousand</f>
        <v>3276.45101960109</v>
      </c>
      <c r="AU75" s="48" t="n">
        <f aca="false">AU74*AU73/Thousand</f>
        <v>3273.24579577756</v>
      </c>
      <c r="AV75" s="48" t="n">
        <f aca="false">AV74*AV73/Thousand</f>
        <v>3273.24579577756</v>
      </c>
      <c r="AW75" s="48" t="n">
        <f aca="false">AW74*AW73/Thousand</f>
        <v>3309.2155297971</v>
      </c>
      <c r="AX75" s="48" t="n">
        <f aca="false">AX74*AX73/Thousand</f>
        <v>3299.28788320771</v>
      </c>
      <c r="AY75" s="48" t="n">
        <f aca="false">AY74*AY73/Thousand</f>
        <v>3259.83987590848</v>
      </c>
      <c r="AZ75" s="48" t="n">
        <f aca="false">AZ74*AZ73/Thousand</f>
        <v>3296.06031897413</v>
      </c>
      <c r="BA75" s="48" t="n">
        <f aca="false">BA74*BA73/Thousand</f>
        <v>3332.28076203978</v>
      </c>
      <c r="BB75" s="48" t="n">
        <f aca="false">BB74*BB73/Thousand</f>
        <v>3322.28391975366</v>
      </c>
      <c r="BC75" s="48" t="n">
        <f aca="false">BC74*BC73/Thousand</f>
        <v>3282.56095984357</v>
      </c>
      <c r="BD75" s="48" t="n">
        <f aca="false">BD74*BD73/Thousand</f>
        <v>3319.03385939738</v>
      </c>
      <c r="BE75" s="48" t="n">
        <f aca="false">BE74*BE73/Thousand</f>
        <v>3355.5067589512</v>
      </c>
      <c r="BF75" s="48" t="n">
        <f aca="false">BF74*BF73/Thousand</f>
        <v>3345.44023867435</v>
      </c>
      <c r="BG75" s="48" t="n">
        <f aca="false">BG74*BG73/Thousand</f>
        <v>3305.44040973368</v>
      </c>
      <c r="BH75" s="48" t="n">
        <f aca="false">BH74*BH73/Thousand</f>
        <v>3342.16752539738</v>
      </c>
      <c r="BI75" s="48" t="n">
        <f aca="false">BI74*BI73/Thousand</f>
        <v>3378.89464106109</v>
      </c>
      <c r="BJ75" s="48" t="n">
        <f aca="false">BJ74*BJ73/Thousand</f>
        <v>3368.75795713791</v>
      </c>
      <c r="BK75" s="48" t="n">
        <f aca="false">BK74*BK73/Thousand</f>
        <v>3365.4624330494</v>
      </c>
      <c r="BL75" s="48" t="n">
        <f aca="false">BL74*BL73/Thousand</f>
        <v>3365.4624330494</v>
      </c>
      <c r="BM75" s="48" t="n">
        <f aca="false">BM74*BM73/Thousand</f>
        <v>3402.44553670929</v>
      </c>
      <c r="BN75" s="48" t="n">
        <f aca="false">BN74*BN73/Thousand</f>
        <v>3392.23820009916</v>
      </c>
      <c r="BO75" s="48" t="n">
        <f aca="false">BO74*BO73/Thousand</f>
        <v>3351.67883031536</v>
      </c>
      <c r="BP75" s="48" t="n">
        <f aca="false">BP74*BP73/Thousand</f>
        <v>3388.91970620776</v>
      </c>
      <c r="BQ75" s="48" t="n">
        <f aca="false">BQ74*BQ73/Thousand</f>
        <v>3426.16058210015</v>
      </c>
      <c r="BR75" s="48" t="n">
        <f aca="false">BR74*BR73/Thousand</f>
        <v>3415.88210035385</v>
      </c>
      <c r="BS75" s="48" t="n">
        <f aca="false">BS74*BS73/Thousand</f>
        <v>3375.04003176266</v>
      </c>
      <c r="BT75" s="48" t="n">
        <f aca="false">BT74*BT73/Thousand</f>
        <v>3412.54047656003</v>
      </c>
      <c r="BU75" s="48" t="n">
        <f aca="false">BU74*BU73/Thousand</f>
        <v>3450.04092135739</v>
      </c>
      <c r="BV75" s="48" t="n">
        <f aca="false">BV74*BV73/Thousand</f>
        <v>3439.69079859332</v>
      </c>
      <c r="BW75" s="48" t="n">
        <f aca="false">BW74*BW73/Thousand</f>
        <v>3398.56406078405</v>
      </c>
      <c r="BX75" s="48" t="n">
        <f aca="false">BX74*BX73/Thousand</f>
        <v>3436.32588368165</v>
      </c>
      <c r="BY75" s="48" t="n">
        <f aca="false">BY74*BY73/Thousand</f>
        <v>3474.08770657925</v>
      </c>
      <c r="BZ75" s="48" t="n">
        <f aca="false">BZ74*BZ73/Thousand</f>
        <v>3463.66544345951</v>
      </c>
      <c r="CA75" s="48" t="n">
        <f aca="false">CA74*CA73/Thousand</f>
        <v>3460.27707509091</v>
      </c>
      <c r="CB75" s="48" t="n">
        <f aca="false">CB74*CB73/Thousand</f>
        <v>3460.27707509091</v>
      </c>
      <c r="CC75" s="48" t="n">
        <f aca="false">CC74*CC73/Thousand</f>
        <v>3498.30209789411</v>
      </c>
      <c r="CD75" s="48" t="n">
        <f aca="false">CD74*CD73/Thousand</f>
        <v>3487.80719160042</v>
      </c>
      <c r="CE75" s="48" t="n">
        <f aca="false">CE74*CE73/Thousand</f>
        <v>3446.10514909216</v>
      </c>
      <c r="CF75" s="48" t="n">
        <f aca="false">CF74*CF73/Thousand</f>
        <v>3484.39520630429</v>
      </c>
      <c r="CG75" s="48" t="n">
        <f aca="false">CG74*CG73/Thousand</f>
        <v>3522.68526351643</v>
      </c>
      <c r="CH75" s="48" t="n">
        <f aca="false">CH74*CH73/Thousand</f>
        <v>3512.11720772588</v>
      </c>
      <c r="CI75" s="48" t="n">
        <f aca="false">CI74*CI73/Thousand</f>
        <v>3470.12450198133</v>
      </c>
      <c r="CJ75" s="48" t="n">
        <f aca="false">CJ74*CJ73/Thousand</f>
        <v>3508.68144089223</v>
      </c>
      <c r="CK75" s="48" t="n">
        <f aca="false">CK74*CK73/Thousand</f>
        <v>3547.23837980314</v>
      </c>
      <c r="CL75" s="48" t="n">
        <f aca="false">CL74*CL73/Thousand</f>
        <v>3536.59666466373</v>
      </c>
      <c r="CM75" s="48" t="n">
        <f aca="false">CM74*CM73/Thousand</f>
        <v>3494.31126976014</v>
      </c>
      <c r="CN75" s="48" t="n">
        <f aca="false">CN74*CN73/Thousand</f>
        <v>3533.13695053525</v>
      </c>
      <c r="CO75" s="48" t="n">
        <f aca="false">CO74*CO73/Thousand</f>
        <v>3571.96263131037</v>
      </c>
      <c r="CP75" s="48" t="n">
        <f aca="false">CP74*CP73/Thousand</f>
        <v>3561.24674341644</v>
      </c>
      <c r="CQ75" s="48" t="n">
        <f aca="false">CQ74*CQ73/Thousand</f>
        <v>3557.76291508048</v>
      </c>
      <c r="CR75" s="48" t="n">
        <f aca="false">CR74*CR73/Thousand</f>
        <v>3557.76291508048</v>
      </c>
      <c r="CS75" s="48" t="n">
        <f aca="false">CS74*CS73/Thousand</f>
        <v>3596.8592108506</v>
      </c>
      <c r="CT75" s="48" t="n">
        <f aca="false">CT74*CT73/Thousand</f>
        <v>3586.06863321805</v>
      </c>
      <c r="CU75" s="48" t="n">
        <f aca="false">CU74*CU73/Thousand</f>
        <v>3543.19172564696</v>
      </c>
      <c r="CV75" s="48" t="n">
        <f aca="false">CV74*CV73/Thousand</f>
        <v>3582.5605225986</v>
      </c>
      <c r="CW75" s="48" t="n">
        <f aca="false">CW74*CW73/Thousand</f>
        <v>3621.92931955023</v>
      </c>
      <c r="CX75" s="48" t="n">
        <f aca="false">CX74*CX73/Thousand</f>
        <v>3611.06353159158</v>
      </c>
      <c r="CY75" s="48" t="n">
        <f aca="false">CY74*CY73/Thousand</f>
        <v>3567.88777197472</v>
      </c>
      <c r="CZ75" s="48" t="n">
        <f aca="false">CZ74*CZ73/Thousand</f>
        <v>3607.53096944111</v>
      </c>
      <c r="DA75" s="48" t="n">
        <f aca="false">DA74*DA73/Thousand</f>
        <v>3647.17416690749</v>
      </c>
      <c r="DB75" s="48" t="n">
        <f aca="false">DB74*DB73/Thousand</f>
        <v>3636.23264440677</v>
      </c>
      <c r="DC75" s="48" t="n">
        <f aca="false">DC74*DC73/Thousand</f>
        <v>3592.75594974539</v>
      </c>
      <c r="DD75" s="48" t="n">
        <f aca="false">DD74*DD73/Thousand</f>
        <v>3632.67546029811</v>
      </c>
      <c r="DE75" s="48" t="n">
        <f aca="false">DE74*DE73/Thousand</f>
        <v>3672.59497085084</v>
      </c>
      <c r="DF75" s="48" t="n">
        <f aca="false">DF74*DF73/Thousand</f>
        <v>3661.57718593829</v>
      </c>
      <c r="DG75" s="48" t="n">
        <f aca="false">DG74*DG73/Thousand</f>
        <v>3657.99520825639</v>
      </c>
      <c r="DH75" s="48" t="n">
        <f aca="false">DH74*DH73/Thousand</f>
        <v>3657.99520825639</v>
      </c>
      <c r="DI75" s="48" t="n">
        <f aca="false">DI74*DI73/Thousand</f>
        <v>3698.19295779767</v>
      </c>
      <c r="DJ75" s="48" t="n">
        <f aca="false">DJ74*DJ73/Thousand</f>
        <v>3687.09837892428</v>
      </c>
      <c r="DK75" s="48" t="n">
        <f aca="false">DK74*DK73/Thousand</f>
        <v>3643.01350700236</v>
      </c>
      <c r="DL75" s="48" t="n">
        <f aca="false">DL74*DL73/Thousand</f>
        <v>3683.49143485794</v>
      </c>
      <c r="DM75" s="48" t="n">
        <f aca="false">DM74*DM73/Thousand</f>
        <v>3723.96936271352</v>
      </c>
      <c r="DN75" s="48" t="n">
        <f aca="false">DN74*DN73/Thousand</f>
        <v>3712.79745462538</v>
      </c>
      <c r="DO75" s="48" t="n">
        <f aca="false">DO74*DO73/Thousand</f>
        <v>3668.40531114616</v>
      </c>
      <c r="DP75" s="48" t="n">
        <f aca="false">DP74*DP73/Thousand</f>
        <v>3709.1653701589</v>
      </c>
      <c r="DQ75" s="48" t="n">
        <f aca="false">DQ74*DQ73/Thousand</f>
        <v>3749.92542917163</v>
      </c>
      <c r="DR75" s="48" t="n">
        <f aca="false">DR74*DR73/Thousand</f>
        <v>3738.67565288412</v>
      </c>
      <c r="DS75" s="48" t="n">
        <f aca="false">DS74*DS73/Thousand</f>
        <v>3693.97409616485</v>
      </c>
      <c r="DT75" s="48" t="n">
        <f aca="false">DT74*DT73/Thousand</f>
        <v>3735.0182527889</v>
      </c>
      <c r="DU75" s="48" t="n">
        <f aca="false">DU74*DU73/Thousand</f>
        <v>3776.06240941296</v>
      </c>
      <c r="DV75" s="48" t="n">
        <f aca="false">DV74*DV73/Thousand</f>
        <v>3764.73422218472</v>
      </c>
      <c r="DW75" s="48" t="n">
        <f aca="false">DW74*DW73/Thousand</f>
        <v>3761.05133001084</v>
      </c>
      <c r="DX75" s="48" t="n">
        <f aca="false">DX74*DX73/Thousand</f>
        <v>3761.05133001084</v>
      </c>
      <c r="DY75" s="48" t="n">
        <f aca="false">DY74*DY73/Thousand</f>
        <v>3802.38156440657</v>
      </c>
      <c r="DZ75" s="48" t="n">
        <f aca="false">DZ74*DZ73/Thousand</f>
        <v>3790.97441971335</v>
      </c>
      <c r="EA75" s="48" t="n">
        <f aca="false">EA74*EA73/Thousand</f>
        <v>3745.64755165156</v>
      </c>
      <c r="EB75" s="48" t="n">
        <f aca="false">EB74*EB73/Thousand</f>
        <v>3787.26585778102</v>
      </c>
      <c r="EC75" s="48" t="n">
        <f aca="false">EC74*EC73/Thousand</f>
        <v>3828.88416391048</v>
      </c>
      <c r="ED75" s="48" t="n">
        <f aca="false">ED74*ED73/Thousand</f>
        <v>3817.39751141875</v>
      </c>
      <c r="EE75" s="48" t="n">
        <f aca="false">EE74*EE73/Thousand</f>
        <v>3771.75471508657</v>
      </c>
      <c r="EF75" s="48" t="n">
        <f aca="false">EF74*EF73/Thousand</f>
        <v>3813.66310080975</v>
      </c>
      <c r="EG75" s="48" t="n">
        <f aca="false">EG74*EG73/Thousand</f>
        <v>3855.57148653294</v>
      </c>
      <c r="EH75" s="48" t="n">
        <f aca="false">EH74*EH73/Thousand</f>
        <v>3844.00477207334</v>
      </c>
      <c r="EI75" s="48" t="n">
        <f aca="false">EI74*EI73/Thousand</f>
        <v>3798.04384545072</v>
      </c>
      <c r="EJ75" s="48" t="n">
        <f aca="false">EJ74*EJ73/Thousand</f>
        <v>3840.2443326224</v>
      </c>
      <c r="EK75" s="48" t="n">
        <f aca="false">EK74*EK73/Thousand</f>
        <v>3882.44481979407</v>
      </c>
      <c r="EL75" s="48" t="n">
        <f aca="false">EL74*EL73/Thousand</f>
        <v>3870.79748533469</v>
      </c>
      <c r="EM75" s="48" t="n">
        <f aca="false">EM74*EM73/Thousand</f>
        <v>3867.01083562077</v>
      </c>
      <c r="EN75" s="48" t="n">
        <f aca="false">EN74*EN73/Thousand</f>
        <v>3867.01083562077</v>
      </c>
      <c r="EO75" s="48" t="n">
        <f aca="false">EO74*EO73/Thousand</f>
        <v>3909.50546018804</v>
      </c>
    </row>
    <row r="76" customFormat="false" ht="15" hidden="false" customHeight="false" outlineLevel="0" collapsed="false">
      <c r="C76" s="0" t="s">
        <v>459</v>
      </c>
      <c r="D76" s="11" t="s">
        <v>33</v>
      </c>
      <c r="I76" s="48" t="n">
        <f aca="false">SUM(J76:EO76)</f>
        <v>-29733.4185659025</v>
      </c>
      <c r="J76" s="48" t="n">
        <f aca="false">-In_Var_Opex*J74*J72/Thousand</f>
        <v>-0</v>
      </c>
      <c r="K76" s="48" t="n">
        <f aca="false">-In_Var_Opex*K74*K72/Thousand</f>
        <v>-0</v>
      </c>
      <c r="L76" s="48" t="n">
        <f aca="false">-In_Var_Opex*L74*L72/Thousand</f>
        <v>-0</v>
      </c>
      <c r="M76" s="48" t="n">
        <f aca="false">-In_Var_Opex*M74*M72/Thousand</f>
        <v>-0</v>
      </c>
      <c r="N76" s="48" t="n">
        <f aca="false">-In_Var_Opex*N74*N72/Thousand</f>
        <v>-0</v>
      </c>
      <c r="O76" s="48" t="n">
        <f aca="false">-In_Var_Opex*O74*O72/Thousand</f>
        <v>-0</v>
      </c>
      <c r="P76" s="48" t="n">
        <f aca="false">-In_Var_Opex*P74*P72/Thousand</f>
        <v>-0</v>
      </c>
      <c r="Q76" s="48" t="n">
        <f aca="false">-In_Var_Opex*Q74*Q72/Thousand</f>
        <v>-0</v>
      </c>
      <c r="R76" s="48" t="n">
        <f aca="false">-In_Var_Opex*R74*R72/Thousand</f>
        <v>-0</v>
      </c>
      <c r="S76" s="48" t="n">
        <f aca="false">-In_Var_Opex*S74*S72/Thousand</f>
        <v>-0</v>
      </c>
      <c r="T76" s="48" t="n">
        <f aca="false">-In_Var_Opex*T74*T72/Thousand</f>
        <v>-0</v>
      </c>
      <c r="U76" s="48" t="n">
        <f aca="false">-In_Var_Opex*U74*U72/Thousand</f>
        <v>-0</v>
      </c>
      <c r="V76" s="48" t="n">
        <f aca="false">-In_Var_Opex*V74*V72/Thousand</f>
        <v>-0</v>
      </c>
      <c r="W76" s="48" t="n">
        <f aca="false">-In_Var_Opex*W74*W72/Thousand</f>
        <v>-0</v>
      </c>
      <c r="X76" s="48" t="n">
        <f aca="false">-In_Var_Opex*X74*X72/Thousand</f>
        <v>-0</v>
      </c>
      <c r="Y76" s="48" t="n">
        <f aca="false">-In_Var_Opex*Y74*Y72/Thousand</f>
        <v>-0</v>
      </c>
      <c r="Z76" s="48" t="n">
        <f aca="false">-In_Var_Opex*Z74*Z72/Thousand</f>
        <v>-175.812</v>
      </c>
      <c r="AA76" s="48" t="n">
        <f aca="false">-In_Var_Opex*AA74*AA72/Thousand</f>
        <v>-176.28975</v>
      </c>
      <c r="AB76" s="48" t="n">
        <f aca="false">-In_Var_Opex*AB74*AB72/Thousand</f>
        <v>-178.248525</v>
      </c>
      <c r="AC76" s="48" t="n">
        <f aca="false">-In_Var_Opex*AC74*AC72/Thousand</f>
        <v>-180.2073</v>
      </c>
      <c r="AD76" s="48" t="n">
        <f aca="false">-In_Var_Opex*AD74*AD72/Thousand</f>
        <v>-179.6666781</v>
      </c>
      <c r="AE76" s="48" t="n">
        <f aca="false">-In_Var_Opex*AE74*AE72/Thousand</f>
        <v>-182.156623910625</v>
      </c>
      <c r="AF76" s="48" t="n">
        <f aca="false">-In_Var_Opex*AF74*AF72/Thousand</f>
        <v>-182.156623910625</v>
      </c>
      <c r="AG76" s="48" t="n">
        <f aca="false">-In_Var_Opex*AG74*AG72/Thousand</f>
        <v>-184.1583450525</v>
      </c>
      <c r="AH76" s="48" t="n">
        <f aca="false">-In_Var_Opex*AH74*AH72/Thousand</f>
        <v>-183.605870017343</v>
      </c>
      <c r="AI76" s="48" t="n">
        <f aca="false">-In_Var_Opex*AI74*AI72/Thousand</f>
        <v>-184.104799011955</v>
      </c>
      <c r="AJ76" s="48" t="n">
        <f aca="false">-In_Var_Opex*AJ74*AJ72/Thousand</f>
        <v>-186.150407889865</v>
      </c>
      <c r="AK76" s="48" t="n">
        <f aca="false">-In_Var_Opex*AK74*AK72/Thousand</f>
        <v>-188.196016767776</v>
      </c>
      <c r="AL76" s="48" t="n">
        <f aca="false">-In_Var_Opex*AL74*AL72/Thousand</f>
        <v>-187.631428717473</v>
      </c>
      <c r="AM76" s="48" t="n">
        <f aca="false">-In_Var_Opex*AM74*AM72/Thousand</f>
        <v>-188.141296730292</v>
      </c>
      <c r="AN76" s="48" t="n">
        <f aca="false">-In_Var_Opex*AN74*AN72/Thousand</f>
        <v>-190.231755582851</v>
      </c>
      <c r="AO76" s="48" t="n">
        <f aca="false">-In_Var_Opex*AO74*AO72/Thousand</f>
        <v>-192.32221443541</v>
      </c>
      <c r="AP76" s="48" t="n">
        <f aca="false">-In_Var_Opex*AP74*AP72/Thousand</f>
        <v>-191.745247792103</v>
      </c>
      <c r="AQ76" s="48" t="n">
        <f aca="false">-In_Var_Opex*AQ74*AQ72/Thousand</f>
        <v>-192.266294661104</v>
      </c>
      <c r="AR76" s="48" t="n">
        <f aca="false">-In_Var_Opex*AR74*AR72/Thousand</f>
        <v>-194.402586824005</v>
      </c>
      <c r="AS76" s="48" t="n">
        <f aca="false">-In_Var_Opex*AS74*AS72/Thousand</f>
        <v>-196.538878986906</v>
      </c>
      <c r="AT76" s="48" t="n">
        <f aca="false">-In_Var_Opex*AT74*AT72/Thousand</f>
        <v>-195.949262349945</v>
      </c>
      <c r="AU76" s="48" t="n">
        <f aca="false">-In_Var_Opex*AU74*AU72/Thousand</f>
        <v>-198.664863540121</v>
      </c>
      <c r="AV76" s="48" t="n">
        <f aca="false">-In_Var_Opex*AV74*AV72/Thousand</f>
        <v>-198.664863540121</v>
      </c>
      <c r="AW76" s="48" t="n">
        <f aca="false">-In_Var_Opex*AW74*AW72/Thousand</f>
        <v>-200.847993908694</v>
      </c>
      <c r="AX76" s="48" t="n">
        <f aca="false">-In_Var_Opex*AX74*AX72/Thousand</f>
        <v>-200.245449926968</v>
      </c>
      <c r="AY76" s="48" t="n">
        <f aca="false">-In_Var_Opex*AY74*AY72/Thousand</f>
        <v>-200.789595171334</v>
      </c>
      <c r="AZ76" s="48" t="n">
        <f aca="false">-In_Var_Opex*AZ74*AZ72/Thousand</f>
        <v>-203.020590673238</v>
      </c>
      <c r="BA76" s="48" t="n">
        <f aca="false">-In_Var_Opex*BA74*BA72/Thousand</f>
        <v>-205.251586175142</v>
      </c>
      <c r="BB76" s="48" t="n">
        <f aca="false">-In_Var_Opex*BB74*BB72/Thousand</f>
        <v>-204.635831416616</v>
      </c>
      <c r="BC76" s="48" t="n">
        <f aca="false">-In_Var_Opex*BC74*BC72/Thousand</f>
        <v>-205.191907045466</v>
      </c>
      <c r="BD76" s="48" t="n">
        <f aca="false">-In_Var_Opex*BD74*BD72/Thousand</f>
        <v>-207.471817123749</v>
      </c>
      <c r="BE76" s="48" t="n">
        <f aca="false">-In_Var_Opex*BE74*BE72/Thousand</f>
        <v>-209.751727202032</v>
      </c>
      <c r="BF76" s="48" t="n">
        <f aca="false">-In_Var_Opex*BF74*BF72/Thousand</f>
        <v>-209.122472020426</v>
      </c>
      <c r="BG76" s="48" t="n">
        <f aca="false">-In_Var_Opex*BG74*BG72/Thousand</f>
        <v>-209.690739607438</v>
      </c>
      <c r="BH76" s="48" t="n">
        <f aca="false">-In_Var_Opex*BH74*BH72/Thousand</f>
        <v>-212.020636714187</v>
      </c>
      <c r="BI76" s="48" t="n">
        <f aca="false">-In_Var_Opex*BI74*BI72/Thousand</f>
        <v>-214.350533820936</v>
      </c>
      <c r="BJ76" s="48" t="n">
        <f aca="false">-In_Var_Opex*BJ74*BJ72/Thousand</f>
        <v>-213.707482219474</v>
      </c>
      <c r="BK76" s="48" t="n">
        <f aca="false">-In_Var_Opex*BK74*BK72/Thousand</f>
        <v>-216.669189174146</v>
      </c>
      <c r="BL76" s="48" t="n">
        <f aca="false">-In_Var_Opex*BL74*BL72/Thousand</f>
        <v>-216.669189174146</v>
      </c>
      <c r="BM76" s="48" t="n">
        <f aca="false">-In_Var_Opex*BM74*BM72/Thousand</f>
        <v>-219.05016927496</v>
      </c>
      <c r="BN76" s="48" t="n">
        <f aca="false">-In_Var_Opex*BN74*BN72/Thousand</f>
        <v>-218.393018767136</v>
      </c>
      <c r="BO76" s="48" t="n">
        <f aca="false">-In_Var_Opex*BO74*BO72/Thousand</f>
        <v>-218.986478057264</v>
      </c>
      <c r="BP76" s="48" t="n">
        <f aca="false">-In_Var_Opex*BP74*BP72/Thousand</f>
        <v>-221.419661146789</v>
      </c>
      <c r="BQ76" s="48" t="n">
        <f aca="false">-In_Var_Opex*BQ74*BQ72/Thousand</f>
        <v>-223.852844236314</v>
      </c>
      <c r="BR76" s="48" t="n">
        <f aca="false">-In_Var_Opex*BR74*BR72/Thousand</f>
        <v>-223.181285703605</v>
      </c>
      <c r="BS76" s="48" t="n">
        <f aca="false">-In_Var_Opex*BS74*BS72/Thousand</f>
        <v>-223.787756588669</v>
      </c>
      <c r="BT76" s="48" t="n">
        <f aca="false">-In_Var_Opex*BT74*BT72/Thousand</f>
        <v>-226.274287217432</v>
      </c>
      <c r="BU76" s="48" t="n">
        <f aca="false">-In_Var_Opex*BU74*BU72/Thousand</f>
        <v>-228.760817846195</v>
      </c>
      <c r="BV76" s="48" t="n">
        <f aca="false">-In_Var_Opex*BV74*BV72/Thousand</f>
        <v>-228.074535392656</v>
      </c>
      <c r="BW76" s="48" t="n">
        <f aca="false">-In_Var_Opex*BW74*BW72/Thousand</f>
        <v>-228.694303151876</v>
      </c>
      <c r="BX76" s="48" t="n">
        <f aca="false">-In_Var_Opex*BX74*BX72/Thousand</f>
        <v>-231.235350964674</v>
      </c>
      <c r="BY76" s="48" t="n">
        <f aca="false">-In_Var_Opex*BY74*BY72/Thousand</f>
        <v>-233.776398777473</v>
      </c>
      <c r="BZ76" s="48" t="n">
        <f aca="false">-In_Var_Opex*BZ74*BZ72/Thousand</f>
        <v>-233.07506958114</v>
      </c>
      <c r="CA76" s="48" t="n">
        <f aca="false">-In_Var_Opex*CA74*CA72/Thousand</f>
        <v>-236.305186034575</v>
      </c>
      <c r="CB76" s="48" t="n">
        <f aca="false">-In_Var_Opex*CB74*CB72/Thousand</f>
        <v>-236.305186034575</v>
      </c>
      <c r="CC76" s="48" t="n">
        <f aca="false">-In_Var_Opex*CC74*CC72/Thousand</f>
        <v>-238.901946320669</v>
      </c>
      <c r="CD76" s="48" t="n">
        <f aca="false">-In_Var_Opex*CD74*CD72/Thousand</f>
        <v>-238.185240481707</v>
      </c>
      <c r="CE76" s="48" t="n">
        <f aca="false">-In_Var_Opex*CE74*CE72/Thousand</f>
        <v>-238.832482983016</v>
      </c>
      <c r="CF76" s="48" t="n">
        <f aca="false">-In_Var_Opex*CF74*CF72/Thousand</f>
        <v>-241.486177238383</v>
      </c>
      <c r="CG76" s="48" t="n">
        <f aca="false">-In_Var_Opex*CG74*CG72/Thousand</f>
        <v>-244.13987149375</v>
      </c>
      <c r="CH76" s="48" t="n">
        <f aca="false">-In_Var_Opex*CH74*CH72/Thousand</f>
        <v>-243.407451879268</v>
      </c>
      <c r="CI76" s="48" t="n">
        <f aca="false">-In_Var_Opex*CI74*CI72/Thousand</f>
        <v>-244.068885172418</v>
      </c>
      <c r="CJ76" s="48" t="n">
        <f aca="false">-In_Var_Opex*CJ74*CJ72/Thousand</f>
        <v>-246.780761674334</v>
      </c>
      <c r="CK76" s="48" t="n">
        <f aca="false">-In_Var_Opex*CK74*CK72/Thousand</f>
        <v>-249.49263817625</v>
      </c>
      <c r="CL76" s="48" t="n">
        <f aca="false">-In_Var_Opex*CL74*CL72/Thousand</f>
        <v>-248.744160261721</v>
      </c>
      <c r="CM76" s="48" t="n">
        <f aca="false">-In_Var_Opex*CM74*CM72/Thousand</f>
        <v>-249.420095479824</v>
      </c>
      <c r="CN76" s="48" t="n">
        <f aca="false">-In_Var_Opex*CN74*CN72/Thousand</f>
        <v>-252.191429874044</v>
      </c>
      <c r="CO76" s="48" t="n">
        <f aca="false">-In_Var_Opex*CO74*CO72/Thousand</f>
        <v>-254.962764268264</v>
      </c>
      <c r="CP76" s="48" t="n">
        <f aca="false">-In_Var_Opex*CP74*CP72/Thousand</f>
        <v>-254.197875975459</v>
      </c>
      <c r="CQ76" s="48" t="n">
        <f aca="false">-In_Var_Opex*CQ74*CQ72/Thousand</f>
        <v>-257.720726974032</v>
      </c>
      <c r="CR76" s="48" t="n">
        <f aca="false">-In_Var_Opex*CR74*CR72/Thousand</f>
        <v>-257.720726974032</v>
      </c>
      <c r="CS76" s="48" t="n">
        <f aca="false">-In_Var_Opex*CS74*CS72/Thousand</f>
        <v>-260.552822874846</v>
      </c>
      <c r="CT76" s="48" t="n">
        <f aca="false">-In_Var_Opex*CT74*CT72/Thousand</f>
        <v>-259.771164406221</v>
      </c>
      <c r="CU76" s="48" t="n">
        <f aca="false">-In_Var_Opex*CU74*CU72/Thousand</f>
        <v>-260.477064309499</v>
      </c>
      <c r="CV76" s="48" t="n">
        <f aca="false">-In_Var_Opex*CV74*CV72/Thousand</f>
        <v>-263.371253912938</v>
      </c>
      <c r="CW76" s="48" t="n">
        <f aca="false">-In_Var_Opex*CW74*CW72/Thousand</f>
        <v>-266.265443516377</v>
      </c>
      <c r="CX76" s="48" t="n">
        <f aca="false">-In_Var_Opex*CX74*CX72/Thousand</f>
        <v>-265.466647185828</v>
      </c>
      <c r="CY76" s="48" t="n">
        <f aca="false">-In_Var_Opex*CY74*CY72/Thousand</f>
        <v>-266.188023944485</v>
      </c>
      <c r="CZ76" s="48" t="n">
        <f aca="false">-In_Var_Opex*CZ74*CZ72/Thousand</f>
        <v>-269.145668654979</v>
      </c>
      <c r="DA76" s="48" t="n">
        <f aca="false">-In_Var_Opex*DA74*DA72/Thousand</f>
        <v>-272.103313365473</v>
      </c>
      <c r="DB76" s="48" t="n">
        <f aca="false">-In_Var_Opex*DB74*DB72/Thousand</f>
        <v>-271.287003425377</v>
      </c>
      <c r="DC76" s="48" t="n">
        <f aca="false">-In_Var_Opex*DC74*DC72/Thousand</f>
        <v>-272.024196369468</v>
      </c>
      <c r="DD76" s="48" t="n">
        <f aca="false">-In_Var_Opex*DD74*DD72/Thousand</f>
        <v>-275.04668744024</v>
      </c>
      <c r="DE76" s="48" t="n">
        <f aca="false">-In_Var_Opex*DE74*DE72/Thousand</f>
        <v>-278.069178511011</v>
      </c>
      <c r="DF76" s="48" t="n">
        <f aca="false">-In_Var_Opex*DF74*DF72/Thousand</f>
        <v>-277.234970975478</v>
      </c>
      <c r="DG76" s="48" t="n">
        <f aca="false">-In_Var_Opex*DG74*DG72/Thousand</f>
        <v>-281.077086062367</v>
      </c>
      <c r="DH76" s="48" t="n">
        <f aca="false">-In_Var_Opex*DH74*DH72/Thousand</f>
        <v>-281.077086062367</v>
      </c>
      <c r="DI76" s="48" t="n">
        <f aca="false">-In_Var_Opex*DI74*DI72/Thousand</f>
        <v>-284.165845249865</v>
      </c>
      <c r="DJ76" s="48" t="n">
        <f aca="false">-In_Var_Opex*DJ74*DJ72/Thousand</f>
        <v>-283.313347714116</v>
      </c>
      <c r="DK76" s="48" t="n">
        <f aca="false">-In_Var_Opex*DK74*DK72/Thousand</f>
        <v>-284.0832209416</v>
      </c>
      <c r="DL76" s="48" t="n">
        <f aca="false">-In_Var_Opex*DL74*DL72/Thousand</f>
        <v>-287.239701174284</v>
      </c>
      <c r="DM76" s="48" t="n">
        <f aca="false">-In_Var_Opex*DM74*DM72/Thousand</f>
        <v>-290.396181406969</v>
      </c>
      <c r="DN76" s="48" t="n">
        <f aca="false">-In_Var_Opex*DN74*DN72/Thousand</f>
        <v>-289.524992862748</v>
      </c>
      <c r="DO76" s="48" t="n">
        <f aca="false">-In_Var_Opex*DO74*DO72/Thousand</f>
        <v>-290.311745560744</v>
      </c>
      <c r="DP76" s="48" t="n">
        <f aca="false">-In_Var_Opex*DP74*DP72/Thousand</f>
        <v>-293.53743162253</v>
      </c>
      <c r="DQ76" s="48" t="n">
        <f aca="false">-In_Var_Opex*DQ74*DQ72/Thousand</f>
        <v>-296.763117684316</v>
      </c>
      <c r="DR76" s="48" t="n">
        <f aca="false">-In_Var_Opex*DR74*DR72/Thousand</f>
        <v>-295.872828331263</v>
      </c>
      <c r="DS76" s="48" t="n">
        <f aca="false">-In_Var_Opex*DS74*DS72/Thousand</f>
        <v>-296.676830582163</v>
      </c>
      <c r="DT76" s="48" t="n">
        <f aca="false">-In_Var_Opex*DT74*DT72/Thousand</f>
        <v>-299.973239810854</v>
      </c>
      <c r="DU76" s="48" t="n">
        <f aca="false">-In_Var_Opex*DU74*DU72/Thousand</f>
        <v>-303.269649039545</v>
      </c>
      <c r="DV76" s="48" t="n">
        <f aca="false">-In_Var_Opex*DV74*DV72/Thousand</f>
        <v>-302.359840092426</v>
      </c>
      <c r="DW76" s="48" t="n">
        <f aca="false">-In_Var_Opex*DW74*DW72/Thousand</f>
        <v>-306.550153093707</v>
      </c>
      <c r="DX76" s="48" t="n">
        <f aca="false">-In_Var_Opex*DX74*DX72/Thousand</f>
        <v>-306.550153093707</v>
      </c>
      <c r="DY76" s="48" t="n">
        <f aca="false">-In_Var_Opex*DY74*DY72/Thousand</f>
        <v>-309.918836094737</v>
      </c>
      <c r="DZ76" s="48" t="n">
        <f aca="false">-In_Var_Opex*DZ74*DZ72/Thousand</f>
        <v>-308.989079586453</v>
      </c>
      <c r="EA76" s="48" t="n">
        <f aca="false">-In_Var_Opex*EA74*EA72/Thousand</f>
        <v>-309.828723824459</v>
      </c>
      <c r="EB76" s="48" t="n">
        <f aca="false">-In_Var_Opex*EB74*EB72/Thousand</f>
        <v>-313.271265200287</v>
      </c>
      <c r="EC76" s="48" t="n">
        <f aca="false">-In_Var_Opex*EC74*EC72/Thousand</f>
        <v>-316.713806576114</v>
      </c>
      <c r="ED76" s="48" t="n">
        <f aca="false">-In_Var_Opex*ED74*ED72/Thousand</f>
        <v>-315.763665156386</v>
      </c>
      <c r="EE76" s="48" t="n">
        <f aca="false">-In_Var_Opex*EE74*EE72/Thousand</f>
        <v>-316.621718594311</v>
      </c>
      <c r="EF76" s="48" t="n">
        <f aca="false">-In_Var_Opex*EF74*EF72/Thousand</f>
        <v>-320.139737689803</v>
      </c>
      <c r="EG76" s="48" t="n">
        <f aca="false">-In_Var_Opex*EG74*EG72/Thousand</f>
        <v>-323.657756785295</v>
      </c>
      <c r="EH76" s="48" t="n">
        <f aca="false">-In_Var_Opex*EH74*EH72/Thousand</f>
        <v>-322.686783514939</v>
      </c>
      <c r="EI76" s="48" t="n">
        <f aca="false">-In_Var_Opex*EI74*EI72/Thousand</f>
        <v>-323.563649774491</v>
      </c>
      <c r="EJ76" s="48" t="n">
        <f aca="false">-In_Var_Opex*EJ74*EJ72/Thousand</f>
        <v>-327.158801438652</v>
      </c>
      <c r="EK76" s="48" t="n">
        <f aca="false">-In_Var_Opex*EK74*EK72/Thousand</f>
        <v>-330.753953102813</v>
      </c>
      <c r="EL76" s="48" t="n">
        <f aca="false">-In_Var_Opex*EL74*EL72/Thousand</f>
        <v>-329.761691243504</v>
      </c>
      <c r="EM76" s="48" t="n">
        <f aca="false">-In_Var_Opex*EM74*EM72/Thousand</f>
        <v>-334.331758160194</v>
      </c>
      <c r="EN76" s="48" t="n">
        <f aca="false">-In_Var_Opex*EN74*EN72/Thousand</f>
        <v>-334.331758160194</v>
      </c>
      <c r="EO76" s="48" t="n">
        <f aca="false">-In_Var_Opex*EO74*EO72/Thousand</f>
        <v>-338.005733524592</v>
      </c>
    </row>
    <row r="77" customFormat="false" ht="15" hidden="false" customHeight="false" outlineLevel="0" collapsed="false">
      <c r="C77" s="0" t="s">
        <v>460</v>
      </c>
      <c r="D77" s="11" t="s">
        <v>33</v>
      </c>
      <c r="I77" s="48" t="n">
        <f aca="false">SUM(J77:EO77)</f>
        <v>-60869.5202640337</v>
      </c>
      <c r="J77" s="48" t="n">
        <f aca="false">-(In_Fixed_Opex*$F25+In_Admin)*J72*J16*J$6</f>
        <v>-0</v>
      </c>
      <c r="K77" s="48" t="n">
        <f aca="false">-(In_Fixed_Opex*$F25+In_Admin)*K72*K16*K$6</f>
        <v>-0</v>
      </c>
      <c r="L77" s="48" t="n">
        <f aca="false">-(In_Fixed_Opex*$F25+In_Admin)*L72*L16*L$6</f>
        <v>-0</v>
      </c>
      <c r="M77" s="48" t="n">
        <f aca="false">-(In_Fixed_Opex*$F25+In_Admin)*M72*M16*M$6</f>
        <v>-0</v>
      </c>
      <c r="N77" s="48" t="n">
        <f aca="false">-(In_Fixed_Opex*$F25+In_Admin)*N72*N16*N$6</f>
        <v>-0</v>
      </c>
      <c r="O77" s="48" t="n">
        <f aca="false">-(In_Fixed_Opex*$F25+In_Admin)*O72*O16*O$6</f>
        <v>-0</v>
      </c>
      <c r="P77" s="48" t="n">
        <f aca="false">-(In_Fixed_Opex*$F25+In_Admin)*P72*P16*P$6</f>
        <v>-0</v>
      </c>
      <c r="Q77" s="48" t="n">
        <f aca="false">-(In_Fixed_Opex*$F25+In_Admin)*Q72*Q16*Q$6</f>
        <v>-0</v>
      </c>
      <c r="R77" s="48" t="n">
        <f aca="false">-(In_Fixed_Opex*$F25+In_Admin)*R72*R16*R$6</f>
        <v>-0</v>
      </c>
      <c r="S77" s="48" t="n">
        <f aca="false">-(In_Fixed_Opex*$F25+In_Admin)*S72*S16*S$6</f>
        <v>-0</v>
      </c>
      <c r="T77" s="48" t="n">
        <f aca="false">-(In_Fixed_Opex*$F25+In_Admin)*T72*T16*T$6</f>
        <v>-0</v>
      </c>
      <c r="U77" s="48" t="n">
        <f aca="false">-(In_Fixed_Opex*$F25+In_Admin)*U72*U16*U$6</f>
        <v>-0</v>
      </c>
      <c r="V77" s="48" t="n">
        <f aca="false">-(In_Fixed_Opex*$F25+In_Admin)*V72*V16*V$6</f>
        <v>-0</v>
      </c>
      <c r="W77" s="48" t="n">
        <f aca="false">-(In_Fixed_Opex*$F25+In_Admin)*W72*W16*W$6</f>
        <v>-0</v>
      </c>
      <c r="X77" s="48" t="n">
        <f aca="false">-(In_Fixed_Opex*$F25+In_Admin)*X72*X16*X$6</f>
        <v>-0</v>
      </c>
      <c r="Y77" s="48" t="n">
        <f aca="false">-(In_Fixed_Opex*$F25+In_Admin)*Y72*Y16*Y$6</f>
        <v>-0</v>
      </c>
      <c r="Z77" s="48" t="n">
        <f aca="false">-(In_Fixed_Opex*$F25+In_Admin)*Z72*Z16*Z$6</f>
        <v>-342.794520547945</v>
      </c>
      <c r="AA77" s="48" t="n">
        <f aca="false">-(In_Fixed_Opex*$F25+In_Admin)*AA72*AA16*AA$6</f>
        <v>-343.72602739726</v>
      </c>
      <c r="AB77" s="48" t="n">
        <f aca="false">-(In_Fixed_Opex*$F25+In_Admin)*AB72*AB16*AB$6</f>
        <v>-347.545205479452</v>
      </c>
      <c r="AC77" s="48" t="n">
        <f aca="false">-(In_Fixed_Opex*$F25+In_Admin)*AC72*AC16*AC$6</f>
        <v>-351.364383561644</v>
      </c>
      <c r="AD77" s="48" t="n">
        <f aca="false">-(In_Fixed_Opex*$F25+In_Admin)*AD72*AD16*AD$6</f>
        <v>-351.364383561644</v>
      </c>
      <c r="AE77" s="48" t="n">
        <f aca="false">-(In_Fixed_Opex*$F25+In_Admin)*AE72*AE16*AE$6</f>
        <v>-356.233835616438</v>
      </c>
      <c r="AF77" s="48" t="n">
        <f aca="false">-(In_Fixed_Opex*$F25+In_Admin)*AF72*AF16*AF$6</f>
        <v>-356.233835616438</v>
      </c>
      <c r="AG77" s="48" t="n">
        <f aca="false">-(In_Fixed_Opex*$F25+In_Admin)*AG72*AG16*AG$6</f>
        <v>-360.148493150685</v>
      </c>
      <c r="AH77" s="48" t="n">
        <f aca="false">-(In_Fixed_Opex*$F25+In_Admin)*AH72*AH16*AH$6</f>
        <v>-360.148493150685</v>
      </c>
      <c r="AI77" s="48" t="n">
        <f aca="false">-(In_Fixed_Opex*$F25+In_Admin)*AI72*AI16*AI$6</f>
        <v>-361.127157534246</v>
      </c>
      <c r="AJ77" s="48" t="n">
        <f aca="false">-(In_Fixed_Opex*$F25+In_Admin)*AJ72*AJ16*AJ$6</f>
        <v>-365.139681506849</v>
      </c>
      <c r="AK77" s="48" t="n">
        <f aca="false">-(In_Fixed_Opex*$F25+In_Admin)*AK72*AK16*AK$6</f>
        <v>-369.152205479452</v>
      </c>
      <c r="AL77" s="48" t="n">
        <f aca="false">-(In_Fixed_Opex*$F25+In_Admin)*AL72*AL16*AL$6</f>
        <v>-369.152205479452</v>
      </c>
      <c r="AM77" s="48" t="n">
        <f aca="false">-(In_Fixed_Opex*$F25+In_Admin)*AM72*AM16*AM$6</f>
        <v>-370.155336472603</v>
      </c>
      <c r="AN77" s="48" t="n">
        <f aca="false">-(In_Fixed_Opex*$F25+In_Admin)*AN72*AN16*AN$6</f>
        <v>-374.268173544521</v>
      </c>
      <c r="AO77" s="48" t="n">
        <f aca="false">-(In_Fixed_Opex*$F25+In_Admin)*AO72*AO16*AO$6</f>
        <v>-378.381010616438</v>
      </c>
      <c r="AP77" s="48" t="n">
        <f aca="false">-(In_Fixed_Opex*$F25+In_Admin)*AP72*AP16*AP$6</f>
        <v>-378.381010616438</v>
      </c>
      <c r="AQ77" s="48" t="n">
        <f aca="false">-(In_Fixed_Opex*$F25+In_Admin)*AQ72*AQ16*AQ$6</f>
        <v>-379.409219884418</v>
      </c>
      <c r="AR77" s="48" t="n">
        <f aca="false">-(In_Fixed_Opex*$F25+In_Admin)*AR72*AR16*AR$6</f>
        <v>-383.624877883134</v>
      </c>
      <c r="AS77" s="48" t="n">
        <f aca="false">-(In_Fixed_Opex*$F25+In_Admin)*AS72*AS16*AS$6</f>
        <v>-387.840535881849</v>
      </c>
      <c r="AT77" s="48" t="n">
        <f aca="false">-(In_Fixed_Opex*$F25+In_Admin)*AT72*AT16*AT$6</f>
        <v>-387.840535881849</v>
      </c>
      <c r="AU77" s="48" t="n">
        <f aca="false">-(In_Fixed_Opex*$F25+In_Admin)*AU72*AU16*AU$6</f>
        <v>-393.215499830212</v>
      </c>
      <c r="AV77" s="48" t="n">
        <f aca="false">-(In_Fixed_Opex*$F25+In_Admin)*AV72*AV16*AV$6</f>
        <v>-393.215499830212</v>
      </c>
      <c r="AW77" s="48" t="n">
        <f aca="false">-(In_Fixed_Opex*$F25+In_Admin)*AW72*AW16*AW$6</f>
        <v>-397.536549278895</v>
      </c>
      <c r="AX77" s="48" t="n">
        <f aca="false">-(In_Fixed_Opex*$F25+In_Admin)*AX72*AX16*AX$6</f>
        <v>-397.536549278895</v>
      </c>
      <c r="AY77" s="48" t="n">
        <f aca="false">-(In_Fixed_Opex*$F25+In_Admin)*AY72*AY16*AY$6</f>
        <v>-398.616811641066</v>
      </c>
      <c r="AZ77" s="48" t="n">
        <f aca="false">-(In_Fixed_Opex*$F25+In_Admin)*AZ72*AZ16*AZ$6</f>
        <v>-403.045887325967</v>
      </c>
      <c r="BA77" s="48" t="n">
        <f aca="false">-(In_Fixed_Opex*$F25+In_Admin)*BA72*BA16*BA$6</f>
        <v>-407.474963010868</v>
      </c>
      <c r="BB77" s="48" t="n">
        <f aca="false">-(In_Fixed_Opex*$F25+In_Admin)*BB72*BB16*BB$6</f>
        <v>-407.474963010868</v>
      </c>
      <c r="BC77" s="48" t="n">
        <f aca="false">-(In_Fixed_Opex*$F25+In_Admin)*BC72*BC16*BC$6</f>
        <v>-408.582231932093</v>
      </c>
      <c r="BD77" s="48" t="n">
        <f aca="false">-(In_Fixed_Opex*$F25+In_Admin)*BD72*BD16*BD$6</f>
        <v>-413.122034509116</v>
      </c>
      <c r="BE77" s="48" t="n">
        <f aca="false">-(In_Fixed_Opex*$F25+In_Admin)*BE72*BE16*BE$6</f>
        <v>-417.661837086139</v>
      </c>
      <c r="BF77" s="48" t="n">
        <f aca="false">-(In_Fixed_Opex*$F25+In_Admin)*BF72*BF16*BF$6</f>
        <v>-417.661837086139</v>
      </c>
      <c r="BG77" s="48" t="n">
        <f aca="false">-(In_Fixed_Opex*$F25+In_Admin)*BG72*BG16*BG$6</f>
        <v>-418.796787730395</v>
      </c>
      <c r="BH77" s="48" t="n">
        <f aca="false">-(In_Fixed_Opex*$F25+In_Admin)*BH72*BH16*BH$6</f>
        <v>-423.450085371844</v>
      </c>
      <c r="BI77" s="48" t="n">
        <f aca="false">-(In_Fixed_Opex*$F25+In_Admin)*BI72*BI16*BI$6</f>
        <v>-428.103383013293</v>
      </c>
      <c r="BJ77" s="48" t="n">
        <f aca="false">-(In_Fixed_Opex*$F25+In_Admin)*BJ72*BJ16*BJ$6</f>
        <v>-428.103383013293</v>
      </c>
      <c r="BK77" s="48" t="n">
        <f aca="false">-(In_Fixed_Opex*$F25+In_Admin)*BK72*BK16*BK$6</f>
        <v>-434.03633750614</v>
      </c>
      <c r="BL77" s="48" t="n">
        <f aca="false">-(In_Fixed_Opex*$F25+In_Admin)*BL72*BL16*BL$6</f>
        <v>-434.03633750614</v>
      </c>
      <c r="BM77" s="48" t="n">
        <f aca="false">-(In_Fixed_Opex*$F25+In_Admin)*BM72*BM16*BM$6</f>
        <v>-438.805967588625</v>
      </c>
      <c r="BN77" s="48" t="n">
        <f aca="false">-(In_Fixed_Opex*$F25+In_Admin)*BN72*BN16*BN$6</f>
        <v>-438.805967588625</v>
      </c>
      <c r="BO77" s="48" t="n">
        <f aca="false">-(In_Fixed_Opex*$F25+In_Admin)*BO72*BO16*BO$6</f>
        <v>-439.998375109246</v>
      </c>
      <c r="BP77" s="48" t="n">
        <f aca="false">-(In_Fixed_Opex*$F25+In_Admin)*BP72*BP16*BP$6</f>
        <v>-444.887245943794</v>
      </c>
      <c r="BQ77" s="48" t="n">
        <f aca="false">-(In_Fixed_Opex*$F25+In_Admin)*BQ72*BQ16*BQ$6</f>
        <v>-449.776116778341</v>
      </c>
      <c r="BR77" s="48" t="n">
        <f aca="false">-(In_Fixed_Opex*$F25+In_Admin)*BR72*BR16*BR$6</f>
        <v>-449.776116778341</v>
      </c>
      <c r="BS77" s="48" t="n">
        <f aca="false">-(In_Fixed_Opex*$F25+In_Admin)*BS72*BS16*BS$6</f>
        <v>-450.998334486977</v>
      </c>
      <c r="BT77" s="48" t="n">
        <f aca="false">-(In_Fixed_Opex*$F25+In_Admin)*BT72*BT16*BT$6</f>
        <v>-456.009427092388</v>
      </c>
      <c r="BU77" s="48" t="n">
        <f aca="false">-(In_Fixed_Opex*$F25+In_Admin)*BU72*BU16*BU$6</f>
        <v>-461.020519697799</v>
      </c>
      <c r="BV77" s="48" t="n">
        <f aca="false">-(In_Fixed_Opex*$F25+In_Admin)*BV72*BV16*BV$6</f>
        <v>-461.020519697799</v>
      </c>
      <c r="BW77" s="48" t="n">
        <f aca="false">-(In_Fixed_Opex*$F25+In_Admin)*BW72*BW16*BW$6</f>
        <v>-462.273292849152</v>
      </c>
      <c r="BX77" s="48" t="n">
        <f aca="false">-(In_Fixed_Opex*$F25+In_Admin)*BX72*BX16*BX$6</f>
        <v>-467.409662769698</v>
      </c>
      <c r="BY77" s="48" t="n">
        <f aca="false">-(In_Fixed_Opex*$F25+In_Admin)*BY72*BY16*BY$6</f>
        <v>-472.546032690244</v>
      </c>
      <c r="BZ77" s="48" t="n">
        <f aca="false">-(In_Fixed_Opex*$F25+In_Admin)*BZ72*BZ16*BZ$6</f>
        <v>-472.546032690244</v>
      </c>
      <c r="CA77" s="48" t="n">
        <f aca="false">-(In_Fixed_Opex*$F25+In_Admin)*CA72*CA16*CA$6</f>
        <v>-479.09490433894</v>
      </c>
      <c r="CB77" s="48" t="n">
        <f aca="false">-(In_Fixed_Opex*$F25+In_Admin)*CB72*CB16*CB$6</f>
        <v>-479.09490433894</v>
      </c>
      <c r="CC77" s="48" t="n">
        <f aca="false">-(In_Fixed_Opex*$F25+In_Admin)*CC72*CC16*CC$6</f>
        <v>-484.3596835075</v>
      </c>
      <c r="CD77" s="48" t="n">
        <f aca="false">-(In_Fixed_Opex*$F25+In_Admin)*CD72*CD16*CD$6</f>
        <v>-484.3596835075</v>
      </c>
      <c r="CE77" s="48" t="n">
        <f aca="false">-(In_Fixed_Opex*$F25+In_Admin)*CE72*CE16*CE$6</f>
        <v>-485.67587829964</v>
      </c>
      <c r="CF77" s="48" t="n">
        <f aca="false">-(In_Fixed_Opex*$F25+In_Admin)*CF72*CF16*CF$6</f>
        <v>-491.072276947414</v>
      </c>
      <c r="CG77" s="48" t="n">
        <f aca="false">-(In_Fixed_Opex*$F25+In_Admin)*CG72*CG16*CG$6</f>
        <v>-496.468675595188</v>
      </c>
      <c r="CH77" s="48" t="n">
        <f aca="false">-(In_Fixed_Opex*$F25+In_Admin)*CH72*CH16*CH$6</f>
        <v>-496.468675595188</v>
      </c>
      <c r="CI77" s="48" t="n">
        <f aca="false">-(In_Fixed_Opex*$F25+In_Admin)*CI72*CI16*CI$6</f>
        <v>-497.817775257131</v>
      </c>
      <c r="CJ77" s="48" t="n">
        <f aca="false">-(In_Fixed_Opex*$F25+In_Admin)*CJ72*CJ16*CJ$6</f>
        <v>-503.349083871099</v>
      </c>
      <c r="CK77" s="48" t="n">
        <f aca="false">-(In_Fixed_Opex*$F25+In_Admin)*CK72*CK16*CK$6</f>
        <v>-508.880392485067</v>
      </c>
      <c r="CL77" s="48" t="n">
        <f aca="false">-(In_Fixed_Opex*$F25+In_Admin)*CL72*CL16*CL$6</f>
        <v>-508.880392485067</v>
      </c>
      <c r="CM77" s="48" t="n">
        <f aca="false">-(In_Fixed_Opex*$F25+In_Admin)*CM72*CM16*CM$6</f>
        <v>-510.263219638559</v>
      </c>
      <c r="CN77" s="48" t="n">
        <f aca="false">-(In_Fixed_Opex*$F25+In_Admin)*CN72*CN16*CN$6</f>
        <v>-515.932810967877</v>
      </c>
      <c r="CO77" s="48" t="n">
        <f aca="false">-(In_Fixed_Opex*$F25+In_Admin)*CO72*CO16*CO$6</f>
        <v>-521.602402297194</v>
      </c>
      <c r="CP77" s="48" t="n">
        <f aca="false">-(In_Fixed_Opex*$F25+In_Admin)*CP72*CP16*CP$6</f>
        <v>-521.602402297194</v>
      </c>
      <c r="CQ77" s="48" t="n">
        <f aca="false">-(In_Fixed_Opex*$F25+In_Admin)*CQ72*CQ16*CQ$6</f>
        <v>-528.831131242074</v>
      </c>
      <c r="CR77" s="48" t="n">
        <f aca="false">-(In_Fixed_Opex*$F25+In_Admin)*CR72*CR16*CR$6</f>
        <v>-528.831131242074</v>
      </c>
      <c r="CS77" s="48" t="n">
        <f aca="false">-(In_Fixed_Opex*$F25+In_Admin)*CS72*CS16*CS$6</f>
        <v>-534.642462354624</v>
      </c>
      <c r="CT77" s="48" t="n">
        <f aca="false">-(In_Fixed_Opex*$F25+In_Admin)*CT72*CT16*CT$6</f>
        <v>-534.642462354624</v>
      </c>
      <c r="CU77" s="48" t="n">
        <f aca="false">-(In_Fixed_Opex*$F25+In_Admin)*CU72*CU16*CU$6</f>
        <v>-536.095295132761</v>
      </c>
      <c r="CV77" s="48" t="n">
        <f aca="false">-(In_Fixed_Opex*$F25+In_Admin)*CV72*CV16*CV$6</f>
        <v>-542.051909523125</v>
      </c>
      <c r="CW77" s="48" t="n">
        <f aca="false">-(In_Fixed_Opex*$F25+In_Admin)*CW72*CW16*CW$6</f>
        <v>-548.008523913489</v>
      </c>
      <c r="CX77" s="48" t="n">
        <f aca="false">-(In_Fixed_Opex*$F25+In_Admin)*CX72*CX16*CX$6</f>
        <v>-548.008523913489</v>
      </c>
      <c r="CY77" s="48" t="n">
        <f aca="false">-(In_Fixed_Opex*$F25+In_Admin)*CY72*CY16*CY$6</f>
        <v>-549.49767751108</v>
      </c>
      <c r="CZ77" s="48" t="n">
        <f aca="false">-(In_Fixed_Opex*$F25+In_Admin)*CZ72*CZ16*CZ$6</f>
        <v>-555.603207261203</v>
      </c>
      <c r="DA77" s="48" t="n">
        <f aca="false">-(In_Fixed_Opex*$F25+In_Admin)*DA72*DA16*DA$6</f>
        <v>-561.708737011326</v>
      </c>
      <c r="DB77" s="48" t="n">
        <f aca="false">-(In_Fixed_Opex*$F25+In_Admin)*DB72*DB16*DB$6</f>
        <v>-561.708737011326</v>
      </c>
      <c r="DC77" s="48" t="n">
        <f aca="false">-(In_Fixed_Opex*$F25+In_Admin)*DC72*DC16*DC$6</f>
        <v>-563.235119448857</v>
      </c>
      <c r="DD77" s="48" t="n">
        <f aca="false">-(In_Fixed_Opex*$F25+In_Admin)*DD72*DD16*DD$6</f>
        <v>-569.493287442734</v>
      </c>
      <c r="DE77" s="48" t="n">
        <f aca="false">-(In_Fixed_Opex*$F25+In_Admin)*DE72*DE16*DE$6</f>
        <v>-575.75145543661</v>
      </c>
      <c r="DF77" s="48" t="n">
        <f aca="false">-(In_Fixed_Opex*$F25+In_Admin)*DF72*DF16*DF$6</f>
        <v>-575.75145543661</v>
      </c>
      <c r="DG77" s="48" t="n">
        <f aca="false">-(In_Fixed_Opex*$F25+In_Admin)*DG72*DG16*DG$6</f>
        <v>-583.730619628802</v>
      </c>
      <c r="DH77" s="48" t="n">
        <f aca="false">-(In_Fixed_Opex*$F25+In_Admin)*DH72*DH16*DH$6</f>
        <v>-583.730619628802</v>
      </c>
      <c r="DI77" s="48" t="n">
        <f aca="false">-(In_Fixed_Opex*$F25+In_Admin)*DI72*DI16*DI$6</f>
        <v>-590.145241822525</v>
      </c>
      <c r="DJ77" s="48" t="n">
        <f aca="false">-(In_Fixed_Opex*$F25+In_Admin)*DJ72*DJ16*DJ$6</f>
        <v>-590.145241822525</v>
      </c>
      <c r="DK77" s="48" t="n">
        <f aca="false">-(In_Fixed_Opex*$F25+In_Admin)*DK72*DK16*DK$6</f>
        <v>-591.748897370955</v>
      </c>
      <c r="DL77" s="48" t="n">
        <f aca="false">-(In_Fixed_Opex*$F25+In_Admin)*DL72*DL16*DL$6</f>
        <v>-598.323885119522</v>
      </c>
      <c r="DM77" s="48" t="n">
        <f aca="false">-(In_Fixed_Opex*$F25+In_Admin)*DM72*DM16*DM$6</f>
        <v>-604.898872868088</v>
      </c>
      <c r="DN77" s="48" t="n">
        <f aca="false">-(In_Fixed_Opex*$F25+In_Admin)*DN72*DN16*DN$6</f>
        <v>-604.898872868088</v>
      </c>
      <c r="DO77" s="48" t="n">
        <f aca="false">-(In_Fixed_Opex*$F25+In_Admin)*DO72*DO16*DO$6</f>
        <v>-606.542619805229</v>
      </c>
      <c r="DP77" s="48" t="n">
        <f aca="false">-(In_Fixed_Opex*$F25+In_Admin)*DP72*DP16*DP$6</f>
        <v>-613.28198224751</v>
      </c>
      <c r="DQ77" s="48" t="n">
        <f aca="false">-(In_Fixed_Opex*$F25+In_Admin)*DQ72*DQ16*DQ$6</f>
        <v>-620.02134468979</v>
      </c>
      <c r="DR77" s="48" t="n">
        <f aca="false">-(In_Fixed_Opex*$F25+In_Admin)*DR72*DR16*DR$6</f>
        <v>-620.02134468979</v>
      </c>
      <c r="DS77" s="48" t="n">
        <f aca="false">-(In_Fixed_Opex*$F25+In_Admin)*DS72*DS16*DS$6</f>
        <v>-621.70618530036</v>
      </c>
      <c r="DT77" s="48" t="n">
        <f aca="false">-(In_Fixed_Opex*$F25+In_Admin)*DT72*DT16*DT$6</f>
        <v>-628.614031803698</v>
      </c>
      <c r="DU77" s="48" t="n">
        <f aca="false">-(In_Fixed_Opex*$F25+In_Admin)*DU72*DU16*DU$6</f>
        <v>-635.521878307035</v>
      </c>
      <c r="DV77" s="48" t="n">
        <f aca="false">-(In_Fixed_Opex*$F25+In_Admin)*DV72*DV16*DV$6</f>
        <v>-635.521878307035</v>
      </c>
      <c r="DW77" s="48" t="n">
        <f aca="false">-(In_Fixed_Opex*$F25+In_Admin)*DW72*DW16*DW$6</f>
        <v>-644.32938259879</v>
      </c>
      <c r="DX77" s="48" t="n">
        <f aca="false">-(In_Fixed_Opex*$F25+In_Admin)*DX72*DX16*DX$6</f>
        <v>-644.32938259879</v>
      </c>
      <c r="DY77" s="48" t="n">
        <f aca="false">-(In_Fixed_Opex*$F25+In_Admin)*DY72*DY16*DY$6</f>
        <v>-651.409925264711</v>
      </c>
      <c r="DZ77" s="48" t="n">
        <f aca="false">-(In_Fixed_Opex*$F25+In_Admin)*DZ72*DZ16*DZ$6</f>
        <v>-651.409925264711</v>
      </c>
      <c r="EA77" s="48" t="n">
        <f aca="false">-(In_Fixed_Opex*$F25+In_Admin)*EA72*EA16*EA$6</f>
        <v>-653.180060931191</v>
      </c>
      <c r="EB77" s="48" t="n">
        <f aca="false">-(In_Fixed_Opex*$F25+In_Admin)*EB72*EB16*EB$6</f>
        <v>-660.43761716376</v>
      </c>
      <c r="EC77" s="48" t="n">
        <f aca="false">-(In_Fixed_Opex*$F25+In_Admin)*EC72*EC16*EC$6</f>
        <v>-667.695173396328</v>
      </c>
      <c r="ED77" s="48" t="n">
        <f aca="false">-(In_Fixed_Opex*$F25+In_Admin)*ED72*ED16*ED$6</f>
        <v>-667.695173396328</v>
      </c>
      <c r="EE77" s="48" t="n">
        <f aca="false">-(In_Fixed_Opex*$F25+In_Admin)*EE72*EE16*EE$6</f>
        <v>-669.50956245447</v>
      </c>
      <c r="EF77" s="48" t="n">
        <f aca="false">-(In_Fixed_Opex*$F25+In_Admin)*EF72*EF16*EF$6</f>
        <v>-676.948557592854</v>
      </c>
      <c r="EG77" s="48" t="n">
        <f aca="false">-(In_Fixed_Opex*$F25+In_Admin)*EG72*EG16*EG$6</f>
        <v>-684.387552731237</v>
      </c>
      <c r="EH77" s="48" t="n">
        <f aca="false">-(In_Fixed_Opex*$F25+In_Admin)*EH72*EH16*EH$6</f>
        <v>-684.387552731237</v>
      </c>
      <c r="EI77" s="48" t="n">
        <f aca="false">-(In_Fixed_Opex*$F25+In_Admin)*EI72*EI16*EI$6</f>
        <v>-686.247301515832</v>
      </c>
      <c r="EJ77" s="48" t="n">
        <f aca="false">-(In_Fixed_Opex*$F25+In_Admin)*EJ72*EJ16*EJ$6</f>
        <v>-693.872271532675</v>
      </c>
      <c r="EK77" s="48" t="n">
        <f aca="false">-(In_Fixed_Opex*$F25+In_Admin)*EK72*EK16*EK$6</f>
        <v>-701.497241549517</v>
      </c>
      <c r="EL77" s="48" t="n">
        <f aca="false">-(In_Fixed_Opex*$F25+In_Admin)*EL72*EL16*EL$6</f>
        <v>-701.497241549517</v>
      </c>
      <c r="EM77" s="48" t="n">
        <f aca="false">-(In_Fixed_Opex*$F25+In_Admin)*EM72*EM16*EM$6</f>
        <v>-711.219078320991</v>
      </c>
      <c r="EN77" s="48" t="n">
        <f aca="false">-(In_Fixed_Opex*$F25+In_Admin)*EN72*EN16*EN$6</f>
        <v>-711.219078320991</v>
      </c>
      <c r="EO77" s="48" t="n">
        <f aca="false">-(In_Fixed_Opex*$F25+In_Admin)*EO72*EO16*EO$6</f>
        <v>-719.034672588255</v>
      </c>
    </row>
    <row r="78" customFormat="false" ht="15" hidden="false" customHeight="false" outlineLevel="0" collapsed="false">
      <c r="C78" s="0" t="s">
        <v>461</v>
      </c>
      <c r="D78" s="11" t="s">
        <v>33</v>
      </c>
      <c r="I78" s="48" t="n">
        <f aca="false">SUM(J78:EO78)</f>
        <v>-7708.87664873263</v>
      </c>
      <c r="J78" s="48" t="n">
        <f aca="false">-In_Lease*$F25*J72*J17*J$6</f>
        <v>-0</v>
      </c>
      <c r="K78" s="48" t="n">
        <f aca="false">-In_Lease*$F25*K72*K17*K$6</f>
        <v>-0</v>
      </c>
      <c r="L78" s="48" t="n">
        <f aca="false">-In_Lease*$F25*L72*L17*L$6</f>
        <v>-0</v>
      </c>
      <c r="M78" s="48" t="n">
        <f aca="false">-In_Lease*$F25*M72*M17*M$6</f>
        <v>-0</v>
      </c>
      <c r="N78" s="48" t="n">
        <f aca="false">-In_Lease*$F25*N72*N17*N$6</f>
        <v>-0</v>
      </c>
      <c r="O78" s="48" t="n">
        <f aca="false">-In_Lease*$F25*O72*O17*O$6</f>
        <v>-0</v>
      </c>
      <c r="P78" s="48" t="n">
        <f aca="false">-In_Lease*$F25*P72*P17*P$6</f>
        <v>-0</v>
      </c>
      <c r="Q78" s="48" t="n">
        <f aca="false">-In_Lease*$F25*Q72*Q17*Q$6</f>
        <v>-0</v>
      </c>
      <c r="R78" s="48" t="n">
        <f aca="false">-In_Lease*$F25*R72*R17*R$6</f>
        <v>-39.5850480389201</v>
      </c>
      <c r="S78" s="48" t="n">
        <f aca="false">-In_Lease*$F25*S72*S17*S$6</f>
        <v>-39.6926161042432</v>
      </c>
      <c r="T78" s="48" t="n">
        <f aca="false">-In_Lease*$F25*T72*T17*T$6</f>
        <v>-40.1336451720682</v>
      </c>
      <c r="U78" s="48" t="n">
        <f aca="false">-In_Lease*$F25*U72*U17*U$6</f>
        <v>-40.5746742398931</v>
      </c>
      <c r="V78" s="48" t="n">
        <f aca="false">-In_Lease*$F25*V72*V17*V$6</f>
        <v>-40.5746742398931</v>
      </c>
      <c r="W78" s="48" t="n">
        <f aca="false">-In_Lease*$F25*W72*W17*W$6</f>
        <v>-40.6849315068493</v>
      </c>
      <c r="X78" s="48" t="n">
        <f aca="false">-In_Lease*$F25*X72*X17*X$6</f>
        <v>-41.1369863013699</v>
      </c>
      <c r="Y78" s="48" t="n">
        <f aca="false">-In_Lease*$F25*Y72*Y17*Y$6</f>
        <v>-41.5890410958904</v>
      </c>
      <c r="Z78" s="48" t="n">
        <f aca="false">-In_Lease*$F25*Z72*Z17*Z$6</f>
        <v>-41.5890410958904</v>
      </c>
      <c r="AA78" s="48" t="n">
        <f aca="false">-In_Lease*$F25*AA72*AA17*AA$6</f>
        <v>-41.7020547945206</v>
      </c>
      <c r="AB78" s="48" t="n">
        <f aca="false">-In_Lease*$F25*AB72*AB17*AB$6</f>
        <v>-42.1654109589041</v>
      </c>
      <c r="AC78" s="48" t="n">
        <f aca="false">-In_Lease*$F25*AC72*AC17*AC$6</f>
        <v>-42.6287671232877</v>
      </c>
      <c r="AD78" s="48" t="n">
        <f aca="false">-In_Lease*$F25*AD72*AD17*AD$6</f>
        <v>-42.6287671232877</v>
      </c>
      <c r="AE78" s="48" t="n">
        <f aca="false">-In_Lease*$F25*AE72*AE17*AE$6</f>
        <v>-43.2195462328767</v>
      </c>
      <c r="AF78" s="48" t="n">
        <f aca="false">-In_Lease*$F25*AF72*AF17*AF$6</f>
        <v>-43.2195462328767</v>
      </c>
      <c r="AG78" s="48" t="n">
        <f aca="false">-In_Lease*$F25*AG72*AG17*AG$6</f>
        <v>-43.6944863013699</v>
      </c>
      <c r="AH78" s="48" t="n">
        <f aca="false">-In_Lease*$F25*AH72*AH17*AH$6</f>
        <v>-43.6944863013699</v>
      </c>
      <c r="AI78" s="48" t="n">
        <f aca="false">-In_Lease*$F25*AI72*AI17*AI$6</f>
        <v>-43.8132213184931</v>
      </c>
      <c r="AJ78" s="48" t="n">
        <f aca="false">-In_Lease*$F25*AJ72*AJ17*AJ$6</f>
        <v>-44.3000348886986</v>
      </c>
      <c r="AK78" s="48" t="n">
        <f aca="false">-In_Lease*$F25*AK72*AK17*AK$6</f>
        <v>-44.7868484589041</v>
      </c>
      <c r="AL78" s="48" t="n">
        <f aca="false">-In_Lease*$F25*AL72*AL17*AL$6</f>
        <v>-44.7868484589041</v>
      </c>
      <c r="AM78" s="48" t="n">
        <f aca="false">-In_Lease*$F25*AM72*AM17*AM$6</f>
        <v>-44.9085518514555</v>
      </c>
      <c r="AN78" s="48" t="n">
        <f aca="false">-In_Lease*$F25*AN72*AN17*AN$6</f>
        <v>-45.4075357609161</v>
      </c>
      <c r="AO78" s="48" t="n">
        <f aca="false">-In_Lease*$F25*AO72*AO17*AO$6</f>
        <v>-45.9065196703767</v>
      </c>
      <c r="AP78" s="48" t="n">
        <f aca="false">-In_Lease*$F25*AP72*AP17*AP$6</f>
        <v>-45.9065196703767</v>
      </c>
      <c r="AQ78" s="48" t="n">
        <f aca="false">-In_Lease*$F25*AQ72*AQ17*AQ$6</f>
        <v>-46.0312656477419</v>
      </c>
      <c r="AR78" s="48" t="n">
        <f aca="false">-In_Lease*$F25*AR72*AR17*AR$6</f>
        <v>-46.542724154939</v>
      </c>
      <c r="AS78" s="48" t="n">
        <f aca="false">-In_Lease*$F25*AS72*AS17*AS$6</f>
        <v>-47.0541826621361</v>
      </c>
      <c r="AT78" s="48" t="n">
        <f aca="false">-In_Lease*$F25*AT72*AT17*AT$6</f>
        <v>-47.0541826621361</v>
      </c>
      <c r="AU78" s="48" t="n">
        <f aca="false">-In_Lease*$F25*AU72*AU17*AU$6</f>
        <v>-47.7062922588125</v>
      </c>
      <c r="AV78" s="48" t="n">
        <f aca="false">-In_Lease*$F25*AV72*AV17*AV$6</f>
        <v>-47.7062922588125</v>
      </c>
      <c r="AW78" s="48" t="n">
        <f aca="false">-In_Lease*$F25*AW72*AW17*AW$6</f>
        <v>-48.2305372286895</v>
      </c>
      <c r="AX78" s="48" t="n">
        <f aca="false">-In_Lease*$F25*AX72*AX17*AX$6</f>
        <v>-48.2305372286895</v>
      </c>
      <c r="AY78" s="48" t="n">
        <f aca="false">-In_Lease*$F25*AY72*AY17*AY$6</f>
        <v>-48.3615984711588</v>
      </c>
      <c r="AZ78" s="48" t="n">
        <f aca="false">-In_Lease*$F25*AZ72*AZ17*AZ$6</f>
        <v>-48.8989495652828</v>
      </c>
      <c r="BA78" s="48" t="n">
        <f aca="false">-In_Lease*$F25*BA72*BA17*BA$6</f>
        <v>-49.4363006594068</v>
      </c>
      <c r="BB78" s="48" t="n">
        <f aca="false">-In_Lease*$F25*BB72*BB17*BB$6</f>
        <v>-49.4363006594068</v>
      </c>
      <c r="BC78" s="48" t="n">
        <f aca="false">-In_Lease*$F25*BC72*BC17*BC$6</f>
        <v>-49.5706384329377</v>
      </c>
      <c r="BD78" s="48" t="n">
        <f aca="false">-In_Lease*$F25*BD72*BD17*BD$6</f>
        <v>-50.1214233044148</v>
      </c>
      <c r="BE78" s="48" t="n">
        <f aca="false">-In_Lease*$F25*BE72*BE17*BE$6</f>
        <v>-50.6722081758919</v>
      </c>
      <c r="BF78" s="48" t="n">
        <f aca="false">-In_Lease*$F25*BF72*BF17*BF$6</f>
        <v>-50.6722081758919</v>
      </c>
      <c r="BG78" s="48" t="n">
        <f aca="false">-In_Lease*$F25*BG72*BG17*BG$6</f>
        <v>-50.8099043937612</v>
      </c>
      <c r="BH78" s="48" t="n">
        <f aca="false">-In_Lease*$F25*BH72*BH17*BH$6</f>
        <v>-51.3744588870252</v>
      </c>
      <c r="BI78" s="48" t="n">
        <f aca="false">-In_Lease*$F25*BI72*BI17*BI$6</f>
        <v>-51.9390133802892</v>
      </c>
      <c r="BJ78" s="48" t="n">
        <f aca="false">-In_Lease*$F25*BJ72*BJ17*BJ$6</f>
        <v>-51.9390133802892</v>
      </c>
      <c r="BK78" s="48" t="n">
        <f aca="false">-In_Lease*$F25*BK72*BK17*BK$6</f>
        <v>-52.6588203592008</v>
      </c>
      <c r="BL78" s="48" t="n">
        <f aca="false">-In_Lease*$F25*BL72*BL17*BL$6</f>
        <v>-52.6588203592008</v>
      </c>
      <c r="BM78" s="48" t="n">
        <f aca="false">-In_Lease*$F25*BM72*BM17*BM$6</f>
        <v>-53.2374887147964</v>
      </c>
      <c r="BN78" s="48" t="n">
        <f aca="false">-In_Lease*$F25*BN72*BN17*BN$6</f>
        <v>-53.2374887147964</v>
      </c>
      <c r="BO78" s="48" t="n">
        <f aca="false">-In_Lease*$F25*BO72*BO17*BO$6</f>
        <v>-53.3821558036953</v>
      </c>
      <c r="BP78" s="48" t="n">
        <f aca="false">-In_Lease*$F25*BP72*BP17*BP$6</f>
        <v>-53.9752908681808</v>
      </c>
      <c r="BQ78" s="48" t="n">
        <f aca="false">-In_Lease*$F25*BQ72*BQ17*BQ$6</f>
        <v>-54.5684259326664</v>
      </c>
      <c r="BR78" s="48" t="n">
        <f aca="false">-In_Lease*$F25*BR72*BR17*BR$6</f>
        <v>-54.5684259326664</v>
      </c>
      <c r="BS78" s="48" t="n">
        <f aca="false">-In_Lease*$F25*BS72*BS17*BS$6</f>
        <v>-54.7167096987877</v>
      </c>
      <c r="BT78" s="48" t="n">
        <f aca="false">-In_Lease*$F25*BT72*BT17*BT$6</f>
        <v>-55.3246731398854</v>
      </c>
      <c r="BU78" s="48" t="n">
        <f aca="false">-In_Lease*$F25*BU72*BU17*BU$6</f>
        <v>-55.932636580983</v>
      </c>
      <c r="BV78" s="48" t="n">
        <f aca="false">-In_Lease*$F25*BV72*BV17*BV$6</f>
        <v>-55.932636580983</v>
      </c>
      <c r="BW78" s="48" t="n">
        <f aca="false">-In_Lease*$F25*BW72*BW17*BW$6</f>
        <v>-56.0846274412574</v>
      </c>
      <c r="BX78" s="48" t="n">
        <f aca="false">-In_Lease*$F25*BX72*BX17*BX$6</f>
        <v>-56.7077899683825</v>
      </c>
      <c r="BY78" s="48" t="n">
        <f aca="false">-In_Lease*$F25*BY72*BY17*BY$6</f>
        <v>-57.3309524955076</v>
      </c>
      <c r="BZ78" s="48" t="n">
        <f aca="false">-In_Lease*$F25*BZ72*BZ17*BZ$6</f>
        <v>-57.3309524955076</v>
      </c>
      <c r="CA78" s="48" t="n">
        <f aca="false">-In_Lease*$F25*CA72*CA17*CA$6</f>
        <v>-58.125484717592</v>
      </c>
      <c r="CB78" s="48" t="n">
        <f aca="false">-In_Lease*$F25*CB72*CB17*CB$6</f>
        <v>-58.125484717592</v>
      </c>
      <c r="CC78" s="48" t="n">
        <f aca="false">-In_Lease*$F25*CC72*CC17*CC$6</f>
        <v>-58.7642263078953</v>
      </c>
      <c r="CD78" s="48" t="n">
        <f aca="false">-In_Lease*$F25*CD72*CD17*CD$6</f>
        <v>-58.7642263078953</v>
      </c>
      <c r="CE78" s="48" t="n">
        <f aca="false">-In_Lease*$F25*CE72*CE17*CE$6</f>
        <v>-58.923911705471</v>
      </c>
      <c r="CF78" s="48" t="n">
        <f aca="false">-In_Lease*$F25*CF72*CF17*CF$6</f>
        <v>-59.5786218355318</v>
      </c>
      <c r="CG78" s="48" t="n">
        <f aca="false">-In_Lease*$F25*CG72*CG17*CG$6</f>
        <v>-60.2333319655926</v>
      </c>
      <c r="CH78" s="48" t="n">
        <f aca="false">-In_Lease*$F25*CH72*CH17*CH$6</f>
        <v>-60.2333319655926</v>
      </c>
      <c r="CI78" s="48" t="n">
        <f aca="false">-In_Lease*$F25*CI72*CI17*CI$6</f>
        <v>-60.3970094981078</v>
      </c>
      <c r="CJ78" s="48" t="n">
        <f aca="false">-In_Lease*$F25*CJ72*CJ17*CJ$6</f>
        <v>-61.0680873814201</v>
      </c>
      <c r="CK78" s="48" t="n">
        <f aca="false">-In_Lease*$F25*CK72*CK17*CK$6</f>
        <v>-61.7391652647324</v>
      </c>
      <c r="CL78" s="48" t="n">
        <f aca="false">-In_Lease*$F25*CL72*CL17*CL$6</f>
        <v>-61.7391652647324</v>
      </c>
      <c r="CM78" s="48" t="n">
        <f aca="false">-In_Lease*$F25*CM72*CM17*CM$6</f>
        <v>-61.9069347355605</v>
      </c>
      <c r="CN78" s="48" t="n">
        <f aca="false">-In_Lease*$F25*CN72*CN17*CN$6</f>
        <v>-62.5947895659556</v>
      </c>
      <c r="CO78" s="48" t="n">
        <f aca="false">-In_Lease*$F25*CO72*CO17*CO$6</f>
        <v>-63.2826443963507</v>
      </c>
      <c r="CP78" s="48" t="n">
        <f aca="false">-In_Lease*$F25*CP72*CP17*CP$6</f>
        <v>-63.2826443963507</v>
      </c>
      <c r="CQ78" s="48" t="n">
        <f aca="false">-In_Lease*$F25*CQ72*CQ17*CQ$6</f>
        <v>-64.1596593051045</v>
      </c>
      <c r="CR78" s="48" t="n">
        <f aca="false">-In_Lease*$F25*CR72*CR17*CR$6</f>
        <v>-64.1596593051045</v>
      </c>
      <c r="CS78" s="48" t="n">
        <f aca="false">-In_Lease*$F25*CS72*CS17*CS$6</f>
        <v>-64.8647105062595</v>
      </c>
      <c r="CT78" s="48" t="n">
        <f aca="false">-In_Lease*$F25*CT72*CT17*CT$6</f>
        <v>-64.8647105062595</v>
      </c>
      <c r="CU78" s="48" t="n">
        <f aca="false">-In_Lease*$F25*CU72*CU17*CU$6</f>
        <v>-65.0409733065482</v>
      </c>
      <c r="CV78" s="48" t="n">
        <f aca="false">-In_Lease*$F25*CV72*CV17*CV$6</f>
        <v>-65.7636507877321</v>
      </c>
      <c r="CW78" s="48" t="n">
        <f aca="false">-In_Lease*$F25*CW72*CW17*CW$6</f>
        <v>-66.486328268916</v>
      </c>
      <c r="CX78" s="48" t="n">
        <f aca="false">-In_Lease*$F25*CX72*CX17*CX$6</f>
        <v>-66.486328268916</v>
      </c>
      <c r="CY78" s="48" t="n">
        <f aca="false">-In_Lease*$F25*CY72*CY17*CY$6</f>
        <v>-66.6669976392119</v>
      </c>
      <c r="CZ78" s="48" t="n">
        <f aca="false">-In_Lease*$F25*CZ72*CZ17*CZ$6</f>
        <v>-67.4077420574254</v>
      </c>
      <c r="DA78" s="48" t="n">
        <f aca="false">-In_Lease*$F25*DA72*DA17*DA$6</f>
        <v>-68.1484864756389</v>
      </c>
      <c r="DB78" s="48" t="n">
        <f aca="false">-In_Lease*$F25*DB72*DB17*DB$6</f>
        <v>-68.1484864756389</v>
      </c>
      <c r="DC78" s="48" t="n">
        <f aca="false">-In_Lease*$F25*DC72*DC17*DC$6</f>
        <v>-68.3336725801922</v>
      </c>
      <c r="DD78" s="48" t="n">
        <f aca="false">-In_Lease*$F25*DD72*DD17*DD$6</f>
        <v>-69.0929356088611</v>
      </c>
      <c r="DE78" s="48" t="n">
        <f aca="false">-In_Lease*$F25*DE72*DE17*DE$6</f>
        <v>-69.8521986375299</v>
      </c>
      <c r="DF78" s="48" t="n">
        <f aca="false">-In_Lease*$F25*DF72*DF17*DF$6</f>
        <v>-69.8521986375299</v>
      </c>
      <c r="DG78" s="48" t="n">
        <f aca="false">-In_Lease*$F25*DG72*DG17*DG$6</f>
        <v>-70.8202589990826</v>
      </c>
      <c r="DH78" s="48" t="n">
        <f aca="false">-In_Lease*$F25*DH72*DH17*DH$6</f>
        <v>-70.8202589990826</v>
      </c>
      <c r="DI78" s="48" t="n">
        <f aca="false">-In_Lease*$F25*DI72*DI17*DI$6</f>
        <v>-71.5985036034681</v>
      </c>
      <c r="DJ78" s="48" t="n">
        <f aca="false">-In_Lease*$F25*DJ72*DJ17*DJ$6</f>
        <v>-71.5985036034681</v>
      </c>
      <c r="DK78" s="48" t="n">
        <f aca="false">-In_Lease*$F25*DK72*DK17*DK$6</f>
        <v>-71.7930647545645</v>
      </c>
      <c r="DL78" s="48" t="n">
        <f aca="false">-In_Lease*$F25*DL72*DL17*DL$6</f>
        <v>-72.5907654740596</v>
      </c>
      <c r="DM78" s="48" t="n">
        <f aca="false">-In_Lease*$F25*DM72*DM17*DM$6</f>
        <v>-73.3884661935548</v>
      </c>
      <c r="DN78" s="48" t="n">
        <f aca="false">-In_Lease*$F25*DN72*DN17*DN$6</f>
        <v>-73.3884661935548</v>
      </c>
      <c r="DO78" s="48" t="n">
        <f aca="false">-In_Lease*$F25*DO72*DO17*DO$6</f>
        <v>-73.5878913734286</v>
      </c>
      <c r="DP78" s="48" t="n">
        <f aca="false">-In_Lease*$F25*DP72*DP17*DP$6</f>
        <v>-74.4055346109111</v>
      </c>
      <c r="DQ78" s="48" t="n">
        <f aca="false">-In_Lease*$F25*DQ72*DQ17*DQ$6</f>
        <v>-75.2231778483937</v>
      </c>
      <c r="DR78" s="48" t="n">
        <f aca="false">-In_Lease*$F25*DR72*DR17*DR$6</f>
        <v>-75.2231778483937</v>
      </c>
      <c r="DS78" s="48" t="n">
        <f aca="false">-In_Lease*$F25*DS72*DS17*DS$6</f>
        <v>-75.4275886577643</v>
      </c>
      <c r="DT78" s="48" t="n">
        <f aca="false">-In_Lease*$F25*DT72*DT17*DT$6</f>
        <v>-76.2656729761839</v>
      </c>
      <c r="DU78" s="48" t="n">
        <f aca="false">-In_Lease*$F25*DU72*DU17*DU$6</f>
        <v>-77.1037572946035</v>
      </c>
      <c r="DV78" s="48" t="n">
        <f aca="false">-In_Lease*$F25*DV72*DV17*DV$6</f>
        <v>-77.1037572946035</v>
      </c>
      <c r="DW78" s="48" t="n">
        <f aca="false">-In_Lease*$F25*DW72*DW17*DW$6</f>
        <v>-78.1723148005885</v>
      </c>
      <c r="DX78" s="48" t="n">
        <f aca="false">-In_Lease*$F25*DX72*DX17*DX$6</f>
        <v>-78.1723148005885</v>
      </c>
      <c r="DY78" s="48" t="n">
        <f aca="false">-In_Lease*$F25*DY72*DY17*DY$6</f>
        <v>-79.0313512269686</v>
      </c>
      <c r="DZ78" s="48" t="n">
        <f aca="false">-In_Lease*$F25*DZ72*DZ17*DZ$6</f>
        <v>-79.0313512269686</v>
      </c>
      <c r="EA78" s="48" t="n">
        <f aca="false">-In_Lease*$F25*EA72*EA17*EA$6</f>
        <v>-79.2461103335636</v>
      </c>
      <c r="EB78" s="48" t="n">
        <f aca="false">-In_Lease*$F25*EB72*EB17*EB$6</f>
        <v>-80.1266226706032</v>
      </c>
      <c r="EC78" s="48" t="n">
        <f aca="false">-In_Lease*$F25*EC72*EC17*EC$6</f>
        <v>-81.0071350076428</v>
      </c>
      <c r="ED78" s="48" t="n">
        <f aca="false">-In_Lease*$F25*ED72*ED17*ED$6</f>
        <v>-81.0071350076428</v>
      </c>
      <c r="EE78" s="48" t="n">
        <f aca="false">-In_Lease*$F25*EE72*EE17*EE$6</f>
        <v>-81.2272630919027</v>
      </c>
      <c r="EF78" s="48" t="n">
        <f aca="false">-In_Lease*$F25*EF72*EF17*EF$6</f>
        <v>-82.1297882373683</v>
      </c>
      <c r="EG78" s="48" t="n">
        <f aca="false">-In_Lease*$F25*EG72*EG17*EG$6</f>
        <v>-83.0323133828338</v>
      </c>
      <c r="EH78" s="48" t="n">
        <f aca="false">-In_Lease*$F25*EH72*EH17*EH$6</f>
        <v>-83.0323133828338</v>
      </c>
      <c r="EI78" s="48" t="n">
        <f aca="false">-In_Lease*$F25*EI72*EI17*EI$6</f>
        <v>-83.2579446692002</v>
      </c>
      <c r="EJ78" s="48" t="n">
        <f aca="false">-In_Lease*$F25*EJ72*EJ17*EJ$6</f>
        <v>-84.1830329433024</v>
      </c>
      <c r="EK78" s="48" t="n">
        <f aca="false">-In_Lease*$F25*EK72*EK17*EK$6</f>
        <v>-85.1081212174047</v>
      </c>
      <c r="EL78" s="48" t="n">
        <f aca="false">-In_Lease*$F25*EL72*EL17*EL$6</f>
        <v>-85.1081212174047</v>
      </c>
      <c r="EM78" s="48" t="n">
        <f aca="false">-In_Lease*$F25*EM72*EM17*EM$6</f>
        <v>-86.287608766885</v>
      </c>
      <c r="EN78" s="48" t="n">
        <f aca="false">-In_Lease*$F25*EN72*EN17*EN$6</f>
        <v>-86.287608766885</v>
      </c>
      <c r="EO78" s="48" t="n">
        <f aca="false">-In_Lease*$F25*EO72*EO17*EO$6</f>
        <v>-87.2358242478398</v>
      </c>
    </row>
    <row r="79" customFormat="false" ht="15" hidden="false" customHeight="false" outlineLevel="0" collapsed="false">
      <c r="C79" s="0" t="s">
        <v>462</v>
      </c>
      <c r="D79" s="11" t="s">
        <v>33</v>
      </c>
      <c r="I79" s="48" t="n">
        <f aca="false">SUM(J79:EO79)</f>
        <v>-10098.0650826636</v>
      </c>
      <c r="J79" s="48" t="n">
        <f aca="false">-J75*(In_MEKH+In_HIPA+In_Innovation)</f>
        <v>-0</v>
      </c>
      <c r="K79" s="48" t="n">
        <f aca="false">-K75*(In_MEKH+In_HIPA+In_Innovation)</f>
        <v>-0</v>
      </c>
      <c r="L79" s="48" t="n">
        <f aca="false">-L75*(In_MEKH+In_HIPA+In_Innovation)</f>
        <v>-0</v>
      </c>
      <c r="M79" s="48" t="n">
        <f aca="false">-M75*(In_MEKH+In_HIPA+In_Innovation)</f>
        <v>-0</v>
      </c>
      <c r="N79" s="48" t="n">
        <f aca="false">-N75*(In_MEKH+In_HIPA+In_Innovation)</f>
        <v>-0</v>
      </c>
      <c r="O79" s="48" t="n">
        <f aca="false">-O75*(In_MEKH+In_HIPA+In_Innovation)</f>
        <v>-0</v>
      </c>
      <c r="P79" s="48" t="n">
        <f aca="false">-P75*(In_MEKH+In_HIPA+In_Innovation)</f>
        <v>-0</v>
      </c>
      <c r="Q79" s="48" t="n">
        <f aca="false">-Q75*(In_MEKH+In_HIPA+In_Innovation)</f>
        <v>-0</v>
      </c>
      <c r="R79" s="48" t="n">
        <f aca="false">-R75*(In_MEKH+In_HIPA+In_Innovation)</f>
        <v>-0</v>
      </c>
      <c r="S79" s="48" t="n">
        <f aca="false">-S75*(In_MEKH+In_HIPA+In_Innovation)</f>
        <v>-0</v>
      </c>
      <c r="T79" s="48" t="n">
        <f aca="false">-T75*(In_MEKH+In_HIPA+In_Innovation)</f>
        <v>-0</v>
      </c>
      <c r="U79" s="48" t="n">
        <f aca="false">-U75*(In_MEKH+In_HIPA+In_Innovation)</f>
        <v>-0</v>
      </c>
      <c r="V79" s="48" t="n">
        <f aca="false">-V75*(In_MEKH+In_HIPA+In_Innovation)</f>
        <v>-0</v>
      </c>
      <c r="W79" s="48" t="n">
        <f aca="false">-W75*(In_MEKH+In_HIPA+In_Innovation)</f>
        <v>-0</v>
      </c>
      <c r="X79" s="48" t="n">
        <f aca="false">-X75*(In_MEKH+In_HIPA+In_Innovation)</f>
        <v>-0</v>
      </c>
      <c r="Y79" s="48" t="n">
        <f aca="false">-Y75*(In_MEKH+In_HIPA+In_Innovation)</f>
        <v>-0</v>
      </c>
      <c r="Z79" s="48" t="n">
        <f aca="false">-Z75*(In_MEKH+In_HIPA+In_Innovation)</f>
        <v>-75.950784</v>
      </c>
      <c r="AA79" s="48" t="n">
        <f aca="false">-AA75*(In_MEKH+In_HIPA+In_Innovation)</f>
        <v>-75.0426768</v>
      </c>
      <c r="AB79" s="48" t="n">
        <f aca="false">-AB75*(In_MEKH+In_HIPA+In_Innovation)</f>
        <v>-75.87648432</v>
      </c>
      <c r="AC79" s="48" t="n">
        <f aca="false">-AC75*(In_MEKH+In_HIPA+In_Innovation)</f>
        <v>-76.71029184</v>
      </c>
      <c r="AD79" s="48" t="n">
        <f aca="false">-AD75*(In_MEKH+In_HIPA+In_Innovation)</f>
        <v>-76.48016096448</v>
      </c>
      <c r="AE79" s="48" t="n">
        <f aca="false">-AE75*(In_MEKH+In_HIPA+In_Innovation)</f>
        <v>-76.4053434157104</v>
      </c>
      <c r="AF79" s="48" t="n">
        <f aca="false">-AF75*(In_MEKH+In_HIPA+In_Innovation)</f>
        <v>-76.4053434157104</v>
      </c>
      <c r="AG79" s="48" t="n">
        <f aca="false">-AG75*(In_MEKH+In_HIPA+In_Innovation)</f>
        <v>-77.2449625741248</v>
      </c>
      <c r="AH79" s="48" t="n">
        <f aca="false">-AH75*(In_MEKH+In_HIPA+In_Innovation)</f>
        <v>-77.0132276864024</v>
      </c>
      <c r="AI79" s="48" t="n">
        <f aca="false">-AI75*(In_MEKH+In_HIPA+In_Innovation)</f>
        <v>-76.0924173553694</v>
      </c>
      <c r="AJ79" s="48" t="n">
        <f aca="false">-AJ75*(In_MEKH+In_HIPA+In_Innovation)</f>
        <v>-76.9378886593179</v>
      </c>
      <c r="AK79" s="48" t="n">
        <f aca="false">-AK75*(In_MEKH+In_HIPA+In_Innovation)</f>
        <v>-77.7833599632665</v>
      </c>
      <c r="AL79" s="48" t="n">
        <f aca="false">-AL75*(In_MEKH+In_HIPA+In_Innovation)</f>
        <v>-77.5500098833767</v>
      </c>
      <c r="AM79" s="48" t="n">
        <f aca="false">-AM75*(In_MEKH+In_HIPA+In_Innovation)</f>
        <v>-76.6227815043363</v>
      </c>
      <c r="AN79" s="48" t="n">
        <f aca="false">-AN75*(In_MEKH+In_HIPA+In_Innovation)</f>
        <v>-77.4741457432734</v>
      </c>
      <c r="AO79" s="48" t="n">
        <f aca="false">-AO75*(In_MEKH+In_HIPA+In_Innovation)</f>
        <v>-78.3255099822104</v>
      </c>
      <c r="AP79" s="48" t="n">
        <f aca="false">-AP75*(In_MEKH+In_HIPA+In_Innovation)</f>
        <v>-78.0905334522638</v>
      </c>
      <c r="AQ79" s="48" t="n">
        <f aca="false">-AQ75*(In_MEKH+In_HIPA+In_Innovation)</f>
        <v>-77.1568422914215</v>
      </c>
      <c r="AR79" s="48" t="n">
        <f aca="false">-AR75*(In_MEKH+In_HIPA+In_Innovation)</f>
        <v>-78.014140539104</v>
      </c>
      <c r="AS79" s="48" t="n">
        <f aca="false">-AS75*(In_MEKH+In_HIPA+In_Innovation)</f>
        <v>-78.8714387867865</v>
      </c>
      <c r="AT79" s="48" t="n">
        <f aca="false">-AT75*(In_MEKH+In_HIPA+In_Innovation)</f>
        <v>-78.6348244704261</v>
      </c>
      <c r="AU79" s="48" t="n">
        <f aca="false">-AU75*(In_MEKH+In_HIPA+In_Innovation)</f>
        <v>-78.5578990986615</v>
      </c>
      <c r="AV79" s="48" t="n">
        <f aca="false">-AV75*(In_MEKH+In_HIPA+In_Innovation)</f>
        <v>-78.5578990986615</v>
      </c>
      <c r="AW79" s="48" t="n">
        <f aca="false">-AW75*(In_MEKH+In_HIPA+In_Innovation)</f>
        <v>-79.4211727151304</v>
      </c>
      <c r="AX79" s="48" t="n">
        <f aca="false">-AX75*(In_MEKH+In_HIPA+In_Innovation)</f>
        <v>-79.182909196985</v>
      </c>
      <c r="AY79" s="48" t="n">
        <f aca="false">-AY75*(In_MEKH+In_HIPA+In_Innovation)</f>
        <v>-78.2361570218036</v>
      </c>
      <c r="AZ79" s="48" t="n">
        <f aca="false">-AZ75*(In_MEKH+In_HIPA+In_Innovation)</f>
        <v>-79.1054476553792</v>
      </c>
      <c r="BA79" s="48" t="n">
        <f aca="false">-BA75*(In_MEKH+In_HIPA+In_Innovation)</f>
        <v>-79.9747382889548</v>
      </c>
      <c r="BB79" s="48" t="n">
        <f aca="false">-BB75*(In_MEKH+In_HIPA+In_Innovation)</f>
        <v>-79.7348140740879</v>
      </c>
      <c r="BC79" s="48" t="n">
        <f aca="false">-BC75*(In_MEKH+In_HIPA+In_Innovation)</f>
        <v>-78.7814630362456</v>
      </c>
      <c r="BD79" s="48" t="n">
        <f aca="false">-BD75*(In_MEKH+In_HIPA+In_Innovation)</f>
        <v>-79.6568126255372</v>
      </c>
      <c r="BE79" s="48" t="n">
        <f aca="false">-BE75*(In_MEKH+In_HIPA+In_Innovation)</f>
        <v>-80.5321622148288</v>
      </c>
      <c r="BF79" s="48" t="n">
        <f aca="false">-BF75*(In_MEKH+In_HIPA+In_Innovation)</f>
        <v>-80.2905657281844</v>
      </c>
      <c r="BG79" s="48" t="n">
        <f aca="false">-BG75*(In_MEKH+In_HIPA+In_Innovation)</f>
        <v>-79.3305698336082</v>
      </c>
      <c r="BH79" s="48" t="n">
        <f aca="false">-BH75*(In_MEKH+In_HIPA+In_Innovation)</f>
        <v>-80.2120206095372</v>
      </c>
      <c r="BI79" s="48" t="n">
        <f aca="false">-BI75*(In_MEKH+In_HIPA+In_Innovation)</f>
        <v>-81.0934713854662</v>
      </c>
      <c r="BJ79" s="48" t="n">
        <f aca="false">-BJ75*(In_MEKH+In_HIPA+In_Innovation)</f>
        <v>-80.8501909713098</v>
      </c>
      <c r="BK79" s="48" t="n">
        <f aca="false">-BK75*(In_MEKH+In_HIPA+In_Innovation)</f>
        <v>-80.7710983931857</v>
      </c>
      <c r="BL79" s="48" t="n">
        <f aca="false">-BL75*(In_MEKH+In_HIPA+In_Innovation)</f>
        <v>-80.7710983931857</v>
      </c>
      <c r="BM79" s="48" t="n">
        <f aca="false">-BM75*(In_MEKH+In_HIPA+In_Innovation)</f>
        <v>-81.6586928810229</v>
      </c>
      <c r="BN79" s="48" t="n">
        <f aca="false">-BN75*(In_MEKH+In_HIPA+In_Innovation)</f>
        <v>-81.4137168023798</v>
      </c>
      <c r="BO79" s="48" t="n">
        <f aca="false">-BO75*(In_MEKH+In_HIPA+In_Innovation)</f>
        <v>-80.4402919275687</v>
      </c>
      <c r="BP79" s="48" t="n">
        <f aca="false">-BP75*(In_MEKH+In_HIPA+In_Innovation)</f>
        <v>-81.3340729489862</v>
      </c>
      <c r="BQ79" s="48" t="n">
        <f aca="false">-BQ75*(In_MEKH+In_HIPA+In_Innovation)</f>
        <v>-82.2278539704036</v>
      </c>
      <c r="BR79" s="48" t="n">
        <f aca="false">-BR75*(In_MEKH+In_HIPA+In_Innovation)</f>
        <v>-81.9811704084924</v>
      </c>
      <c r="BS79" s="48" t="n">
        <f aca="false">-BS75*(In_MEKH+In_HIPA+In_Innovation)</f>
        <v>-81.0009607623039</v>
      </c>
      <c r="BT79" s="48" t="n">
        <f aca="false">-BT75*(In_MEKH+In_HIPA+In_Innovation)</f>
        <v>-81.9009714374406</v>
      </c>
      <c r="BU79" s="48" t="n">
        <f aca="false">-BU75*(In_MEKH+In_HIPA+In_Innovation)</f>
        <v>-82.8009821125773</v>
      </c>
      <c r="BV79" s="48" t="n">
        <f aca="false">-BV75*(In_MEKH+In_HIPA+In_Innovation)</f>
        <v>-82.5525791662396</v>
      </c>
      <c r="BW79" s="48" t="n">
        <f aca="false">-BW75*(In_MEKH+In_HIPA+In_Innovation)</f>
        <v>-81.5655374588172</v>
      </c>
      <c r="BX79" s="48" t="n">
        <f aca="false">-BX75*(In_MEKH+In_HIPA+In_Innovation)</f>
        <v>-82.4718212083596</v>
      </c>
      <c r="BY79" s="48" t="n">
        <f aca="false">-BY75*(In_MEKH+In_HIPA+In_Innovation)</f>
        <v>-83.378104957902</v>
      </c>
      <c r="BZ79" s="48" t="n">
        <f aca="false">-BZ75*(In_MEKH+In_HIPA+In_Innovation)</f>
        <v>-83.1279706430283</v>
      </c>
      <c r="CA79" s="48" t="n">
        <f aca="false">-CA75*(In_MEKH+In_HIPA+In_Innovation)</f>
        <v>-83.0466498021818</v>
      </c>
      <c r="CB79" s="48" t="n">
        <f aca="false">-CB75*(In_MEKH+In_HIPA+In_Innovation)</f>
        <v>-83.0466498021818</v>
      </c>
      <c r="CC79" s="48" t="n">
        <f aca="false">-CC75*(In_MEKH+In_HIPA+In_Innovation)</f>
        <v>-83.9592503494586</v>
      </c>
      <c r="CD79" s="48" t="n">
        <f aca="false">-CD75*(In_MEKH+In_HIPA+In_Innovation)</f>
        <v>-83.7073725984102</v>
      </c>
      <c r="CE79" s="48" t="n">
        <f aca="false">-CE75*(In_MEKH+In_HIPA+In_Innovation)</f>
        <v>-82.7065235782118</v>
      </c>
      <c r="CF79" s="48" t="n">
        <f aca="false">-CF75*(In_MEKH+In_HIPA+In_Innovation)</f>
        <v>-83.625484951303</v>
      </c>
      <c r="CG79" s="48" t="n">
        <f aca="false">-CG75*(In_MEKH+In_HIPA+In_Innovation)</f>
        <v>-84.5444463243943</v>
      </c>
      <c r="CH79" s="48" t="n">
        <f aca="false">-CH75*(In_MEKH+In_HIPA+In_Innovation)</f>
        <v>-84.2908129854211</v>
      </c>
      <c r="CI79" s="48" t="n">
        <f aca="false">-CI75*(In_MEKH+In_HIPA+In_Innovation)</f>
        <v>-83.2829880475519</v>
      </c>
      <c r="CJ79" s="48" t="n">
        <f aca="false">-CJ75*(In_MEKH+In_HIPA+In_Innovation)</f>
        <v>-84.2083545814136</v>
      </c>
      <c r="CK79" s="48" t="n">
        <f aca="false">-CK75*(In_MEKH+In_HIPA+In_Innovation)</f>
        <v>-85.1337211152753</v>
      </c>
      <c r="CL79" s="48" t="n">
        <f aca="false">-CL75*(In_MEKH+In_HIPA+In_Innovation)</f>
        <v>-84.8783199519295</v>
      </c>
      <c r="CM79" s="48" t="n">
        <f aca="false">-CM75*(In_MEKH+In_HIPA+In_Innovation)</f>
        <v>-83.8634704742434</v>
      </c>
      <c r="CN79" s="48" t="n">
        <f aca="false">-CN75*(In_MEKH+In_HIPA+In_Innovation)</f>
        <v>-84.7952868128461</v>
      </c>
      <c r="CO79" s="48" t="n">
        <f aca="false">-CO75*(In_MEKH+In_HIPA+In_Innovation)</f>
        <v>-85.7271031514488</v>
      </c>
      <c r="CP79" s="48" t="n">
        <f aca="false">-CP75*(In_MEKH+In_HIPA+In_Innovation)</f>
        <v>-85.4699218419945</v>
      </c>
      <c r="CQ79" s="48" t="n">
        <f aca="false">-CQ75*(In_MEKH+In_HIPA+In_Innovation)</f>
        <v>-85.3863099619316</v>
      </c>
      <c r="CR79" s="48" t="n">
        <f aca="false">-CR75*(In_MEKH+In_HIPA+In_Innovation)</f>
        <v>-85.3863099619316</v>
      </c>
      <c r="CS79" s="48" t="n">
        <f aca="false">-CS75*(In_MEKH+In_HIPA+In_Innovation)</f>
        <v>-86.3246210604144</v>
      </c>
      <c r="CT79" s="48" t="n">
        <f aca="false">-CT75*(In_MEKH+In_HIPA+In_Innovation)</f>
        <v>-86.0656471972332</v>
      </c>
      <c r="CU79" s="48" t="n">
        <f aca="false">-CU75*(In_MEKH+In_HIPA+In_Innovation)</f>
        <v>-85.0366014155271</v>
      </c>
      <c r="CV79" s="48" t="n">
        <f aca="false">-CV75*(In_MEKH+In_HIPA+In_Innovation)</f>
        <v>-85.9814525423663</v>
      </c>
      <c r="CW79" s="48" t="n">
        <f aca="false">-CW75*(In_MEKH+In_HIPA+In_Innovation)</f>
        <v>-86.9263036692055</v>
      </c>
      <c r="CX79" s="48" t="n">
        <f aca="false">-CX75*(In_MEKH+In_HIPA+In_Innovation)</f>
        <v>-86.6655247581979</v>
      </c>
      <c r="CY79" s="48" t="n">
        <f aca="false">-CY75*(In_MEKH+In_HIPA+In_Innovation)</f>
        <v>-85.6293065273933</v>
      </c>
      <c r="CZ79" s="48" t="n">
        <f aca="false">-CZ75*(In_MEKH+In_HIPA+In_Innovation)</f>
        <v>-86.5807432665866</v>
      </c>
      <c r="DA79" s="48" t="n">
        <f aca="false">-DA75*(In_MEKH+In_HIPA+In_Innovation)</f>
        <v>-87.5321800057799</v>
      </c>
      <c r="DB79" s="48" t="n">
        <f aca="false">-DB75*(In_MEKH+In_HIPA+In_Innovation)</f>
        <v>-87.2695834657625</v>
      </c>
      <c r="DC79" s="48" t="n">
        <f aca="false">-DC75*(In_MEKH+In_HIPA+In_Innovation)</f>
        <v>-86.2261427938893</v>
      </c>
      <c r="DD79" s="48" t="n">
        <f aca="false">-DD75*(In_MEKH+In_HIPA+In_Innovation)</f>
        <v>-87.1842110471547</v>
      </c>
      <c r="DE79" s="48" t="n">
        <f aca="false">-DE75*(In_MEKH+In_HIPA+In_Innovation)</f>
        <v>-88.1422793004201</v>
      </c>
      <c r="DF79" s="48" t="n">
        <f aca="false">-DF75*(In_MEKH+In_HIPA+In_Innovation)</f>
        <v>-87.8778524625189</v>
      </c>
      <c r="DG79" s="48" t="n">
        <f aca="false">-DG75*(In_MEKH+In_HIPA+In_Innovation)</f>
        <v>-87.7918849981534</v>
      </c>
      <c r="DH79" s="48" t="n">
        <f aca="false">-DH75*(In_MEKH+In_HIPA+In_Innovation)</f>
        <v>-87.7918849981534</v>
      </c>
      <c r="DI79" s="48" t="n">
        <f aca="false">-DI75*(In_MEKH+In_HIPA+In_Innovation)</f>
        <v>-88.7566309871441</v>
      </c>
      <c r="DJ79" s="48" t="n">
        <f aca="false">-DJ75*(In_MEKH+In_HIPA+In_Innovation)</f>
        <v>-88.4903610941826</v>
      </c>
      <c r="DK79" s="48" t="n">
        <f aca="false">-DK75*(In_MEKH+In_HIPA+In_Innovation)</f>
        <v>-87.4323241680565</v>
      </c>
      <c r="DL79" s="48" t="n">
        <f aca="false">-DL75*(In_MEKH+In_HIPA+In_Innovation)</f>
        <v>-88.4037944365905</v>
      </c>
      <c r="DM79" s="48" t="n">
        <f aca="false">-DM75*(In_MEKH+In_HIPA+In_Innovation)</f>
        <v>-89.3752647051245</v>
      </c>
      <c r="DN79" s="48" t="n">
        <f aca="false">-DN75*(In_MEKH+In_HIPA+In_Innovation)</f>
        <v>-89.1071389110091</v>
      </c>
      <c r="DO79" s="48" t="n">
        <f aca="false">-DO75*(In_MEKH+In_HIPA+In_Innovation)</f>
        <v>-88.0417274675079</v>
      </c>
      <c r="DP79" s="48" t="n">
        <f aca="false">-DP75*(In_MEKH+In_HIPA+In_Innovation)</f>
        <v>-89.0199688838135</v>
      </c>
      <c r="DQ79" s="48" t="n">
        <f aca="false">-DQ75*(In_MEKH+In_HIPA+In_Innovation)</f>
        <v>-89.9982103001192</v>
      </c>
      <c r="DR79" s="48" t="n">
        <f aca="false">-DR75*(In_MEKH+In_HIPA+In_Innovation)</f>
        <v>-89.7282156692188</v>
      </c>
      <c r="DS79" s="48" t="n">
        <f aca="false">-DS75*(In_MEKH+In_HIPA+In_Innovation)</f>
        <v>-88.6553783079564</v>
      </c>
      <c r="DT79" s="48" t="n">
        <f aca="false">-DT75*(In_MEKH+In_HIPA+In_Innovation)</f>
        <v>-89.6404380669337</v>
      </c>
      <c r="DU79" s="48" t="n">
        <f aca="false">-DU75*(In_MEKH+In_HIPA+In_Innovation)</f>
        <v>-90.625497825911</v>
      </c>
      <c r="DV79" s="48" t="n">
        <f aca="false">-DV75*(In_MEKH+In_HIPA+In_Innovation)</f>
        <v>-90.3536213324333</v>
      </c>
      <c r="DW79" s="48" t="n">
        <f aca="false">-DW75*(In_MEKH+In_HIPA+In_Innovation)</f>
        <v>-90.2652319202602</v>
      </c>
      <c r="DX79" s="48" t="n">
        <f aca="false">-DX75*(In_MEKH+In_HIPA+In_Innovation)</f>
        <v>-90.2652319202602</v>
      </c>
      <c r="DY79" s="48" t="n">
        <f aca="false">-DY75*(In_MEKH+In_HIPA+In_Innovation)</f>
        <v>-91.2571575457576</v>
      </c>
      <c r="DZ79" s="48" t="n">
        <f aca="false">-DZ75*(In_MEKH+In_HIPA+In_Innovation)</f>
        <v>-90.9833860731203</v>
      </c>
      <c r="EA79" s="48" t="n">
        <f aca="false">-EA75*(In_MEKH+In_HIPA+In_Innovation)</f>
        <v>-89.8955412396374</v>
      </c>
      <c r="EB79" s="48" t="n">
        <f aca="false">-EB75*(In_MEKH+In_HIPA+In_Innovation)</f>
        <v>-90.8943805867445</v>
      </c>
      <c r="EC79" s="48" t="n">
        <f aca="false">-EC75*(In_MEKH+In_HIPA+In_Innovation)</f>
        <v>-91.8932199338516</v>
      </c>
      <c r="ED79" s="48" t="n">
        <f aca="false">-ED75*(In_MEKH+In_HIPA+In_Innovation)</f>
        <v>-91.61754027405</v>
      </c>
      <c r="EE79" s="48" t="n">
        <f aca="false">-EE75*(In_MEKH+In_HIPA+In_Innovation)</f>
        <v>-90.5221131620776</v>
      </c>
      <c r="EF79" s="48" t="n">
        <f aca="false">-EF75*(In_MEKH+In_HIPA+In_Innovation)</f>
        <v>-91.5279144194341</v>
      </c>
      <c r="EG79" s="48" t="n">
        <f aca="false">-EG75*(In_MEKH+In_HIPA+In_Innovation)</f>
        <v>-92.5337156767905</v>
      </c>
      <c r="EH79" s="48" t="n">
        <f aca="false">-EH75*(In_MEKH+In_HIPA+In_Innovation)</f>
        <v>-92.2561145297601</v>
      </c>
      <c r="EI79" s="48" t="n">
        <f aca="false">-EI75*(In_MEKH+In_HIPA+In_Innovation)</f>
        <v>-91.1530522908173</v>
      </c>
      <c r="EJ79" s="48" t="n">
        <f aca="false">-EJ75*(In_MEKH+In_HIPA+In_Innovation)</f>
        <v>-92.1658639829375</v>
      </c>
      <c r="EK79" s="48" t="n">
        <f aca="false">-EK75*(In_MEKH+In_HIPA+In_Innovation)</f>
        <v>-93.1786756750577</v>
      </c>
      <c r="EL79" s="48" t="n">
        <f aca="false">-EL75*(In_MEKH+In_HIPA+In_Innovation)</f>
        <v>-92.8991396480325</v>
      </c>
      <c r="EM79" s="48" t="n">
        <f aca="false">-EM75*(In_MEKH+In_HIPA+In_Innovation)</f>
        <v>-92.8082600548986</v>
      </c>
      <c r="EN79" s="48" t="n">
        <f aca="false">-EN75*(In_MEKH+In_HIPA+In_Innovation)</f>
        <v>-92.8082600548986</v>
      </c>
      <c r="EO79" s="48" t="n">
        <f aca="false">-EO75*(In_MEKH+In_HIPA+In_Innovation)</f>
        <v>-93.8281310445129</v>
      </c>
    </row>
    <row r="80" customFormat="false" ht="15" hidden="false" customHeight="false" outlineLevel="0" collapsed="false">
      <c r="C80" s="0" t="s">
        <v>341</v>
      </c>
      <c r="D80" s="11" t="s">
        <v>33</v>
      </c>
      <c r="I80" s="48" t="n">
        <f aca="false">SUM(J80:EO80)</f>
        <v>-4936.62840952233</v>
      </c>
      <c r="J80" s="48" t="n">
        <f aca="false">In_Opex_Contingency*(J76+J77+J78-J75*In_MEKH)</f>
        <v>-0</v>
      </c>
      <c r="K80" s="48" t="n">
        <f aca="false">In_Opex_Contingency*(K76+K77+K78-K75*In_MEKH)</f>
        <v>-0</v>
      </c>
      <c r="L80" s="48" t="n">
        <f aca="false">In_Opex_Contingency*(L76+L77+L78-L75*In_MEKH)</f>
        <v>-0</v>
      </c>
      <c r="M80" s="48" t="n">
        <f aca="false">In_Opex_Contingency*(M76+M77+M78-M75*In_MEKH)</f>
        <v>-0</v>
      </c>
      <c r="N80" s="48" t="n">
        <f aca="false">In_Opex_Contingency*(N76+N77+N78-N75*In_MEKH)</f>
        <v>-0</v>
      </c>
      <c r="O80" s="48" t="n">
        <f aca="false">In_Opex_Contingency*(O76+O77+O78-O75*In_MEKH)</f>
        <v>-0</v>
      </c>
      <c r="P80" s="48" t="n">
        <f aca="false">In_Opex_Contingency*(P76+P77+P78-P75*In_MEKH)</f>
        <v>-0</v>
      </c>
      <c r="Q80" s="48" t="n">
        <f aca="false">In_Opex_Contingency*(Q76+Q77+Q78-Q75*In_MEKH)</f>
        <v>-0</v>
      </c>
      <c r="R80" s="48" t="n">
        <f aca="false">In_Opex_Contingency*(R76+R77+R78-R75*In_MEKH)</f>
        <v>-1.979252401946</v>
      </c>
      <c r="S80" s="48" t="n">
        <f aca="false">In_Opex_Contingency*(S76+S77+S78-S75*In_MEKH)</f>
        <v>-1.98463080521216</v>
      </c>
      <c r="T80" s="48" t="n">
        <f aca="false">In_Opex_Contingency*(T76+T77+T78-T75*In_MEKH)</f>
        <v>-2.00668225860341</v>
      </c>
      <c r="U80" s="48" t="n">
        <f aca="false">In_Opex_Contingency*(U76+U77+U78-U75*In_MEKH)</f>
        <v>-2.02873371199466</v>
      </c>
      <c r="V80" s="48" t="n">
        <f aca="false">In_Opex_Contingency*(V76+V77+V78-V75*In_MEKH)</f>
        <v>-2.02873371199466</v>
      </c>
      <c r="W80" s="48" t="n">
        <f aca="false">In_Opex_Contingency*(W76+W77+W78-W75*In_MEKH)</f>
        <v>-2.03424657534247</v>
      </c>
      <c r="X80" s="48" t="n">
        <f aca="false">In_Opex_Contingency*(X76+X77+X78-X75*In_MEKH)</f>
        <v>-2.05684931506849</v>
      </c>
      <c r="Y80" s="48" t="n">
        <f aca="false">In_Opex_Contingency*(Y76+Y77+Y78-Y75*In_MEKH)</f>
        <v>-2.07945205479452</v>
      </c>
      <c r="Z80" s="48" t="n">
        <f aca="false">In_Opex_Contingency*(Z76+Z77+Z78-Z75*In_MEKH)</f>
        <v>-28.1680088821918</v>
      </c>
      <c r="AA80" s="48" t="n">
        <f aca="false">In_Opex_Contingency*(AA76+AA77+AA78-AA75*In_MEKH)</f>
        <v>-28.242230519589</v>
      </c>
      <c r="AB80" s="48" t="n">
        <f aca="false">In_Opex_Contingency*(AB76+AB77+AB78-AB75*In_MEKH)</f>
        <v>-28.5560330809178</v>
      </c>
      <c r="AC80" s="48" t="n">
        <f aca="false">In_Opex_Contingency*(AC76+AC77+AC78-AC75*In_MEKH)</f>
        <v>-28.8698356422466</v>
      </c>
      <c r="AD80" s="48" t="n">
        <f aca="false">In_Opex_Contingency*(AD76+AD77+AD78-AD75*In_MEKH)</f>
        <v>-28.8423251079226</v>
      </c>
      <c r="AE80" s="48" t="n">
        <f aca="false">In_Opex_Contingency*(AE76+AE77+AE78-AE75*In_MEKH)</f>
        <v>-29.2396780867797</v>
      </c>
      <c r="AF80" s="48" t="n">
        <f aca="false">In_Opex_Contingency*(AF76+AF77+AF78-AF75*In_MEKH)</f>
        <v>-29.2396780867797</v>
      </c>
      <c r="AG80" s="48" t="n">
        <f aca="false">In_Opex_Contingency*(AG76+AG77+AG78-AG75*In_MEKH)</f>
        <v>-29.5609932305905</v>
      </c>
      <c r="AH80" s="48" t="n">
        <f aca="false">In_Opex_Contingency*(AH76+AH77+AH78-AH75*In_MEKH)</f>
        <v>-29.5328866978166</v>
      </c>
      <c r="AI80" s="48" t="n">
        <f aca="false">In_Opex_Contingency*(AI76+AI77+AI78-AI75*In_MEKH)</f>
        <v>-29.6107847627251</v>
      </c>
      <c r="AJ80" s="48" t="n">
        <f aca="false">In_Opex_Contingency*(AJ76+AJ77+AJ78-AJ75*In_MEKH)</f>
        <v>-29.9397934823109</v>
      </c>
      <c r="AK80" s="48" t="n">
        <f aca="false">In_Opex_Contingency*(AK76+AK77+AK78-AK75*In_MEKH)</f>
        <v>-30.2688022018968</v>
      </c>
      <c r="AL80" s="48" t="n">
        <f aca="false">In_Opex_Contingency*(AL76+AL77+AL78-AL75*In_MEKH)</f>
        <v>-30.2400866533818</v>
      </c>
      <c r="AM80" s="48" t="n">
        <f aca="false">In_Opex_Contingency*(AM76+AM77+AM78-AM75*In_MEKH)</f>
        <v>-30.3198900475182</v>
      </c>
      <c r="AN80" s="48" t="n">
        <f aca="false">In_Opex_Contingency*(AN76+AN77+AN78-AN75*In_MEKH)</f>
        <v>-30.6567777147129</v>
      </c>
      <c r="AO80" s="48" t="n">
        <f aca="false">In_Opex_Contingency*(AO76+AO77+AO78-AO75*In_MEKH)</f>
        <v>-30.9936653819075</v>
      </c>
      <c r="AP80" s="48" t="n">
        <f aca="false">In_Opex_Contingency*(AP76+AP77+AP78-AP75*In_MEKH)</f>
        <v>-30.9643275153048</v>
      </c>
      <c r="AQ80" s="48" t="n">
        <f aca="false">In_Opex_Contingency*(AQ76+AQ77+AQ78-AQ75*In_MEKH)</f>
        <v>-31.0460824311036</v>
      </c>
      <c r="AR80" s="48" t="n">
        <f aca="false">In_Opex_Contingency*(AR76+AR77+AR78-AR75*In_MEKH)</f>
        <v>-31.3910389025603</v>
      </c>
      <c r="AS80" s="48" t="n">
        <f aca="false">In_Opex_Contingency*(AS76+AS77+AS78-AS75*In_MEKH)</f>
        <v>-31.735995374017</v>
      </c>
      <c r="AT80" s="48" t="n">
        <f aca="false">In_Opex_Contingency*(AT76+AT77+AT78-AT75*In_MEKH)</f>
        <v>-31.7060215956766</v>
      </c>
      <c r="AU80" s="48" t="n">
        <f aca="false">In_Opex_Contingency*(AU76+AU77+AU78-AU75*In_MEKH)</f>
        <v>-32.1429950712461</v>
      </c>
      <c r="AV80" s="48" t="n">
        <f aca="false">In_Opex_Contingency*(AV76+AV77+AV78-AV75*In_MEKH)</f>
        <v>-32.1429950712461</v>
      </c>
      <c r="AW80" s="48" t="n">
        <f aca="false">In_Opex_Contingency*(AW76+AW77+AW78-AW75*In_MEKH)</f>
        <v>-32.4962147973038</v>
      </c>
      <c r="AX80" s="48" t="n">
        <f aca="false">In_Opex_Contingency*(AX76+AX77+AX78-AX75*In_MEKH)</f>
        <v>-32.465591215888</v>
      </c>
      <c r="AY80" s="48" t="n">
        <f aca="false">In_Opex_Contingency*(AY76+AY77+AY78-AY75*In_MEKH)</f>
        <v>-32.5513922579734</v>
      </c>
      <c r="AZ80" s="48" t="n">
        <f aca="false">In_Opex_Contingency*(AZ76+AZ77+AZ78-AZ75*In_MEKH)</f>
        <v>-32.9130743941731</v>
      </c>
      <c r="BA80" s="48" t="n">
        <f aca="false">In_Opex_Contingency*(BA76+BA77+BA78-BA75*In_MEKH)</f>
        <v>-33.2747565303728</v>
      </c>
      <c r="BB80" s="48" t="n">
        <f aca="false">In_Opex_Contingency*(BB76+BB77+BB78-BB75*In_MEKH)</f>
        <v>-33.2434689503322</v>
      </c>
      <c r="BC80" s="48" t="n">
        <f aca="false">In_Opex_Contingency*(BC76+BC77+BC78-BC75*In_MEKH)</f>
        <v>-33.331366918517</v>
      </c>
      <c r="BD80" s="48" t="n">
        <f aca="false">In_Opex_Contingency*(BD76+BD77+BD78-BD75*In_MEKH)</f>
        <v>-33.7017154398339</v>
      </c>
      <c r="BE80" s="48" t="n">
        <f aca="false">In_Opex_Contingency*(BE76+BE77+BE78-BE75*In_MEKH)</f>
        <v>-34.0720639611507</v>
      </c>
      <c r="BF80" s="48" t="n">
        <f aca="false">In_Opex_Contingency*(BF76+BF77+BF78-BF75*In_MEKH)</f>
        <v>-34.0400978760566</v>
      </c>
      <c r="BG80" s="48" t="n">
        <f aca="false">In_Opex_Contingency*(BG76+BG77+BG78-BG75*In_MEKH)</f>
        <v>-34.1301436070664</v>
      </c>
      <c r="BH80" s="48" t="n">
        <f aca="false">In_Opex_Contingency*(BH76+BH77+BH78-BH75*In_MEKH)</f>
        <v>-34.5093674249227</v>
      </c>
      <c r="BI80" s="48" t="n">
        <f aca="false">In_Opex_Contingency*(BI76+BI77+BI78-BI75*In_MEKH)</f>
        <v>-34.888591242779</v>
      </c>
      <c r="BJ80" s="48" t="n">
        <f aca="false">In_Opex_Contingency*(BJ76+BJ77+BJ78-BJ75*In_MEKH)</f>
        <v>-34.8559318285097</v>
      </c>
      <c r="BK80" s="48" t="n">
        <f aca="false">In_Opex_Contingency*(BK76+BK77+BK78-BK75*In_MEKH)</f>
        <v>-35.3364904736268</v>
      </c>
      <c r="BL80" s="48" t="n">
        <f aca="false">In_Opex_Contingency*(BL76+BL77+BL78-BL75*In_MEKH)</f>
        <v>-35.3364904736268</v>
      </c>
      <c r="BM80" s="48" t="n">
        <f aca="false">In_Opex_Contingency*(BM76+BM77+BM78-BM75*In_MEKH)</f>
        <v>-35.7248035557546</v>
      </c>
      <c r="BN80" s="48" t="n">
        <f aca="false">In_Opex_Contingency*(BN76+BN77+BN78-BN75*In_MEKH)</f>
        <v>-35.6914356635328</v>
      </c>
      <c r="BO80" s="48" t="n">
        <f aca="false">In_Opex_Contingency*(BO76+BO77+BO78-BO75*In_MEKH)</f>
        <v>-35.785934390026</v>
      </c>
      <c r="BP80" s="48" t="n">
        <f aca="false">In_Opex_Contingency*(BP76+BP77+BP78-BP75*In_MEKH)</f>
        <v>-36.1835558832485</v>
      </c>
      <c r="BQ80" s="48" t="n">
        <f aca="false">In_Opex_Contingency*(BQ76+BQ77+BQ78-BQ75*In_MEKH)</f>
        <v>-36.5811773764711</v>
      </c>
      <c r="BR80" s="48" t="n">
        <f aca="false">In_Opex_Contingency*(BR76+BR77+BR78-BR75*In_MEKH)</f>
        <v>-36.5470855257483</v>
      </c>
      <c r="BS80" s="48" t="n">
        <f aca="false">In_Opex_Contingency*(BS76+BS77+BS78-BS75*In_MEKH)</f>
        <v>-36.6438920403098</v>
      </c>
      <c r="BT80" s="48" t="n">
        <f aca="false">In_Opex_Contingency*(BT76+BT77+BT78-BT75*In_MEKH)</f>
        <v>-37.0510463963133</v>
      </c>
      <c r="BU80" s="48" t="n">
        <f aca="false">In_Opex_Contingency*(BU76+BU77+BU78-BU75*In_MEKH)</f>
        <v>-37.4582007523167</v>
      </c>
      <c r="BV80" s="48" t="n">
        <f aca="false">In_Opex_Contingency*(BV76+BV77+BV78-BV75*In_MEKH)</f>
        <v>-37.4233691235016</v>
      </c>
      <c r="BW80" s="48" t="n">
        <f aca="false">In_Opex_Contingency*(BW76+BW77+BW78-BW75*In_MEKH)</f>
        <v>-37.5225393751534</v>
      </c>
      <c r="BX80" s="48" t="n">
        <f aca="false">In_Opex_Contingency*(BX76+BX77+BX78-BX75*In_MEKH)</f>
        <v>-37.9394564793218</v>
      </c>
      <c r="BY80" s="48" t="n">
        <f aca="false">In_Opex_Contingency*(BY76+BY77+BY78-BY75*In_MEKH)</f>
        <v>-38.3563735834902</v>
      </c>
      <c r="BZ80" s="48" t="n">
        <f aca="false">In_Opex_Contingency*(BZ76+BZ77+BZ78-BZ75*In_MEKH)</f>
        <v>-38.3207860105176</v>
      </c>
      <c r="CA80" s="48" t="n">
        <f aca="false">In_Opex_Contingency*(CA76+CA77+CA78-CA75*In_MEKH)</f>
        <v>-38.8492926083099</v>
      </c>
      <c r="CB80" s="48" t="n">
        <f aca="false">In_Opex_Contingency*(CB76+CB77+CB78-CB75*In_MEKH)</f>
        <v>-38.8492926083099</v>
      </c>
      <c r="CC80" s="48" t="n">
        <f aca="false">In_Opex_Contingency*(CC76+CC77+CC78-CC75*In_MEKH)</f>
        <v>-39.2762079116979</v>
      </c>
      <c r="CD80" s="48" t="n">
        <f aca="false">In_Opex_Contingency*(CD76+CD77+CD78-CD75*In_MEKH)</f>
        <v>-39.2398478744351</v>
      </c>
      <c r="CE80" s="48" t="n">
        <f aca="false">In_Opex_Contingency*(CE76+CE77+CE78-CE75*In_MEKH)</f>
        <v>-39.343918906861</v>
      </c>
      <c r="CF80" s="48" t="n">
        <f aca="false">In_Opex_Contingency*(CF76+CF77+CF78-CF75*In_MEKH)</f>
        <v>-39.7810735613816</v>
      </c>
      <c r="CG80" s="48" t="n">
        <f aca="false">In_Opex_Contingency*(CG76+CG77+CG78-CG75*In_MEKH)</f>
        <v>-40.2182282159023</v>
      </c>
      <c r="CH80" s="48" t="n">
        <f aca="false">In_Opex_Contingency*(CH76+CH77+CH78-CH75*In_MEKH)</f>
        <v>-40.1810788323887</v>
      </c>
      <c r="CI80" s="48" t="n">
        <f aca="false">In_Opex_Contingency*(CI76+CI77+CI78-CI75*In_MEKH)</f>
        <v>-40.2876897214819</v>
      </c>
      <c r="CJ80" s="48" t="n">
        <f aca="false">In_Opex_Contingency*(CJ76+CJ77+CJ78-CJ75*In_MEKH)</f>
        <v>-40.7353307183873</v>
      </c>
      <c r="CK80" s="48" t="n">
        <f aca="false">In_Opex_Contingency*(CK76+CK77+CK78-CK75*In_MEKH)</f>
        <v>-41.1829717152927</v>
      </c>
      <c r="CL80" s="48" t="n">
        <f aca="false">In_Opex_Contingency*(CL76+CL77+CL78-CL75*In_MEKH)</f>
        <v>-41.1450157338092</v>
      </c>
      <c r="CM80" s="48" t="n">
        <f aca="false">In_Opex_Contingency*(CM76+CM77+CM78-CM75*In_MEKH)</f>
        <v>-41.2542280561852</v>
      </c>
      <c r="CN80" s="48" t="n">
        <f aca="false">In_Opex_Contingency*(CN76+CN77+CN78-CN75*In_MEKH)</f>
        <v>-41.7126083679206</v>
      </c>
      <c r="CO80" s="48" t="n">
        <f aca="false">In_Opex_Contingency*(CO76+CO77+CO78-CO75*In_MEKH)</f>
        <v>-42.170988679656</v>
      </c>
      <c r="CP80" s="48" t="n">
        <f aca="false">In_Opex_Contingency*(CP76+CP77+CP78-CP75*In_MEKH)</f>
        <v>-42.132208470621</v>
      </c>
      <c r="CQ80" s="48" t="n">
        <f aca="false">In_Opex_Contingency*(CQ76+CQ77+CQ78-CQ75*In_MEKH)</f>
        <v>-42.7134640218145</v>
      </c>
      <c r="CR80" s="48" t="n">
        <f aca="false">In_Opex_Contingency*(CR76+CR77+CR78-CR75*In_MEKH)</f>
        <v>-42.7134640218145</v>
      </c>
      <c r="CS80" s="48" t="n">
        <f aca="false">In_Opex_Contingency*(CS76+CS77+CS78-CS75*In_MEKH)</f>
        <v>-43.182842747329</v>
      </c>
      <c r="CT80" s="48" t="n">
        <f aca="false">In_Opex_Contingency*(CT76+CT77+CT78-CT75*In_MEKH)</f>
        <v>-43.1432202950161</v>
      </c>
      <c r="CU80" s="48" t="n">
        <f aca="false">In_Opex_Contingency*(CU76+CU77+CU78-CU75*In_MEKH)</f>
        <v>-43.2578262237228</v>
      </c>
      <c r="CV80" s="48" t="n">
        <f aca="false">In_Opex_Contingency*(CV76+CV77+CV78-CV75*In_MEKH)</f>
        <v>-43.7384687373197</v>
      </c>
      <c r="CW80" s="48" t="n">
        <f aca="false">In_Opex_Contingency*(CW76+CW77+CW78-CW75*In_MEKH)</f>
        <v>-44.2191112509166</v>
      </c>
      <c r="CX80" s="48" t="n">
        <f aca="false">In_Opex_Contingency*(CX76+CX77+CX78-CX75*In_MEKH)</f>
        <v>-44.1786281449912</v>
      </c>
      <c r="CY80" s="48" t="n">
        <f aca="false">In_Opex_Contingency*(CY76+CY77+CY78-CY75*In_MEKH)</f>
        <v>-44.2960293433376</v>
      </c>
      <c r="CZ80" s="48" t="n">
        <f aca="false">In_Opex_Contingency*(CZ76+CZ77+CZ78-CZ75*In_MEKH)</f>
        <v>-44.7882074471524</v>
      </c>
      <c r="DA80" s="48" t="n">
        <f aca="false">In_Opex_Contingency*(DA76+DA77+DA78-DA75*In_MEKH)</f>
        <v>-45.2803855509673</v>
      </c>
      <c r="DB80" s="48" t="n">
        <f aca="false">In_Opex_Contingency*(DB76+DB77+DB78-DB75*In_MEKH)</f>
        <v>-45.2390229778375</v>
      </c>
      <c r="DC80" s="48" t="n">
        <f aca="false">In_Opex_Contingency*(DC76+DC77+DC78-DC75*In_MEKH)</f>
        <v>-45.3592872174131</v>
      </c>
      <c r="DD80" s="48" t="n">
        <f aca="false">In_Opex_Contingency*(DD76+DD77+DD78-DD75*In_MEKH)</f>
        <v>-45.8632792976066</v>
      </c>
      <c r="DE80" s="48" t="n">
        <f aca="false">In_Opex_Contingency*(DE76+DE77+DE78-DE75*In_MEKH)</f>
        <v>-46.3672713778001</v>
      </c>
      <c r="DF80" s="48" t="n">
        <f aca="false">In_Opex_Contingency*(DF76+DF77+DF78-DF75*In_MEKH)</f>
        <v>-46.3250101117778</v>
      </c>
      <c r="DG80" s="48" t="n">
        <f aca="false">In_Opex_Contingency*(DG76+DG77+DG78-DG75*In_MEKH)</f>
        <v>-46.9642979949254</v>
      </c>
      <c r="DH80" s="48" t="n">
        <f aca="false">In_Opex_Contingency*(DH76+DH77+DH78-DH75*In_MEKH)</f>
        <v>-46.9642979949254</v>
      </c>
      <c r="DI80" s="48" t="n">
        <f aca="false">In_Opex_Contingency*(DI76+DI77+DI78-DI75*In_MEKH)</f>
        <v>-47.4803891816828</v>
      </c>
      <c r="DJ80" s="48" t="n">
        <f aca="false">In_Opex_Contingency*(DJ76+DJ77+DJ78-DJ75*In_MEKH)</f>
        <v>-47.4372095759517</v>
      </c>
      <c r="DK80" s="48" t="n">
        <f aca="false">In_Opex_Contingency*(DK76+DK77+DK78-DK75*In_MEKH)</f>
        <v>-47.5634098287061</v>
      </c>
      <c r="DL80" s="48" t="n">
        <f aca="false">In_Opex_Contingency*(DL76+DL77+DL78-DL75*In_MEKH)</f>
        <v>-48.0918921601362</v>
      </c>
      <c r="DM80" s="48" t="n">
        <f aca="false">In_Opex_Contingency*(DM76+DM77+DM78-DM75*In_MEKH)</f>
        <v>-48.6203744915662</v>
      </c>
      <c r="DN80" s="48" t="n">
        <f aca="false">In_Opex_Contingency*(DN76+DN77+DN78-DN75*In_MEKH)</f>
        <v>-48.5762564689508</v>
      </c>
      <c r="DO80" s="48" t="n">
        <f aca="false">In_Opex_Contingency*(DO76+DO77+DO78-DO75*In_MEKH)</f>
        <v>-48.7055331025274</v>
      </c>
      <c r="DP80" s="48" t="n">
        <f aca="false">In_Opex_Contingency*(DP76+DP77+DP78-DP75*In_MEKH)</f>
        <v>-49.2467056925555</v>
      </c>
      <c r="DQ80" s="48" t="n">
        <f aca="false">In_Opex_Contingency*(DQ76+DQ77+DQ78-DQ75*In_MEKH)</f>
        <v>-49.7878782825836</v>
      </c>
      <c r="DR80" s="48" t="n">
        <f aca="false">In_Opex_Contingency*(DR76+DR77+DR78-DR75*In_MEKH)</f>
        <v>-49.7428013261166</v>
      </c>
      <c r="DS80" s="48" t="n">
        <f aca="false">In_Opex_Contingency*(DS76+DS77+DS78-DS75*In_MEKH)</f>
        <v>-49.8752289318226</v>
      </c>
      <c r="DT80" s="48" t="n">
        <f aca="false">In_Opex_Contingency*(DT76+DT77+DT78-DT75*In_MEKH)</f>
        <v>-50.4293981421762</v>
      </c>
      <c r="DU80" s="48" t="n">
        <f aca="false">In_Opex_Contingency*(DU76+DU77+DU78-DU75*In_MEKH)</f>
        <v>-50.9835673525298</v>
      </c>
      <c r="DV80" s="48" t="n">
        <f aca="false">In_Opex_Contingency*(DV76+DV77+DV78-DV75*In_MEKH)</f>
        <v>-50.9375104958125</v>
      </c>
      <c r="DW80" s="48" t="n">
        <f aca="false">In_Opex_Contingency*(DW76+DW77+DW78-DW75*In_MEKH)</f>
        <v>-51.6406450911548</v>
      </c>
      <c r="DX80" s="48" t="n">
        <f aca="false">In_Opex_Contingency*(DX76+DX77+DX78-DX75*In_MEKH)</f>
        <v>-51.6406450911548</v>
      </c>
      <c r="DY80" s="48" t="n">
        <f aca="false">In_Opex_Contingency*(DY76+DY77+DY78-DY75*In_MEKH)</f>
        <v>-52.2081247075411</v>
      </c>
      <c r="DZ80" s="48" t="n">
        <f aca="false">In_Opex_Contingency*(DZ76+DZ77+DZ78-DZ75*In_MEKH)</f>
        <v>-52.1610665248923</v>
      </c>
      <c r="EA80" s="48" t="n">
        <f aca="false">In_Opex_Contingency*(EA76+EA77+EA78-EA75*In_MEKH)</f>
        <v>-52.3000271320433</v>
      </c>
      <c r="EB80" s="48" t="n">
        <f aca="false">In_Opex_Contingency*(EB76+EB77+EB78-EB75*In_MEKH)</f>
        <v>-52.8811385446215</v>
      </c>
      <c r="EC80" s="48" t="n">
        <f aca="false">In_Opex_Contingency*(EC76+EC77+EC78-EC75*In_MEKH)</f>
        <v>-53.4622499571998</v>
      </c>
      <c r="ED80" s="48" t="n">
        <f aca="false">In_Opex_Contingency*(ED76+ED77+ED78-ED75*In_MEKH)</f>
        <v>-53.4141685535888</v>
      </c>
      <c r="EE80" s="48" t="n">
        <f aca="false">In_Opex_Contingency*(EE76+EE77+EE78-EE75*In_MEKH)</f>
        <v>-53.5565149427885</v>
      </c>
      <c r="EF80" s="48" t="n">
        <f aca="false">In_Opex_Contingency*(EF76+EF77+EF78-EF75*In_MEKH)</f>
        <v>-54.1515873310417</v>
      </c>
      <c r="EG80" s="48" t="n">
        <f aca="false">In_Opex_Contingency*(EG76+EG77+EG78-EG75*In_MEKH)</f>
        <v>-54.7466597192949</v>
      </c>
      <c r="EH80" s="48" t="n">
        <f aca="false">In_Opex_Contingency*(EH76+EH77+EH78-EH75*In_MEKH)</f>
        <v>-54.6975327200541</v>
      </c>
      <c r="EI80" s="48" t="n">
        <f aca="false">In_Opex_Contingency*(EI76+EI77+EI78-EI75*In_MEKH)</f>
        <v>-54.8433469902487</v>
      </c>
      <c r="EJ80" s="48" t="n">
        <f aca="false">In_Opex_Contingency*(EJ76+EJ77+EJ78-EJ75*In_MEKH)</f>
        <v>-55.4527175123626</v>
      </c>
      <c r="EK80" s="48" t="n">
        <f aca="false">In_Opex_Contingency*(EK76+EK77+EK78-EK75*In_MEKH)</f>
        <v>-56.0620880344765</v>
      </c>
      <c r="EL80" s="48" t="n">
        <f aca="false">In_Opex_Contingency*(EL76+EL77+EL78-EL75*In_MEKH)</f>
        <v>-56.0118925747881</v>
      </c>
      <c r="EM80" s="48" t="n">
        <f aca="false">In_Opex_Contingency*(EM76+EM77+EM78-EM75*In_MEKH)</f>
        <v>-56.7852728041846</v>
      </c>
      <c r="EN80" s="48" t="n">
        <f aca="false">In_Opex_Contingency*(EN76+EN77+EN78-EN75*In_MEKH)</f>
        <v>-56.7852728041846</v>
      </c>
      <c r="EO80" s="48" t="n">
        <f aca="false">In_Opex_Contingency*(EO76+EO77+EO78-EO75*In_MEKH)</f>
        <v>-57.4092867910437</v>
      </c>
    </row>
    <row r="81" customFormat="false" ht="15" hidden="false" customHeight="false" outlineLevel="0" collapsed="false">
      <c r="C81" s="0" t="s">
        <v>23</v>
      </c>
      <c r="D81" s="11" t="s">
        <v>33</v>
      </c>
      <c r="I81" s="48" t="n">
        <f aca="false">SUM(J81:EO81)</f>
        <v>-12032.8750809572</v>
      </c>
      <c r="J81" s="48" t="n">
        <f aca="false">-$E35*J74/Thousand</f>
        <v>-0</v>
      </c>
      <c r="K81" s="48" t="n">
        <f aca="false">-$E35*K74/Thousand</f>
        <v>-0</v>
      </c>
      <c r="L81" s="48" t="n">
        <f aca="false">-$E35*L74/Thousand</f>
        <v>-0</v>
      </c>
      <c r="M81" s="48" t="n">
        <f aca="false">-$E35*M74/Thousand</f>
        <v>-0</v>
      </c>
      <c r="N81" s="48" t="n">
        <f aca="false">-$E35*N74/Thousand</f>
        <v>-0</v>
      </c>
      <c r="O81" s="48" t="n">
        <f aca="false">-$E35*O74/Thousand</f>
        <v>-0</v>
      </c>
      <c r="P81" s="48" t="n">
        <f aca="false">-$E35*P74/Thousand</f>
        <v>-0</v>
      </c>
      <c r="Q81" s="48" t="n">
        <f aca="false">-$E35*Q74/Thousand</f>
        <v>-0</v>
      </c>
      <c r="R81" s="48" t="n">
        <f aca="false">-$E35*R74/Thousand</f>
        <v>-0</v>
      </c>
      <c r="S81" s="48" t="n">
        <f aca="false">-$E35*S74/Thousand</f>
        <v>-0</v>
      </c>
      <c r="T81" s="48" t="n">
        <f aca="false">-$E35*T74/Thousand</f>
        <v>-0</v>
      </c>
      <c r="U81" s="48" t="n">
        <f aca="false">-$E35*U74/Thousand</f>
        <v>-0</v>
      </c>
      <c r="V81" s="48" t="n">
        <f aca="false">-$E35*V74/Thousand</f>
        <v>-0</v>
      </c>
      <c r="W81" s="48" t="n">
        <f aca="false">-$E35*W74/Thousand</f>
        <v>-0</v>
      </c>
      <c r="X81" s="48" t="n">
        <f aca="false">-$E35*X74/Thousand</f>
        <v>-0</v>
      </c>
      <c r="Y81" s="48" t="n">
        <f aca="false">-$E35*Y74/Thousand</f>
        <v>-0</v>
      </c>
      <c r="Z81" s="48" t="n">
        <f aca="false">-$E35*Z74/Thousand</f>
        <v>-105.4872</v>
      </c>
      <c r="AA81" s="48" t="n">
        <f aca="false">-$E35*AA74/Thousand</f>
        <v>-103.194</v>
      </c>
      <c r="AB81" s="48" t="n">
        <f aca="false">-$E35*AB74/Thousand</f>
        <v>-104.3406</v>
      </c>
      <c r="AC81" s="48" t="n">
        <f aca="false">-$E35*AC74/Thousand</f>
        <v>-105.4872</v>
      </c>
      <c r="AD81" s="48" t="n">
        <f aca="false">-$E35*AD74/Thousand</f>
        <v>-105.1707384</v>
      </c>
      <c r="AE81" s="48" t="n">
        <f aca="false">-$E35*AE74/Thousand</f>
        <v>-104.0275782</v>
      </c>
      <c r="AF81" s="48" t="n">
        <f aca="false">-$E35*AF74/Thousand</f>
        <v>-104.0275782</v>
      </c>
      <c r="AG81" s="48" t="n">
        <f aca="false">-$E35*AG74/Thousand</f>
        <v>-105.1707384</v>
      </c>
      <c r="AH81" s="48" t="n">
        <f aca="false">-$E35*AH74/Thousand</f>
        <v>-104.8552261848</v>
      </c>
      <c r="AI81" s="48" t="n">
        <f aca="false">-$E35*AI74/Thousand</f>
        <v>-102.575764746</v>
      </c>
      <c r="AJ81" s="48" t="n">
        <f aca="false">-$E35*AJ74/Thousand</f>
        <v>-103.7154954654</v>
      </c>
      <c r="AK81" s="48" t="n">
        <f aca="false">-$E35*AK74/Thousand</f>
        <v>-104.8552261848</v>
      </c>
      <c r="AL81" s="48" t="n">
        <f aca="false">-$E35*AL74/Thousand</f>
        <v>-104.540660506246</v>
      </c>
      <c r="AM81" s="48" t="n">
        <f aca="false">-$E35*AM74/Thousand</f>
        <v>-102.268037451762</v>
      </c>
      <c r="AN81" s="48" t="n">
        <f aca="false">-$E35*AN74/Thousand</f>
        <v>-103.404348979004</v>
      </c>
      <c r="AO81" s="48" t="n">
        <f aca="false">-$E35*AO74/Thousand</f>
        <v>-104.540660506246</v>
      </c>
      <c r="AP81" s="48" t="n">
        <f aca="false">-$E35*AP74/Thousand</f>
        <v>-104.227038524727</v>
      </c>
      <c r="AQ81" s="48" t="n">
        <f aca="false">-$E35*AQ74/Thousand</f>
        <v>-101.961233339407</v>
      </c>
      <c r="AR81" s="48" t="n">
        <f aca="false">-$E35*AR74/Thousand</f>
        <v>-103.094135932067</v>
      </c>
      <c r="AS81" s="48" t="n">
        <f aca="false">-$E35*AS74/Thousand</f>
        <v>-104.227038524727</v>
      </c>
      <c r="AT81" s="48" t="n">
        <f aca="false">-$E35*AT74/Thousand</f>
        <v>-103.914357409153</v>
      </c>
      <c r="AU81" s="48" t="n">
        <f aca="false">-$E35*AU74/Thousand</f>
        <v>-102.784853524271</v>
      </c>
      <c r="AV81" s="48" t="n">
        <f aca="false">-$E35*AV74/Thousand</f>
        <v>-102.784853524271</v>
      </c>
      <c r="AW81" s="48" t="n">
        <f aca="false">-$E35*AW74/Thousand</f>
        <v>-103.914357409153</v>
      </c>
      <c r="AX81" s="48" t="n">
        <f aca="false">-$E35*AX74/Thousand</f>
        <v>-103.602614336925</v>
      </c>
      <c r="AY81" s="48" t="n">
        <f aca="false">-$E35*AY74/Thousand</f>
        <v>-101.35038359047</v>
      </c>
      <c r="AZ81" s="48" t="n">
        <f aca="false">-$E35*AZ74/Thousand</f>
        <v>-102.476498963698</v>
      </c>
      <c r="BA81" s="48" t="n">
        <f aca="false">-$E35*BA74/Thousand</f>
        <v>-103.602614336925</v>
      </c>
      <c r="BB81" s="48" t="n">
        <f aca="false">-$E35*BB74/Thousand</f>
        <v>-103.291806493914</v>
      </c>
      <c r="BC81" s="48" t="n">
        <f aca="false">-$E35*BC74/Thousand</f>
        <v>-101.046332439699</v>
      </c>
      <c r="BD81" s="48" t="n">
        <f aca="false">-$E35*BD74/Thousand</f>
        <v>-102.169069466807</v>
      </c>
      <c r="BE81" s="48" t="n">
        <f aca="false">-$E35*BE74/Thousand</f>
        <v>-103.291806493914</v>
      </c>
      <c r="BF81" s="48" t="n">
        <f aca="false">-$E35*BF74/Thousand</f>
        <v>-102.981931074433</v>
      </c>
      <c r="BG81" s="48" t="n">
        <f aca="false">-$E35*BG74/Thousand</f>
        <v>-100.74319344238</v>
      </c>
      <c r="BH81" s="48" t="n">
        <f aca="false">-$E35*BH74/Thousand</f>
        <v>-101.862562258406</v>
      </c>
      <c r="BI81" s="48" t="n">
        <f aca="false">-$E35*BI74/Thousand</f>
        <v>-102.981931074433</v>
      </c>
      <c r="BJ81" s="48" t="n">
        <f aca="false">-$E35*BJ74/Thousand</f>
        <v>-102.672985281209</v>
      </c>
      <c r="BK81" s="48" t="n">
        <f aca="false">-$E35*BK74/Thousand</f>
        <v>-101.556974571631</v>
      </c>
      <c r="BL81" s="48" t="n">
        <f aca="false">-$E35*BL74/Thousand</f>
        <v>-101.556974571631</v>
      </c>
      <c r="BM81" s="48" t="n">
        <f aca="false">-$E35*BM74/Thousand</f>
        <v>-102.672985281209</v>
      </c>
      <c r="BN81" s="48" t="n">
        <f aca="false">-$E35*BN74/Thousand</f>
        <v>-102.364966325366</v>
      </c>
      <c r="BO81" s="48" t="n">
        <f aca="false">-$E35*BO74/Thousand</f>
        <v>-100.139640970467</v>
      </c>
      <c r="BP81" s="48" t="n">
        <f aca="false">-$E35*BP74/Thousand</f>
        <v>-101.252303647916</v>
      </c>
      <c r="BQ81" s="48" t="n">
        <f aca="false">-$E35*BQ74/Thousand</f>
        <v>-102.364966325366</v>
      </c>
      <c r="BR81" s="48" t="n">
        <f aca="false">-$E35*BR74/Thousand</f>
        <v>-102.05787142639</v>
      </c>
      <c r="BS81" s="48" t="n">
        <f aca="false">-$E35*BS74/Thousand</f>
        <v>-99.8392220475551</v>
      </c>
      <c r="BT81" s="48" t="n">
        <f aca="false">-$E35*BT74/Thousand</f>
        <v>-100.948546736972</v>
      </c>
      <c r="BU81" s="48" t="n">
        <f aca="false">-$E35*BU74/Thousand</f>
        <v>-102.05787142639</v>
      </c>
      <c r="BV81" s="48" t="n">
        <f aca="false">-$E35*BV74/Thousand</f>
        <v>-101.751697812111</v>
      </c>
      <c r="BW81" s="48" t="n">
        <f aca="false">-$E35*BW74/Thousand</f>
        <v>-99.5397043814125</v>
      </c>
      <c r="BX81" s="48" t="n">
        <f aca="false">-$E35*BX74/Thousand</f>
        <v>-100.645701096762</v>
      </c>
      <c r="BY81" s="48" t="n">
        <f aca="false">-$E35*BY74/Thousand</f>
        <v>-101.751697812111</v>
      </c>
      <c r="BZ81" s="48" t="n">
        <f aca="false">-$E35*BZ74/Thousand</f>
        <v>-101.446442718674</v>
      </c>
      <c r="CA81" s="48" t="n">
        <f aca="false">-$E35*CA74/Thousand</f>
        <v>-100.343763993471</v>
      </c>
      <c r="CB81" s="48" t="n">
        <f aca="false">-$E35*CB74/Thousand</f>
        <v>-100.343763993471</v>
      </c>
      <c r="CC81" s="48" t="n">
        <f aca="false">-$E35*CC74/Thousand</f>
        <v>-101.446442718674</v>
      </c>
      <c r="CD81" s="48" t="n">
        <f aca="false">-$E35*CD74/Thousand</f>
        <v>-101.142103390518</v>
      </c>
      <c r="CE81" s="48" t="n">
        <f aca="false">-$E35*CE74/Thousand</f>
        <v>-98.9433620124634</v>
      </c>
      <c r="CF81" s="48" t="n">
        <f aca="false">-$E35*CF74/Thousand</f>
        <v>-100.042732701491</v>
      </c>
      <c r="CG81" s="48" t="n">
        <f aca="false">-$E35*CG74/Thousand</f>
        <v>-101.142103390518</v>
      </c>
      <c r="CH81" s="48" t="n">
        <f aca="false">-$E35*CH74/Thousand</f>
        <v>-100.838677080347</v>
      </c>
      <c r="CI81" s="48" t="n">
        <f aca="false">-$E35*CI74/Thousand</f>
        <v>-98.646531926426</v>
      </c>
      <c r="CJ81" s="48" t="n">
        <f aca="false">-$E35*CJ74/Thousand</f>
        <v>-99.7426045033863</v>
      </c>
      <c r="CK81" s="48" t="n">
        <f aca="false">-$E35*CK74/Thousand</f>
        <v>-100.838677080347</v>
      </c>
      <c r="CL81" s="48" t="n">
        <f aca="false">-$E35*CL74/Thousand</f>
        <v>-100.536161049106</v>
      </c>
      <c r="CM81" s="48" t="n">
        <f aca="false">-$E35*CM74/Thousand</f>
        <v>-98.3505923306468</v>
      </c>
      <c r="CN81" s="48" t="n">
        <f aca="false">-$E35*CN74/Thousand</f>
        <v>-99.4433766898762</v>
      </c>
      <c r="CO81" s="48" t="n">
        <f aca="false">-$E35*CO74/Thousand</f>
        <v>-100.536161049106</v>
      </c>
      <c r="CP81" s="48" t="n">
        <f aca="false">-$E35*CP74/Thousand</f>
        <v>-100.234552565958</v>
      </c>
      <c r="CQ81" s="48" t="n">
        <f aca="false">-$E35*CQ74/Thousand</f>
        <v>-99.1450465598065</v>
      </c>
      <c r="CR81" s="48" t="n">
        <f aca="false">-$E35*CR74/Thousand</f>
        <v>-99.1450465598065</v>
      </c>
      <c r="CS81" s="48" t="n">
        <f aca="false">-$E35*CS74/Thousand</f>
        <v>-100.234552565958</v>
      </c>
      <c r="CT81" s="48" t="n">
        <f aca="false">-$E35*CT74/Thousand</f>
        <v>-99.9338489082604</v>
      </c>
      <c r="CU81" s="48" t="n">
        <f aca="false">-$E35*CU74/Thousand</f>
        <v>-97.7613739319939</v>
      </c>
      <c r="CV81" s="48" t="n">
        <f aca="false">-$E35*CV74/Thousand</f>
        <v>-98.8476114201271</v>
      </c>
      <c r="CW81" s="48" t="n">
        <f aca="false">-$E35*CW74/Thousand</f>
        <v>-99.9338489082604</v>
      </c>
      <c r="CX81" s="48" t="n">
        <f aca="false">-$E35*CX74/Thousand</f>
        <v>-99.6340473615356</v>
      </c>
      <c r="CY81" s="48" t="n">
        <f aca="false">-$E35*CY74/Thousand</f>
        <v>-97.4680898101979</v>
      </c>
      <c r="CZ81" s="48" t="n">
        <f aca="false">-$E35*CZ74/Thousand</f>
        <v>-98.5510685858667</v>
      </c>
      <c r="DA81" s="48" t="n">
        <f aca="false">-$E35*DA74/Thousand</f>
        <v>-99.6340473615356</v>
      </c>
      <c r="DB81" s="48" t="n">
        <f aca="false">-$E35*DB74/Thousand</f>
        <v>-99.335145219451</v>
      </c>
      <c r="DC81" s="48" t="n">
        <f aca="false">-$E35*DC74/Thousand</f>
        <v>-97.1756855407673</v>
      </c>
      <c r="DD81" s="48" t="n">
        <f aca="false">-$E35*DD74/Thousand</f>
        <v>-98.2554153801091</v>
      </c>
      <c r="DE81" s="48" t="n">
        <f aca="false">-$E35*DE74/Thousand</f>
        <v>-99.335145219451</v>
      </c>
      <c r="DF81" s="48" t="n">
        <f aca="false">-$E35*DF74/Thousand</f>
        <v>-99.0371397837927</v>
      </c>
      <c r="DG81" s="48" t="n">
        <f aca="false">-$E35*DG74/Thousand</f>
        <v>-97.9606491339688</v>
      </c>
      <c r="DH81" s="48" t="n">
        <f aca="false">-$E35*DH74/Thousand</f>
        <v>-97.9606491339688</v>
      </c>
      <c r="DI81" s="48" t="n">
        <f aca="false">-$E35*DI74/Thousand</f>
        <v>-99.0371397837927</v>
      </c>
      <c r="DJ81" s="48" t="n">
        <f aca="false">-$E35*DJ74/Thousand</f>
        <v>-98.7400283644413</v>
      </c>
      <c r="DK81" s="48" t="n">
        <f aca="false">-$E35*DK74/Thousand</f>
        <v>-96.5935060086926</v>
      </c>
      <c r="DL81" s="48" t="n">
        <f aca="false">-$E35*DL74/Thousand</f>
        <v>-97.6667671865669</v>
      </c>
      <c r="DM81" s="48" t="n">
        <f aca="false">-$E35*DM74/Thousand</f>
        <v>-98.7400283644413</v>
      </c>
      <c r="DN81" s="48" t="n">
        <f aca="false">-$E35*DN74/Thousand</f>
        <v>-98.443808279348</v>
      </c>
      <c r="DO81" s="48" t="n">
        <f aca="false">-$E35*DO74/Thousand</f>
        <v>-96.3037254906665</v>
      </c>
      <c r="DP81" s="48" t="n">
        <f aca="false">-$E35*DP74/Thousand</f>
        <v>-97.3737668850072</v>
      </c>
      <c r="DQ81" s="48" t="n">
        <f aca="false">-$E35*DQ74/Thousand</f>
        <v>-98.443808279348</v>
      </c>
      <c r="DR81" s="48" t="n">
        <f aca="false">-$E35*DR74/Thousand</f>
        <v>-98.1484768545099</v>
      </c>
      <c r="DS81" s="48" t="n">
        <f aca="false">-$E35*DS74/Thousand</f>
        <v>-96.0148143141945</v>
      </c>
      <c r="DT81" s="48" t="n">
        <f aca="false">-$E35*DT74/Thousand</f>
        <v>-97.0816455843522</v>
      </c>
      <c r="DU81" s="48" t="n">
        <f aca="false">-$E35*DU74/Thousand</f>
        <v>-98.1484768545099</v>
      </c>
      <c r="DV81" s="48" t="n">
        <f aca="false">-$E35*DV74/Thousand</f>
        <v>-97.8540314239464</v>
      </c>
      <c r="DW81" s="48" t="n">
        <f aca="false">-$E35*DW74/Thousand</f>
        <v>-96.7904006475991</v>
      </c>
      <c r="DX81" s="48" t="n">
        <f aca="false">-$E35*DX74/Thousand</f>
        <v>-96.7904006475991</v>
      </c>
      <c r="DY81" s="48" t="n">
        <f aca="false">-$E35*DY74/Thousand</f>
        <v>-97.8540314239464</v>
      </c>
      <c r="DZ81" s="48" t="n">
        <f aca="false">-$E35*DZ74/Thousand</f>
        <v>-97.5604693296746</v>
      </c>
      <c r="EA81" s="48" t="n">
        <f aca="false">-$E35*EA74/Thousand</f>
        <v>-95.4395895616381</v>
      </c>
      <c r="EB81" s="48" t="n">
        <f aca="false">-$E35*EB74/Thousand</f>
        <v>-96.5000294456563</v>
      </c>
      <c r="EC81" s="48" t="n">
        <f aca="false">-$E35*EC74/Thousand</f>
        <v>-97.5604693296746</v>
      </c>
      <c r="ED81" s="48" t="n">
        <f aca="false">-$E35*ED74/Thousand</f>
        <v>-97.2677879216855</v>
      </c>
      <c r="EE81" s="48" t="n">
        <f aca="false">-$E35*EE74/Thousand</f>
        <v>-95.1532707929532</v>
      </c>
      <c r="EF81" s="48" t="n">
        <f aca="false">-$E35*EF74/Thousand</f>
        <v>-96.2105293573194</v>
      </c>
      <c r="EG81" s="48" t="n">
        <f aca="false">-$E35*EG74/Thousand</f>
        <v>-97.2677879216855</v>
      </c>
      <c r="EH81" s="48" t="n">
        <f aca="false">-$E35*EH74/Thousand</f>
        <v>-96.9759845579205</v>
      </c>
      <c r="EI81" s="48" t="n">
        <f aca="false">-$E35*EI74/Thousand</f>
        <v>-94.8678109805744</v>
      </c>
      <c r="EJ81" s="48" t="n">
        <f aca="false">-$E35*EJ74/Thousand</f>
        <v>-95.9218977692474</v>
      </c>
      <c r="EK81" s="48" t="n">
        <f aca="false">-$E35*EK74/Thousand</f>
        <v>-96.9759845579205</v>
      </c>
      <c r="EL81" s="48" t="n">
        <f aca="false">-$E35*EL74/Thousand</f>
        <v>-96.6850566042467</v>
      </c>
      <c r="EM81" s="48" t="n">
        <f aca="false">-$E35*EM74/Thousand</f>
        <v>-95.6341320759397</v>
      </c>
      <c r="EN81" s="48" t="n">
        <f aca="false">-$E35*EN74/Thousand</f>
        <v>-95.6341320759397</v>
      </c>
      <c r="EO81" s="48" t="n">
        <f aca="false">-$E35*EO74/Thousand</f>
        <v>-96.6850566042467</v>
      </c>
    </row>
    <row r="82" customFormat="false" ht="15" hidden="false" customHeight="false" outlineLevel="0" collapsed="false">
      <c r="C82" s="25" t="s">
        <v>463</v>
      </c>
      <c r="D82" s="11" t="s">
        <v>33</v>
      </c>
      <c r="E82" s="57" t="n">
        <f aca="false">SUMIF($J$7:$EO$7,YEAR(In_COD)+1,$J82:$EO82)</f>
        <v>9556.88408374485</v>
      </c>
      <c r="I82" s="57" t="n">
        <f aca="false">SUM(J82:EO82)</f>
        <v>295373.32772584</v>
      </c>
      <c r="J82" s="57" t="n">
        <f aca="false">SUM(J75:J81)</f>
        <v>0</v>
      </c>
      <c r="K82" s="57" t="n">
        <f aca="false">SUM(K75:K81)</f>
        <v>0</v>
      </c>
      <c r="L82" s="57" t="n">
        <f aca="false">SUM(L75:L81)</f>
        <v>0</v>
      </c>
      <c r="M82" s="57" t="n">
        <f aca="false">SUM(M75:M81)</f>
        <v>0</v>
      </c>
      <c r="N82" s="57" t="n">
        <f aca="false">SUM(N75:N81)</f>
        <v>0</v>
      </c>
      <c r="O82" s="57" t="n">
        <f aca="false">SUM(O75:O81)</f>
        <v>0</v>
      </c>
      <c r="P82" s="57" t="n">
        <f aca="false">SUM(P75:P81)</f>
        <v>0</v>
      </c>
      <c r="Q82" s="57" t="n">
        <f aca="false">SUM(Q75:Q81)</f>
        <v>0</v>
      </c>
      <c r="R82" s="57" t="n">
        <f aca="false">SUM(R75:R81)</f>
        <v>-41.5643004408661</v>
      </c>
      <c r="S82" s="57" t="n">
        <f aca="false">SUM(S75:S81)</f>
        <v>-41.6772469094554</v>
      </c>
      <c r="T82" s="57" t="n">
        <f aca="false">SUM(T75:T81)</f>
        <v>-42.1403274306716</v>
      </c>
      <c r="U82" s="57" t="n">
        <f aca="false">SUM(U75:U81)</f>
        <v>-42.6034079518878</v>
      </c>
      <c r="V82" s="57" t="n">
        <f aca="false">SUM(V75:V81)</f>
        <v>-42.6034079518878</v>
      </c>
      <c r="W82" s="57" t="n">
        <f aca="false">SUM(W75:W81)</f>
        <v>-42.7191780821918</v>
      </c>
      <c r="X82" s="57" t="n">
        <f aca="false">SUM(X75:X81)</f>
        <v>-43.1938356164384</v>
      </c>
      <c r="Y82" s="57" t="n">
        <f aca="false">SUM(Y75:Y81)</f>
        <v>-43.6684931506849</v>
      </c>
      <c r="Z82" s="57" t="n">
        <f aca="false">SUM(Z75:Z81)</f>
        <v>2394.81444547397</v>
      </c>
      <c r="AA82" s="57" t="n">
        <f aca="false">SUM(AA75:AA81)</f>
        <v>2358.58146048863</v>
      </c>
      <c r="AB82" s="57" t="n">
        <f aca="false">SUM(AB75:AB81)</f>
        <v>2384.78792116073</v>
      </c>
      <c r="AC82" s="57" t="n">
        <f aca="false">SUM(AC75:AC81)</f>
        <v>2410.99438183282</v>
      </c>
      <c r="AD82" s="57" t="n">
        <f aca="false">SUM(AD75:AD81)</f>
        <v>2402.52032026267</v>
      </c>
      <c r="AE82" s="57" t="n">
        <f aca="false">SUM(AE75:AE81)</f>
        <v>2392.27337019217</v>
      </c>
      <c r="AF82" s="57" t="n">
        <f aca="false">SUM(AF75:AF81)</f>
        <v>2392.27337019217</v>
      </c>
      <c r="AG82" s="57" t="n">
        <f aca="false">SUM(AG75:AG81)</f>
        <v>2418.56208854593</v>
      </c>
      <c r="AH82" s="57" t="n">
        <f aca="false">SUM(AH75:AH81)</f>
        <v>2410.03429689502</v>
      </c>
      <c r="AI82" s="57" t="n">
        <f aca="false">SUM(AI75:AI81)</f>
        <v>2373.19324507827</v>
      </c>
      <c r="AJ82" s="57" t="n">
        <f aca="false">SUM(AJ75:AJ81)</f>
        <v>2399.56205891247</v>
      </c>
      <c r="AK82" s="57" t="n">
        <f aca="false">SUM(AK75:AK81)</f>
        <v>2425.93087274668</v>
      </c>
      <c r="AL82" s="57" t="n">
        <f aca="false">SUM(AL75:AL81)</f>
        <v>2417.34917210853</v>
      </c>
      <c r="AM82" s="57" t="n">
        <f aca="false">SUM(AM75:AM81)</f>
        <v>2380.20000195605</v>
      </c>
      <c r="AN82" s="57" t="n">
        <f aca="false">SUM(AN75:AN81)</f>
        <v>2406.64666864445</v>
      </c>
      <c r="AO82" s="57" t="n">
        <f aca="false">SUM(AO75:AO81)</f>
        <v>2433.09333533285</v>
      </c>
      <c r="AP82" s="57" t="n">
        <f aca="false">SUM(AP75:AP81)</f>
        <v>2424.45754960645</v>
      </c>
      <c r="AQ82" s="57" t="n">
        <f aca="false">SUM(AQ75:AQ81)</f>
        <v>2386.99749055404</v>
      </c>
      <c r="AR82" s="57" t="n">
        <f aca="false">SUM(AR75:AR81)</f>
        <v>2413.51968489352</v>
      </c>
      <c r="AS82" s="57" t="n">
        <f aca="false">SUM(AS75:AS81)</f>
        <v>2440.04187923301</v>
      </c>
      <c r="AT82" s="57" t="n">
        <f aca="false">SUM(AT75:AT81)</f>
        <v>2431.3518352319</v>
      </c>
      <c r="AU82" s="57" t="n">
        <f aca="false">SUM(AU75:AU81)</f>
        <v>2420.17339245424</v>
      </c>
      <c r="AV82" s="57" t="n">
        <f aca="false">SUM(AV75:AV81)</f>
        <v>2420.17339245424</v>
      </c>
      <c r="AW82" s="57" t="n">
        <f aca="false">SUM(AW75:AW81)</f>
        <v>2446.76870445923</v>
      </c>
      <c r="AX82" s="57" t="n">
        <f aca="false">SUM(AX75:AX81)</f>
        <v>2438.02423202336</v>
      </c>
      <c r="AY82" s="57" t="n">
        <f aca="false">SUM(AY75:AY81)</f>
        <v>2399.93393775468</v>
      </c>
      <c r="AZ82" s="57" t="n">
        <f aca="false">SUM(AZ75:AZ81)</f>
        <v>2426.5998703964</v>
      </c>
      <c r="BA82" s="57" t="n">
        <f aca="false">SUM(BA75:BA81)</f>
        <v>2453.26580303812</v>
      </c>
      <c r="BB82" s="57" t="n">
        <f aca="false">SUM(BB75:BB81)</f>
        <v>2444.46673514844</v>
      </c>
      <c r="BC82" s="57" t="n">
        <f aca="false">SUM(BC75:BC81)</f>
        <v>2406.05702003861</v>
      </c>
      <c r="BD82" s="57" t="n">
        <f aca="false">SUM(BD75:BD81)</f>
        <v>2432.79098692793</v>
      </c>
      <c r="BE82" s="57" t="n">
        <f aca="false">SUM(BE75:BE81)</f>
        <v>2459.52495381724</v>
      </c>
      <c r="BF82" s="57" t="n">
        <f aca="false">SUM(BF75:BF81)</f>
        <v>2450.67112671322</v>
      </c>
      <c r="BG82" s="57" t="n">
        <f aca="false">SUM(BG75:BG81)</f>
        <v>2411.93907111903</v>
      </c>
      <c r="BH82" s="57" t="n">
        <f aca="false">SUM(BH75:BH81)</f>
        <v>2438.73839413146</v>
      </c>
      <c r="BI82" s="57" t="n">
        <f aca="false">SUM(BI75:BI81)</f>
        <v>2465.5377171439</v>
      </c>
      <c r="BJ82" s="57" t="n">
        <f aca="false">SUM(BJ75:BJ81)</f>
        <v>2456.62897044382</v>
      </c>
      <c r="BK82" s="57" t="n">
        <f aca="false">SUM(BK75:BK81)</f>
        <v>2444.43352257147</v>
      </c>
      <c r="BL82" s="57" t="n">
        <f aca="false">SUM(BL75:BL81)</f>
        <v>2444.43352257147</v>
      </c>
      <c r="BM82" s="57" t="n">
        <f aca="false">SUM(BM75:BM81)</f>
        <v>2471.29542941292</v>
      </c>
      <c r="BN82" s="57" t="n">
        <f aca="false">SUM(BN75:BN81)</f>
        <v>2462.33160623732</v>
      </c>
      <c r="BO82" s="57" t="n">
        <f aca="false">SUM(BO75:BO81)</f>
        <v>2422.9459540571</v>
      </c>
      <c r="BP82" s="57" t="n">
        <f aca="false">SUM(BP75:BP81)</f>
        <v>2449.86757576884</v>
      </c>
      <c r="BQ82" s="57" t="n">
        <f aca="false">SUM(BQ75:BQ81)</f>
        <v>2476.78919748059</v>
      </c>
      <c r="BR82" s="57" t="n">
        <f aca="false">SUM(BR75:BR81)</f>
        <v>2467.77014457861</v>
      </c>
      <c r="BS82" s="57" t="n">
        <f aca="false">SUM(BS75:BS81)</f>
        <v>2428.05315613806</v>
      </c>
      <c r="BT82" s="57" t="n">
        <f aca="false">SUM(BT75:BT81)</f>
        <v>2455.03152453959</v>
      </c>
      <c r="BU82" s="57" t="n">
        <f aca="false">SUM(BU75:BU81)</f>
        <v>2482.00989294113</v>
      </c>
      <c r="BV82" s="57" t="n">
        <f aca="false">SUM(BV75:BV81)</f>
        <v>2472.93546082003</v>
      </c>
      <c r="BW82" s="57" t="n">
        <f aca="false">SUM(BW75:BW81)</f>
        <v>2432.88405612638</v>
      </c>
      <c r="BX82" s="57" t="n">
        <f aca="false">SUM(BX75:BX81)</f>
        <v>2459.91610119445</v>
      </c>
      <c r="BY82" s="57" t="n">
        <f aca="false">SUM(BY75:BY81)</f>
        <v>2486.94814626252</v>
      </c>
      <c r="BZ82" s="57" t="n">
        <f aca="false">SUM(BZ75:BZ81)</f>
        <v>2477.8181893204</v>
      </c>
      <c r="CA82" s="57" t="n">
        <f aca="false">SUM(CA75:CA81)</f>
        <v>2464.51179359584</v>
      </c>
      <c r="CB82" s="57" t="n">
        <f aca="false">SUM(CB75:CB81)</f>
        <v>2464.51179359584</v>
      </c>
      <c r="CC82" s="57" t="n">
        <f aca="false">SUM(CC75:CC81)</f>
        <v>2491.59434077821</v>
      </c>
      <c r="CD82" s="57" t="n">
        <f aca="false">SUM(CD75:CD81)</f>
        <v>2482.40871743996</v>
      </c>
      <c r="CE82" s="57" t="n">
        <f aca="false">SUM(CE75:CE81)</f>
        <v>2441.67907160649</v>
      </c>
      <c r="CF82" s="57" t="n">
        <f aca="false">SUM(CF75:CF81)</f>
        <v>2468.80883906879</v>
      </c>
      <c r="CG82" s="57" t="n">
        <f aca="false">SUM(CG75:CG81)</f>
        <v>2495.93860653108</v>
      </c>
      <c r="CH82" s="57" t="n">
        <f aca="false">SUM(CH75:CH81)</f>
        <v>2486.69717938767</v>
      </c>
      <c r="CI82" s="57" t="n">
        <f aca="false">SUM(CI75:CI81)</f>
        <v>2445.62362235821</v>
      </c>
      <c r="CJ82" s="57" t="n">
        <f aca="false">SUM(CJ75:CJ81)</f>
        <v>2472.79721816219</v>
      </c>
      <c r="CK82" s="57" t="n">
        <f aca="false">SUM(CK75:CK81)</f>
        <v>2499.97081396617</v>
      </c>
      <c r="CL82" s="57" t="n">
        <f aca="false">SUM(CL75:CL81)</f>
        <v>2490.67344991736</v>
      </c>
      <c r="CM82" s="57" t="n">
        <f aca="false">SUM(CM75:CM81)</f>
        <v>2449.25272904512</v>
      </c>
      <c r="CN82" s="57" t="n">
        <f aca="false">SUM(CN75:CN81)</f>
        <v>2476.46664825673</v>
      </c>
      <c r="CO82" s="57" t="n">
        <f aca="false">SUM(CO75:CO81)</f>
        <v>2503.68056746835</v>
      </c>
      <c r="CP82" s="57" t="n">
        <f aca="false">SUM(CP75:CP81)</f>
        <v>2494.32713786886</v>
      </c>
      <c r="CQ82" s="57" t="n">
        <f aca="false">SUM(CQ75:CQ81)</f>
        <v>2479.80657701572</v>
      </c>
      <c r="CR82" s="57" t="n">
        <f aca="false">SUM(CR75:CR81)</f>
        <v>2479.80657701572</v>
      </c>
      <c r="CS82" s="57" t="n">
        <f aca="false">SUM(CS75:CS81)</f>
        <v>2507.05719874117</v>
      </c>
      <c r="CT82" s="57" t="n">
        <f aca="false">SUM(CT75:CT81)</f>
        <v>2497.64757955043</v>
      </c>
      <c r="CU82" s="57" t="n">
        <f aca="false">SUM(CU75:CU81)</f>
        <v>2455.52259132691</v>
      </c>
      <c r="CV82" s="57" t="n">
        <f aca="false">SUM(CV75:CV81)</f>
        <v>2482.80617567499</v>
      </c>
      <c r="CW82" s="57" t="n">
        <f aca="false">SUM(CW75:CW81)</f>
        <v>2510.08976002306</v>
      </c>
      <c r="CX82" s="57" t="n">
        <f aca="false">SUM(CX75:CX81)</f>
        <v>2500.62383195862</v>
      </c>
      <c r="CY82" s="57" t="n">
        <f aca="false">SUM(CY75:CY81)</f>
        <v>2458.14164719902</v>
      </c>
      <c r="CZ82" s="57" t="n">
        <f aca="false">SUM(CZ75:CZ81)</f>
        <v>2485.45433216789</v>
      </c>
      <c r="DA82" s="57" t="n">
        <f aca="false">SUM(DA75:DA81)</f>
        <v>2512.76701713677</v>
      </c>
      <c r="DB82" s="57" t="n">
        <f aca="false">SUM(DB75:DB81)</f>
        <v>2503.24466583138</v>
      </c>
      <c r="DC82" s="57" t="n">
        <f aca="false">SUM(DC75:DC81)</f>
        <v>2460.4018457948</v>
      </c>
      <c r="DD82" s="57" t="n">
        <f aca="false">SUM(DD75:DD81)</f>
        <v>2487.73964408141</v>
      </c>
      <c r="DE82" s="57" t="n">
        <f aca="false">SUM(DE75:DE81)</f>
        <v>2515.07744236802</v>
      </c>
      <c r="DF82" s="57" t="n">
        <f aca="false">SUM(DF75:DF81)</f>
        <v>2505.49855853058</v>
      </c>
      <c r="DG82" s="57" t="n">
        <f aca="false">SUM(DG75:DG81)</f>
        <v>2489.65041143909</v>
      </c>
      <c r="DH82" s="57" t="n">
        <f aca="false">SUM(DH75:DH81)</f>
        <v>2489.65041143909</v>
      </c>
      <c r="DI82" s="57" t="n">
        <f aca="false">SUM(DI75:DI81)</f>
        <v>2517.00920716919</v>
      </c>
      <c r="DJ82" s="57" t="n">
        <f aca="false">SUM(DJ75:DJ81)</f>
        <v>2507.37368674959</v>
      </c>
      <c r="DK82" s="57" t="n">
        <f aca="false">SUM(DK75:DK81)</f>
        <v>2463.79908392978</v>
      </c>
      <c r="DL82" s="57" t="n">
        <f aca="false">SUM(DL75:DL81)</f>
        <v>2491.17462930678</v>
      </c>
      <c r="DM82" s="57" t="n">
        <f aca="false">SUM(DM75:DM81)</f>
        <v>2518.55017468378</v>
      </c>
      <c r="DN82" s="57" t="n">
        <f aca="false">SUM(DN75:DN81)</f>
        <v>2508.85791904168</v>
      </c>
      <c r="DO82" s="57" t="n">
        <f aca="false">SUM(DO75:DO81)</f>
        <v>2464.91206834606</v>
      </c>
      <c r="DP82" s="57" t="n">
        <f aca="false">SUM(DP75:DP81)</f>
        <v>2492.29998021657</v>
      </c>
      <c r="DQ82" s="57" t="n">
        <f aca="false">SUM(DQ75:DQ81)</f>
        <v>2519.68789208708</v>
      </c>
      <c r="DR82" s="57" t="n">
        <f aca="false">SUM(DR75:DR81)</f>
        <v>2509.93880816483</v>
      </c>
      <c r="DS82" s="57" t="n">
        <f aca="false">SUM(DS75:DS81)</f>
        <v>2465.61807007059</v>
      </c>
      <c r="DT82" s="57" t="n">
        <f aca="false">SUM(DT75:DT81)</f>
        <v>2493.01382640471</v>
      </c>
      <c r="DU82" s="57" t="n">
        <f aca="false">SUM(DU75:DU81)</f>
        <v>2520.40958273882</v>
      </c>
      <c r="DV82" s="57" t="n">
        <f aca="false">SUM(DV75:DV81)</f>
        <v>2510.60358323846</v>
      </c>
      <c r="DW82" s="57" t="n">
        <f aca="false">SUM(DW75:DW81)</f>
        <v>2493.30320185874</v>
      </c>
      <c r="DX82" s="57" t="n">
        <f aca="false">SUM(DX75:DX81)</f>
        <v>2493.30320185874</v>
      </c>
      <c r="DY82" s="57" t="n">
        <f aca="false">SUM(DY75:DY81)</f>
        <v>2520.70213814291</v>
      </c>
      <c r="DZ82" s="57" t="n">
        <f aca="false">SUM(DZ75:DZ81)</f>
        <v>2510.83914170753</v>
      </c>
      <c r="EA82" s="57" t="n">
        <f aca="false">SUM(EA75:EA81)</f>
        <v>2465.75749862902</v>
      </c>
      <c r="EB82" s="57" t="n">
        <f aca="false">SUM(EB75:EB81)</f>
        <v>2493.15480416935</v>
      </c>
      <c r="EC82" s="57" t="n">
        <f aca="false">SUM(EC75:EC81)</f>
        <v>2520.55210970967</v>
      </c>
      <c r="ED82" s="57" t="n">
        <f aca="false">SUM(ED75:ED81)</f>
        <v>2510.63204110907</v>
      </c>
      <c r="EE82" s="57" t="n">
        <f aca="false">SUM(EE75:EE81)</f>
        <v>2465.16427204807</v>
      </c>
      <c r="EF82" s="57" t="n">
        <f aca="false">SUM(EF75:EF81)</f>
        <v>2492.55498618193</v>
      </c>
      <c r="EG82" s="57" t="n">
        <f aca="false">SUM(EG75:EG81)</f>
        <v>2519.9457003158</v>
      </c>
      <c r="EH82" s="57" t="n">
        <f aca="false">SUM(EH75:EH81)</f>
        <v>2509.96849063659</v>
      </c>
      <c r="EI82" s="57" t="n">
        <f aca="false">SUM(EI75:EI81)</f>
        <v>2464.11073922956</v>
      </c>
      <c r="EJ82" s="57" t="n">
        <f aca="false">SUM(EJ75:EJ81)</f>
        <v>2491.48974744322</v>
      </c>
      <c r="EK82" s="57" t="n">
        <f aca="false">SUM(EK75:EK81)</f>
        <v>2518.86875565688</v>
      </c>
      <c r="EL82" s="57" t="n">
        <f aca="false">SUM(EL75:EL81)</f>
        <v>2508.8343424972</v>
      </c>
      <c r="EM82" s="57" t="n">
        <f aca="false">SUM(EM75:EM81)</f>
        <v>2489.94472543768</v>
      </c>
      <c r="EN82" s="57" t="n">
        <f aca="false">SUM(EN75:EN81)</f>
        <v>2489.94472543768</v>
      </c>
      <c r="EO82" s="57" t="n">
        <f aca="false">SUM(EO75:EO81)</f>
        <v>2517.30675538755</v>
      </c>
    </row>
    <row r="84" customFormat="false" ht="15" hidden="false" customHeight="false" outlineLevel="0" collapsed="false">
      <c r="A84" s="9" t="s">
        <v>13</v>
      </c>
      <c r="B84" s="9"/>
      <c r="C84" s="9" t="s">
        <v>464</v>
      </c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</row>
    <row r="85" customFormat="false" ht="15" hidden="false" customHeight="false" outlineLevel="0" collapsed="false">
      <c r="C85" s="0" t="s">
        <v>465</v>
      </c>
      <c r="D85" s="11" t="s">
        <v>33</v>
      </c>
      <c r="J85" s="58" t="n">
        <v>0</v>
      </c>
      <c r="K85" s="58" t="n">
        <v>0</v>
      </c>
      <c r="L85" s="58" t="n">
        <v>0</v>
      </c>
      <c r="M85" s="58" t="n">
        <v>0</v>
      </c>
      <c r="N85" s="58" t="n">
        <v>0</v>
      </c>
      <c r="O85" s="58" t="n">
        <v>0</v>
      </c>
      <c r="P85" s="58" t="n">
        <v>0</v>
      </c>
      <c r="Q85" s="58" t="n">
        <v>0</v>
      </c>
      <c r="R85" s="58" t="n">
        <v>0</v>
      </c>
      <c r="S85" s="58" t="n">
        <v>0</v>
      </c>
      <c r="T85" s="58" t="n">
        <v>0</v>
      </c>
      <c r="U85" s="58" t="n">
        <v>0</v>
      </c>
      <c r="V85" s="58" t="n">
        <v>0</v>
      </c>
      <c r="W85" s="58" t="n">
        <v>0</v>
      </c>
      <c r="X85" s="58" t="n">
        <v>0</v>
      </c>
      <c r="Y85" s="58" t="n">
        <v>0</v>
      </c>
      <c r="Z85" s="58" t="n">
        <v>-16.886293224631</v>
      </c>
      <c r="AA85" s="58" t="n">
        <v>-16.9788088319921</v>
      </c>
      <c r="AB85" s="58" t="n">
        <v>-18.2416191640304</v>
      </c>
      <c r="AC85" s="58" t="n">
        <v>-19.522479970568</v>
      </c>
      <c r="AD85" s="58" t="n">
        <v>-19.3875280807122</v>
      </c>
      <c r="AE85" s="58" t="n">
        <v>-20.2886713939922</v>
      </c>
      <c r="AF85" s="58" t="n">
        <v>-20.7922872960809</v>
      </c>
      <c r="AG85" s="58" t="n">
        <v>-22.1066419810911</v>
      </c>
      <c r="AH85" s="58" t="n">
        <v>-21.9953507415349</v>
      </c>
      <c r="AI85" s="58" t="n">
        <v>-22.0968937596873</v>
      </c>
      <c r="AJ85" s="58" t="n">
        <v>-25.9135500958892</v>
      </c>
      <c r="AK85" s="58" t="n">
        <v>-27.3049372957678</v>
      </c>
      <c r="AL85" s="58" t="n">
        <v>-54.4680631835654</v>
      </c>
      <c r="AM85" s="58" t="n">
        <v>-54.5783625156455</v>
      </c>
      <c r="AN85" s="58" t="n">
        <v>-57.367158806465</v>
      </c>
      <c r="AO85" s="58" t="n">
        <v>-60.1932939772512</v>
      </c>
      <c r="AP85" s="58" t="n">
        <v>-60.0740965084775</v>
      </c>
      <c r="AQ85" s="58" t="n">
        <v>-60.1960068335165</v>
      </c>
      <c r="AR85" s="58" t="n">
        <v>-63.0547832757686</v>
      </c>
      <c r="AS85" s="58" t="n">
        <v>-65.9516372637399</v>
      </c>
      <c r="AT85" s="58" t="n">
        <v>-65.8844378862593</v>
      </c>
      <c r="AU85" s="58" t="n">
        <v>-67.7301064928825</v>
      </c>
      <c r="AV85" s="58" t="n">
        <v>-68.9758354879371</v>
      </c>
      <c r="AW85" s="58" t="n">
        <v>-71.9459246839619</v>
      </c>
      <c r="AX85" s="58" t="n">
        <v>-71.9336068268387</v>
      </c>
      <c r="AY85" s="58" t="n">
        <v>-72.085489453627</v>
      </c>
      <c r="AZ85" s="58" t="n">
        <v>-75.0912326588092</v>
      </c>
      <c r="BA85" s="58" t="n">
        <v>-78.1366177676977</v>
      </c>
      <c r="BB85" s="58" t="n">
        <v>-78.1816175360602</v>
      </c>
      <c r="BC85" s="58" t="n">
        <v>-78.3518012931668</v>
      </c>
      <c r="BD85" s="58" t="n">
        <v>-81.4344550227713</v>
      </c>
      <c r="BE85" s="58" t="n">
        <v>-84.5575756280171</v>
      </c>
      <c r="BF85" s="58" t="n">
        <v>-84.662726335426</v>
      </c>
      <c r="BG85" s="58" t="n">
        <v>-84.8536638908335</v>
      </c>
      <c r="BH85" s="58" t="n">
        <v>-88.0157478197051</v>
      </c>
      <c r="BI85" s="58" t="n">
        <v>-91.2191549338506</v>
      </c>
      <c r="BJ85" s="58" t="n">
        <v>-91.3874169524563</v>
      </c>
      <c r="BK85" s="58" t="n">
        <v>-93.3517023462516</v>
      </c>
      <c r="BL85" s="58" t="n">
        <v>-94.8708568147493</v>
      </c>
      <c r="BM85" s="58" t="n">
        <v>-98.1575060535722</v>
      </c>
      <c r="BN85" s="58" t="n">
        <v>-98.3922637466062</v>
      </c>
      <c r="BO85" s="58" t="n">
        <v>-98.6328557706773</v>
      </c>
      <c r="BP85" s="58" t="n">
        <v>-101.962123830241</v>
      </c>
      <c r="BQ85" s="58" t="n">
        <v>-105.334530837327</v>
      </c>
      <c r="BR85" s="58" t="n">
        <v>-105.63873866352</v>
      </c>
      <c r="BS85" s="58" t="n">
        <v>-105.908212276823</v>
      </c>
      <c r="BT85" s="58" t="n">
        <v>-109.325197678435</v>
      </c>
      <c r="BU85" s="58" t="n">
        <v>-112.786281231362</v>
      </c>
      <c r="BV85" s="58" t="n">
        <v>-113.163316955031</v>
      </c>
      <c r="BW85" s="58" t="n">
        <v>-113.464649334242</v>
      </c>
      <c r="BX85" s="58" t="n">
        <v>-116.972367703597</v>
      </c>
      <c r="BY85" s="58" t="n">
        <v>-120.52518081519</v>
      </c>
      <c r="BZ85" s="58" t="n">
        <v>-120.978573929578</v>
      </c>
      <c r="CA85" s="58" t="n">
        <v>-123.098004105192</v>
      </c>
      <c r="CB85" s="58" t="n">
        <v>-124.941706181021</v>
      </c>
      <c r="CC85" s="58" t="n">
        <v>-128.589732504539</v>
      </c>
      <c r="CD85" s="58" t="n">
        <v>-129.123464472373</v>
      </c>
      <c r="CE85" s="58" t="n">
        <v>-129.498335838154</v>
      </c>
      <c r="CF85" s="58" t="n">
        <v>-133.197429498129</v>
      </c>
      <c r="CG85" s="58" t="n">
        <v>-136.943733534805</v>
      </c>
      <c r="CH85" s="58" t="n">
        <v>-137.561378656563</v>
      </c>
      <c r="CI85" s="58" t="n">
        <v>-137.977961383161</v>
      </c>
      <c r="CJ85" s="58" t="n">
        <v>-141.7777092787</v>
      </c>
      <c r="CK85" s="58" t="n">
        <v>-145.625786922483</v>
      </c>
      <c r="CL85" s="58" t="n">
        <v>-146.331373112496</v>
      </c>
      <c r="CM85" s="58" t="n">
        <v>-146.793273634208</v>
      </c>
      <c r="CN85" s="58" t="n">
        <v>-150.697288700434</v>
      </c>
      <c r="CO85" s="58" t="n">
        <v>-154.650797526773</v>
      </c>
      <c r="CP85" s="58" t="n">
        <v>-155.448533957651</v>
      </c>
      <c r="CQ85" s="58" t="n">
        <v>-157.767861040584</v>
      </c>
      <c r="CR85" s="58" t="n">
        <v>-159.996950919877</v>
      </c>
      <c r="CS85" s="58" t="n">
        <v>-164.060009528393</v>
      </c>
      <c r="CT85" s="58" t="n">
        <v>-164.954589886834</v>
      </c>
      <c r="CU85" s="58" t="n">
        <v>-163.194375284734</v>
      </c>
      <c r="CV85" s="58" t="n">
        <v>-165.007646121231</v>
      </c>
      <c r="CW85" s="58" t="n">
        <v>-166.820916957728</v>
      </c>
      <c r="CX85" s="58" t="n">
        <v>-165.401027748062</v>
      </c>
      <c r="CY85" s="58" t="n">
        <v>-163.58723366555</v>
      </c>
      <c r="CZ85" s="58" t="n">
        <v>-165.404869595167</v>
      </c>
      <c r="DA85" s="58" t="n">
        <v>-167.222505524784</v>
      </c>
      <c r="DB85" s="58" t="n">
        <v>-375.486699874706</v>
      </c>
      <c r="DC85" s="58" t="n">
        <v>-369.060276869219</v>
      </c>
      <c r="DD85" s="58" t="n">
        <v>-373.160946612211</v>
      </c>
      <c r="DE85" s="58" t="n">
        <v>-377.261616355202</v>
      </c>
      <c r="DF85" s="58" t="n">
        <v>-375.824783779586</v>
      </c>
      <c r="DG85" s="58" t="n">
        <v>-373.447561715863</v>
      </c>
      <c r="DH85" s="58" t="n">
        <v>-373.447561715863</v>
      </c>
      <c r="DI85" s="58" t="n">
        <v>-377.551381075378</v>
      </c>
      <c r="DJ85" s="58" t="n">
        <v>-376.106053012438</v>
      </c>
      <c r="DK85" s="58" t="n">
        <v>-369.569862589467</v>
      </c>
      <c r="DL85" s="58" t="n">
        <v>-373.676194396016</v>
      </c>
      <c r="DM85" s="58" t="n">
        <v>-377.782526202566</v>
      </c>
      <c r="DN85" s="58" t="n">
        <v>-376.328687856252</v>
      </c>
      <c r="DO85" s="58" t="n">
        <v>-369.736810251908</v>
      </c>
      <c r="DP85" s="58" t="n">
        <v>-373.844997032485</v>
      </c>
      <c r="DQ85" s="58" t="n">
        <v>-377.953183813062</v>
      </c>
      <c r="DR85" s="58" t="n">
        <v>-376.490821224723</v>
      </c>
      <c r="DS85" s="58" t="n">
        <v>-369.842710510588</v>
      </c>
      <c r="DT85" s="58" t="n">
        <v>-373.952073960705</v>
      </c>
      <c r="DU85" s="58" t="n">
        <v>-378.061437410823</v>
      </c>
      <c r="DV85" s="58" t="n">
        <v>-376.590537485769</v>
      </c>
      <c r="DW85" s="58" t="n">
        <v>-373.995480278811</v>
      </c>
      <c r="DX85" s="58" t="n">
        <v>-373.995480278811</v>
      </c>
      <c r="DY85" s="58" t="n">
        <v>-378.105320721435</v>
      </c>
      <c r="DZ85" s="58" t="n">
        <v>-376.625871256129</v>
      </c>
      <c r="EA85" s="58" t="n">
        <v>-369.863624794353</v>
      </c>
      <c r="EB85" s="58" t="n">
        <v>-373.973220625401</v>
      </c>
      <c r="EC85" s="58" t="n">
        <v>-378.08281645645</v>
      </c>
      <c r="ED85" s="58" t="n">
        <v>-376.59480616636</v>
      </c>
      <c r="EE85" s="58" t="n">
        <v>-369.774640807209</v>
      </c>
      <c r="EF85" s="58" t="n">
        <v>-373.883247927289</v>
      </c>
      <c r="EG85" s="58" t="n">
        <v>-377.991855047369</v>
      </c>
      <c r="EH85" s="58" t="n">
        <v>-376.495273595488</v>
      </c>
      <c r="EI85" s="58" t="n">
        <v>-369.616610884433</v>
      </c>
      <c r="EJ85" s="58" t="n">
        <v>-373.723462116482</v>
      </c>
      <c r="EK85" s="58" t="n">
        <v>-377.830313348532</v>
      </c>
      <c r="EL85" s="58" t="n">
        <v>-376.325151374579</v>
      </c>
      <c r="EM85" s="58" t="n">
        <v>-373.491708815651</v>
      </c>
      <c r="EN85" s="58" t="n">
        <v>-373.491708815651</v>
      </c>
      <c r="EO85" s="58" t="n">
        <v>-377.596013308131</v>
      </c>
    </row>
    <row r="86" customFormat="false" ht="15" hidden="false" customHeight="false" outlineLevel="0" collapsed="false">
      <c r="C86" s="0" t="s">
        <v>466</v>
      </c>
      <c r="D86" s="11" t="s">
        <v>33</v>
      </c>
      <c r="I86" s="48" t="n">
        <f aca="false">SUM(J86:EO86)</f>
        <v>272597.231938133</v>
      </c>
      <c r="J86" s="48" t="n">
        <f aca="false">(J82+J58+J85)*(J$4&gt;In_COD)</f>
        <v>-0</v>
      </c>
      <c r="K86" s="48" t="n">
        <f aca="false">(K82+K58+K85)*(K$4&gt;In_COD)</f>
        <v>-0</v>
      </c>
      <c r="L86" s="48" t="n">
        <f aca="false">(L82+L58+L85)*(L$4&gt;In_COD)</f>
        <v>-0</v>
      </c>
      <c r="M86" s="48" t="n">
        <f aca="false">(M82+M58+M85)*(M$4&gt;In_COD)</f>
        <v>-0</v>
      </c>
      <c r="N86" s="48" t="n">
        <f aca="false">(N82+N58+N85)*(N$4&gt;In_COD)</f>
        <v>-0</v>
      </c>
      <c r="O86" s="48" t="n">
        <f aca="false">(O82+O58+O85)*(O$4&gt;In_COD)</f>
        <v>-0</v>
      </c>
      <c r="P86" s="48" t="n">
        <f aca="false">(P82+P58+P85)*(P$4&gt;In_COD)</f>
        <v>-0</v>
      </c>
      <c r="Q86" s="48" t="n">
        <f aca="false">(Q82+Q58+Q85)*(Q$4&gt;In_COD)</f>
        <v>-0</v>
      </c>
      <c r="R86" s="48" t="n">
        <f aca="false">(R82+R58+R85)*(R$4&gt;In_COD)</f>
        <v>-0</v>
      </c>
      <c r="S86" s="48" t="n">
        <f aca="false">(S82+S58+S85)*(S$4&gt;In_COD)</f>
        <v>-0</v>
      </c>
      <c r="T86" s="48" t="n">
        <f aca="false">(T82+T58+T85)*(T$4&gt;In_COD)</f>
        <v>-0</v>
      </c>
      <c r="U86" s="48" t="n">
        <f aca="false">(U82+U58+U85)*(U$4&gt;In_COD)</f>
        <v>-0</v>
      </c>
      <c r="V86" s="48" t="n">
        <f aca="false">(V82+V58+V85)*(V$4&gt;In_COD)</f>
        <v>-0</v>
      </c>
      <c r="W86" s="48" t="n">
        <f aca="false">(W82+W58+W85)*(W$4&gt;In_COD)</f>
        <v>-0</v>
      </c>
      <c r="X86" s="48" t="n">
        <f aca="false">(X82+X58+X85)*(X$4&gt;In_COD)</f>
        <v>-0</v>
      </c>
      <c r="Y86" s="48" t="n">
        <f aca="false">(Y82+Y58+Y85)*(Y$4&gt;In_COD)</f>
        <v>-0</v>
      </c>
      <c r="Z86" s="48" t="n">
        <f aca="false">(Z82+Z58+Z85)*(Z$4&gt;In_COD)</f>
        <v>2344.40831738351</v>
      </c>
      <c r="AA86" s="48" t="n">
        <f aca="false">(AA82+AA58+AA85)*(AA$4&gt;In_COD)</f>
        <v>2308.81150885311</v>
      </c>
      <c r="AB86" s="48" t="n">
        <f aca="false">(AB82+AB58+AB85)*(AB$4&gt;In_COD)</f>
        <v>2333.39081316202</v>
      </c>
      <c r="AC86" s="48" t="n">
        <f aca="false">(AC82+AC58+AC85)*(AC$4&gt;In_COD)</f>
        <v>2357.95206699643</v>
      </c>
      <c r="AD86" s="48" t="n">
        <f aca="false">(AD82+AD58+AD85)*(AD$4&gt;In_COD)</f>
        <v>2349.61295731613</v>
      </c>
      <c r="AE86" s="48" t="n">
        <f aca="false">(AE82+AE58+AE85)*(AE$4&gt;In_COD)</f>
        <v>2338.8292099635</v>
      </c>
      <c r="AF86" s="48" t="n">
        <f aca="false">(AF82+AF58+AF85)*(AF$4&gt;In_COD)</f>
        <v>2338.32559406141</v>
      </c>
      <c r="AG86" s="48" t="n">
        <f aca="false">(AG82+AG58+AG85)*(AG$4&gt;In_COD)</f>
        <v>2362.93561169901</v>
      </c>
      <c r="AH86" s="48" t="n">
        <f aca="false">(AH82+AH58+AH85)*(AH$4&gt;In_COD)</f>
        <v>2354.51911128766</v>
      </c>
      <c r="AI86" s="48" t="n">
        <f aca="false">(AI82+AI58+AI85)*(AI$4&gt;In_COD)</f>
        <v>2318.30520851505</v>
      </c>
      <c r="AJ86" s="48" t="n">
        <f aca="false">(AJ82+AJ58+AJ85)*(AJ$4&gt;In_COD)</f>
        <v>2373.64850881658</v>
      </c>
      <c r="AK86" s="48" t="n">
        <f aca="false">(AK82+AK58+AK85)*(AK$4&gt;In_COD)</f>
        <v>2398.62593545091</v>
      </c>
      <c r="AL86" s="48" t="n">
        <f aca="false">(AL82+AL58+AL85)*(AL$4&gt;In_COD)</f>
        <v>2362.88110892496</v>
      </c>
      <c r="AM86" s="48" t="n">
        <f aca="false">(AM82+AM58+AM85)*(AM$4&gt;In_COD)</f>
        <v>2325.6216394404</v>
      </c>
      <c r="AN86" s="48" t="n">
        <f aca="false">(AN82+AN58+AN85)*(AN$4&gt;In_COD)</f>
        <v>2349.27950983798</v>
      </c>
      <c r="AO86" s="48" t="n">
        <f aca="false">(AO82+AO58+AO85)*(AO$4&gt;In_COD)</f>
        <v>2372.9000413556</v>
      </c>
      <c r="AP86" s="48" t="n">
        <f aca="false">(AP82+AP58+AP85)*(AP$4&gt;In_COD)</f>
        <v>2364.38345309797</v>
      </c>
      <c r="AQ86" s="48" t="n">
        <f aca="false">(AQ82+AQ58+AQ85)*(AQ$4&gt;In_COD)</f>
        <v>2326.80148372052</v>
      </c>
      <c r="AR86" s="48" t="n">
        <f aca="false">(AR82+AR58+AR85)*(AR$4&gt;In_COD)</f>
        <v>2350.46490161776</v>
      </c>
      <c r="AS86" s="48" t="n">
        <f aca="false">(AS82+AS58+AS85)*(AS$4&gt;In_COD)</f>
        <v>2374.09024196927</v>
      </c>
      <c r="AT86" s="48" t="n">
        <f aca="false">(AT82+AT58+AT85)*(AT$4&gt;In_COD)</f>
        <v>2365.46739734564</v>
      </c>
      <c r="AU86" s="48" t="n">
        <f aca="false">(AU82+AU58+AU85)*(AU$4&gt;In_COD)</f>
        <v>2352.44328596136</v>
      </c>
      <c r="AV86" s="48" t="n">
        <f aca="false">(AV82+AV58+AV85)*(AV$4&gt;In_COD)</f>
        <v>2351.1975569663</v>
      </c>
      <c r="AW86" s="48" t="n">
        <f aca="false">(AW82+AW58+AW85)*(AW$4&gt;In_COD)</f>
        <v>2374.82277977527</v>
      </c>
      <c r="AX86" s="48" t="n">
        <f aca="false">(AX82+AX58+AX85)*(AX$4&gt;In_COD)</f>
        <v>2366.09062519652</v>
      </c>
      <c r="AY86" s="48" t="n">
        <f aca="false">(AY82+AY58+AY85)*(AY$4&gt;In_COD)</f>
        <v>2327.84844830105</v>
      </c>
      <c r="AZ86" s="48" t="n">
        <f aca="false">(AZ82+AZ58+AZ85)*(AZ$4&gt;In_COD)</f>
        <v>2351.50863773759</v>
      </c>
      <c r="BA86" s="48" t="n">
        <f aca="false">(BA82+BA58+BA85)*(BA$4&gt;In_COD)</f>
        <v>2375.12918527042</v>
      </c>
      <c r="BB86" s="48" t="n">
        <f aca="false">(BB82+BB58+BB85)*(BB$4&gt;In_COD)</f>
        <v>2366.28511761238</v>
      </c>
      <c r="BC86" s="48" t="n">
        <f aca="false">(BC82+BC58+BC85)*(BC$4&gt;In_COD)</f>
        <v>2327.70521874544</v>
      </c>
      <c r="BD86" s="48" t="n">
        <f aca="false">(BD82+BD58+BD85)*(BD$4&gt;In_COD)</f>
        <v>2351.35653190516</v>
      </c>
      <c r="BE86" s="48" t="n">
        <f aca="false">(BE82+BE58+BE85)*(BE$4&gt;In_COD)</f>
        <v>2374.96737818923</v>
      </c>
      <c r="BF86" s="48" t="n">
        <f aca="false">(BF82+BF58+BF85)*(BF$4&gt;In_COD)</f>
        <v>2366.00840037779</v>
      </c>
      <c r="BG86" s="48" t="n">
        <f aca="false">(BG82+BG58+BG85)*(BG$4&gt;In_COD)</f>
        <v>2327.08540722819</v>
      </c>
      <c r="BH86" s="48" t="n">
        <f aca="false">(BH82+BH58+BH85)*(BH$4&gt;In_COD)</f>
        <v>2350.72264631176</v>
      </c>
      <c r="BI86" s="48" t="n">
        <f aca="false">(BI82+BI58+BI85)*(BI$4&gt;In_COD)</f>
        <v>2374.31856221004</v>
      </c>
      <c r="BJ86" s="48" t="n">
        <f aca="false">(BJ82+BJ58+BJ85)*(BJ$4&gt;In_COD)</f>
        <v>2365.24155349137</v>
      </c>
      <c r="BK86" s="48" t="n">
        <f aca="false">(BK82+BK58+BK85)*(BK$4&gt;In_COD)</f>
        <v>2351.08182022522</v>
      </c>
      <c r="BL86" s="48" t="n">
        <f aca="false">(BL82+BL58+BL85)*(BL$4&gt;In_COD)</f>
        <v>2349.56266575672</v>
      </c>
      <c r="BM86" s="48" t="n">
        <f aca="false">(BM82+BM58+BM85)*(BM$4&gt;In_COD)</f>
        <v>2373.13792335935</v>
      </c>
      <c r="BN86" s="48" t="n">
        <f aca="false">(BN82+BN58+BN85)*(BN$4&gt;In_COD)</f>
        <v>2363.93934249072</v>
      </c>
      <c r="BO86" s="48" t="n">
        <f aca="false">(BO82+BO58+BO85)*(BO$4&gt;In_COD)</f>
        <v>2324.31309828642</v>
      </c>
      <c r="BP86" s="48" t="n">
        <f aca="false">(BP82+BP58+BP85)*(BP$4&gt;In_COD)</f>
        <v>2347.9054519386</v>
      </c>
      <c r="BQ86" s="48" t="n">
        <f aca="false">(BQ82+BQ58+BQ85)*(BQ$4&gt;In_COD)</f>
        <v>2371.45466664326</v>
      </c>
      <c r="BR86" s="48" t="n">
        <f aca="false">(BR82+BR58+BR85)*(BR$4&gt;In_COD)</f>
        <v>2362.13140591509</v>
      </c>
      <c r="BS86" s="48" t="n">
        <f aca="false">(BS82+BS58+BS85)*(BS$4&gt;In_COD)</f>
        <v>2322.14494386124</v>
      </c>
      <c r="BT86" s="48" t="n">
        <f aca="false">(BT82+BT58+BT85)*(BT$4&gt;In_COD)</f>
        <v>2345.70632686116</v>
      </c>
      <c r="BU86" s="48" t="n">
        <f aca="false">(BU82+BU58+BU85)*(BU$4&gt;In_COD)</f>
        <v>2369.22361170977</v>
      </c>
      <c r="BV86" s="48" t="n">
        <f aca="false">(BV82+BV58+BV85)*(BV$4&gt;In_COD)</f>
        <v>2359.77214386499</v>
      </c>
      <c r="BW86" s="48" t="n">
        <f aca="false">(BW82+BW58+BW85)*(BW$4&gt;In_COD)</f>
        <v>2319.41940679214</v>
      </c>
      <c r="BX86" s="48" t="n">
        <f aca="false">(BX82+BX58+BX85)*(BX$4&gt;In_COD)</f>
        <v>2342.94373349086</v>
      </c>
      <c r="BY86" s="48" t="n">
        <f aca="false">(BY82+BY58+BY85)*(BY$4&gt;In_COD)</f>
        <v>2366.42296544733</v>
      </c>
      <c r="BZ86" s="48" t="n">
        <f aca="false">(BZ82+BZ58+BZ85)*(BZ$4&gt;In_COD)</f>
        <v>2356.83961539082</v>
      </c>
      <c r="CA86" s="48" t="n">
        <f aca="false">(CA82+CA58+CA85)*(CA$4&gt;In_COD)</f>
        <v>2341.41378949065</v>
      </c>
      <c r="CB86" s="48" t="n">
        <f aca="false">(CB82+CB58+CB85)*(CB$4&gt;In_COD)</f>
        <v>2339.57008741482</v>
      </c>
      <c r="CC86" s="48" t="n">
        <f aca="false">(CC82+CC58+CC85)*(CC$4&gt;In_COD)</f>
        <v>2363.00460827367</v>
      </c>
      <c r="CD86" s="48" t="n">
        <f aca="false">(CD82+CD58+CD85)*(CD$4&gt;In_COD)</f>
        <v>2353.28525296759</v>
      </c>
      <c r="CE86" s="48" t="n">
        <f aca="false">(CE82+CE58+CE85)*(CE$4&gt;In_COD)</f>
        <v>2312.18073576834</v>
      </c>
      <c r="CF86" s="48" t="n">
        <f aca="false">(CF82+CF58+CF85)*(CF$4&gt;In_COD)</f>
        <v>2335.61140957066</v>
      </c>
      <c r="CG86" s="48" t="n">
        <f aca="false">(CG82+CG58+CG85)*(CG$4&gt;In_COD)</f>
        <v>2358.99487299628</v>
      </c>
      <c r="CH86" s="48" t="n">
        <f aca="false">(CH82+CH58+CH85)*(CH$4&gt;In_COD)</f>
        <v>2349.13580073111</v>
      </c>
      <c r="CI86" s="48" t="n">
        <f aca="false">(CI82+CI58+CI85)*(CI$4&gt;In_COD)</f>
        <v>2307.64566097505</v>
      </c>
      <c r="CJ86" s="48" t="n">
        <f aca="false">(CJ82+CJ58+CJ85)*(CJ$4&gt;In_COD)</f>
        <v>2331.01950888349</v>
      </c>
      <c r="CK86" s="48" t="n">
        <f aca="false">(CK82+CK58+CK85)*(CK$4&gt;In_COD)</f>
        <v>2354.34502704369</v>
      </c>
      <c r="CL86" s="48" t="n">
        <f aca="false">(CL82+CL58+CL85)*(CL$4&gt;In_COD)</f>
        <v>2344.34207680487</v>
      </c>
      <c r="CM86" s="48" t="n">
        <f aca="false">(CM82+CM58+CM85)*(CM$4&gt;In_COD)</f>
        <v>2302.45945541091</v>
      </c>
      <c r="CN86" s="48" t="n">
        <f aca="false">(CN82+CN58+CN85)*(CN$4&gt;In_COD)</f>
        <v>2325.7693595563</v>
      </c>
      <c r="CO86" s="48" t="n">
        <f aca="false">(CO82+CO58+CO85)*(CO$4&gt;In_COD)</f>
        <v>2349.02976994157</v>
      </c>
      <c r="CP86" s="48" t="n">
        <f aca="false">(CP82+CP58+CP85)*(CP$4&gt;In_COD)</f>
        <v>2338.87860391121</v>
      </c>
      <c r="CQ86" s="48" t="n">
        <f aca="false">(CQ82+CQ58+CQ85)*(CQ$4&gt;In_COD)</f>
        <v>2322.03871597514</v>
      </c>
      <c r="CR86" s="48" t="n">
        <f aca="false">(CR82+CR58+CR85)*(CR$4&gt;In_COD)</f>
        <v>2319.80962609584</v>
      </c>
      <c r="CS86" s="48" t="n">
        <f aca="false">(CS82+CS58+CS85)*(CS$4&gt;In_COD)</f>
        <v>2342.99718921278</v>
      </c>
      <c r="CT86" s="48" t="n">
        <f aca="false">(CT82+CT58+CT85)*(CT$4&gt;In_COD)</f>
        <v>2332.6929896636</v>
      </c>
      <c r="CU86" s="48" t="n">
        <f aca="false">(CU82+CU58+CU85)*(CU$4&gt;In_COD)</f>
        <v>2292.32821604218</v>
      </c>
      <c r="CV86" s="48" t="n">
        <f aca="false">(CV82+CV58+CV85)*(CV$4&gt;In_COD)</f>
        <v>2317.79852955376</v>
      </c>
      <c r="CW86" s="48" t="n">
        <f aca="false">(CW82+CW58+CW85)*(CW$4&gt;In_COD)</f>
        <v>2343.26884306534</v>
      </c>
      <c r="CX86" s="48" t="n">
        <f aca="false">(CX82+CX58+CX85)*(CX$4&gt;In_COD)</f>
        <v>2335.22280421056</v>
      </c>
      <c r="CY86" s="48" t="n">
        <f aca="false">(CY82+CY58+CY85)*(CY$4&gt;In_COD)</f>
        <v>2294.55441353347</v>
      </c>
      <c r="CZ86" s="48" t="n">
        <f aca="false">(CZ82+CZ58+CZ85)*(CZ$4&gt;In_COD)</f>
        <v>2320.04946257273</v>
      </c>
      <c r="DA86" s="48" t="n">
        <f aca="false">(DA82+DA58+DA85)*(DA$4&gt;In_COD)</f>
        <v>2345.54451161199</v>
      </c>
      <c r="DB86" s="48" t="n">
        <f aca="false">(DB82+DB58+DB85)*(DB$4&gt;In_COD)</f>
        <v>2127.75796595667</v>
      </c>
      <c r="DC86" s="48" t="n">
        <f aca="false">(DC82+DC58+DC85)*(DC$4&gt;In_COD)</f>
        <v>2091.34156892558</v>
      </c>
      <c r="DD86" s="48" t="n">
        <f aca="false">(DD82+DD58+DD85)*(DD$4&gt;In_COD)</f>
        <v>2114.5786974692</v>
      </c>
      <c r="DE86" s="48" t="n">
        <f aca="false">(DE82+DE58+DE85)*(DE$4&gt;In_COD)</f>
        <v>2137.81582601281</v>
      </c>
      <c r="DF86" s="48" t="n">
        <f aca="false">(DF82+DF58+DF85)*(DF$4&gt;In_COD)</f>
        <v>2129.67377475099</v>
      </c>
      <c r="DG86" s="48" t="n">
        <f aca="false">(DG82+DG58+DG85)*(DG$4&gt;In_COD)</f>
        <v>2116.20284972323</v>
      </c>
      <c r="DH86" s="48" t="n">
        <f aca="false">(DH82+DH58+DH85)*(DH$4&gt;In_COD)</f>
        <v>2116.20284972323</v>
      </c>
      <c r="DI86" s="48" t="n">
        <f aca="false">(DI82+DI58+DI85)*(DI$4&gt;In_COD)</f>
        <v>2139.45782609381</v>
      </c>
      <c r="DJ86" s="48" t="n">
        <f aca="false">(DJ82+DJ58+DJ85)*(DJ$4&gt;In_COD)</f>
        <v>2131.26763373715</v>
      </c>
      <c r="DK86" s="48" t="n">
        <f aca="false">(DK82+DK58+DK85)*(DK$4&gt;In_COD)</f>
        <v>2094.22922134031</v>
      </c>
      <c r="DL86" s="48" t="n">
        <f aca="false">(DL82+DL58+DL85)*(DL$4&gt;In_COD)</f>
        <v>2117.49843491076</v>
      </c>
      <c r="DM86" s="48" t="n">
        <f aca="false">(DM82+DM58+DM85)*(DM$4&gt;In_COD)</f>
        <v>2140.76764848121</v>
      </c>
      <c r="DN86" s="48" t="n">
        <f aca="false">(DN82+DN58+DN85)*(DN$4&gt;In_COD)</f>
        <v>2132.52923118543</v>
      </c>
      <c r="DO86" s="48" t="n">
        <f aca="false">(DO82+DO58+DO85)*(DO$4&gt;In_COD)</f>
        <v>2095.17525809415</v>
      </c>
      <c r="DP86" s="48" t="n">
        <f aca="false">(DP82+DP58+DP85)*(DP$4&gt;In_COD)</f>
        <v>2118.45498318408</v>
      </c>
      <c r="DQ86" s="48" t="n">
        <f aca="false">(DQ82+DQ58+DQ85)*(DQ$4&gt;In_COD)</f>
        <v>2141.73470827402</v>
      </c>
      <c r="DR86" s="48" t="n">
        <f aca="false">(DR82+DR58+DR85)*(DR$4&gt;In_COD)</f>
        <v>2133.4479869401</v>
      </c>
      <c r="DS86" s="48" t="n">
        <f aca="false">(DS82+DS58+DS85)*(DS$4&gt;In_COD)</f>
        <v>2095.77535956</v>
      </c>
      <c r="DT86" s="48" t="n">
        <f aca="false">(DT82+DT58+DT85)*(DT$4&gt;In_COD)</f>
        <v>2119.061752444</v>
      </c>
      <c r="DU86" s="48" t="n">
        <f aca="false">(DU82+DU58+DU85)*(DU$4&gt;In_COD)</f>
        <v>2142.348145328</v>
      </c>
      <c r="DV86" s="48" t="n">
        <f aca="false">(DV82+DV58+DV85)*(DV$4&gt;In_COD)</f>
        <v>2134.01304575269</v>
      </c>
      <c r="DW86" s="48" t="n">
        <f aca="false">(DW82+DW58+DW85)*(DW$4&gt;In_COD)</f>
        <v>2119.30772157993</v>
      </c>
      <c r="DX86" s="48" t="n">
        <f aca="false">(DX82+DX58+DX85)*(DX$4&gt;In_COD)</f>
        <v>2119.30772157993</v>
      </c>
      <c r="DY86" s="48" t="n">
        <f aca="false">(DY82+DY58+DY85)*(DY$4&gt;In_COD)</f>
        <v>2142.59681742147</v>
      </c>
      <c r="DZ86" s="48" t="n">
        <f aca="false">(DZ82+DZ58+DZ85)*(DZ$4&gt;In_COD)</f>
        <v>2134.2132704514</v>
      </c>
      <c r="EA86" s="48" t="n">
        <f aca="false">(EA82+EA58+EA85)*(EA$4&gt;In_COD)</f>
        <v>2095.89387383467</v>
      </c>
      <c r="EB86" s="48" t="n">
        <f aca="false">(EB82+EB58+EB85)*(EB$4&gt;In_COD)</f>
        <v>2119.18158354395</v>
      </c>
      <c r="EC86" s="48" t="n">
        <f aca="false">(EC82+EC58+EC85)*(EC$4&gt;In_COD)</f>
        <v>2142.46929325322</v>
      </c>
      <c r="ED86" s="48" t="n">
        <f aca="false">(ED82+ED58+ED85)*(ED$4&gt;In_COD)</f>
        <v>2134.03723494271</v>
      </c>
      <c r="EE86" s="48" t="n">
        <f aca="false">(EE82+EE58+EE85)*(EE$4&gt;In_COD)</f>
        <v>2095.38963124086</v>
      </c>
      <c r="EF86" s="48" t="n">
        <f aca="false">(EF82+EF58+EF85)*(EF$4&gt;In_COD)</f>
        <v>2118.67173825464</v>
      </c>
      <c r="EG86" s="48" t="n">
        <f aca="false">(EG82+EG58+EG85)*(EG$4&gt;In_COD)</f>
        <v>2141.95384526843</v>
      </c>
      <c r="EH86" s="48" t="n">
        <f aca="false">(EH82+EH58+EH85)*(EH$4&gt;In_COD)</f>
        <v>2133.47321704111</v>
      </c>
      <c r="EI86" s="48" t="n">
        <f aca="false">(EI82+EI58+EI85)*(EI$4&gt;In_COD)</f>
        <v>2094.49412834513</v>
      </c>
      <c r="EJ86" s="48" t="n">
        <f aca="false">(EJ82+EJ58+EJ85)*(EJ$4&gt;In_COD)</f>
        <v>2117.76628532674</v>
      </c>
      <c r="EK86" s="48" t="n">
        <f aca="false">(EK82+EK58+EK85)*(EK$4&gt;In_COD)</f>
        <v>2141.03844230835</v>
      </c>
      <c r="EL86" s="48" t="n">
        <f aca="false">(EL82+EL58+EL85)*(EL$4&gt;In_COD)</f>
        <v>2132.50919112262</v>
      </c>
      <c r="EM86" s="48" t="n">
        <f aca="false">(EM82+EM58+EM85)*(EM$4&gt;In_COD)</f>
        <v>2116.45301662203</v>
      </c>
      <c r="EN86" s="48" t="n">
        <f aca="false">(EN82+EN58+EN85)*(EN$4&gt;In_COD)</f>
        <v>2116.45301662203</v>
      </c>
      <c r="EO86" s="48" t="n">
        <f aca="false">(EO82+EO58+EO85)*(EO$4&gt;In_COD)</f>
        <v>2139.71074207941</v>
      </c>
    </row>
    <row r="87" customFormat="false" ht="15" hidden="false" customHeight="false" outlineLevel="0" collapsed="false">
      <c r="C87" s="0" t="s">
        <v>467</v>
      </c>
      <c r="D87" s="11" t="s">
        <v>33</v>
      </c>
      <c r="E87" s="48" t="n">
        <f aca="false">SUMPRODUCT($J87:$EO87/$J22:$EO22)*$E22</f>
        <v>92596.2536855795</v>
      </c>
      <c r="I87" s="48" t="n">
        <f aca="false">SUM(J87:EO87)</f>
        <v>140909.597190961</v>
      </c>
      <c r="J87" s="48" t="n">
        <f aca="false">J86/In_DSCR*J18</f>
        <v>-0</v>
      </c>
      <c r="K87" s="48" t="n">
        <f aca="false">K86/In_DSCR*K18</f>
        <v>-0</v>
      </c>
      <c r="L87" s="48" t="n">
        <f aca="false">L86/In_DSCR*L18</f>
        <v>-0</v>
      </c>
      <c r="M87" s="48" t="n">
        <f aca="false">M86/In_DSCR*M18</f>
        <v>-0</v>
      </c>
      <c r="N87" s="48" t="n">
        <f aca="false">N86/In_DSCR*N18</f>
        <v>-0</v>
      </c>
      <c r="O87" s="48" t="n">
        <f aca="false">O86/In_DSCR*O18</f>
        <v>-0</v>
      </c>
      <c r="P87" s="48" t="n">
        <f aca="false">P86/In_DSCR*P18</f>
        <v>-0</v>
      </c>
      <c r="Q87" s="48" t="n">
        <f aca="false">Q86/In_DSCR*Q18</f>
        <v>-0</v>
      </c>
      <c r="R87" s="48" t="n">
        <f aca="false">R86/In_DSCR*R18</f>
        <v>-0</v>
      </c>
      <c r="S87" s="48" t="n">
        <f aca="false">S86/In_DSCR*S18</f>
        <v>-0</v>
      </c>
      <c r="T87" s="48" t="n">
        <f aca="false">T86/In_DSCR*T18</f>
        <v>-0</v>
      </c>
      <c r="U87" s="48" t="n">
        <f aca="false">U86/In_DSCR*U18</f>
        <v>-0</v>
      </c>
      <c r="V87" s="48" t="n">
        <f aca="false">V86/In_DSCR*V18</f>
        <v>-0</v>
      </c>
      <c r="W87" s="48" t="n">
        <f aca="false">W86/In_DSCR*W18</f>
        <v>-0</v>
      </c>
      <c r="X87" s="48" t="n">
        <f aca="false">X86/In_DSCR*X18</f>
        <v>-0</v>
      </c>
      <c r="Y87" s="48" t="n">
        <f aca="false">Y86/In_DSCR*Y18</f>
        <v>-0</v>
      </c>
      <c r="Z87" s="48" t="n">
        <f aca="false">Z86/In_DSCR*Z18</f>
        <v>1953.67359781959</v>
      </c>
      <c r="AA87" s="48" t="n">
        <f aca="false">AA86/In_DSCR*AA18</f>
        <v>1924.00959071093</v>
      </c>
      <c r="AB87" s="48" t="n">
        <f aca="false">AB86/In_DSCR*AB18</f>
        <v>1944.49234430168</v>
      </c>
      <c r="AC87" s="48" t="n">
        <f aca="false">AC86/In_DSCR*AC18</f>
        <v>1964.96005583036</v>
      </c>
      <c r="AD87" s="48" t="n">
        <f aca="false">AD86/In_DSCR*AD18</f>
        <v>1958.01079776344</v>
      </c>
      <c r="AE87" s="48" t="n">
        <f aca="false">AE86/In_DSCR*AE18</f>
        <v>1949.02434163625</v>
      </c>
      <c r="AF87" s="48" t="n">
        <f aca="false">AF86/In_DSCR*AF18</f>
        <v>1948.60466171784</v>
      </c>
      <c r="AG87" s="48" t="n">
        <f aca="false">AG86/In_DSCR*AG18</f>
        <v>1969.11300974918</v>
      </c>
      <c r="AH87" s="48" t="n">
        <f aca="false">AH86/In_DSCR*AH18</f>
        <v>1962.09925940638</v>
      </c>
      <c r="AI87" s="48" t="n">
        <f aca="false">AI86/In_DSCR*AI18</f>
        <v>1931.92100709588</v>
      </c>
      <c r="AJ87" s="48" t="n">
        <f aca="false">AJ86/In_DSCR*AJ18</f>
        <v>1978.04042401382</v>
      </c>
      <c r="AK87" s="48" t="n">
        <f aca="false">AK86/In_DSCR*AK18</f>
        <v>1998.85494620909</v>
      </c>
      <c r="AL87" s="48" t="n">
        <f aca="false">AL86/In_DSCR*AL18</f>
        <v>1969.0675907708</v>
      </c>
      <c r="AM87" s="48" t="n">
        <f aca="false">AM86/In_DSCR*AM18</f>
        <v>1938.018032867</v>
      </c>
      <c r="AN87" s="48" t="n">
        <f aca="false">AN86/In_DSCR*AN18</f>
        <v>1957.73292486498</v>
      </c>
      <c r="AO87" s="48" t="n">
        <f aca="false">AO86/In_DSCR*AO18</f>
        <v>1977.41670112966</v>
      </c>
      <c r="AP87" s="48" t="n">
        <f aca="false">AP86/In_DSCR*AP18</f>
        <v>1970.31954424831</v>
      </c>
      <c r="AQ87" s="48" t="n">
        <f aca="false">AQ86/In_DSCR*AQ18</f>
        <v>1939.00123643377</v>
      </c>
      <c r="AR87" s="48" t="n">
        <f aca="false">AR86/In_DSCR*AR18</f>
        <v>1958.72075134813</v>
      </c>
      <c r="AS87" s="48" t="n">
        <f aca="false">AS86/In_DSCR*AS18</f>
        <v>1978.4085349744</v>
      </c>
      <c r="AT87" s="48" t="n">
        <f aca="false">AT86/In_DSCR*AT18</f>
        <v>1971.22283112137</v>
      </c>
      <c r="AU87" s="48" t="n">
        <f aca="false">AU86/In_DSCR*AU18</f>
        <v>1960.3694049678</v>
      </c>
      <c r="AV87" s="48" t="n">
        <f aca="false">AV86/In_DSCR*AV18</f>
        <v>1959.33129747192</v>
      </c>
      <c r="AW87" s="48" t="n">
        <f aca="false">AW86/In_DSCR*AW18</f>
        <v>1979.01898314606</v>
      </c>
      <c r="AX87" s="48" t="n">
        <f aca="false">AX86/In_DSCR*AX18</f>
        <v>1971.74218766376</v>
      </c>
      <c r="AY87" s="48" t="n">
        <f aca="false">AY86/In_DSCR*AY18</f>
        <v>1939.87370691754</v>
      </c>
      <c r="AZ87" s="48" t="n">
        <f aca="false">AZ86/In_DSCR*AZ18</f>
        <v>1959.59053144799</v>
      </c>
      <c r="BA87" s="48" t="n">
        <f aca="false">BA86/In_DSCR*BA18</f>
        <v>1979.27432105868</v>
      </c>
      <c r="BB87" s="48" t="n">
        <f aca="false">BB86/In_DSCR*BB18</f>
        <v>1971.90426467698</v>
      </c>
      <c r="BC87" s="48" t="n">
        <f aca="false">BC86/In_DSCR*BC18</f>
        <v>1939.75434895453</v>
      </c>
      <c r="BD87" s="48" t="n">
        <f aca="false">BD86/In_DSCR*BD18</f>
        <v>1959.46377658763</v>
      </c>
      <c r="BE87" s="48" t="n">
        <f aca="false">BE86/In_DSCR*BE18</f>
        <v>1979.13948182436</v>
      </c>
      <c r="BF87" s="48" t="n">
        <f aca="false">BF86/In_DSCR*BF18</f>
        <v>1971.67366698149</v>
      </c>
      <c r="BG87" s="48" t="n">
        <f aca="false">BG86/In_DSCR*BG18</f>
        <v>1939.23783935683</v>
      </c>
      <c r="BH87" s="48" t="n">
        <f aca="false">BH86/In_DSCR*BH18</f>
        <v>1958.93553859313</v>
      </c>
      <c r="BI87" s="48" t="n">
        <f aca="false">BI86/In_DSCR*BI18</f>
        <v>1978.5988018417</v>
      </c>
      <c r="BJ87" s="48" t="n">
        <f aca="false">BJ86/In_DSCR*BJ18</f>
        <v>1971.03462790947</v>
      </c>
      <c r="BK87" s="48" t="n">
        <f aca="false">BK86/In_DSCR*BK18</f>
        <v>1959.23485018768</v>
      </c>
      <c r="BL87" s="48" t="n">
        <f aca="false">BL86/In_DSCR*BL18</f>
        <v>1957.9688881306</v>
      </c>
      <c r="BM87" s="48" t="n">
        <f aca="false">BM86/In_DSCR*BM18</f>
        <v>1977.61493613279</v>
      </c>
      <c r="BN87" s="48" t="n">
        <f aca="false">BN86/In_DSCR*BN18</f>
        <v>1969.9494520756</v>
      </c>
      <c r="BO87" s="48" t="n">
        <f aca="false">BO86/In_DSCR*BO18</f>
        <v>1936.92758190535</v>
      </c>
      <c r="BP87" s="48" t="n">
        <f aca="false">BP86/In_DSCR*BP18</f>
        <v>1956.5878766155</v>
      </c>
      <c r="BQ87" s="48" t="n">
        <f aca="false">BQ86/In_DSCR*BQ18</f>
        <v>1976.21222220272</v>
      </c>
      <c r="BR87" s="48" t="n">
        <f aca="false">BR86/In_DSCR*BR18</f>
        <v>1968.44283826257</v>
      </c>
      <c r="BS87" s="48" t="n">
        <f aca="false">BS86/In_DSCR*BS18</f>
        <v>1935.12078655103</v>
      </c>
      <c r="BT87" s="48" t="n">
        <f aca="false">BT86/In_DSCR*BT18</f>
        <v>1954.7552723843</v>
      </c>
      <c r="BU87" s="48" t="n">
        <f aca="false">BU86/In_DSCR*BU18</f>
        <v>1974.35300975814</v>
      </c>
      <c r="BV87" s="48" t="n">
        <f aca="false">BV86/In_DSCR*BV18</f>
        <v>1966.47678655416</v>
      </c>
      <c r="BW87" s="48" t="n">
        <f aca="false">BW86/In_DSCR*BW18</f>
        <v>1932.84950566012</v>
      </c>
      <c r="BX87" s="48" t="n">
        <f aca="false">BX86/In_DSCR*BX18</f>
        <v>1952.45311124238</v>
      </c>
      <c r="BY87" s="48" t="n">
        <f aca="false">BY86/In_DSCR*BY18</f>
        <v>1972.01913787278</v>
      </c>
      <c r="BZ87" s="48" t="n">
        <f aca="false">BZ86/In_DSCR*BZ18</f>
        <v>1964.03301282569</v>
      </c>
      <c r="CA87" s="48" t="n">
        <f aca="false">CA86/In_DSCR*CA18</f>
        <v>1951.17815790887</v>
      </c>
      <c r="CB87" s="48" t="n">
        <f aca="false">CB86/In_DSCR*CB18</f>
        <v>1949.64173951235</v>
      </c>
      <c r="CC87" s="48" t="n">
        <f aca="false">CC86/In_DSCR*CC18</f>
        <v>1969.17050689473</v>
      </c>
      <c r="CD87" s="48" t="n">
        <f aca="false">CD86/In_DSCR*CD18</f>
        <v>1961.07104413965</v>
      </c>
      <c r="CE87" s="48" t="n">
        <f aca="false">CE86/In_DSCR*CE18</f>
        <v>1926.81727980695</v>
      </c>
      <c r="CF87" s="48" t="n">
        <f aca="false">CF86/In_DSCR*CF18</f>
        <v>1946.34284130888</v>
      </c>
      <c r="CG87" s="48" t="n">
        <f aca="false">CG86/In_DSCR*CG18</f>
        <v>1965.82906083023</v>
      </c>
      <c r="CH87" s="48" t="n">
        <f aca="false">CH86/In_DSCR*CH18</f>
        <v>1957.61316727593</v>
      </c>
      <c r="CI87" s="48" t="n">
        <f aca="false">CI86/In_DSCR*CI18</f>
        <v>1923.03805081254</v>
      </c>
      <c r="CJ87" s="48" t="n">
        <f aca="false">CJ86/In_DSCR*CJ18</f>
        <v>1942.51625740291</v>
      </c>
      <c r="CK87" s="48" t="n">
        <f aca="false">CK86/In_DSCR*CK18</f>
        <v>1961.95418920308</v>
      </c>
      <c r="CL87" s="48" t="n">
        <f aca="false">CL86/In_DSCR*CL18</f>
        <v>1953.61839733739</v>
      </c>
      <c r="CM87" s="48" t="n">
        <f aca="false">CM86/In_DSCR*CM18</f>
        <v>1918.71621284243</v>
      </c>
      <c r="CN87" s="48" t="n">
        <f aca="false">CN86/In_DSCR*CN18</f>
        <v>1938.14113296358</v>
      </c>
      <c r="CO87" s="48" t="n">
        <f aca="false">CO86/In_DSCR*CO18</f>
        <v>1957.52480828465</v>
      </c>
      <c r="CP87" s="48" t="n">
        <f aca="false">CP86/In_DSCR*CP18</f>
        <v>1949.06550325934</v>
      </c>
      <c r="CQ87" s="48" t="n">
        <f aca="false">CQ86/In_DSCR*CQ18</f>
        <v>1935.03226331262</v>
      </c>
      <c r="CR87" s="48" t="n">
        <f aca="false">CR86/In_DSCR*CR18</f>
        <v>1933.1746884132</v>
      </c>
      <c r="CS87" s="48" t="n">
        <f aca="false">CS86/In_DSCR*CS18</f>
        <v>1952.49765767731</v>
      </c>
      <c r="CT87" s="48" t="n">
        <f aca="false">CT86/In_DSCR*CT18</f>
        <v>0</v>
      </c>
      <c r="CU87" s="48" t="n">
        <f aca="false">CU86/In_DSCR*CU18</f>
        <v>0</v>
      </c>
      <c r="CV87" s="48" t="n">
        <f aca="false">CV86/In_DSCR*CV18</f>
        <v>0</v>
      </c>
      <c r="CW87" s="48" t="n">
        <f aca="false">CW86/In_DSCR*CW18</f>
        <v>0</v>
      </c>
      <c r="CX87" s="48" t="n">
        <f aca="false">CX86/In_DSCR*CX18</f>
        <v>0</v>
      </c>
      <c r="CY87" s="48" t="n">
        <f aca="false">CY86/In_DSCR*CY18</f>
        <v>0</v>
      </c>
      <c r="CZ87" s="48" t="n">
        <f aca="false">CZ86/In_DSCR*CZ18</f>
        <v>0</v>
      </c>
      <c r="DA87" s="48" t="n">
        <f aca="false">DA86/In_DSCR*DA18</f>
        <v>0</v>
      </c>
      <c r="DB87" s="48" t="n">
        <f aca="false">DB86/In_DSCR*DB18</f>
        <v>0</v>
      </c>
      <c r="DC87" s="48" t="n">
        <f aca="false">DC86/In_DSCR*DC18</f>
        <v>0</v>
      </c>
      <c r="DD87" s="48" t="n">
        <f aca="false">DD86/In_DSCR*DD18</f>
        <v>0</v>
      </c>
      <c r="DE87" s="48" t="n">
        <f aca="false">DE86/In_DSCR*DE18</f>
        <v>0</v>
      </c>
      <c r="DF87" s="48" t="n">
        <f aca="false">DF86/In_DSCR*DF18</f>
        <v>0</v>
      </c>
      <c r="DG87" s="48" t="n">
        <f aca="false">DG86/In_DSCR*DG18</f>
        <v>0</v>
      </c>
      <c r="DH87" s="48" t="n">
        <f aca="false">DH86/In_DSCR*DH18</f>
        <v>0</v>
      </c>
      <c r="DI87" s="48" t="n">
        <f aca="false">DI86/In_DSCR*DI18</f>
        <v>0</v>
      </c>
      <c r="DJ87" s="48" t="n">
        <f aca="false">DJ86/In_DSCR*DJ18</f>
        <v>0</v>
      </c>
      <c r="DK87" s="48" t="n">
        <f aca="false">DK86/In_DSCR*DK18</f>
        <v>0</v>
      </c>
      <c r="DL87" s="48" t="n">
        <f aca="false">DL86/In_DSCR*DL18</f>
        <v>0</v>
      </c>
      <c r="DM87" s="48" t="n">
        <f aca="false">DM86/In_DSCR*DM18</f>
        <v>0</v>
      </c>
      <c r="DN87" s="48" t="n">
        <f aca="false">DN86/In_DSCR*DN18</f>
        <v>0</v>
      </c>
      <c r="DO87" s="48" t="n">
        <f aca="false">DO86/In_DSCR*DO18</f>
        <v>0</v>
      </c>
      <c r="DP87" s="48" t="n">
        <f aca="false">DP86/In_DSCR*DP18</f>
        <v>0</v>
      </c>
      <c r="DQ87" s="48" t="n">
        <f aca="false">DQ86/In_DSCR*DQ18</f>
        <v>0</v>
      </c>
      <c r="DR87" s="48" t="n">
        <f aca="false">DR86/In_DSCR*DR18</f>
        <v>0</v>
      </c>
      <c r="DS87" s="48" t="n">
        <f aca="false">DS86/In_DSCR*DS18</f>
        <v>0</v>
      </c>
      <c r="DT87" s="48" t="n">
        <f aca="false">DT86/In_DSCR*DT18</f>
        <v>0</v>
      </c>
      <c r="DU87" s="48" t="n">
        <f aca="false">DU86/In_DSCR*DU18</f>
        <v>0</v>
      </c>
      <c r="DV87" s="48" t="n">
        <f aca="false">DV86/In_DSCR*DV18</f>
        <v>0</v>
      </c>
      <c r="DW87" s="48" t="n">
        <f aca="false">DW86/In_DSCR*DW18</f>
        <v>0</v>
      </c>
      <c r="DX87" s="48" t="n">
        <f aca="false">DX86/In_DSCR*DX18</f>
        <v>0</v>
      </c>
      <c r="DY87" s="48" t="n">
        <f aca="false">DY86/In_DSCR*DY18</f>
        <v>0</v>
      </c>
      <c r="DZ87" s="48" t="n">
        <f aca="false">DZ86/In_DSCR*DZ18</f>
        <v>0</v>
      </c>
      <c r="EA87" s="48" t="n">
        <f aca="false">EA86/In_DSCR*EA18</f>
        <v>0</v>
      </c>
      <c r="EB87" s="48" t="n">
        <f aca="false">EB86/In_DSCR*EB18</f>
        <v>0</v>
      </c>
      <c r="EC87" s="48" t="n">
        <f aca="false">EC86/In_DSCR*EC18</f>
        <v>0</v>
      </c>
      <c r="ED87" s="48" t="n">
        <f aca="false">ED86/In_DSCR*ED18</f>
        <v>0</v>
      </c>
      <c r="EE87" s="48" t="n">
        <f aca="false">EE86/In_DSCR*EE18</f>
        <v>0</v>
      </c>
      <c r="EF87" s="48" t="n">
        <f aca="false">EF86/In_DSCR*EF18</f>
        <v>0</v>
      </c>
      <c r="EG87" s="48" t="n">
        <f aca="false">EG86/In_DSCR*EG18</f>
        <v>0</v>
      </c>
      <c r="EH87" s="48" t="n">
        <f aca="false">EH86/In_DSCR*EH18</f>
        <v>0</v>
      </c>
      <c r="EI87" s="48" t="n">
        <f aca="false">EI86/In_DSCR*EI18</f>
        <v>0</v>
      </c>
      <c r="EJ87" s="48" t="n">
        <f aca="false">EJ86/In_DSCR*EJ18</f>
        <v>0</v>
      </c>
      <c r="EK87" s="48" t="n">
        <f aca="false">EK86/In_DSCR*EK18</f>
        <v>0</v>
      </c>
      <c r="EL87" s="48" t="n">
        <f aca="false">EL86/In_DSCR*EL18</f>
        <v>0</v>
      </c>
      <c r="EM87" s="48" t="n">
        <f aca="false">EM86/In_DSCR*EM18</f>
        <v>0</v>
      </c>
      <c r="EN87" s="48" t="n">
        <f aca="false">EN86/In_DSCR*EN18</f>
        <v>0</v>
      </c>
      <c r="EO87" s="48" t="n">
        <f aca="false">EO86/In_DSCR*EO18</f>
        <v>0</v>
      </c>
    </row>
    <row r="88" customFormat="false" ht="15" hidden="false" customHeight="false" outlineLevel="0" collapsed="false">
      <c r="C88" s="0" t="s">
        <v>468</v>
      </c>
      <c r="D88" s="11" t="s">
        <v>33</v>
      </c>
      <c r="E88" s="48" t="n">
        <f aca="false">IF(In_Debt_Mult&gt;0,In_Debt_Mult*$E82,$E87)</f>
        <v>92596.2536855795</v>
      </c>
    </row>
    <row r="89" customFormat="false" ht="15" hidden="false" customHeight="false" outlineLevel="0" collapsed="false">
      <c r="C89" s="25" t="s">
        <v>469</v>
      </c>
      <c r="D89" s="11" t="s">
        <v>27</v>
      </c>
      <c r="E89" s="33" t="n">
        <f aca="false">MIN(In_Gearing,$E87/-$E69,$E88/-$E69)</f>
        <v>0.55</v>
      </c>
      <c r="F89" s="33" t="n">
        <f aca="false">$E89*-$E69/$E87</f>
        <v>0.637774157168942</v>
      </c>
    </row>
    <row r="91" customFormat="false" ht="15" hidden="false" customHeight="false" outlineLevel="0" collapsed="false">
      <c r="A91" s="9" t="s">
        <v>13</v>
      </c>
      <c r="B91" s="9"/>
      <c r="C91" s="9" t="s">
        <v>351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</row>
    <row r="92" customFormat="false" ht="15" hidden="false" customHeight="false" outlineLevel="0" collapsed="false">
      <c r="C92" s="0" t="s">
        <v>470</v>
      </c>
      <c r="D92" s="11" t="s">
        <v>33</v>
      </c>
      <c r="I92" s="48" t="n">
        <f aca="false">SUM(J92:EO92)</f>
        <v>-30813.0019341586</v>
      </c>
      <c r="J92" s="48" t="n">
        <f aca="false">-I98*$F22*(J$4&gt;In_COD)</f>
        <v>-0</v>
      </c>
      <c r="K92" s="48" t="n">
        <f aca="false">-J98*$F22*(K$4&gt;In_COD)</f>
        <v>-0</v>
      </c>
      <c r="L92" s="48" t="n">
        <f aca="false">-K98*$F22*(L$4&gt;In_COD)</f>
        <v>-0</v>
      </c>
      <c r="M92" s="48" t="n">
        <f aca="false">-L98*$F22*(M$4&gt;In_COD)</f>
        <v>-0</v>
      </c>
      <c r="N92" s="48" t="n">
        <f aca="false">-M98*$F22*(N$4&gt;In_COD)</f>
        <v>-0</v>
      </c>
      <c r="O92" s="48" t="n">
        <f aca="false">-N98*$F22*(O$4&gt;In_COD)</f>
        <v>-0</v>
      </c>
      <c r="P92" s="48" t="n">
        <f aca="false">-O98*$F22*(P$4&gt;In_COD)</f>
        <v>-0</v>
      </c>
      <c r="Q92" s="48" t="n">
        <f aca="false">-P98*$F22*(Q$4&gt;In_COD)</f>
        <v>-0</v>
      </c>
      <c r="R92" s="48" t="n">
        <f aca="false">-Q98*$F22*(R$4&gt;In_COD)</f>
        <v>-0</v>
      </c>
      <c r="S92" s="48" t="n">
        <f aca="false">-R98*$F22*(S$4&gt;In_COD)</f>
        <v>-0</v>
      </c>
      <c r="T92" s="48" t="n">
        <f aca="false">-S98*$F22*(T$4&gt;In_COD)</f>
        <v>-0</v>
      </c>
      <c r="U92" s="48" t="n">
        <f aca="false">-T98*$F22*(U$4&gt;In_COD)</f>
        <v>-0</v>
      </c>
      <c r="V92" s="48" t="n">
        <f aca="false">-U98*$F22*(V$4&gt;In_COD)</f>
        <v>-0</v>
      </c>
      <c r="W92" s="48" t="n">
        <f aca="false">-V98*$F22*(W$4&gt;In_COD)</f>
        <v>-0</v>
      </c>
      <c r="X92" s="48" t="n">
        <f aca="false">-W98*$F22*(X$4&gt;In_COD)</f>
        <v>-0</v>
      </c>
      <c r="Y92" s="48" t="n">
        <f aca="false">-X98*$F22*(Y$4&gt;In_COD)</f>
        <v>-0</v>
      </c>
      <c r="Z92" s="48" t="n">
        <f aca="false">-Y98*$F22*(Z$4&gt;In_COD)</f>
        <v>-738.193720641525</v>
      </c>
      <c r="AA92" s="48" t="n">
        <f aca="false">-Z98*$F22*(AA$4&gt;In_COD)</f>
        <v>-731.846110496636</v>
      </c>
      <c r="AB92" s="48" t="n">
        <f aca="false">-AA98*$F22*(AB$4&gt;In_COD)</f>
        <v>-725.655641939086</v>
      </c>
      <c r="AC92" s="48" t="n">
        <f aca="false">-AB98*$F22*(AC$4&gt;In_COD)</f>
        <v>-719.224500388219</v>
      </c>
      <c r="AD92" s="48" t="n">
        <f aca="false">-AC98*$F22*(AD$4&gt;In_COD)</f>
        <v>-712.549797349599</v>
      </c>
      <c r="AE92" s="48" t="n">
        <f aca="false">-AD98*$F22*(AE$4&gt;In_COD)</f>
        <v>-705.847061238078</v>
      </c>
      <c r="AF92" s="48" t="n">
        <f aca="false">-AE98*$F22*(AF$4&gt;In_COD)</f>
        <v>-699.132182543694</v>
      </c>
      <c r="AG92" s="48" t="n">
        <f aca="false">-AF98*$F22*(AG$4&gt;In_COD)</f>
        <v>-692.336713628208</v>
      </c>
      <c r="AH92" s="48" t="n">
        <f aca="false">-AG98*$F22*(AH$4&gt;In_COD)</f>
        <v>-685.292805171521</v>
      </c>
      <c r="AI92" s="48" t="n">
        <f aca="false">-AH98*$F22*(AI$4&gt;In_COD)</f>
        <v>-678.216762718043</v>
      </c>
      <c r="AJ92" s="48" t="n">
        <f aca="false">-AI98*$F22*(AJ$4&gt;In_COD)</f>
        <v>-671.2928561018</v>
      </c>
      <c r="AK92" s="48" t="n">
        <f aca="false">-AJ98*$F22*(AK$4&gt;In_COD)</f>
        <v>-663.914728499678</v>
      </c>
      <c r="AL92" s="48" t="n">
        <f aca="false">-AK98*$F22*(AL$4&gt;In_COD)</f>
        <v>-656.278437248156</v>
      </c>
      <c r="AM92" s="48" t="n">
        <f aca="false">-AL98*$F22*(AM$4&gt;In_COD)</f>
        <v>-648.784162424851</v>
      </c>
      <c r="AN92" s="48" t="n">
        <f aca="false">-AM98*$F22*(AN$4&gt;In_COD)</f>
        <v>-641.443741736537</v>
      </c>
      <c r="AO92" s="48" t="n">
        <f aca="false">-AN98*$F22*(AO$4&gt;In_COD)</f>
        <v>-633.854395181773</v>
      </c>
      <c r="AP92" s="48" t="n">
        <f aca="false">-AO98*$F22*(AP$4&gt;In_COD)</f>
        <v>-626.013259247361</v>
      </c>
      <c r="AQ92" s="48" t="n">
        <f aca="false">-AP98*$F22*(AQ$4&gt;In_COD)</f>
        <v>-618.130688904372</v>
      </c>
      <c r="AR92" s="48" t="n">
        <f aca="false">-AQ98*$F22*(AR$4&gt;In_COD)</f>
        <v>-610.399261524226</v>
      </c>
      <c r="AS92" s="48" t="n">
        <f aca="false">-AR98*$F22*(AS$4&gt;In_COD)</f>
        <v>-602.413983839274</v>
      </c>
      <c r="AT92" s="48" t="n">
        <f aca="false">-AS98*$F22*(AT$4&gt;In_COD)</f>
        <v>-594.171935688151</v>
      </c>
      <c r="AU92" s="48" t="n">
        <f aca="false">-AT98*$F22*(AU$4&gt;In_COD)</f>
        <v>-585.88414763787</v>
      </c>
      <c r="AV92" s="48" t="n">
        <f aca="false">-AU98*$F22*(AV$4&gt;In_COD)</f>
        <v>-577.57928767093</v>
      </c>
      <c r="AW92" s="48" t="n">
        <f aca="false">-AV98*$F22*(AW$4&gt;In_COD)</f>
        <v>-569.178892931068</v>
      </c>
      <c r="AX92" s="48" t="n">
        <f aca="false">-AW98*$F22*(AX$4&gt;In_COD)</f>
        <v>-560.51653954274</v>
      </c>
      <c r="AY92" s="48" t="n">
        <f aca="false">-AX98*$F22*(AY$4&gt;In_COD)</f>
        <v>-551.803918638378</v>
      </c>
      <c r="AZ92" s="48" t="n">
        <f aca="false">-AY98*$F22*(AZ$4&gt;In_COD)</f>
        <v>-543.236451140813</v>
      </c>
      <c r="BA92" s="48" t="n">
        <f aca="false">-AZ98*$F22*(BA$4&gt;In_COD)</f>
        <v>-534.404704285192</v>
      </c>
      <c r="BB92" s="48" t="n">
        <f aca="false">-BA98*$F22*(BB$4&gt;In_COD)</f>
        <v>-525.305637939766</v>
      </c>
      <c r="BC92" s="48" t="n">
        <f aca="false">-BB98*$F22*(BC$4&gt;In_COD)</f>
        <v>-516.151588658735</v>
      </c>
      <c r="BD92" s="48" t="n">
        <f aca="false">-BC98*$F22*(BD$4&gt;In_COD)</f>
        <v>-507.139418579228</v>
      </c>
      <c r="BE92" s="48" t="n">
        <f aca="false">-BD98*$F22*(BE$4&gt;In_COD)</f>
        <v>-497.857469328766</v>
      </c>
      <c r="BF92" s="48" t="n">
        <f aca="false">-BE98*$F22*(BF$4&gt;In_COD)</f>
        <v>-488.302637508622</v>
      </c>
      <c r="BG92" s="48" t="n">
        <f aca="false">-BF98*$F22*(BG$4&gt;In_COD)</f>
        <v>-478.687889087838</v>
      </c>
      <c r="BH92" s="48" t="n">
        <f aca="false">-BG98*$F22*(BH$4&gt;In_COD)</f>
        <v>-469.211540469612</v>
      </c>
      <c r="BI92" s="48" t="n">
        <f aca="false">-BH98*$F22*(BI$4&gt;In_COD)</f>
        <v>-459.45970394955</v>
      </c>
      <c r="BJ92" s="48" t="n">
        <f aca="false">-BI98*$F22*(BJ$4&gt;In_COD)</f>
        <v>-449.429210458669</v>
      </c>
      <c r="BK92" s="48" t="n">
        <f aca="false">-BJ98*$F22*(BK$4&gt;In_COD)</f>
        <v>-439.33363873233</v>
      </c>
      <c r="BL92" s="48" t="n">
        <f aca="false">-BK98*$F22*(BL$4&gt;In_COD)</f>
        <v>-429.205942275553</v>
      </c>
      <c r="BM92" s="48" t="n">
        <f aca="false">-BL98*$F22*(BM$4&gt;In_COD)</f>
        <v>-418.961742086617</v>
      </c>
      <c r="BN92" s="48" t="n">
        <f aca="false">-BM98*$F22*(BN$4&gt;In_COD)</f>
        <v>-408.432867623989</v>
      </c>
      <c r="BO92" s="48" t="n">
        <f aca="false">-BN98*$F22*(BO$4&gt;In_COD)</f>
        <v>-397.833492826003</v>
      </c>
      <c r="BP92" s="48" t="n">
        <f aca="false">-BO98*$F22*(BP$4&gt;In_COD)</f>
        <v>-387.364882035741</v>
      </c>
      <c r="BQ92" s="48" t="n">
        <f aca="false">-BP98*$F22*(BQ$4&gt;In_COD)</f>
        <v>-376.608678261995</v>
      </c>
      <c r="BR92" s="48" t="n">
        <f aca="false">-BQ98*$F22*(BR$4&gt;In_COD)</f>
        <v>-365.561573185241</v>
      </c>
      <c r="BS92" s="48" t="n">
        <f aca="false">-BR98*$F22*(BS$4&gt;In_COD)</f>
        <v>-354.438318198704</v>
      </c>
      <c r="BT92" s="48" t="n">
        <f aca="false">-BS98*$F22*(BT$4&gt;In_COD)</f>
        <v>-343.441671817905</v>
      </c>
      <c r="BU92" s="48" t="n">
        <f aca="false">-BT98*$F22*(BU$4&gt;In_COD)</f>
        <v>-332.151037761673</v>
      </c>
      <c r="BV92" s="48" t="n">
        <f aca="false">-BU98*$F22*(BV$4&gt;In_COD)</f>
        <v>-320.563034149288</v>
      </c>
      <c r="BW92" s="48" t="n">
        <f aca="false">-BV98*$F22*(BW$4&gt;In_COD)</f>
        <v>-308.892971136943</v>
      </c>
      <c r="BX92" s="48" t="n">
        <f aca="false">-BW98*$F22*(BX$4&gt;In_COD)</f>
        <v>-297.34511497107</v>
      </c>
      <c r="BY92" s="48" t="n">
        <f aca="false">-BX98*$F22*(BY$4&gt;In_COD)</f>
        <v>-285.496627190278</v>
      </c>
      <c r="BZ92" s="48" t="n">
        <f aca="false">-BY98*$F22*(BZ$4&gt;In_COD)</f>
        <v>-273.344049485433</v>
      </c>
      <c r="CA92" s="48" t="n">
        <f aca="false">-BZ98*$F22*(CA$4&gt;In_COD)</f>
        <v>-261.103231361415</v>
      </c>
      <c r="CB92" s="48" t="n">
        <f aca="false">-CA98*$F22*(CB$4&gt;In_COD)</f>
        <v>-248.811884189098</v>
      </c>
      <c r="CC92" s="48" t="n">
        <f aca="false">-CB98*$F22*(CC$4&gt;In_COD)</f>
        <v>-236.379143776476</v>
      </c>
      <c r="CD92" s="48" t="n">
        <f aca="false">-CC98*$F22*(CD$4&gt;In_COD)</f>
        <v>-223.635307319223</v>
      </c>
      <c r="CE92" s="48" t="n">
        <f aca="false">-CD98*$F22*(CE$4&gt;In_COD)</f>
        <v>-210.796743256656</v>
      </c>
      <c r="CF92" s="48" t="n">
        <f aca="false">-CE98*$F22*(CF$4&gt;In_COD)</f>
        <v>-198.070774214271</v>
      </c>
      <c r="CG92" s="48" t="n">
        <f aca="false">-CF98*$F22*(CG$4&gt;In_COD)</f>
        <v>-185.03006932723</v>
      </c>
      <c r="CH92" s="48" t="n">
        <f aca="false">-CG98*$F22*(CH$4&gt;In_COD)</f>
        <v>-171.671008038705</v>
      </c>
      <c r="CI92" s="48" t="n">
        <f aca="false">-CH98*$F22*(CI$4&gt;In_COD)</f>
        <v>-158.210457041411</v>
      </c>
      <c r="CJ92" s="48" t="n">
        <f aca="false">-CI98*$F22*(CJ$4&gt;In_COD)</f>
        <v>-144.857288103669</v>
      </c>
      <c r="CK92" s="48" t="n">
        <f aca="false">-CJ98*$F22*(CK$4&gt;In_COD)</f>
        <v>-131.181920844313</v>
      </c>
      <c r="CL92" s="48" t="n">
        <f aca="false">-CK98*$F22*(CL$4&gt;In_COD)</f>
        <v>-117.180648862079</v>
      </c>
      <c r="CM92" s="48" t="n">
        <f aca="false">-CL98*$F22*(CM$4&gt;In_COD)</f>
        <v>-103.07081538796</v>
      </c>
      <c r="CN92" s="48" t="n">
        <f aca="false">-CM98*$F22*(CN$4&gt;In_COD)</f>
        <v>-89.06285538666</v>
      </c>
      <c r="CO92" s="48" t="n">
        <f aca="false">-CN98*$F22*(CO$4&gt;In_COD)</f>
        <v>-74.7249369846144</v>
      </c>
      <c r="CP92" s="48" t="n">
        <f aca="false">-CO98*$F22*(CP$4&gt;In_COD)</f>
        <v>-60.0532645126591</v>
      </c>
      <c r="CQ92" s="48" t="n">
        <f aca="false">-CP98*$F22*(CQ$4&gt;In_COD)</f>
        <v>-45.2656352114638</v>
      </c>
      <c r="CR92" s="48" t="n">
        <f aca="false">-CQ98*$F22*(CR$4&gt;In_COD)</f>
        <v>-30.4050360162457</v>
      </c>
      <c r="CS92" s="48" t="n">
        <f aca="false">-CR98*$F22*(CS$4&gt;In_COD)</f>
        <v>-15.3734882469105</v>
      </c>
      <c r="CT92" s="48" t="n">
        <f aca="false">-CS98*$F22*(CT$4&gt;In_COD)</f>
        <v>-3.36797256750288E-012</v>
      </c>
      <c r="CU92" s="48" t="n">
        <f aca="false">-CT98*$F22*(CU$4&gt;In_COD)</f>
        <v>-3.41007222459666E-012</v>
      </c>
      <c r="CV92" s="48" t="n">
        <f aca="false">-CU98*$F22*(CV$4&gt;In_COD)</f>
        <v>-3.45269812740412E-012</v>
      </c>
      <c r="CW92" s="48" t="n">
        <f aca="false">-CV98*$F22*(CW$4&gt;In_COD)</f>
        <v>-3.49585685399667E-012</v>
      </c>
      <c r="CX92" s="48" t="n">
        <f aca="false">-CW98*$F22*(CX$4&gt;In_COD)</f>
        <v>-3.53955506467163E-012</v>
      </c>
      <c r="CY92" s="48" t="n">
        <f aca="false">-CX98*$F22*(CY$4&gt;In_COD)</f>
        <v>-3.58379950298003E-012</v>
      </c>
      <c r="CZ92" s="48" t="n">
        <f aca="false">-CY98*$F22*(CZ$4&gt;In_COD)</f>
        <v>-3.62859699676728E-012</v>
      </c>
      <c r="DA92" s="48" t="n">
        <f aca="false">-CZ98*$F22*(DA$4&gt;In_COD)</f>
        <v>-3.67395445922687E-012</v>
      </c>
      <c r="DB92" s="48" t="n">
        <f aca="false">-DA98*$F22*(DB$4&gt;In_COD)</f>
        <v>-3.7198788899672E-012</v>
      </c>
      <c r="DC92" s="48" t="n">
        <f aca="false">-DB98*$F22*(DC$4&gt;In_COD)</f>
        <v>-3.76637737609179E-012</v>
      </c>
      <c r="DD92" s="48" t="n">
        <f aca="false">-DC98*$F22*(DD$4&gt;In_COD)</f>
        <v>-3.81345709329294E-012</v>
      </c>
      <c r="DE92" s="48" t="n">
        <f aca="false">-DD98*$F22*(DE$4&gt;In_COD)</f>
        <v>-3.8611253069591E-012</v>
      </c>
      <c r="DF92" s="48" t="n">
        <f aca="false">-DE98*$F22*(DF$4&gt;In_COD)</f>
        <v>-3.90938937329609E-012</v>
      </c>
      <c r="DG92" s="48" t="n">
        <f aca="false">-DF98*$F22*(DG$4&gt;In_COD)</f>
        <v>-3.95825674046229E-012</v>
      </c>
      <c r="DH92" s="48" t="n">
        <f aca="false">-DG98*$F22*(DH$4&gt;In_COD)</f>
        <v>-4.00773494971807E-012</v>
      </c>
      <c r="DI92" s="48" t="n">
        <f aca="false">-DH98*$F22*(DI$4&gt;In_COD)</f>
        <v>-4.05783163658955E-012</v>
      </c>
      <c r="DJ92" s="48" t="n">
        <f aca="false">-DI98*$F22*(DJ$4&gt;In_COD)</f>
        <v>-4.10855453204692E-012</v>
      </c>
      <c r="DK92" s="48" t="n">
        <f aca="false">-DJ98*$F22*(DK$4&gt;In_COD)</f>
        <v>-4.1599114636975E-012</v>
      </c>
      <c r="DL92" s="48" t="n">
        <f aca="false">-DK98*$F22*(DL$4&gt;In_COD)</f>
        <v>-4.21191035699372E-012</v>
      </c>
      <c r="DM92" s="48" t="n">
        <f aca="false">-DL98*$F22*(DM$4&gt;In_COD)</f>
        <v>-4.26455923645614E-012</v>
      </c>
      <c r="DN92" s="48" t="n">
        <f aca="false">-DM98*$F22*(DN$4&gt;In_COD)</f>
        <v>-4.31786622691184E-012</v>
      </c>
      <c r="DO92" s="48" t="n">
        <f aca="false">-DN98*$F22*(DO$4&gt;In_COD)</f>
        <v>-4.37183955474824E-012</v>
      </c>
      <c r="DP92" s="48" t="n">
        <f aca="false">-DO98*$F22*(DP$4&gt;In_COD)</f>
        <v>-4.4264875491826E-012</v>
      </c>
      <c r="DQ92" s="48" t="n">
        <f aca="false">-DP98*$F22*(DQ$4&gt;In_COD)</f>
        <v>-4.48181864354738E-012</v>
      </c>
      <c r="DR92" s="48" t="n">
        <f aca="false">-DQ98*$F22*(DR$4&gt;In_COD)</f>
        <v>-4.53784137659172E-012</v>
      </c>
      <c r="DS92" s="48" t="n">
        <f aca="false">-DR98*$F22*(DS$4&gt;In_COD)</f>
        <v>-4.59456439379912E-012</v>
      </c>
      <c r="DT92" s="48" t="n">
        <f aca="false">-DS98*$F22*(DT$4&gt;In_COD)</f>
        <v>-4.65199644872161E-012</v>
      </c>
      <c r="DU92" s="48" t="n">
        <f aca="false">-DT98*$F22*(DU$4&gt;In_COD)</f>
        <v>-4.71014640433063E-012</v>
      </c>
      <c r="DV92" s="48" t="n">
        <f aca="false">-DU98*$F22*(DV$4&gt;In_COD)</f>
        <v>-4.76902323438476E-012</v>
      </c>
      <c r="DW92" s="48" t="n">
        <f aca="false">-DV98*$F22*(DW$4&gt;In_COD)</f>
        <v>-4.82863602481457E-012</v>
      </c>
      <c r="DX92" s="48" t="n">
        <f aca="false">-DW98*$F22*(DX$4&gt;In_COD)</f>
        <v>-4.88899397512475E-012</v>
      </c>
      <c r="DY92" s="48" t="n">
        <f aca="false">-DX98*$F22*(DY$4&gt;In_COD)</f>
        <v>-4.95010639981381E-012</v>
      </c>
      <c r="DZ92" s="48" t="n">
        <f aca="false">-DY98*$F22*(DZ$4&gt;In_COD)</f>
        <v>-5.01198272981148E-012</v>
      </c>
      <c r="EA92" s="48" t="n">
        <f aca="false">-DZ98*$F22*(EA$4&gt;In_COD)</f>
        <v>-5.07463251393413E-012</v>
      </c>
      <c r="EB92" s="48" t="n">
        <f aca="false">-EA98*$F22*(EB$4&gt;In_COD)</f>
        <v>-5.1380654203583E-012</v>
      </c>
      <c r="EC92" s="48" t="n">
        <f aca="false">-EB98*$F22*(EC$4&gt;In_COD)</f>
        <v>-5.20229123811278E-012</v>
      </c>
      <c r="ED92" s="48" t="n">
        <f aca="false">-EC98*$F22*(ED$4&gt;In_COD)</f>
        <v>-5.26731987858919E-012</v>
      </c>
      <c r="EE92" s="48" t="n">
        <f aca="false">-ED98*$F22*(EE$4&gt;In_COD)</f>
        <v>-5.33316137707156E-012</v>
      </c>
      <c r="EF92" s="48" t="n">
        <f aca="false">-EE98*$F22*(EF$4&gt;In_COD)</f>
        <v>-5.39982589428495E-012</v>
      </c>
      <c r="EG92" s="48" t="n">
        <f aca="false">-EF98*$F22*(EG$4&gt;In_COD)</f>
        <v>-5.46732371796351E-012</v>
      </c>
      <c r="EH92" s="48" t="n">
        <f aca="false">-EG98*$F22*(EH$4&gt;In_COD)</f>
        <v>-5.53566526443806E-012</v>
      </c>
      <c r="EI92" s="48" t="n">
        <f aca="false">-EH98*$F22*(EI$4&gt;In_COD)</f>
        <v>-5.60486108024353E-012</v>
      </c>
      <c r="EJ92" s="48" t="n">
        <f aca="false">-EI98*$F22*(EJ$4&gt;In_COD)</f>
        <v>-5.67492184374658E-012</v>
      </c>
      <c r="EK92" s="48" t="n">
        <f aca="false">-EJ98*$F22*(EK$4&gt;In_COD)</f>
        <v>-5.74585836679341E-012</v>
      </c>
      <c r="EL92" s="48" t="n">
        <f aca="false">-EK98*$F22*(EL$4&gt;In_COD)</f>
        <v>-5.81768159637833E-012</v>
      </c>
      <c r="EM92" s="48" t="n">
        <f aca="false">-EL98*$F22*(EM$4&gt;In_COD)</f>
        <v>-5.89040261633306E-012</v>
      </c>
      <c r="EN92" s="48" t="n">
        <f aca="false">-EM98*$F22*(EN$4&gt;In_COD)</f>
        <v>-5.96403264903722E-012</v>
      </c>
      <c r="EO92" s="48" t="n">
        <f aca="false">-EN98*$F22*(EO$4&gt;In_COD)</f>
        <v>-6.03858305715019E-012</v>
      </c>
    </row>
    <row r="93" customFormat="false" ht="15" hidden="false" customHeight="false" outlineLevel="0" collapsed="false">
      <c r="C93" s="0" t="s">
        <v>471</v>
      </c>
      <c r="D93" s="11" t="s">
        <v>33</v>
      </c>
      <c r="I93" s="48" t="n">
        <f aca="false">SUM(J93:EO93)</f>
        <v>-89868.4995854801</v>
      </c>
      <c r="J93" s="48" t="n">
        <f aca="false">-J87*$F89</f>
        <v>0</v>
      </c>
      <c r="K93" s="48" t="n">
        <f aca="false">-K87*$F89</f>
        <v>0</v>
      </c>
      <c r="L93" s="48" t="n">
        <f aca="false">-L87*$F89</f>
        <v>0</v>
      </c>
      <c r="M93" s="48" t="n">
        <f aca="false">-M87*$F89</f>
        <v>0</v>
      </c>
      <c r="N93" s="48" t="n">
        <f aca="false">-N87*$F89</f>
        <v>0</v>
      </c>
      <c r="O93" s="48" t="n">
        <f aca="false">-O87*$F89</f>
        <v>0</v>
      </c>
      <c r="P93" s="48" t="n">
        <f aca="false">-P87*$F89</f>
        <v>0</v>
      </c>
      <c r="Q93" s="48" t="n">
        <f aca="false">-Q87*$F89</f>
        <v>0</v>
      </c>
      <c r="R93" s="48" t="n">
        <f aca="false">-R87*$F89</f>
        <v>0</v>
      </c>
      <c r="S93" s="48" t="n">
        <f aca="false">-S87*$F89</f>
        <v>0</v>
      </c>
      <c r="T93" s="48" t="n">
        <f aca="false">-T87*$F89</f>
        <v>0</v>
      </c>
      <c r="U93" s="48" t="n">
        <f aca="false">-U87*$F89</f>
        <v>0</v>
      </c>
      <c r="V93" s="48" t="n">
        <f aca="false">-V87*$F89</f>
        <v>0</v>
      </c>
      <c r="W93" s="48" t="n">
        <f aca="false">-W87*$F89</f>
        <v>0</v>
      </c>
      <c r="X93" s="48" t="n">
        <f aca="false">-X87*$F89</f>
        <v>0</v>
      </c>
      <c r="Y93" s="48" t="n">
        <f aca="false">-Y87*$F89</f>
        <v>0</v>
      </c>
      <c r="Z93" s="48" t="n">
        <f aca="false">-Z87*$F89</f>
        <v>-1246.00253223261</v>
      </c>
      <c r="AA93" s="48" t="n">
        <f aca="false">-AA87*$F89</f>
        <v>-1227.08359510062</v>
      </c>
      <c r="AB93" s="48" t="n">
        <f aca="false">-AB87*$F89</f>
        <v>-1240.14696600846</v>
      </c>
      <c r="AC93" s="48" t="n">
        <f aca="false">-AC87*$F89</f>
        <v>-1253.20074347784</v>
      </c>
      <c r="AD93" s="48" t="n">
        <f aca="false">-AD87*$F89</f>
        <v>-1248.76868627126</v>
      </c>
      <c r="AE93" s="48" t="n">
        <f aca="false">-AE87*$F89</f>
        <v>-1243.03735678881</v>
      </c>
      <c r="AF93" s="48" t="n">
        <f aca="false">-AF87*$F89</f>
        <v>-1242.76969578257</v>
      </c>
      <c r="AG93" s="48" t="n">
        <f aca="false">-AG87*$F89</f>
        <v>-1255.84939016318</v>
      </c>
      <c r="AH93" s="48" t="n">
        <f aca="false">-AH87*$F89</f>
        <v>-1251.37620144971</v>
      </c>
      <c r="AI93" s="48" t="n">
        <f aca="false">-AI87*$F89</f>
        <v>-1232.12929201755</v>
      </c>
      <c r="AJ93" s="48" t="n">
        <f aca="false">-AJ87*$F89</f>
        <v>-1261.54306427151</v>
      </c>
      <c r="AK93" s="48" t="n">
        <f aca="false">-AK87*$F89</f>
        <v>-1274.81802862147</v>
      </c>
      <c r="AL93" s="48" t="n">
        <f aca="false">-AL87*$F89</f>
        <v>-1255.82042311253</v>
      </c>
      <c r="AM93" s="48" t="n">
        <f aca="false">-AM87*$F89</f>
        <v>-1236.01781748996</v>
      </c>
      <c r="AN93" s="48" t="n">
        <f aca="false">-AN87*$F89</f>
        <v>-1248.59146611765</v>
      </c>
      <c r="AO93" s="48" t="n">
        <f aca="false">-AO87*$F89</f>
        <v>-1261.14526993476</v>
      </c>
      <c r="AP93" s="48" t="n">
        <f aca="false">-AP87*$F89</f>
        <v>-1256.61888668646</v>
      </c>
      <c r="AQ93" s="48" t="n">
        <f aca="false">-AQ87*$F89</f>
        <v>-1236.64487931608</v>
      </c>
      <c r="AR93" s="48" t="n">
        <f aca="false">-AR87*$F89</f>
        <v>-1249.22147632037</v>
      </c>
      <c r="AS93" s="48" t="n">
        <f aca="false">-AS87*$F89</f>
        <v>-1261.77783592914</v>
      </c>
      <c r="AT93" s="48" t="n">
        <f aca="false">-AT87*$F89</f>
        <v>-1257.19497971061</v>
      </c>
      <c r="AU93" s="48" t="n">
        <f aca="false">-AU87*$F89</f>
        <v>-1250.27294499312</v>
      </c>
      <c r="AV93" s="48" t="n">
        <f aca="false">-AV87*$F89</f>
        <v>-1249.61086685988</v>
      </c>
      <c r="AW93" s="48" t="n">
        <f aca="false">-AW87*$F89</f>
        <v>-1262.16716399731</v>
      </c>
      <c r="AX93" s="48" t="n">
        <f aca="false">-AX87*$F89</f>
        <v>-1257.5262118917</v>
      </c>
      <c r="AY93" s="48" t="n">
        <f aca="false">-AY87*$F89</f>
        <v>-1237.20131844353</v>
      </c>
      <c r="AZ93" s="48" t="n">
        <f aca="false">-AZ87*$F89</f>
        <v>-1249.77619959048</v>
      </c>
      <c r="BA93" s="48" t="n">
        <f aca="false">-BA87*$F89</f>
        <v>-1262.33001191933</v>
      </c>
      <c r="BB93" s="48" t="n">
        <f aca="false">-BB87*$F89</f>
        <v>-1257.6295804222</v>
      </c>
      <c r="BC93" s="48" t="n">
        <f aca="false">-BC87*$F89</f>
        <v>-1237.12519501927</v>
      </c>
      <c r="BD93" s="48" t="n">
        <f aca="false">-BD87*$F89</f>
        <v>-1249.69535861625</v>
      </c>
      <c r="BE93" s="48" t="n">
        <f aca="false">-BE87*$F89</f>
        <v>-1262.2440149403</v>
      </c>
      <c r="BF93" s="48" t="n">
        <f aca="false">-BF87*$F89</f>
        <v>-1257.48251117132</v>
      </c>
      <c r="BG93" s="48" t="n">
        <f aca="false">-BG87*$F89</f>
        <v>-1236.79577854592</v>
      </c>
      <c r="BH93" s="48" t="n">
        <f aca="false">-BH87*$F89</f>
        <v>-1249.35846207452</v>
      </c>
      <c r="BI93" s="48" t="n">
        <f aca="false">-BI87*$F89</f>
        <v>-1261.89918322007</v>
      </c>
      <c r="BJ93" s="48" t="n">
        <f aca="false">-BJ87*$F89</f>
        <v>-1257.07494856576</v>
      </c>
      <c r="BK93" s="48" t="n">
        <f aca="false">-BK87*$F89</f>
        <v>-1249.54935527447</v>
      </c>
      <c r="BL93" s="48" t="n">
        <f aca="false">-BL87*$F89</f>
        <v>-1248.7419573905</v>
      </c>
      <c r="BM93" s="48" t="n">
        <f aca="false">-BM87*$F89</f>
        <v>-1261.2716990968</v>
      </c>
      <c r="BN93" s="48" t="n">
        <f aca="false">-BN87*$F89</f>
        <v>-1256.38285146293</v>
      </c>
      <c r="BO93" s="48" t="n">
        <f aca="false">-BO87*$F89</f>
        <v>-1235.32235604696</v>
      </c>
      <c r="BP93" s="48" t="n">
        <f aca="false">-BP87*$F89</f>
        <v>-1247.86118393542</v>
      </c>
      <c r="BQ93" s="48" t="n">
        <f aca="false">-BQ87*$F89</f>
        <v>-1260.3770844023</v>
      </c>
      <c r="BR93" s="48" t="n">
        <f aca="false">-BR87*$F89</f>
        <v>-1255.42197210815</v>
      </c>
      <c r="BS93" s="48" t="n">
        <f aca="false">-BS87*$F89</f>
        <v>-1234.17002866268</v>
      </c>
      <c r="BT93" s="48" t="n">
        <f aca="false">-BT87*$F89</f>
        <v>-1246.69239631644</v>
      </c>
      <c r="BU93" s="48" t="n">
        <f aca="false">-BU87*$F89</f>
        <v>-1259.19132675246</v>
      </c>
      <c r="BV93" s="48" t="n">
        <f aca="false">-BV87*$F89</f>
        <v>-1254.16807513687</v>
      </c>
      <c r="BW93" s="48" t="n">
        <f aca="false">-BW87*$F89</f>
        <v>-1232.72146440679</v>
      </c>
      <c r="BX93" s="48" t="n">
        <f aca="false">-BX87*$F89</f>
        <v>-1245.22413743449</v>
      </c>
      <c r="BY93" s="48" t="n">
        <f aca="false">-BY87*$F89</f>
        <v>-1257.70284357783</v>
      </c>
      <c r="BZ93" s="48" t="n">
        <f aca="false">-BZ87*$F89</f>
        <v>-1252.60949940688</v>
      </c>
      <c r="CA93" s="48" t="n">
        <f aca="false">-CA87*$F89</f>
        <v>-1244.41100514678</v>
      </c>
      <c r="CB93" s="48" t="n">
        <f aca="false">-CB87*$F89</f>
        <v>-1243.43111719888</v>
      </c>
      <c r="CC93" s="48" t="n">
        <f aca="false">-CC87*$F89</f>
        <v>-1255.88606035672</v>
      </c>
      <c r="CD93" s="48" t="n">
        <f aca="false">-CD87*$F89</f>
        <v>-1250.72043232458</v>
      </c>
      <c r="CE93" s="48" t="n">
        <f aca="false">-CE87*$F89</f>
        <v>-1228.87426664743</v>
      </c>
      <c r="CF93" s="48" t="n">
        <f aca="false">-CF87*$F89</f>
        <v>-1241.32716517758</v>
      </c>
      <c r="CG93" s="48" t="n">
        <f aca="false">-CG87*$F89</f>
        <v>-1253.75497240921</v>
      </c>
      <c r="CH93" s="48" t="n">
        <f aca="false">-CH87*$F89</f>
        <v>-1248.51508782223</v>
      </c>
      <c r="CI93" s="48" t="n">
        <f aca="false">-CI87*$F89</f>
        <v>-1226.46397206077</v>
      </c>
      <c r="CJ93" s="48" t="n">
        <f aca="false">-CJ87*$F89</f>
        <v>-1238.88666885211</v>
      </c>
      <c r="CK93" s="48" t="n">
        <f aca="false">-CK87*$F89</f>
        <v>-1251.28367942307</v>
      </c>
      <c r="CL93" s="48" t="n">
        <f aca="false">-CL87*$F89</f>
        <v>-1245.96732679159</v>
      </c>
      <c r="CM93" s="48" t="n">
        <f aca="false">-CM87*$F89</f>
        <v>-1223.70761549196</v>
      </c>
      <c r="CN93" s="48" t="n">
        <f aca="false">-CN87*$F89</f>
        <v>-1236.09632755031</v>
      </c>
      <c r="CO93" s="48" t="n">
        <f aca="false">-CO87*$F89</f>
        <v>-1248.45873474103</v>
      </c>
      <c r="CP93" s="48" t="n">
        <f aca="false">-CP87*$F89</f>
        <v>-1243.06360860828</v>
      </c>
      <c r="CQ93" s="48" t="n">
        <f aca="false">-CQ87*$F89</f>
        <v>-1234.11357082891</v>
      </c>
      <c r="CR93" s="48" t="n">
        <f aca="false">-CR87*$F89</f>
        <v>-1232.92885756306</v>
      </c>
      <c r="CS93" s="48" t="n">
        <f aca="false">-CS87*$F89</f>
        <v>-1245.25254799948</v>
      </c>
      <c r="CT93" s="48" t="n">
        <f aca="false">-CT87*$F89</f>
        <v>-0</v>
      </c>
      <c r="CU93" s="48" t="n">
        <f aca="false">-CU87*$F89</f>
        <v>-0</v>
      </c>
      <c r="CV93" s="48" t="n">
        <f aca="false">-CV87*$F89</f>
        <v>-0</v>
      </c>
      <c r="CW93" s="48" t="n">
        <f aca="false">-CW87*$F89</f>
        <v>-0</v>
      </c>
      <c r="CX93" s="48" t="n">
        <f aca="false">-CX87*$F89</f>
        <v>-0</v>
      </c>
      <c r="CY93" s="48" t="n">
        <f aca="false">-CY87*$F89</f>
        <v>-0</v>
      </c>
      <c r="CZ93" s="48" t="n">
        <f aca="false">-CZ87*$F89</f>
        <v>-0</v>
      </c>
      <c r="DA93" s="48" t="n">
        <f aca="false">-DA87*$F89</f>
        <v>-0</v>
      </c>
      <c r="DB93" s="48" t="n">
        <f aca="false">-DB87*$F89</f>
        <v>-0</v>
      </c>
      <c r="DC93" s="48" t="n">
        <f aca="false">-DC87*$F89</f>
        <v>-0</v>
      </c>
      <c r="DD93" s="48" t="n">
        <f aca="false">-DD87*$F89</f>
        <v>-0</v>
      </c>
      <c r="DE93" s="48" t="n">
        <f aca="false">-DE87*$F89</f>
        <v>-0</v>
      </c>
      <c r="DF93" s="48" t="n">
        <f aca="false">-DF87*$F89</f>
        <v>-0</v>
      </c>
      <c r="DG93" s="48" t="n">
        <f aca="false">-DG87*$F89</f>
        <v>-0</v>
      </c>
      <c r="DH93" s="48" t="n">
        <f aca="false">-DH87*$F89</f>
        <v>-0</v>
      </c>
      <c r="DI93" s="48" t="n">
        <f aca="false">-DI87*$F89</f>
        <v>-0</v>
      </c>
      <c r="DJ93" s="48" t="n">
        <f aca="false">-DJ87*$F89</f>
        <v>-0</v>
      </c>
      <c r="DK93" s="48" t="n">
        <f aca="false">-DK87*$F89</f>
        <v>-0</v>
      </c>
      <c r="DL93" s="48" t="n">
        <f aca="false">-DL87*$F89</f>
        <v>-0</v>
      </c>
      <c r="DM93" s="48" t="n">
        <f aca="false">-DM87*$F89</f>
        <v>-0</v>
      </c>
      <c r="DN93" s="48" t="n">
        <f aca="false">-DN87*$F89</f>
        <v>-0</v>
      </c>
      <c r="DO93" s="48" t="n">
        <f aca="false">-DO87*$F89</f>
        <v>-0</v>
      </c>
      <c r="DP93" s="48" t="n">
        <f aca="false">-DP87*$F89</f>
        <v>-0</v>
      </c>
      <c r="DQ93" s="48" t="n">
        <f aca="false">-DQ87*$F89</f>
        <v>-0</v>
      </c>
      <c r="DR93" s="48" t="n">
        <f aca="false">-DR87*$F89</f>
        <v>-0</v>
      </c>
      <c r="DS93" s="48" t="n">
        <f aca="false">-DS87*$F89</f>
        <v>-0</v>
      </c>
      <c r="DT93" s="48" t="n">
        <f aca="false">-DT87*$F89</f>
        <v>-0</v>
      </c>
      <c r="DU93" s="48" t="n">
        <f aca="false">-DU87*$F89</f>
        <v>-0</v>
      </c>
      <c r="DV93" s="48" t="n">
        <f aca="false">-DV87*$F89</f>
        <v>-0</v>
      </c>
      <c r="DW93" s="48" t="n">
        <f aca="false">-DW87*$F89</f>
        <v>-0</v>
      </c>
      <c r="DX93" s="48" t="n">
        <f aca="false">-DX87*$F89</f>
        <v>-0</v>
      </c>
      <c r="DY93" s="48" t="n">
        <f aca="false">-DY87*$F89</f>
        <v>-0</v>
      </c>
      <c r="DZ93" s="48" t="n">
        <f aca="false">-DZ87*$F89</f>
        <v>-0</v>
      </c>
      <c r="EA93" s="48" t="n">
        <f aca="false">-EA87*$F89</f>
        <v>-0</v>
      </c>
      <c r="EB93" s="48" t="n">
        <f aca="false">-EB87*$F89</f>
        <v>-0</v>
      </c>
      <c r="EC93" s="48" t="n">
        <f aca="false">-EC87*$F89</f>
        <v>-0</v>
      </c>
      <c r="ED93" s="48" t="n">
        <f aca="false">-ED87*$F89</f>
        <v>-0</v>
      </c>
      <c r="EE93" s="48" t="n">
        <f aca="false">-EE87*$F89</f>
        <v>-0</v>
      </c>
      <c r="EF93" s="48" t="n">
        <f aca="false">-EF87*$F89</f>
        <v>-0</v>
      </c>
      <c r="EG93" s="48" t="n">
        <f aca="false">-EG87*$F89</f>
        <v>-0</v>
      </c>
      <c r="EH93" s="48" t="n">
        <f aca="false">-EH87*$F89</f>
        <v>-0</v>
      </c>
      <c r="EI93" s="48" t="n">
        <f aca="false">-EI87*$F89</f>
        <v>-0</v>
      </c>
      <c r="EJ93" s="48" t="n">
        <f aca="false">-EJ87*$F89</f>
        <v>-0</v>
      </c>
      <c r="EK93" s="48" t="n">
        <f aca="false">-EK87*$F89</f>
        <v>-0</v>
      </c>
      <c r="EL93" s="48" t="n">
        <f aca="false">-EL87*$F89</f>
        <v>-0</v>
      </c>
      <c r="EM93" s="48" t="n">
        <f aca="false">-EM87*$F89</f>
        <v>-0</v>
      </c>
      <c r="EN93" s="48" t="n">
        <f aca="false">-EN87*$F89</f>
        <v>-0</v>
      </c>
      <c r="EO93" s="48" t="n">
        <f aca="false">-EO87*$F89</f>
        <v>-0</v>
      </c>
    </row>
    <row r="94" customFormat="false" ht="15" hidden="false" customHeight="false" outlineLevel="0" collapsed="false">
      <c r="C94" s="0" t="s">
        <v>472</v>
      </c>
      <c r="D94" s="11" t="s">
        <v>33</v>
      </c>
      <c r="J94" s="18" t="n">
        <f aca="false">I98</f>
        <v>0</v>
      </c>
      <c r="K94" s="18" t="n">
        <f aca="false">J98</f>
        <v>0</v>
      </c>
      <c r="L94" s="18" t="n">
        <f aca="false">K98</f>
        <v>0</v>
      </c>
      <c r="M94" s="18" t="n">
        <f aca="false">L98</f>
        <v>0</v>
      </c>
      <c r="N94" s="18" t="n">
        <f aca="false">M98</f>
        <v>0</v>
      </c>
      <c r="O94" s="18" t="n">
        <f aca="false">N98</f>
        <v>0</v>
      </c>
      <c r="P94" s="18" t="n">
        <f aca="false">O98</f>
        <v>0</v>
      </c>
      <c r="Q94" s="18" t="n">
        <f aca="false">P98</f>
        <v>0</v>
      </c>
      <c r="R94" s="18" t="n">
        <f aca="false">Q98</f>
        <v>0</v>
      </c>
      <c r="S94" s="18" t="n">
        <f aca="false">R98</f>
        <v>6374.47363013699</v>
      </c>
      <c r="T94" s="18" t="n">
        <f aca="false">S98</f>
        <v>17175.2053998288</v>
      </c>
      <c r="U94" s="18" t="n">
        <f aca="false">T98</f>
        <v>23695.0813406143</v>
      </c>
      <c r="V94" s="18" t="n">
        <f aca="false">U98</f>
        <v>30365.743487509</v>
      </c>
      <c r="W94" s="18" t="n">
        <f aca="false">V98</f>
        <v>37119.7889112398</v>
      </c>
      <c r="X94" s="18" t="n">
        <f aca="false">W98</f>
        <v>43819.6843890687</v>
      </c>
      <c r="Y94" s="18" t="n">
        <f aca="false">X98</f>
        <v>50672.6163172197</v>
      </c>
      <c r="Z94" s="18" t="n">
        <f aca="false">Y98</f>
        <v>59055.4976513219</v>
      </c>
      <c r="AA94" s="18" t="n">
        <f aca="false">Z98</f>
        <v>58547.6888397309</v>
      </c>
      <c r="AB94" s="18" t="n">
        <f aca="false">AA98</f>
        <v>58052.4513551269</v>
      </c>
      <c r="AC94" s="18" t="n">
        <f aca="false">AB98</f>
        <v>57537.9600310575</v>
      </c>
      <c r="AD94" s="18" t="n">
        <f aca="false">AC98</f>
        <v>57003.9837879679</v>
      </c>
      <c r="AE94" s="18" t="n">
        <f aca="false">AD98</f>
        <v>56467.7648990462</v>
      </c>
      <c r="AF94" s="18" t="n">
        <f aca="false">AE98</f>
        <v>55930.5746034955</v>
      </c>
      <c r="AG94" s="18" t="n">
        <f aca="false">AF98</f>
        <v>55386.9370902566</v>
      </c>
      <c r="AH94" s="18" t="n">
        <f aca="false">AG98</f>
        <v>54823.4244137216</v>
      </c>
      <c r="AI94" s="18" t="n">
        <f aca="false">AH98</f>
        <v>54257.3410174435</v>
      </c>
      <c r="AJ94" s="18" t="n">
        <f aca="false">AI98</f>
        <v>53703.428488144</v>
      </c>
      <c r="AK94" s="18" t="n">
        <f aca="false">AJ98</f>
        <v>53113.1782799742</v>
      </c>
      <c r="AL94" s="18" t="n">
        <f aca="false">AK98</f>
        <v>52502.2749798524</v>
      </c>
      <c r="AM94" s="18" t="n">
        <f aca="false">AL98</f>
        <v>51902.7329939881</v>
      </c>
      <c r="AN94" s="18" t="n">
        <f aca="false">AM98</f>
        <v>51315.499338923</v>
      </c>
      <c r="AO94" s="18" t="n">
        <f aca="false">AN98</f>
        <v>50708.3516145419</v>
      </c>
      <c r="AP94" s="18" t="n">
        <f aca="false">AO98</f>
        <v>50081.0607397889</v>
      </c>
      <c r="AQ94" s="18" t="n">
        <f aca="false">AP98</f>
        <v>49450.4551123498</v>
      </c>
      <c r="AR94" s="18" t="n">
        <f aca="false">AQ98</f>
        <v>48831.9409219381</v>
      </c>
      <c r="AS94" s="18" t="n">
        <f aca="false">AR98</f>
        <v>48193.1187071419</v>
      </c>
      <c r="AT94" s="18" t="n">
        <f aca="false">AS98</f>
        <v>47533.7548550521</v>
      </c>
      <c r="AU94" s="18" t="n">
        <f aca="false">AT98</f>
        <v>46870.7318110296</v>
      </c>
      <c r="AV94" s="18" t="n">
        <f aca="false">AU98</f>
        <v>46206.3430136744</v>
      </c>
      <c r="AW94" s="18" t="n">
        <f aca="false">AV98</f>
        <v>45534.3114344854</v>
      </c>
      <c r="AX94" s="18" t="n">
        <f aca="false">AW98</f>
        <v>44841.3231634192</v>
      </c>
      <c r="AY94" s="18" t="n">
        <f aca="false">AX98</f>
        <v>44144.3134910702</v>
      </c>
      <c r="AZ94" s="18" t="n">
        <f aca="false">AY98</f>
        <v>43458.916091265</v>
      </c>
      <c r="BA94" s="18" t="n">
        <f aca="false">AZ98</f>
        <v>42752.3763428154</v>
      </c>
      <c r="BB94" s="18" t="n">
        <f aca="false">BA98</f>
        <v>42024.4510351812</v>
      </c>
      <c r="BC94" s="18" t="n">
        <f aca="false">BB98</f>
        <v>41292.1270926988</v>
      </c>
      <c r="BD94" s="18" t="n">
        <f aca="false">BC98</f>
        <v>40571.1534863383</v>
      </c>
      <c r="BE94" s="18" t="n">
        <f aca="false">BD98</f>
        <v>39828.5975463013</v>
      </c>
      <c r="BF94" s="18" t="n">
        <f aca="false">BE98</f>
        <v>39064.2110006897</v>
      </c>
      <c r="BG94" s="18" t="n">
        <f aca="false">BF98</f>
        <v>38295.031127027</v>
      </c>
      <c r="BH94" s="18" t="n">
        <f aca="false">BG98</f>
        <v>37536.9232375689</v>
      </c>
      <c r="BI94" s="18" t="n">
        <f aca="false">BH98</f>
        <v>36756.776315964</v>
      </c>
      <c r="BJ94" s="18" t="n">
        <f aca="false">BI98</f>
        <v>35954.3368366935</v>
      </c>
      <c r="BK94" s="18" t="n">
        <f aca="false">BJ98</f>
        <v>35146.6910985864</v>
      </c>
      <c r="BL94" s="18" t="n">
        <f aca="false">BK98</f>
        <v>34336.4753820443</v>
      </c>
      <c r="BM94" s="18" t="n">
        <f aca="false">BL98</f>
        <v>33516.9393669293</v>
      </c>
      <c r="BN94" s="18" t="n">
        <f aca="false">BM98</f>
        <v>32674.6294099191</v>
      </c>
      <c r="BO94" s="18" t="n">
        <f aca="false">BN98</f>
        <v>31826.6794260802</v>
      </c>
      <c r="BP94" s="18" t="n">
        <f aca="false">BO98</f>
        <v>30989.1905628592</v>
      </c>
      <c r="BQ94" s="18" t="n">
        <f aca="false">BP98</f>
        <v>30128.6942609596</v>
      </c>
      <c r="BR94" s="18" t="n">
        <f aca="false">BQ98</f>
        <v>29244.9258548193</v>
      </c>
      <c r="BS94" s="18" t="n">
        <f aca="false">BR98</f>
        <v>28355.0654558963</v>
      </c>
      <c r="BT94" s="18" t="n">
        <f aca="false">BS98</f>
        <v>27475.3337454324</v>
      </c>
      <c r="BU94" s="18" t="n">
        <f aca="false">BT98</f>
        <v>26572.0830209338</v>
      </c>
      <c r="BV94" s="18" t="n">
        <f aca="false">BU98</f>
        <v>25645.042731943</v>
      </c>
      <c r="BW94" s="18" t="n">
        <f aca="false">BV98</f>
        <v>24711.4376909555</v>
      </c>
      <c r="BX94" s="18" t="n">
        <f aca="false">BW98</f>
        <v>23787.6091976856</v>
      </c>
      <c r="BY94" s="18" t="n">
        <f aca="false">BX98</f>
        <v>22839.7301752222</v>
      </c>
      <c r="BZ94" s="18" t="n">
        <f aca="false">BY98</f>
        <v>21867.5239588347</v>
      </c>
      <c r="CA94" s="18" t="n">
        <f aca="false">BZ98</f>
        <v>20888.2585089132</v>
      </c>
      <c r="CB94" s="18" t="n">
        <f aca="false">CA98</f>
        <v>19904.9507351278</v>
      </c>
      <c r="CC94" s="18" t="n">
        <f aca="false">CB98</f>
        <v>18910.3315021181</v>
      </c>
      <c r="CD94" s="18" t="n">
        <f aca="false">CC98</f>
        <v>17890.8245855378</v>
      </c>
      <c r="CE94" s="18" t="n">
        <f aca="false">CD98</f>
        <v>16863.7394605325</v>
      </c>
      <c r="CF94" s="18" t="n">
        <f aca="false">CE98</f>
        <v>15845.6619371417</v>
      </c>
      <c r="CG94" s="18" t="n">
        <f aca="false">CF98</f>
        <v>14802.4055461784</v>
      </c>
      <c r="CH94" s="18" t="n">
        <f aca="false">CG98</f>
        <v>13733.6806430964</v>
      </c>
      <c r="CI94" s="18" t="n">
        <f aca="false">CH98</f>
        <v>12656.8365633129</v>
      </c>
      <c r="CJ94" s="18" t="n">
        <f aca="false">CI98</f>
        <v>11588.5830482935</v>
      </c>
      <c r="CK94" s="18" t="n">
        <f aca="false">CJ98</f>
        <v>10494.5536675451</v>
      </c>
      <c r="CL94" s="18" t="n">
        <f aca="false">CK98</f>
        <v>9374.45190896631</v>
      </c>
      <c r="CM94" s="18" t="n">
        <f aca="false">CL98</f>
        <v>8245.6652310368</v>
      </c>
      <c r="CN94" s="18" t="n">
        <f aca="false">CM98</f>
        <v>7125.0284309328</v>
      </c>
      <c r="CO94" s="18" t="n">
        <f aca="false">CN98</f>
        <v>5977.99495876915</v>
      </c>
      <c r="CP94" s="18" t="n">
        <f aca="false">CO98</f>
        <v>4804.26116101273</v>
      </c>
      <c r="CQ94" s="18" t="n">
        <f aca="false">CP98</f>
        <v>3621.25081691711</v>
      </c>
      <c r="CR94" s="18" t="n">
        <f aca="false">CQ98</f>
        <v>2432.40288129966</v>
      </c>
      <c r="CS94" s="18" t="n">
        <f aca="false">CR98</f>
        <v>1229.87905975284</v>
      </c>
      <c r="CT94" s="18" t="n">
        <f aca="false">CS98</f>
        <v>2.6943780540023E-010</v>
      </c>
      <c r="CU94" s="18" t="n">
        <f aca="false">CT98</f>
        <v>2.72805777967733E-010</v>
      </c>
      <c r="CV94" s="18" t="n">
        <f aca="false">CU98</f>
        <v>2.7621585019233E-010</v>
      </c>
      <c r="CW94" s="18" t="n">
        <f aca="false">CV98</f>
        <v>2.79668548319734E-010</v>
      </c>
      <c r="CX94" s="18" t="n">
        <f aca="false">CW98</f>
        <v>2.8316440517373E-010</v>
      </c>
      <c r="CY94" s="18" t="n">
        <f aca="false">CX98</f>
        <v>2.86703960238402E-010</v>
      </c>
      <c r="CZ94" s="18" t="n">
        <f aca="false">CY98</f>
        <v>2.90287759741382E-010</v>
      </c>
      <c r="DA94" s="18" t="n">
        <f aca="false">CZ98</f>
        <v>2.93916356738149E-010</v>
      </c>
      <c r="DB94" s="18" t="n">
        <f aca="false">DA98</f>
        <v>2.97590311197376E-010</v>
      </c>
      <c r="DC94" s="18" t="n">
        <f aca="false">DB98</f>
        <v>3.01310190087343E-010</v>
      </c>
      <c r="DD94" s="18" t="n">
        <f aca="false">DC98</f>
        <v>3.05076567463435E-010</v>
      </c>
      <c r="DE94" s="18" t="n">
        <f aca="false">DD98</f>
        <v>3.08890024556728E-010</v>
      </c>
      <c r="DF94" s="18" t="n">
        <f aca="false">DE98</f>
        <v>3.12751149863687E-010</v>
      </c>
      <c r="DG94" s="18" t="n">
        <f aca="false">DF98</f>
        <v>3.16660539236983E-010</v>
      </c>
      <c r="DH94" s="18" t="n">
        <f aca="false">DG98</f>
        <v>3.20618795977446E-010</v>
      </c>
      <c r="DI94" s="18" t="n">
        <f aca="false">DH98</f>
        <v>3.24626530927164E-010</v>
      </c>
      <c r="DJ94" s="18" t="n">
        <f aca="false">DI98</f>
        <v>3.28684362563753E-010</v>
      </c>
      <c r="DK94" s="18" t="n">
        <f aca="false">DJ98</f>
        <v>3.327929170958E-010</v>
      </c>
      <c r="DL94" s="18" t="n">
        <f aca="false">DK98</f>
        <v>3.36952828559498E-010</v>
      </c>
      <c r="DM94" s="18" t="n">
        <f aca="false">DL98</f>
        <v>3.41164738916491E-010</v>
      </c>
      <c r="DN94" s="18" t="n">
        <f aca="false">DM98</f>
        <v>3.45429298152947E-010</v>
      </c>
      <c r="DO94" s="18" t="n">
        <f aca="false">DN98</f>
        <v>3.49747164379859E-010</v>
      </c>
      <c r="DP94" s="18" t="n">
        <f aca="false">DO98</f>
        <v>3.54119003934608E-010</v>
      </c>
      <c r="DQ94" s="18" t="n">
        <f aca="false">DP98</f>
        <v>3.5854549148379E-010</v>
      </c>
      <c r="DR94" s="18" t="n">
        <f aca="false">DQ98</f>
        <v>3.63027310127338E-010</v>
      </c>
      <c r="DS94" s="18" t="n">
        <f aca="false">DR98</f>
        <v>3.67565151503929E-010</v>
      </c>
      <c r="DT94" s="18" t="n">
        <f aca="false">DS98</f>
        <v>3.72159715897728E-010</v>
      </c>
      <c r="DU94" s="18" t="n">
        <f aca="false">DT98</f>
        <v>3.7681171234645E-010</v>
      </c>
      <c r="DV94" s="18" t="n">
        <f aca="false">DU98</f>
        <v>3.81521858750781E-010</v>
      </c>
      <c r="DW94" s="18" t="n">
        <f aca="false">DV98</f>
        <v>3.86290881985165E-010</v>
      </c>
      <c r="DX94" s="18" t="n">
        <f aca="false">DW98</f>
        <v>3.9111951800998E-010</v>
      </c>
      <c r="DY94" s="18" t="n">
        <f aca="false">DX98</f>
        <v>3.96008511985105E-010</v>
      </c>
      <c r="DZ94" s="18" t="n">
        <f aca="false">DY98</f>
        <v>4.00958618384919E-010</v>
      </c>
      <c r="EA94" s="18" t="n">
        <f aca="false">DZ98</f>
        <v>4.0597060111473E-010</v>
      </c>
      <c r="EB94" s="18" t="n">
        <f aca="false">EA98</f>
        <v>4.11045233628664E-010</v>
      </c>
      <c r="EC94" s="18" t="n">
        <f aca="false">EB98</f>
        <v>4.16183299049022E-010</v>
      </c>
      <c r="ED94" s="18" t="n">
        <f aca="false">EC98</f>
        <v>4.21385590287135E-010</v>
      </c>
      <c r="EE94" s="18" t="n">
        <f aca="false">ED98</f>
        <v>4.26652910165724E-010</v>
      </c>
      <c r="EF94" s="18" t="n">
        <f aca="false">EE98</f>
        <v>4.31986071542796E-010</v>
      </c>
      <c r="EG94" s="18" t="n">
        <f aca="false">EF98</f>
        <v>4.37385897437081E-010</v>
      </c>
      <c r="EH94" s="18" t="n">
        <f aca="false">EG98</f>
        <v>4.42853221155045E-010</v>
      </c>
      <c r="EI94" s="18" t="n">
        <f aca="false">EH98</f>
        <v>4.48388886419483E-010</v>
      </c>
      <c r="EJ94" s="18" t="n">
        <f aca="false">EI98</f>
        <v>4.53993747499726E-010</v>
      </c>
      <c r="EK94" s="18" t="n">
        <f aca="false">EJ98</f>
        <v>4.59668669343473E-010</v>
      </c>
      <c r="EL94" s="18" t="n">
        <f aca="false">EK98</f>
        <v>4.65414527710266E-010</v>
      </c>
      <c r="EM94" s="18" t="n">
        <f aca="false">EL98</f>
        <v>4.71232209306644E-010</v>
      </c>
      <c r="EN94" s="18" t="n">
        <f aca="false">EM98</f>
        <v>4.77122611922978E-010</v>
      </c>
      <c r="EO94" s="18" t="n">
        <f aca="false">EN98</f>
        <v>4.83086644572015E-010</v>
      </c>
    </row>
    <row r="95" customFormat="false" ht="15" hidden="false" customHeight="false" outlineLevel="0" collapsed="false">
      <c r="C95" s="0" t="s">
        <v>473</v>
      </c>
      <c r="D95" s="11" t="s">
        <v>33</v>
      </c>
      <c r="I95" s="48" t="n">
        <f aca="false">SUM(J95:EO95)</f>
        <v>56440.2152328767</v>
      </c>
      <c r="J95" s="48" t="n">
        <f aca="false">-$E89*J69</f>
        <v>0</v>
      </c>
      <c r="K95" s="48" t="n">
        <f aca="false">-$E89*K69</f>
        <v>0</v>
      </c>
      <c r="L95" s="48" t="n">
        <f aca="false">-$E89*L69</f>
        <v>0</v>
      </c>
      <c r="M95" s="48" t="n">
        <f aca="false">-$E89*M69</f>
        <v>0</v>
      </c>
      <c r="N95" s="48" t="n">
        <f aca="false">-$E89*N69</f>
        <v>0</v>
      </c>
      <c r="O95" s="48" t="n">
        <f aca="false">-$E89*O69</f>
        <v>0</v>
      </c>
      <c r="P95" s="48" t="n">
        <f aca="false">-$E89*P69</f>
        <v>0</v>
      </c>
      <c r="Q95" s="48" t="n">
        <f aca="false">-$E89*Q69</f>
        <v>0</v>
      </c>
      <c r="R95" s="48" t="n">
        <f aca="false">-$E89*R69</f>
        <v>6374.47363013699</v>
      </c>
      <c r="S95" s="48" t="n">
        <f aca="false">-$E89*S69</f>
        <v>10721.0508493151</v>
      </c>
      <c r="T95" s="48" t="n">
        <f aca="false">-$E89*T69</f>
        <v>6305.18587328767</v>
      </c>
      <c r="U95" s="48" t="n">
        <f aca="false">-$E89*U69</f>
        <v>6374.47363013699</v>
      </c>
      <c r="V95" s="48" t="n">
        <f aca="false">-$E89*V69</f>
        <v>6374.47363013699</v>
      </c>
      <c r="W95" s="48" t="n">
        <f aca="false">-$E89*W69</f>
        <v>6235.89811643836</v>
      </c>
      <c r="X95" s="48" t="n">
        <f aca="false">-$E89*X69</f>
        <v>6305.18587328767</v>
      </c>
      <c r="Y95" s="48" t="n">
        <f aca="false">-$E89*Y69</f>
        <v>7749.47363013699</v>
      </c>
      <c r="Z95" s="48" t="n">
        <f aca="false">-$E89*Z69</f>
        <v>0</v>
      </c>
      <c r="AA95" s="48" t="n">
        <f aca="false">-$E89*AA69</f>
        <v>0</v>
      </c>
      <c r="AB95" s="48" t="n">
        <f aca="false">-$E89*AB69</f>
        <v>0</v>
      </c>
      <c r="AC95" s="48" t="n">
        <f aca="false">-$E89*AC69</f>
        <v>0</v>
      </c>
      <c r="AD95" s="48" t="n">
        <f aca="false">-$E89*AD69</f>
        <v>0</v>
      </c>
      <c r="AE95" s="48" t="n">
        <f aca="false">-$E89*AE69</f>
        <v>0</v>
      </c>
      <c r="AF95" s="48" t="n">
        <f aca="false">-$E89*AF69</f>
        <v>0</v>
      </c>
      <c r="AG95" s="48" t="n">
        <f aca="false">-$E89*AG69</f>
        <v>0</v>
      </c>
      <c r="AH95" s="48" t="n">
        <f aca="false">-$E89*AH69</f>
        <v>0</v>
      </c>
      <c r="AI95" s="48" t="n">
        <f aca="false">-$E89*AI69</f>
        <v>0</v>
      </c>
      <c r="AJ95" s="48" t="n">
        <f aca="false">-$E89*AJ69</f>
        <v>0</v>
      </c>
      <c r="AK95" s="48" t="n">
        <f aca="false">-$E89*AK69</f>
        <v>0</v>
      </c>
      <c r="AL95" s="48" t="n">
        <f aca="false">-$E89*AL69</f>
        <v>0</v>
      </c>
      <c r="AM95" s="48" t="n">
        <f aca="false">-$E89*AM69</f>
        <v>0</v>
      </c>
      <c r="AN95" s="48" t="n">
        <f aca="false">-$E89*AN69</f>
        <v>0</v>
      </c>
      <c r="AO95" s="48" t="n">
        <f aca="false">-$E89*AO69</f>
        <v>0</v>
      </c>
      <c r="AP95" s="48" t="n">
        <f aca="false">-$E89*AP69</f>
        <v>0</v>
      </c>
      <c r="AQ95" s="48" t="n">
        <f aca="false">-$E89*AQ69</f>
        <v>0</v>
      </c>
      <c r="AR95" s="48" t="n">
        <f aca="false">-$E89*AR69</f>
        <v>0</v>
      </c>
      <c r="AS95" s="48" t="n">
        <f aca="false">-$E89*AS69</f>
        <v>0</v>
      </c>
      <c r="AT95" s="48" t="n">
        <f aca="false">-$E89*AT69</f>
        <v>0</v>
      </c>
      <c r="AU95" s="48" t="n">
        <f aca="false">-$E89*AU69</f>
        <v>0</v>
      </c>
      <c r="AV95" s="48" t="n">
        <f aca="false">-$E89*AV69</f>
        <v>0</v>
      </c>
      <c r="AW95" s="48" t="n">
        <f aca="false">-$E89*AW69</f>
        <v>0</v>
      </c>
      <c r="AX95" s="48" t="n">
        <f aca="false">-$E89*AX69</f>
        <v>0</v>
      </c>
      <c r="AY95" s="48" t="n">
        <f aca="false">-$E89*AY69</f>
        <v>0</v>
      </c>
      <c r="AZ95" s="48" t="n">
        <f aca="false">-$E89*AZ69</f>
        <v>0</v>
      </c>
      <c r="BA95" s="48" t="n">
        <f aca="false">-$E89*BA69</f>
        <v>0</v>
      </c>
      <c r="BB95" s="48" t="n">
        <f aca="false">-$E89*BB69</f>
        <v>0</v>
      </c>
      <c r="BC95" s="48" t="n">
        <f aca="false">-$E89*BC69</f>
        <v>0</v>
      </c>
      <c r="BD95" s="48" t="n">
        <f aca="false">-$E89*BD69</f>
        <v>0</v>
      </c>
      <c r="BE95" s="48" t="n">
        <f aca="false">-$E89*BE69</f>
        <v>0</v>
      </c>
      <c r="BF95" s="48" t="n">
        <f aca="false">-$E89*BF69</f>
        <v>0</v>
      </c>
      <c r="BG95" s="48" t="n">
        <f aca="false">-$E89*BG69</f>
        <v>0</v>
      </c>
      <c r="BH95" s="48" t="n">
        <f aca="false">-$E89*BH69</f>
        <v>0</v>
      </c>
      <c r="BI95" s="48" t="n">
        <f aca="false">-$E89*BI69</f>
        <v>0</v>
      </c>
      <c r="BJ95" s="48" t="n">
        <f aca="false">-$E89*BJ69</f>
        <v>0</v>
      </c>
      <c r="BK95" s="48" t="n">
        <f aca="false">-$E89*BK69</f>
        <v>0</v>
      </c>
      <c r="BL95" s="48" t="n">
        <f aca="false">-$E89*BL69</f>
        <v>0</v>
      </c>
      <c r="BM95" s="48" t="n">
        <f aca="false">-$E89*BM69</f>
        <v>0</v>
      </c>
      <c r="BN95" s="48" t="n">
        <f aca="false">-$E89*BN69</f>
        <v>0</v>
      </c>
      <c r="BO95" s="48" t="n">
        <f aca="false">-$E89*BO69</f>
        <v>0</v>
      </c>
      <c r="BP95" s="48" t="n">
        <f aca="false">-$E89*BP69</f>
        <v>0</v>
      </c>
      <c r="BQ95" s="48" t="n">
        <f aca="false">-$E89*BQ69</f>
        <v>0</v>
      </c>
      <c r="BR95" s="48" t="n">
        <f aca="false">-$E89*BR69</f>
        <v>0</v>
      </c>
      <c r="BS95" s="48" t="n">
        <f aca="false">-$E89*BS69</f>
        <v>0</v>
      </c>
      <c r="BT95" s="48" t="n">
        <f aca="false">-$E89*BT69</f>
        <v>0</v>
      </c>
      <c r="BU95" s="48" t="n">
        <f aca="false">-$E89*BU69</f>
        <v>0</v>
      </c>
      <c r="BV95" s="48" t="n">
        <f aca="false">-$E89*BV69</f>
        <v>0</v>
      </c>
      <c r="BW95" s="48" t="n">
        <f aca="false">-$E89*BW69</f>
        <v>0</v>
      </c>
      <c r="BX95" s="48" t="n">
        <f aca="false">-$E89*BX69</f>
        <v>0</v>
      </c>
      <c r="BY95" s="48" t="n">
        <f aca="false">-$E89*BY69</f>
        <v>0</v>
      </c>
      <c r="BZ95" s="48" t="n">
        <f aca="false">-$E89*BZ69</f>
        <v>0</v>
      </c>
      <c r="CA95" s="48" t="n">
        <f aca="false">-$E89*CA69</f>
        <v>0</v>
      </c>
      <c r="CB95" s="48" t="n">
        <f aca="false">-$E89*CB69</f>
        <v>0</v>
      </c>
      <c r="CC95" s="48" t="n">
        <f aca="false">-$E89*CC69</f>
        <v>0</v>
      </c>
      <c r="CD95" s="48" t="n">
        <f aca="false">-$E89*CD69</f>
        <v>0</v>
      </c>
      <c r="CE95" s="48" t="n">
        <f aca="false">-$E89*CE69</f>
        <v>0</v>
      </c>
      <c r="CF95" s="48" t="n">
        <f aca="false">-$E89*CF69</f>
        <v>0</v>
      </c>
      <c r="CG95" s="48" t="n">
        <f aca="false">-$E89*CG69</f>
        <v>0</v>
      </c>
      <c r="CH95" s="48" t="n">
        <f aca="false">-$E89*CH69</f>
        <v>0</v>
      </c>
      <c r="CI95" s="48" t="n">
        <f aca="false">-$E89*CI69</f>
        <v>0</v>
      </c>
      <c r="CJ95" s="48" t="n">
        <f aca="false">-$E89*CJ69</f>
        <v>0</v>
      </c>
      <c r="CK95" s="48" t="n">
        <f aca="false">-$E89*CK69</f>
        <v>0</v>
      </c>
      <c r="CL95" s="48" t="n">
        <f aca="false">-$E89*CL69</f>
        <v>0</v>
      </c>
      <c r="CM95" s="48" t="n">
        <f aca="false">-$E89*CM69</f>
        <v>0</v>
      </c>
      <c r="CN95" s="48" t="n">
        <f aca="false">-$E89*CN69</f>
        <v>0</v>
      </c>
      <c r="CO95" s="48" t="n">
        <f aca="false">-$E89*CO69</f>
        <v>0</v>
      </c>
      <c r="CP95" s="48" t="n">
        <f aca="false">-$E89*CP69</f>
        <v>0</v>
      </c>
      <c r="CQ95" s="48" t="n">
        <f aca="false">-$E89*CQ69</f>
        <v>0</v>
      </c>
      <c r="CR95" s="48" t="n">
        <f aca="false">-$E89*CR69</f>
        <v>0</v>
      </c>
      <c r="CS95" s="48" t="n">
        <f aca="false">-$E89*CS69</f>
        <v>0</v>
      </c>
      <c r="CT95" s="48" t="n">
        <f aca="false">-$E89*CT69</f>
        <v>0</v>
      </c>
      <c r="CU95" s="48" t="n">
        <f aca="false">-$E89*CU69</f>
        <v>0</v>
      </c>
      <c r="CV95" s="48" t="n">
        <f aca="false">-$E89*CV69</f>
        <v>0</v>
      </c>
      <c r="CW95" s="48" t="n">
        <f aca="false">-$E89*CW69</f>
        <v>0</v>
      </c>
      <c r="CX95" s="48" t="n">
        <f aca="false">-$E89*CX69</f>
        <v>0</v>
      </c>
      <c r="CY95" s="48" t="n">
        <f aca="false">-$E89*CY69</f>
        <v>0</v>
      </c>
      <c r="CZ95" s="48" t="n">
        <f aca="false">-$E89*CZ69</f>
        <v>0</v>
      </c>
      <c r="DA95" s="48" t="n">
        <f aca="false">-$E89*DA69</f>
        <v>0</v>
      </c>
      <c r="DB95" s="48" t="n">
        <f aca="false">-$E89*DB69</f>
        <v>0</v>
      </c>
      <c r="DC95" s="48" t="n">
        <f aca="false">-$E89*DC69</f>
        <v>0</v>
      </c>
      <c r="DD95" s="48" t="n">
        <f aca="false">-$E89*DD69</f>
        <v>0</v>
      </c>
      <c r="DE95" s="48" t="n">
        <f aca="false">-$E89*DE69</f>
        <v>0</v>
      </c>
      <c r="DF95" s="48" t="n">
        <f aca="false">-$E89*DF69</f>
        <v>0</v>
      </c>
      <c r="DG95" s="48" t="n">
        <f aca="false">-$E89*DG69</f>
        <v>0</v>
      </c>
      <c r="DH95" s="48" t="n">
        <f aca="false">-$E89*DH69</f>
        <v>0</v>
      </c>
      <c r="DI95" s="48" t="n">
        <f aca="false">-$E89*DI69</f>
        <v>0</v>
      </c>
      <c r="DJ95" s="48" t="n">
        <f aca="false">-$E89*DJ69</f>
        <v>0</v>
      </c>
      <c r="DK95" s="48" t="n">
        <f aca="false">-$E89*DK69</f>
        <v>0</v>
      </c>
      <c r="DL95" s="48" t="n">
        <f aca="false">-$E89*DL69</f>
        <v>0</v>
      </c>
      <c r="DM95" s="48" t="n">
        <f aca="false">-$E89*DM69</f>
        <v>0</v>
      </c>
      <c r="DN95" s="48" t="n">
        <f aca="false">-$E89*DN69</f>
        <v>0</v>
      </c>
      <c r="DO95" s="48" t="n">
        <f aca="false">-$E89*DO69</f>
        <v>0</v>
      </c>
      <c r="DP95" s="48" t="n">
        <f aca="false">-$E89*DP69</f>
        <v>0</v>
      </c>
      <c r="DQ95" s="48" t="n">
        <f aca="false">-$E89*DQ69</f>
        <v>0</v>
      </c>
      <c r="DR95" s="48" t="n">
        <f aca="false">-$E89*DR69</f>
        <v>0</v>
      </c>
      <c r="DS95" s="48" t="n">
        <f aca="false">-$E89*DS69</f>
        <v>0</v>
      </c>
      <c r="DT95" s="48" t="n">
        <f aca="false">-$E89*DT69</f>
        <v>0</v>
      </c>
      <c r="DU95" s="48" t="n">
        <f aca="false">-$E89*DU69</f>
        <v>0</v>
      </c>
      <c r="DV95" s="48" t="n">
        <f aca="false">-$E89*DV69</f>
        <v>0</v>
      </c>
      <c r="DW95" s="48" t="n">
        <f aca="false">-$E89*DW69</f>
        <v>0</v>
      </c>
      <c r="DX95" s="48" t="n">
        <f aca="false">-$E89*DX69</f>
        <v>0</v>
      </c>
      <c r="DY95" s="48" t="n">
        <f aca="false">-$E89*DY69</f>
        <v>0</v>
      </c>
      <c r="DZ95" s="48" t="n">
        <f aca="false">-$E89*DZ69</f>
        <v>0</v>
      </c>
      <c r="EA95" s="48" t="n">
        <f aca="false">-$E89*EA69</f>
        <v>0</v>
      </c>
      <c r="EB95" s="48" t="n">
        <f aca="false">-$E89*EB69</f>
        <v>0</v>
      </c>
      <c r="EC95" s="48" t="n">
        <f aca="false">-$E89*EC69</f>
        <v>0</v>
      </c>
      <c r="ED95" s="48" t="n">
        <f aca="false">-$E89*ED69</f>
        <v>0</v>
      </c>
      <c r="EE95" s="48" t="n">
        <f aca="false">-$E89*EE69</f>
        <v>0</v>
      </c>
      <c r="EF95" s="48" t="n">
        <f aca="false">-$E89*EF69</f>
        <v>0</v>
      </c>
      <c r="EG95" s="48" t="n">
        <f aca="false">-$E89*EG69</f>
        <v>0</v>
      </c>
      <c r="EH95" s="48" t="n">
        <f aca="false">-$E89*EH69</f>
        <v>0</v>
      </c>
      <c r="EI95" s="48" t="n">
        <f aca="false">-$E89*EI69</f>
        <v>0</v>
      </c>
      <c r="EJ95" s="48" t="n">
        <f aca="false">-$E89*EJ69</f>
        <v>0</v>
      </c>
      <c r="EK95" s="48" t="n">
        <f aca="false">-$E89*EK69</f>
        <v>0</v>
      </c>
      <c r="EL95" s="48" t="n">
        <f aca="false">-$E89*EL69</f>
        <v>0</v>
      </c>
      <c r="EM95" s="48" t="n">
        <f aca="false">-$E89*EM69</f>
        <v>0</v>
      </c>
      <c r="EN95" s="48" t="n">
        <f aca="false">-$E89*EN69</f>
        <v>0</v>
      </c>
      <c r="EO95" s="48" t="n">
        <f aca="false">-$E89*EO69</f>
        <v>0</v>
      </c>
    </row>
    <row r="96" customFormat="false" ht="15" hidden="false" customHeight="false" outlineLevel="0" collapsed="false">
      <c r="C96" s="0" t="s">
        <v>474</v>
      </c>
      <c r="D96" s="11" t="s">
        <v>33</v>
      </c>
      <c r="I96" s="48" t="n">
        <f aca="false">SUM(J96:EO96)</f>
        <v>2615.28241844522</v>
      </c>
      <c r="J96" s="48" t="n">
        <f aca="false">J94*$F22*(J$4&lt;=In_COD)</f>
        <v>0</v>
      </c>
      <c r="K96" s="48" t="n">
        <f aca="false">K94*$F22*(K$4&lt;=In_COD)</f>
        <v>0</v>
      </c>
      <c r="L96" s="48" t="n">
        <f aca="false">L94*$F22*(L$4&lt;=In_COD)</f>
        <v>0</v>
      </c>
      <c r="M96" s="48" t="n">
        <f aca="false">M94*$F22*(M$4&lt;=In_COD)</f>
        <v>0</v>
      </c>
      <c r="N96" s="48" t="n">
        <f aca="false">N94*$F22*(N$4&lt;=In_COD)</f>
        <v>0</v>
      </c>
      <c r="O96" s="48" t="n">
        <f aca="false">O94*$F22*(O$4&lt;=In_COD)</f>
        <v>0</v>
      </c>
      <c r="P96" s="48" t="n">
        <f aca="false">P94*$F22*(P$4&lt;=In_COD)</f>
        <v>0</v>
      </c>
      <c r="Q96" s="48" t="n">
        <f aca="false">Q94*$F22*(Q$4&lt;=In_COD)</f>
        <v>0</v>
      </c>
      <c r="R96" s="48" t="n">
        <f aca="false">R94*$F22*(R$4&lt;=In_COD)</f>
        <v>0</v>
      </c>
      <c r="S96" s="48" t="n">
        <f aca="false">S94*$F22*(S$4&lt;=In_COD)</f>
        <v>79.6809203767124</v>
      </c>
      <c r="T96" s="48" t="n">
        <f aca="false">T94*$F22*(T$4&lt;=In_COD)</f>
        <v>214.69006749786</v>
      </c>
      <c r="U96" s="48" t="n">
        <f aca="false">U94*$F22*(U$4&lt;=In_COD)</f>
        <v>296.188516757679</v>
      </c>
      <c r="V96" s="48" t="n">
        <f aca="false">V94*$F22*(V$4&lt;=In_COD)</f>
        <v>379.571793593862</v>
      </c>
      <c r="W96" s="48" t="n">
        <f aca="false">W94*$F22*(W$4&lt;=In_COD)</f>
        <v>463.997361390498</v>
      </c>
      <c r="X96" s="48" t="n">
        <f aca="false">X94*$F22*(X$4&lt;=In_COD)</f>
        <v>547.746054863359</v>
      </c>
      <c r="Y96" s="48" t="n">
        <f aca="false">Y94*$F22*(Y$4&lt;=In_COD)</f>
        <v>633.407703965247</v>
      </c>
      <c r="Z96" s="48" t="n">
        <f aca="false">Z94*$F22*(Z$4&lt;=In_COD)</f>
        <v>0</v>
      </c>
      <c r="AA96" s="48" t="n">
        <f aca="false">AA94*$F22*(AA$4&lt;=In_COD)</f>
        <v>0</v>
      </c>
      <c r="AB96" s="48" t="n">
        <f aca="false">AB94*$F22*(AB$4&lt;=In_COD)</f>
        <v>0</v>
      </c>
      <c r="AC96" s="48" t="n">
        <f aca="false">AC94*$F22*(AC$4&lt;=In_COD)</f>
        <v>0</v>
      </c>
      <c r="AD96" s="48" t="n">
        <f aca="false">AD94*$F22*(AD$4&lt;=In_COD)</f>
        <v>0</v>
      </c>
      <c r="AE96" s="48" t="n">
        <f aca="false">AE94*$F22*(AE$4&lt;=In_COD)</f>
        <v>0</v>
      </c>
      <c r="AF96" s="48" t="n">
        <f aca="false">AF94*$F22*(AF$4&lt;=In_COD)</f>
        <v>0</v>
      </c>
      <c r="AG96" s="48" t="n">
        <f aca="false">AG94*$F22*(AG$4&lt;=In_COD)</f>
        <v>0</v>
      </c>
      <c r="AH96" s="48" t="n">
        <f aca="false">AH94*$F22*(AH$4&lt;=In_COD)</f>
        <v>0</v>
      </c>
      <c r="AI96" s="48" t="n">
        <f aca="false">AI94*$F22*(AI$4&lt;=In_COD)</f>
        <v>0</v>
      </c>
      <c r="AJ96" s="48" t="n">
        <f aca="false">AJ94*$F22*(AJ$4&lt;=In_COD)</f>
        <v>0</v>
      </c>
      <c r="AK96" s="48" t="n">
        <f aca="false">AK94*$F22*(AK$4&lt;=In_COD)</f>
        <v>0</v>
      </c>
      <c r="AL96" s="48" t="n">
        <f aca="false">AL94*$F22*(AL$4&lt;=In_COD)</f>
        <v>0</v>
      </c>
      <c r="AM96" s="48" t="n">
        <f aca="false">AM94*$F22*(AM$4&lt;=In_COD)</f>
        <v>0</v>
      </c>
      <c r="AN96" s="48" t="n">
        <f aca="false">AN94*$F22*(AN$4&lt;=In_COD)</f>
        <v>0</v>
      </c>
      <c r="AO96" s="48" t="n">
        <f aca="false">AO94*$F22*(AO$4&lt;=In_COD)</f>
        <v>0</v>
      </c>
      <c r="AP96" s="48" t="n">
        <f aca="false">AP94*$F22*(AP$4&lt;=In_COD)</f>
        <v>0</v>
      </c>
      <c r="AQ96" s="48" t="n">
        <f aca="false">AQ94*$F22*(AQ$4&lt;=In_COD)</f>
        <v>0</v>
      </c>
      <c r="AR96" s="48" t="n">
        <f aca="false">AR94*$F22*(AR$4&lt;=In_COD)</f>
        <v>0</v>
      </c>
      <c r="AS96" s="48" t="n">
        <f aca="false">AS94*$F22*(AS$4&lt;=In_COD)</f>
        <v>0</v>
      </c>
      <c r="AT96" s="48" t="n">
        <f aca="false">AT94*$F22*(AT$4&lt;=In_COD)</f>
        <v>0</v>
      </c>
      <c r="AU96" s="48" t="n">
        <f aca="false">AU94*$F22*(AU$4&lt;=In_COD)</f>
        <v>0</v>
      </c>
      <c r="AV96" s="48" t="n">
        <f aca="false">AV94*$F22*(AV$4&lt;=In_COD)</f>
        <v>0</v>
      </c>
      <c r="AW96" s="48" t="n">
        <f aca="false">AW94*$F22*(AW$4&lt;=In_COD)</f>
        <v>0</v>
      </c>
      <c r="AX96" s="48" t="n">
        <f aca="false">AX94*$F22*(AX$4&lt;=In_COD)</f>
        <v>0</v>
      </c>
      <c r="AY96" s="48" t="n">
        <f aca="false">AY94*$F22*(AY$4&lt;=In_COD)</f>
        <v>0</v>
      </c>
      <c r="AZ96" s="48" t="n">
        <f aca="false">AZ94*$F22*(AZ$4&lt;=In_COD)</f>
        <v>0</v>
      </c>
      <c r="BA96" s="48" t="n">
        <f aca="false">BA94*$F22*(BA$4&lt;=In_COD)</f>
        <v>0</v>
      </c>
      <c r="BB96" s="48" t="n">
        <f aca="false">BB94*$F22*(BB$4&lt;=In_COD)</f>
        <v>0</v>
      </c>
      <c r="BC96" s="48" t="n">
        <f aca="false">BC94*$F22*(BC$4&lt;=In_COD)</f>
        <v>0</v>
      </c>
      <c r="BD96" s="48" t="n">
        <f aca="false">BD94*$F22*(BD$4&lt;=In_COD)</f>
        <v>0</v>
      </c>
      <c r="BE96" s="48" t="n">
        <f aca="false">BE94*$F22*(BE$4&lt;=In_COD)</f>
        <v>0</v>
      </c>
      <c r="BF96" s="48" t="n">
        <f aca="false">BF94*$F22*(BF$4&lt;=In_COD)</f>
        <v>0</v>
      </c>
      <c r="BG96" s="48" t="n">
        <f aca="false">BG94*$F22*(BG$4&lt;=In_COD)</f>
        <v>0</v>
      </c>
      <c r="BH96" s="48" t="n">
        <f aca="false">BH94*$F22*(BH$4&lt;=In_COD)</f>
        <v>0</v>
      </c>
      <c r="BI96" s="48" t="n">
        <f aca="false">BI94*$F22*(BI$4&lt;=In_COD)</f>
        <v>0</v>
      </c>
      <c r="BJ96" s="48" t="n">
        <f aca="false">BJ94*$F22*(BJ$4&lt;=In_COD)</f>
        <v>0</v>
      </c>
      <c r="BK96" s="48" t="n">
        <f aca="false">BK94*$F22*(BK$4&lt;=In_COD)</f>
        <v>0</v>
      </c>
      <c r="BL96" s="48" t="n">
        <f aca="false">BL94*$F22*(BL$4&lt;=In_COD)</f>
        <v>0</v>
      </c>
      <c r="BM96" s="48" t="n">
        <f aca="false">BM94*$F22*(BM$4&lt;=In_COD)</f>
        <v>0</v>
      </c>
      <c r="BN96" s="48" t="n">
        <f aca="false">BN94*$F22*(BN$4&lt;=In_COD)</f>
        <v>0</v>
      </c>
      <c r="BO96" s="48" t="n">
        <f aca="false">BO94*$F22*(BO$4&lt;=In_COD)</f>
        <v>0</v>
      </c>
      <c r="BP96" s="48" t="n">
        <f aca="false">BP94*$F22*(BP$4&lt;=In_COD)</f>
        <v>0</v>
      </c>
      <c r="BQ96" s="48" t="n">
        <f aca="false">BQ94*$F22*(BQ$4&lt;=In_COD)</f>
        <v>0</v>
      </c>
      <c r="BR96" s="48" t="n">
        <f aca="false">BR94*$F22*(BR$4&lt;=In_COD)</f>
        <v>0</v>
      </c>
      <c r="BS96" s="48" t="n">
        <f aca="false">BS94*$F22*(BS$4&lt;=In_COD)</f>
        <v>0</v>
      </c>
      <c r="BT96" s="48" t="n">
        <f aca="false">BT94*$F22*(BT$4&lt;=In_COD)</f>
        <v>0</v>
      </c>
      <c r="BU96" s="48" t="n">
        <f aca="false">BU94*$F22*(BU$4&lt;=In_COD)</f>
        <v>0</v>
      </c>
      <c r="BV96" s="48" t="n">
        <f aca="false">BV94*$F22*(BV$4&lt;=In_COD)</f>
        <v>0</v>
      </c>
      <c r="BW96" s="48" t="n">
        <f aca="false">BW94*$F22*(BW$4&lt;=In_COD)</f>
        <v>0</v>
      </c>
      <c r="BX96" s="48" t="n">
        <f aca="false">BX94*$F22*(BX$4&lt;=In_COD)</f>
        <v>0</v>
      </c>
      <c r="BY96" s="48" t="n">
        <f aca="false">BY94*$F22*(BY$4&lt;=In_COD)</f>
        <v>0</v>
      </c>
      <c r="BZ96" s="48" t="n">
        <f aca="false">BZ94*$F22*(BZ$4&lt;=In_COD)</f>
        <v>0</v>
      </c>
      <c r="CA96" s="48" t="n">
        <f aca="false">CA94*$F22*(CA$4&lt;=In_COD)</f>
        <v>0</v>
      </c>
      <c r="CB96" s="48" t="n">
        <f aca="false">CB94*$F22*(CB$4&lt;=In_COD)</f>
        <v>0</v>
      </c>
      <c r="CC96" s="48" t="n">
        <f aca="false">CC94*$F22*(CC$4&lt;=In_COD)</f>
        <v>0</v>
      </c>
      <c r="CD96" s="48" t="n">
        <f aca="false">CD94*$F22*(CD$4&lt;=In_COD)</f>
        <v>0</v>
      </c>
      <c r="CE96" s="48" t="n">
        <f aca="false">CE94*$F22*(CE$4&lt;=In_COD)</f>
        <v>0</v>
      </c>
      <c r="CF96" s="48" t="n">
        <f aca="false">CF94*$F22*(CF$4&lt;=In_COD)</f>
        <v>0</v>
      </c>
      <c r="CG96" s="48" t="n">
        <f aca="false">CG94*$F22*(CG$4&lt;=In_COD)</f>
        <v>0</v>
      </c>
      <c r="CH96" s="48" t="n">
        <f aca="false">CH94*$F22*(CH$4&lt;=In_COD)</f>
        <v>0</v>
      </c>
      <c r="CI96" s="48" t="n">
        <f aca="false">CI94*$F22*(CI$4&lt;=In_COD)</f>
        <v>0</v>
      </c>
      <c r="CJ96" s="48" t="n">
        <f aca="false">CJ94*$F22*(CJ$4&lt;=In_COD)</f>
        <v>0</v>
      </c>
      <c r="CK96" s="48" t="n">
        <f aca="false">CK94*$F22*(CK$4&lt;=In_COD)</f>
        <v>0</v>
      </c>
      <c r="CL96" s="48" t="n">
        <f aca="false">CL94*$F22*(CL$4&lt;=In_COD)</f>
        <v>0</v>
      </c>
      <c r="CM96" s="48" t="n">
        <f aca="false">CM94*$F22*(CM$4&lt;=In_COD)</f>
        <v>0</v>
      </c>
      <c r="CN96" s="48" t="n">
        <f aca="false">CN94*$F22*(CN$4&lt;=In_COD)</f>
        <v>0</v>
      </c>
      <c r="CO96" s="48" t="n">
        <f aca="false">CO94*$F22*(CO$4&lt;=In_COD)</f>
        <v>0</v>
      </c>
      <c r="CP96" s="48" t="n">
        <f aca="false">CP94*$F22*(CP$4&lt;=In_COD)</f>
        <v>0</v>
      </c>
      <c r="CQ96" s="48" t="n">
        <f aca="false">CQ94*$F22*(CQ$4&lt;=In_COD)</f>
        <v>0</v>
      </c>
      <c r="CR96" s="48" t="n">
        <f aca="false">CR94*$F22*(CR$4&lt;=In_COD)</f>
        <v>0</v>
      </c>
      <c r="CS96" s="48" t="n">
        <f aca="false">CS94*$F22*(CS$4&lt;=In_COD)</f>
        <v>0</v>
      </c>
      <c r="CT96" s="48" t="n">
        <f aca="false">CT94*$F22*(CT$4&lt;=In_COD)</f>
        <v>0</v>
      </c>
      <c r="CU96" s="48" t="n">
        <f aca="false">CU94*$F22*(CU$4&lt;=In_COD)</f>
        <v>0</v>
      </c>
      <c r="CV96" s="48" t="n">
        <f aca="false">CV94*$F22*(CV$4&lt;=In_COD)</f>
        <v>0</v>
      </c>
      <c r="CW96" s="48" t="n">
        <f aca="false">CW94*$F22*(CW$4&lt;=In_COD)</f>
        <v>0</v>
      </c>
      <c r="CX96" s="48" t="n">
        <f aca="false">CX94*$F22*(CX$4&lt;=In_COD)</f>
        <v>0</v>
      </c>
      <c r="CY96" s="48" t="n">
        <f aca="false">CY94*$F22*(CY$4&lt;=In_COD)</f>
        <v>0</v>
      </c>
      <c r="CZ96" s="48" t="n">
        <f aca="false">CZ94*$F22*(CZ$4&lt;=In_COD)</f>
        <v>0</v>
      </c>
      <c r="DA96" s="48" t="n">
        <f aca="false">DA94*$F22*(DA$4&lt;=In_COD)</f>
        <v>0</v>
      </c>
      <c r="DB96" s="48" t="n">
        <f aca="false">DB94*$F22*(DB$4&lt;=In_COD)</f>
        <v>0</v>
      </c>
      <c r="DC96" s="48" t="n">
        <f aca="false">DC94*$F22*(DC$4&lt;=In_COD)</f>
        <v>0</v>
      </c>
      <c r="DD96" s="48" t="n">
        <f aca="false">DD94*$F22*(DD$4&lt;=In_COD)</f>
        <v>0</v>
      </c>
      <c r="DE96" s="48" t="n">
        <f aca="false">DE94*$F22*(DE$4&lt;=In_COD)</f>
        <v>0</v>
      </c>
      <c r="DF96" s="48" t="n">
        <f aca="false">DF94*$F22*(DF$4&lt;=In_COD)</f>
        <v>0</v>
      </c>
      <c r="DG96" s="48" t="n">
        <f aca="false">DG94*$F22*(DG$4&lt;=In_COD)</f>
        <v>0</v>
      </c>
      <c r="DH96" s="48" t="n">
        <f aca="false">DH94*$F22*(DH$4&lt;=In_COD)</f>
        <v>0</v>
      </c>
      <c r="DI96" s="48" t="n">
        <f aca="false">DI94*$F22*(DI$4&lt;=In_COD)</f>
        <v>0</v>
      </c>
      <c r="DJ96" s="48" t="n">
        <f aca="false">DJ94*$F22*(DJ$4&lt;=In_COD)</f>
        <v>0</v>
      </c>
      <c r="DK96" s="48" t="n">
        <f aca="false">DK94*$F22*(DK$4&lt;=In_COD)</f>
        <v>0</v>
      </c>
      <c r="DL96" s="48" t="n">
        <f aca="false">DL94*$F22*(DL$4&lt;=In_COD)</f>
        <v>0</v>
      </c>
      <c r="DM96" s="48" t="n">
        <f aca="false">DM94*$F22*(DM$4&lt;=In_COD)</f>
        <v>0</v>
      </c>
      <c r="DN96" s="48" t="n">
        <f aca="false">DN94*$F22*(DN$4&lt;=In_COD)</f>
        <v>0</v>
      </c>
      <c r="DO96" s="48" t="n">
        <f aca="false">DO94*$F22*(DO$4&lt;=In_COD)</f>
        <v>0</v>
      </c>
      <c r="DP96" s="48" t="n">
        <f aca="false">DP94*$F22*(DP$4&lt;=In_COD)</f>
        <v>0</v>
      </c>
      <c r="DQ96" s="48" t="n">
        <f aca="false">DQ94*$F22*(DQ$4&lt;=In_COD)</f>
        <v>0</v>
      </c>
      <c r="DR96" s="48" t="n">
        <f aca="false">DR94*$F22*(DR$4&lt;=In_COD)</f>
        <v>0</v>
      </c>
      <c r="DS96" s="48" t="n">
        <f aca="false">DS94*$F22*(DS$4&lt;=In_COD)</f>
        <v>0</v>
      </c>
      <c r="DT96" s="48" t="n">
        <f aca="false">DT94*$F22*(DT$4&lt;=In_COD)</f>
        <v>0</v>
      </c>
      <c r="DU96" s="48" t="n">
        <f aca="false">DU94*$F22*(DU$4&lt;=In_COD)</f>
        <v>0</v>
      </c>
      <c r="DV96" s="48" t="n">
        <f aca="false">DV94*$F22*(DV$4&lt;=In_COD)</f>
        <v>0</v>
      </c>
      <c r="DW96" s="48" t="n">
        <f aca="false">DW94*$F22*(DW$4&lt;=In_COD)</f>
        <v>0</v>
      </c>
      <c r="DX96" s="48" t="n">
        <f aca="false">DX94*$F22*(DX$4&lt;=In_COD)</f>
        <v>0</v>
      </c>
      <c r="DY96" s="48" t="n">
        <f aca="false">DY94*$F22*(DY$4&lt;=In_COD)</f>
        <v>0</v>
      </c>
      <c r="DZ96" s="48" t="n">
        <f aca="false">DZ94*$F22*(DZ$4&lt;=In_COD)</f>
        <v>0</v>
      </c>
      <c r="EA96" s="48" t="n">
        <f aca="false">EA94*$F22*(EA$4&lt;=In_COD)</f>
        <v>0</v>
      </c>
      <c r="EB96" s="48" t="n">
        <f aca="false">EB94*$F22*(EB$4&lt;=In_COD)</f>
        <v>0</v>
      </c>
      <c r="EC96" s="48" t="n">
        <f aca="false">EC94*$F22*(EC$4&lt;=In_COD)</f>
        <v>0</v>
      </c>
      <c r="ED96" s="48" t="n">
        <f aca="false">ED94*$F22*(ED$4&lt;=In_COD)</f>
        <v>0</v>
      </c>
      <c r="EE96" s="48" t="n">
        <f aca="false">EE94*$F22*(EE$4&lt;=In_COD)</f>
        <v>0</v>
      </c>
      <c r="EF96" s="48" t="n">
        <f aca="false">EF94*$F22*(EF$4&lt;=In_COD)</f>
        <v>0</v>
      </c>
      <c r="EG96" s="48" t="n">
        <f aca="false">EG94*$F22*(EG$4&lt;=In_COD)</f>
        <v>0</v>
      </c>
      <c r="EH96" s="48" t="n">
        <f aca="false">EH94*$F22*(EH$4&lt;=In_COD)</f>
        <v>0</v>
      </c>
      <c r="EI96" s="48" t="n">
        <f aca="false">EI94*$F22*(EI$4&lt;=In_COD)</f>
        <v>0</v>
      </c>
      <c r="EJ96" s="48" t="n">
        <f aca="false">EJ94*$F22*(EJ$4&lt;=In_COD)</f>
        <v>0</v>
      </c>
      <c r="EK96" s="48" t="n">
        <f aca="false">EK94*$F22*(EK$4&lt;=In_COD)</f>
        <v>0</v>
      </c>
      <c r="EL96" s="48" t="n">
        <f aca="false">EL94*$F22*(EL$4&lt;=In_COD)</f>
        <v>0</v>
      </c>
      <c r="EM96" s="48" t="n">
        <f aca="false">EM94*$F22*(EM$4&lt;=In_COD)</f>
        <v>0</v>
      </c>
      <c r="EN96" s="48" t="n">
        <f aca="false">EN94*$F22*(EN$4&lt;=In_COD)</f>
        <v>0</v>
      </c>
      <c r="EO96" s="48" t="n">
        <f aca="false">EO94*$F22*(EO$4&lt;=In_COD)</f>
        <v>0</v>
      </c>
    </row>
    <row r="97" customFormat="false" ht="15" hidden="false" customHeight="false" outlineLevel="0" collapsed="false">
      <c r="C97" s="0" t="s">
        <v>475</v>
      </c>
      <c r="D97" s="11" t="s">
        <v>33</v>
      </c>
      <c r="I97" s="48" t="n">
        <f aca="false">SUM(J97:EO97)</f>
        <v>-59055.4976513215</v>
      </c>
      <c r="J97" s="48" t="n">
        <f aca="false">J93-J92</f>
        <v>0</v>
      </c>
      <c r="K97" s="48" t="n">
        <f aca="false">K93-K92</f>
        <v>0</v>
      </c>
      <c r="L97" s="48" t="n">
        <f aca="false">L93-L92</f>
        <v>0</v>
      </c>
      <c r="M97" s="48" t="n">
        <f aca="false">M93-M92</f>
        <v>0</v>
      </c>
      <c r="N97" s="48" t="n">
        <f aca="false">N93-N92</f>
        <v>0</v>
      </c>
      <c r="O97" s="48" t="n">
        <f aca="false">O93-O92</f>
        <v>0</v>
      </c>
      <c r="P97" s="48" t="n">
        <f aca="false">P93-P92</f>
        <v>0</v>
      </c>
      <c r="Q97" s="48" t="n">
        <f aca="false">Q93-Q92</f>
        <v>0</v>
      </c>
      <c r="R97" s="48" t="n">
        <f aca="false">R93-R92</f>
        <v>0</v>
      </c>
      <c r="S97" s="48" t="n">
        <f aca="false">S93-S92</f>
        <v>0</v>
      </c>
      <c r="T97" s="48" t="n">
        <f aca="false">T93-T92</f>
        <v>0</v>
      </c>
      <c r="U97" s="48" t="n">
        <f aca="false">U93-U92</f>
        <v>0</v>
      </c>
      <c r="V97" s="48" t="n">
        <f aca="false">V93-V92</f>
        <v>0</v>
      </c>
      <c r="W97" s="48" t="n">
        <f aca="false">W93-W92</f>
        <v>0</v>
      </c>
      <c r="X97" s="48" t="n">
        <f aca="false">X93-X92</f>
        <v>0</v>
      </c>
      <c r="Y97" s="48" t="n">
        <f aca="false">Y93-Y92</f>
        <v>0</v>
      </c>
      <c r="Z97" s="48" t="n">
        <f aca="false">Z93-Z92</f>
        <v>-507.808811591081</v>
      </c>
      <c r="AA97" s="48" t="n">
        <f aca="false">AA93-AA92</f>
        <v>-495.237484603985</v>
      </c>
      <c r="AB97" s="48" t="n">
        <f aca="false">AB93-AB92</f>
        <v>-514.491324069378</v>
      </c>
      <c r="AC97" s="48" t="n">
        <f aca="false">AC93-AC92</f>
        <v>-533.976243089622</v>
      </c>
      <c r="AD97" s="48" t="n">
        <f aca="false">AD93-AD92</f>
        <v>-536.218888921666</v>
      </c>
      <c r="AE97" s="48" t="n">
        <f aca="false">AE93-AE92</f>
        <v>-537.190295550733</v>
      </c>
      <c r="AF97" s="48" t="n">
        <f aca="false">AF93-AF92</f>
        <v>-543.637513238874</v>
      </c>
      <c r="AG97" s="48" t="n">
        <f aca="false">AG93-AG92</f>
        <v>-563.512676534971</v>
      </c>
      <c r="AH97" s="48" t="n">
        <f aca="false">AH93-AH92</f>
        <v>-566.083396278188</v>
      </c>
      <c r="AI97" s="48" t="n">
        <f aca="false">AI93-AI92</f>
        <v>-553.912529299503</v>
      </c>
      <c r="AJ97" s="48" t="n">
        <f aca="false">AJ93-AJ92</f>
        <v>-590.25020816971</v>
      </c>
      <c r="AK97" s="48" t="n">
        <f aca="false">AK93-AK92</f>
        <v>-610.903300121794</v>
      </c>
      <c r="AL97" s="48" t="n">
        <f aca="false">AL93-AL92</f>
        <v>-599.541985864371</v>
      </c>
      <c r="AM97" s="48" t="n">
        <f aca="false">AM93-AM92</f>
        <v>-587.23365506511</v>
      </c>
      <c r="AN97" s="48" t="n">
        <f aca="false">AN93-AN92</f>
        <v>-607.147724381115</v>
      </c>
      <c r="AO97" s="48" t="n">
        <f aca="false">AO93-AO92</f>
        <v>-627.290874752987</v>
      </c>
      <c r="AP97" s="48" t="n">
        <f aca="false">AP93-AP92</f>
        <v>-630.605627439096</v>
      </c>
      <c r="AQ97" s="48" t="n">
        <f aca="false">AQ93-AQ92</f>
        <v>-618.514190411709</v>
      </c>
      <c r="AR97" s="48" t="n">
        <f aca="false">AR93-AR92</f>
        <v>-638.822214796144</v>
      </c>
      <c r="AS97" s="48" t="n">
        <f aca="false">AS93-AS92</f>
        <v>-659.363852089861</v>
      </c>
      <c r="AT97" s="48" t="n">
        <f aca="false">AT93-AT92</f>
        <v>-663.023044022455</v>
      </c>
      <c r="AU97" s="48" t="n">
        <f aca="false">AU93-AU92</f>
        <v>-664.388797355247</v>
      </c>
      <c r="AV97" s="48" t="n">
        <f aca="false">AV93-AV92</f>
        <v>-672.031579188953</v>
      </c>
      <c r="AW97" s="48" t="n">
        <f aca="false">AW93-AW92</f>
        <v>-692.988271066246</v>
      </c>
      <c r="AX97" s="48" t="n">
        <f aca="false">AX93-AX92</f>
        <v>-697.009672348963</v>
      </c>
      <c r="AY97" s="48" t="n">
        <f aca="false">AY93-AY92</f>
        <v>-685.397399805148</v>
      </c>
      <c r="AZ97" s="48" t="n">
        <f aca="false">AZ93-AZ92</f>
        <v>-706.539748449667</v>
      </c>
      <c r="BA97" s="48" t="n">
        <f aca="false">BA93-BA92</f>
        <v>-727.925307634137</v>
      </c>
      <c r="BB97" s="48" t="n">
        <f aca="false">BB93-BB92</f>
        <v>-732.323942482438</v>
      </c>
      <c r="BC97" s="48" t="n">
        <f aca="false">BC93-BC92</f>
        <v>-720.973606360532</v>
      </c>
      <c r="BD97" s="48" t="n">
        <f aca="false">BD93-BD92</f>
        <v>-742.555940037018</v>
      </c>
      <c r="BE97" s="48" t="n">
        <f aca="false">BE93-BE92</f>
        <v>-764.386545611538</v>
      </c>
      <c r="BF97" s="48" t="n">
        <f aca="false">BF93-BF92</f>
        <v>-769.179873662696</v>
      </c>
      <c r="BG97" s="48" t="n">
        <f aca="false">BG93-BG92</f>
        <v>-758.107889458083</v>
      </c>
      <c r="BH97" s="48" t="n">
        <f aca="false">BH93-BH92</f>
        <v>-780.146921604908</v>
      </c>
      <c r="BI97" s="48" t="n">
        <f aca="false">BI93-BI92</f>
        <v>-802.43947927052</v>
      </c>
      <c r="BJ97" s="48" t="n">
        <f aca="false">BJ93-BJ92</f>
        <v>-807.645738107093</v>
      </c>
      <c r="BK97" s="48" t="n">
        <f aca="false">BK93-BK92</f>
        <v>-810.215716542138</v>
      </c>
      <c r="BL97" s="48" t="n">
        <f aca="false">BL93-BL92</f>
        <v>-819.536015114951</v>
      </c>
      <c r="BM97" s="48" t="n">
        <f aca="false">BM93-BM92</f>
        <v>-842.309957010183</v>
      </c>
      <c r="BN97" s="48" t="n">
        <f aca="false">BN93-BN92</f>
        <v>-847.949983838943</v>
      </c>
      <c r="BO97" s="48" t="n">
        <f aca="false">BO93-BO92</f>
        <v>-837.488863220958</v>
      </c>
      <c r="BP97" s="48" t="n">
        <f aca="false">BP93-BP92</f>
        <v>-860.49630189968</v>
      </c>
      <c r="BQ97" s="48" t="n">
        <f aca="false">BQ93-BQ92</f>
        <v>-883.768406140305</v>
      </c>
      <c r="BR97" s="48" t="n">
        <f aca="false">BR93-BR92</f>
        <v>-889.860398922911</v>
      </c>
      <c r="BS97" s="48" t="n">
        <f aca="false">BS93-BS92</f>
        <v>-879.731710463978</v>
      </c>
      <c r="BT97" s="48" t="n">
        <f aca="false">BT93-BT92</f>
        <v>-903.250724498537</v>
      </c>
      <c r="BU97" s="48" t="n">
        <f aca="false">BU93-BU92</f>
        <v>-927.040288990787</v>
      </c>
      <c r="BV97" s="48" t="n">
        <f aca="false">BV93-BV92</f>
        <v>-933.605040987581</v>
      </c>
      <c r="BW97" s="48" t="n">
        <f aca="false">BW93-BW92</f>
        <v>-923.828493269842</v>
      </c>
      <c r="BX97" s="48" t="n">
        <f aca="false">BX93-BX92</f>
        <v>-947.879022463416</v>
      </c>
      <c r="BY97" s="48" t="n">
        <f aca="false">BY93-BY92</f>
        <v>-972.206216387555</v>
      </c>
      <c r="BZ97" s="48" t="n">
        <f aca="false">BZ93-BZ92</f>
        <v>-979.265449921445</v>
      </c>
      <c r="CA97" s="48" t="n">
        <f aca="false">CA93-CA92</f>
        <v>-983.307773785365</v>
      </c>
      <c r="CB97" s="48" t="n">
        <f aca="false">CB93-CB92</f>
        <v>-994.61923300978</v>
      </c>
      <c r="CC97" s="48" t="n">
        <f aca="false">CC93-CC92</f>
        <v>-1019.50691658025</v>
      </c>
      <c r="CD97" s="48" t="n">
        <f aca="false">CD93-CD92</f>
        <v>-1027.08512500536</v>
      </c>
      <c r="CE97" s="48" t="n">
        <f aca="false">CE93-CE92</f>
        <v>-1018.07752339078</v>
      </c>
      <c r="CF97" s="48" t="n">
        <f aca="false">CF93-CF92</f>
        <v>-1043.25639096331</v>
      </c>
      <c r="CG97" s="48" t="n">
        <f aca="false">CG93-CG92</f>
        <v>-1068.72490308198</v>
      </c>
      <c r="CH97" s="48" t="n">
        <f aca="false">CH93-CH92</f>
        <v>-1076.84407978352</v>
      </c>
      <c r="CI97" s="48" t="n">
        <f aca="false">CI93-CI92</f>
        <v>-1068.25351501936</v>
      </c>
      <c r="CJ97" s="48" t="n">
        <f aca="false">CJ93-CJ92</f>
        <v>-1094.02938074844</v>
      </c>
      <c r="CK97" s="48" t="n">
        <f aca="false">CK93-CK92</f>
        <v>-1120.10175857875</v>
      </c>
      <c r="CL97" s="48" t="n">
        <f aca="false">CL93-CL92</f>
        <v>-1128.78667792951</v>
      </c>
      <c r="CM97" s="48" t="n">
        <f aca="false">CM93-CM92</f>
        <v>-1120.636800104</v>
      </c>
      <c r="CN97" s="48" t="n">
        <f aca="false">CN93-CN92</f>
        <v>-1147.03347216365</v>
      </c>
      <c r="CO97" s="48" t="n">
        <f aca="false">CO93-CO92</f>
        <v>-1173.73379775642</v>
      </c>
      <c r="CP97" s="48" t="n">
        <f aca="false">CP93-CP92</f>
        <v>-1183.01034409562</v>
      </c>
      <c r="CQ97" s="48" t="n">
        <f aca="false">CQ93-CQ92</f>
        <v>-1188.84793561745</v>
      </c>
      <c r="CR97" s="48" t="n">
        <f aca="false">CR93-CR92</f>
        <v>-1202.52382154682</v>
      </c>
      <c r="CS97" s="48" t="n">
        <f aca="false">CS93-CS92</f>
        <v>-1229.87905975257</v>
      </c>
      <c r="CT97" s="48" t="n">
        <f aca="false">CT93-CT92</f>
        <v>3.36797256750288E-012</v>
      </c>
      <c r="CU97" s="48" t="n">
        <f aca="false">CU93-CU92</f>
        <v>3.41007222459666E-012</v>
      </c>
      <c r="CV97" s="48" t="n">
        <f aca="false">CV93-CV92</f>
        <v>3.45269812740412E-012</v>
      </c>
      <c r="CW97" s="48" t="n">
        <f aca="false">CW93-CW92</f>
        <v>3.49585685399667E-012</v>
      </c>
      <c r="CX97" s="48" t="n">
        <f aca="false">CX93-CX92</f>
        <v>3.53955506467163E-012</v>
      </c>
      <c r="CY97" s="48" t="n">
        <f aca="false">CY93-CY92</f>
        <v>3.58379950298003E-012</v>
      </c>
      <c r="CZ97" s="48" t="n">
        <f aca="false">CZ93-CZ92</f>
        <v>3.62859699676728E-012</v>
      </c>
      <c r="DA97" s="48" t="n">
        <f aca="false">DA93-DA92</f>
        <v>3.67395445922687E-012</v>
      </c>
      <c r="DB97" s="48" t="n">
        <f aca="false">DB93-DB92</f>
        <v>3.7198788899672E-012</v>
      </c>
      <c r="DC97" s="48" t="n">
        <f aca="false">DC93-DC92</f>
        <v>3.76637737609179E-012</v>
      </c>
      <c r="DD97" s="48" t="n">
        <f aca="false">DD93-DD92</f>
        <v>3.81345709329294E-012</v>
      </c>
      <c r="DE97" s="48" t="n">
        <f aca="false">DE93-DE92</f>
        <v>3.8611253069591E-012</v>
      </c>
      <c r="DF97" s="48" t="n">
        <f aca="false">DF93-DF92</f>
        <v>3.90938937329609E-012</v>
      </c>
      <c r="DG97" s="48" t="n">
        <f aca="false">DG93-DG92</f>
        <v>3.95825674046229E-012</v>
      </c>
      <c r="DH97" s="48" t="n">
        <f aca="false">DH93-DH92</f>
        <v>4.00773494971807E-012</v>
      </c>
      <c r="DI97" s="48" t="n">
        <f aca="false">DI93-DI92</f>
        <v>4.05783163658955E-012</v>
      </c>
      <c r="DJ97" s="48" t="n">
        <f aca="false">DJ93-DJ92</f>
        <v>4.10855453204692E-012</v>
      </c>
      <c r="DK97" s="48" t="n">
        <f aca="false">DK93-DK92</f>
        <v>4.1599114636975E-012</v>
      </c>
      <c r="DL97" s="48" t="n">
        <f aca="false">DL93-DL92</f>
        <v>4.21191035699372E-012</v>
      </c>
      <c r="DM97" s="48" t="n">
        <f aca="false">DM93-DM92</f>
        <v>4.26455923645614E-012</v>
      </c>
      <c r="DN97" s="48" t="n">
        <f aca="false">DN93-DN92</f>
        <v>4.31786622691184E-012</v>
      </c>
      <c r="DO97" s="48" t="n">
        <f aca="false">DO93-DO92</f>
        <v>4.37183955474824E-012</v>
      </c>
      <c r="DP97" s="48" t="n">
        <f aca="false">DP93-DP92</f>
        <v>4.4264875491826E-012</v>
      </c>
      <c r="DQ97" s="48" t="n">
        <f aca="false">DQ93-DQ92</f>
        <v>4.48181864354738E-012</v>
      </c>
      <c r="DR97" s="48" t="n">
        <f aca="false">DR93-DR92</f>
        <v>4.53784137659172E-012</v>
      </c>
      <c r="DS97" s="48" t="n">
        <f aca="false">DS93-DS92</f>
        <v>4.59456439379912E-012</v>
      </c>
      <c r="DT97" s="48" t="n">
        <f aca="false">DT93-DT92</f>
        <v>4.65199644872161E-012</v>
      </c>
      <c r="DU97" s="48" t="n">
        <f aca="false">DU93-DU92</f>
        <v>4.71014640433063E-012</v>
      </c>
      <c r="DV97" s="48" t="n">
        <f aca="false">DV93-DV92</f>
        <v>4.76902323438476E-012</v>
      </c>
      <c r="DW97" s="48" t="n">
        <f aca="false">DW93-DW92</f>
        <v>4.82863602481457E-012</v>
      </c>
      <c r="DX97" s="48" t="n">
        <f aca="false">DX93-DX92</f>
        <v>4.88899397512475E-012</v>
      </c>
      <c r="DY97" s="48" t="n">
        <f aca="false">DY93-DY92</f>
        <v>4.95010639981381E-012</v>
      </c>
      <c r="DZ97" s="48" t="n">
        <f aca="false">DZ93-DZ92</f>
        <v>5.01198272981148E-012</v>
      </c>
      <c r="EA97" s="48" t="n">
        <f aca="false">EA93-EA92</f>
        <v>5.07463251393413E-012</v>
      </c>
      <c r="EB97" s="48" t="n">
        <f aca="false">EB93-EB92</f>
        <v>5.1380654203583E-012</v>
      </c>
      <c r="EC97" s="48" t="n">
        <f aca="false">EC93-EC92</f>
        <v>5.20229123811278E-012</v>
      </c>
      <c r="ED97" s="48" t="n">
        <f aca="false">ED93-ED92</f>
        <v>5.26731987858919E-012</v>
      </c>
      <c r="EE97" s="48" t="n">
        <f aca="false">EE93-EE92</f>
        <v>5.33316137707156E-012</v>
      </c>
      <c r="EF97" s="48" t="n">
        <f aca="false">EF93-EF92</f>
        <v>5.39982589428495E-012</v>
      </c>
      <c r="EG97" s="48" t="n">
        <f aca="false">EG93-EG92</f>
        <v>5.46732371796351E-012</v>
      </c>
      <c r="EH97" s="48" t="n">
        <f aca="false">EH93-EH92</f>
        <v>5.53566526443806E-012</v>
      </c>
      <c r="EI97" s="48" t="n">
        <f aca="false">EI93-EI92</f>
        <v>5.60486108024353E-012</v>
      </c>
      <c r="EJ97" s="48" t="n">
        <f aca="false">EJ93-EJ92</f>
        <v>5.67492184374658E-012</v>
      </c>
      <c r="EK97" s="48" t="n">
        <f aca="false">EK93-EK92</f>
        <v>5.74585836679341E-012</v>
      </c>
      <c r="EL97" s="48" t="n">
        <f aca="false">EL93-EL92</f>
        <v>5.81768159637833E-012</v>
      </c>
      <c r="EM97" s="48" t="n">
        <f aca="false">EM93-EM92</f>
        <v>5.89040261633306E-012</v>
      </c>
      <c r="EN97" s="48" t="n">
        <f aca="false">EN93-EN92</f>
        <v>5.96403264903722E-012</v>
      </c>
      <c r="EO97" s="48" t="n">
        <f aca="false">EO93-EO92</f>
        <v>6.03858305715019E-012</v>
      </c>
    </row>
    <row r="98" customFormat="false" ht="15" hidden="false" customHeight="false" outlineLevel="0" collapsed="false">
      <c r="C98" s="25" t="s">
        <v>476</v>
      </c>
      <c r="D98" s="11" t="s">
        <v>33</v>
      </c>
      <c r="E98" s="57" t="n">
        <f aca="false">SUMIF($J$4:$EO$4,In_COD,$J98:$EO98)</f>
        <v>59055.4976513219</v>
      </c>
      <c r="I98" s="59"/>
      <c r="J98" s="57" t="n">
        <f aca="false">SUM(J94:J97)</f>
        <v>0</v>
      </c>
      <c r="K98" s="57" t="n">
        <f aca="false">SUM(K94:K97)</f>
        <v>0</v>
      </c>
      <c r="L98" s="57" t="n">
        <f aca="false">SUM(L94:L97)</f>
        <v>0</v>
      </c>
      <c r="M98" s="57" t="n">
        <f aca="false">SUM(M94:M97)</f>
        <v>0</v>
      </c>
      <c r="N98" s="57" t="n">
        <f aca="false">SUM(N94:N97)</f>
        <v>0</v>
      </c>
      <c r="O98" s="57" t="n">
        <f aca="false">SUM(O94:O97)</f>
        <v>0</v>
      </c>
      <c r="P98" s="57" t="n">
        <f aca="false">SUM(P94:P97)</f>
        <v>0</v>
      </c>
      <c r="Q98" s="57" t="n">
        <f aca="false">SUM(Q94:Q97)</f>
        <v>0</v>
      </c>
      <c r="R98" s="57" t="n">
        <f aca="false">SUM(R94:R97)</f>
        <v>6374.47363013699</v>
      </c>
      <c r="S98" s="57" t="n">
        <f aca="false">SUM(S94:S97)</f>
        <v>17175.2053998288</v>
      </c>
      <c r="T98" s="57" t="n">
        <f aca="false">SUM(T94:T97)</f>
        <v>23695.0813406143</v>
      </c>
      <c r="U98" s="57" t="n">
        <f aca="false">SUM(U94:U97)</f>
        <v>30365.743487509</v>
      </c>
      <c r="V98" s="57" t="n">
        <f aca="false">SUM(V94:V97)</f>
        <v>37119.7889112398</v>
      </c>
      <c r="W98" s="57" t="n">
        <f aca="false">SUM(W94:W97)</f>
        <v>43819.6843890687</v>
      </c>
      <c r="X98" s="57" t="n">
        <f aca="false">SUM(X94:X97)</f>
        <v>50672.6163172197</v>
      </c>
      <c r="Y98" s="57" t="n">
        <f aca="false">SUM(Y94:Y97)</f>
        <v>59055.4976513219</v>
      </c>
      <c r="Z98" s="57" t="n">
        <f aca="false">SUM(Z94:Z97)</f>
        <v>58547.6888397309</v>
      </c>
      <c r="AA98" s="57" t="n">
        <f aca="false">SUM(AA94:AA97)</f>
        <v>58052.4513551269</v>
      </c>
      <c r="AB98" s="57" t="n">
        <f aca="false">SUM(AB94:AB97)</f>
        <v>57537.9600310575</v>
      </c>
      <c r="AC98" s="57" t="n">
        <f aca="false">SUM(AC94:AC97)</f>
        <v>57003.9837879679</v>
      </c>
      <c r="AD98" s="57" t="n">
        <f aca="false">SUM(AD94:AD97)</f>
        <v>56467.7648990462</v>
      </c>
      <c r="AE98" s="57" t="n">
        <f aca="false">SUM(AE94:AE97)</f>
        <v>55930.5746034955</v>
      </c>
      <c r="AF98" s="57" t="n">
        <f aca="false">SUM(AF94:AF97)</f>
        <v>55386.9370902566</v>
      </c>
      <c r="AG98" s="57" t="n">
        <f aca="false">SUM(AG94:AG97)</f>
        <v>54823.4244137216</v>
      </c>
      <c r="AH98" s="57" t="n">
        <f aca="false">SUM(AH94:AH97)</f>
        <v>54257.3410174435</v>
      </c>
      <c r="AI98" s="57" t="n">
        <f aca="false">SUM(AI94:AI97)</f>
        <v>53703.428488144</v>
      </c>
      <c r="AJ98" s="57" t="n">
        <f aca="false">SUM(AJ94:AJ97)</f>
        <v>53113.1782799742</v>
      </c>
      <c r="AK98" s="57" t="n">
        <f aca="false">SUM(AK94:AK97)</f>
        <v>52502.2749798524</v>
      </c>
      <c r="AL98" s="57" t="n">
        <f aca="false">SUM(AL94:AL97)</f>
        <v>51902.7329939881</v>
      </c>
      <c r="AM98" s="57" t="n">
        <f aca="false">SUM(AM94:AM97)</f>
        <v>51315.499338923</v>
      </c>
      <c r="AN98" s="57" t="n">
        <f aca="false">SUM(AN94:AN97)</f>
        <v>50708.3516145419</v>
      </c>
      <c r="AO98" s="57" t="n">
        <f aca="false">SUM(AO94:AO97)</f>
        <v>50081.0607397889</v>
      </c>
      <c r="AP98" s="57" t="n">
        <f aca="false">SUM(AP94:AP97)</f>
        <v>49450.4551123498</v>
      </c>
      <c r="AQ98" s="57" t="n">
        <f aca="false">SUM(AQ94:AQ97)</f>
        <v>48831.9409219381</v>
      </c>
      <c r="AR98" s="57" t="n">
        <f aca="false">SUM(AR94:AR97)</f>
        <v>48193.1187071419</v>
      </c>
      <c r="AS98" s="57" t="n">
        <f aca="false">SUM(AS94:AS97)</f>
        <v>47533.7548550521</v>
      </c>
      <c r="AT98" s="57" t="n">
        <f aca="false">SUM(AT94:AT97)</f>
        <v>46870.7318110296</v>
      </c>
      <c r="AU98" s="57" t="n">
        <f aca="false">SUM(AU94:AU97)</f>
        <v>46206.3430136744</v>
      </c>
      <c r="AV98" s="57" t="n">
        <f aca="false">SUM(AV94:AV97)</f>
        <v>45534.3114344854</v>
      </c>
      <c r="AW98" s="57" t="n">
        <f aca="false">SUM(AW94:AW97)</f>
        <v>44841.3231634192</v>
      </c>
      <c r="AX98" s="57" t="n">
        <f aca="false">SUM(AX94:AX97)</f>
        <v>44144.3134910702</v>
      </c>
      <c r="AY98" s="57" t="n">
        <f aca="false">SUM(AY94:AY97)</f>
        <v>43458.916091265</v>
      </c>
      <c r="AZ98" s="57" t="n">
        <f aca="false">SUM(AZ94:AZ97)</f>
        <v>42752.3763428154</v>
      </c>
      <c r="BA98" s="57" t="n">
        <f aca="false">SUM(BA94:BA97)</f>
        <v>42024.4510351812</v>
      </c>
      <c r="BB98" s="57" t="n">
        <f aca="false">SUM(BB94:BB97)</f>
        <v>41292.1270926988</v>
      </c>
      <c r="BC98" s="57" t="n">
        <f aca="false">SUM(BC94:BC97)</f>
        <v>40571.1534863383</v>
      </c>
      <c r="BD98" s="57" t="n">
        <f aca="false">SUM(BD94:BD97)</f>
        <v>39828.5975463013</v>
      </c>
      <c r="BE98" s="57" t="n">
        <f aca="false">SUM(BE94:BE97)</f>
        <v>39064.2110006897</v>
      </c>
      <c r="BF98" s="57" t="n">
        <f aca="false">SUM(BF94:BF97)</f>
        <v>38295.031127027</v>
      </c>
      <c r="BG98" s="57" t="n">
        <f aca="false">SUM(BG94:BG97)</f>
        <v>37536.9232375689</v>
      </c>
      <c r="BH98" s="57" t="n">
        <f aca="false">SUM(BH94:BH97)</f>
        <v>36756.776315964</v>
      </c>
      <c r="BI98" s="57" t="n">
        <f aca="false">SUM(BI94:BI97)</f>
        <v>35954.3368366935</v>
      </c>
      <c r="BJ98" s="57" t="n">
        <f aca="false">SUM(BJ94:BJ97)</f>
        <v>35146.6910985864</v>
      </c>
      <c r="BK98" s="57" t="n">
        <f aca="false">SUM(BK94:BK97)</f>
        <v>34336.4753820443</v>
      </c>
      <c r="BL98" s="57" t="n">
        <f aca="false">SUM(BL94:BL97)</f>
        <v>33516.9393669293</v>
      </c>
      <c r="BM98" s="57" t="n">
        <f aca="false">SUM(BM94:BM97)</f>
        <v>32674.6294099191</v>
      </c>
      <c r="BN98" s="57" t="n">
        <f aca="false">SUM(BN94:BN97)</f>
        <v>31826.6794260802</v>
      </c>
      <c r="BO98" s="57" t="n">
        <f aca="false">SUM(BO94:BO97)</f>
        <v>30989.1905628592</v>
      </c>
      <c r="BP98" s="57" t="n">
        <f aca="false">SUM(BP94:BP97)</f>
        <v>30128.6942609596</v>
      </c>
      <c r="BQ98" s="57" t="n">
        <f aca="false">SUM(BQ94:BQ97)</f>
        <v>29244.9258548193</v>
      </c>
      <c r="BR98" s="57" t="n">
        <f aca="false">SUM(BR94:BR97)</f>
        <v>28355.0654558963</v>
      </c>
      <c r="BS98" s="57" t="n">
        <f aca="false">SUM(BS94:BS97)</f>
        <v>27475.3337454324</v>
      </c>
      <c r="BT98" s="57" t="n">
        <f aca="false">SUM(BT94:BT97)</f>
        <v>26572.0830209338</v>
      </c>
      <c r="BU98" s="57" t="n">
        <f aca="false">SUM(BU94:BU97)</f>
        <v>25645.042731943</v>
      </c>
      <c r="BV98" s="57" t="n">
        <f aca="false">SUM(BV94:BV97)</f>
        <v>24711.4376909555</v>
      </c>
      <c r="BW98" s="57" t="n">
        <f aca="false">SUM(BW94:BW97)</f>
        <v>23787.6091976856</v>
      </c>
      <c r="BX98" s="57" t="n">
        <f aca="false">SUM(BX94:BX97)</f>
        <v>22839.7301752222</v>
      </c>
      <c r="BY98" s="57" t="n">
        <f aca="false">SUM(BY94:BY97)</f>
        <v>21867.5239588347</v>
      </c>
      <c r="BZ98" s="57" t="n">
        <f aca="false">SUM(BZ94:BZ97)</f>
        <v>20888.2585089132</v>
      </c>
      <c r="CA98" s="57" t="n">
        <f aca="false">SUM(CA94:CA97)</f>
        <v>19904.9507351278</v>
      </c>
      <c r="CB98" s="57" t="n">
        <f aca="false">SUM(CB94:CB97)</f>
        <v>18910.3315021181</v>
      </c>
      <c r="CC98" s="57" t="n">
        <f aca="false">SUM(CC94:CC97)</f>
        <v>17890.8245855378</v>
      </c>
      <c r="CD98" s="57" t="n">
        <f aca="false">SUM(CD94:CD97)</f>
        <v>16863.7394605325</v>
      </c>
      <c r="CE98" s="57" t="n">
        <f aca="false">SUM(CE94:CE97)</f>
        <v>15845.6619371417</v>
      </c>
      <c r="CF98" s="57" t="n">
        <f aca="false">SUM(CF94:CF97)</f>
        <v>14802.4055461784</v>
      </c>
      <c r="CG98" s="57" t="n">
        <f aca="false">SUM(CG94:CG97)</f>
        <v>13733.6806430964</v>
      </c>
      <c r="CH98" s="57" t="n">
        <f aca="false">SUM(CH94:CH97)</f>
        <v>12656.8365633129</v>
      </c>
      <c r="CI98" s="57" t="n">
        <f aca="false">SUM(CI94:CI97)</f>
        <v>11588.5830482935</v>
      </c>
      <c r="CJ98" s="57" t="n">
        <f aca="false">SUM(CJ94:CJ97)</f>
        <v>10494.5536675451</v>
      </c>
      <c r="CK98" s="57" t="n">
        <f aca="false">SUM(CK94:CK97)</f>
        <v>9374.45190896631</v>
      </c>
      <c r="CL98" s="57" t="n">
        <f aca="false">SUM(CL94:CL97)</f>
        <v>8245.6652310368</v>
      </c>
      <c r="CM98" s="57" t="n">
        <f aca="false">SUM(CM94:CM97)</f>
        <v>7125.0284309328</v>
      </c>
      <c r="CN98" s="57" t="n">
        <f aca="false">SUM(CN94:CN97)</f>
        <v>5977.99495876915</v>
      </c>
      <c r="CO98" s="57" t="n">
        <f aca="false">SUM(CO94:CO97)</f>
        <v>4804.26116101273</v>
      </c>
      <c r="CP98" s="57" t="n">
        <f aca="false">SUM(CP94:CP97)</f>
        <v>3621.25081691711</v>
      </c>
      <c r="CQ98" s="57" t="n">
        <f aca="false">SUM(CQ94:CQ97)</f>
        <v>2432.40288129966</v>
      </c>
      <c r="CR98" s="57" t="n">
        <f aca="false">SUM(CR94:CR97)</f>
        <v>1229.87905975284</v>
      </c>
      <c r="CS98" s="57" t="n">
        <f aca="false">SUM(CS94:CS97)</f>
        <v>2.6943780540023E-010</v>
      </c>
      <c r="CT98" s="57" t="n">
        <f aca="false">SUM(CT94:CT97)</f>
        <v>2.72805777967733E-010</v>
      </c>
      <c r="CU98" s="57" t="n">
        <f aca="false">SUM(CU94:CU97)</f>
        <v>2.7621585019233E-010</v>
      </c>
      <c r="CV98" s="57" t="n">
        <f aca="false">SUM(CV94:CV97)</f>
        <v>2.79668548319734E-010</v>
      </c>
      <c r="CW98" s="57" t="n">
        <f aca="false">SUM(CW94:CW97)</f>
        <v>2.8316440517373E-010</v>
      </c>
      <c r="CX98" s="57" t="n">
        <f aca="false">SUM(CX94:CX97)</f>
        <v>2.86703960238402E-010</v>
      </c>
      <c r="CY98" s="57" t="n">
        <f aca="false">SUM(CY94:CY97)</f>
        <v>2.90287759741382E-010</v>
      </c>
      <c r="CZ98" s="57" t="n">
        <f aca="false">SUM(CZ94:CZ97)</f>
        <v>2.93916356738149E-010</v>
      </c>
      <c r="DA98" s="57" t="n">
        <f aca="false">SUM(DA94:DA97)</f>
        <v>2.97590311197376E-010</v>
      </c>
      <c r="DB98" s="57" t="n">
        <f aca="false">SUM(DB94:DB97)</f>
        <v>3.01310190087343E-010</v>
      </c>
      <c r="DC98" s="57" t="n">
        <f aca="false">SUM(DC94:DC97)</f>
        <v>3.05076567463435E-010</v>
      </c>
      <c r="DD98" s="57" t="n">
        <f aca="false">SUM(DD94:DD97)</f>
        <v>3.08890024556728E-010</v>
      </c>
      <c r="DE98" s="57" t="n">
        <f aca="false">SUM(DE94:DE97)</f>
        <v>3.12751149863687E-010</v>
      </c>
      <c r="DF98" s="57" t="n">
        <f aca="false">SUM(DF94:DF97)</f>
        <v>3.16660539236983E-010</v>
      </c>
      <c r="DG98" s="57" t="n">
        <f aca="false">SUM(DG94:DG97)</f>
        <v>3.20618795977446E-010</v>
      </c>
      <c r="DH98" s="57" t="n">
        <f aca="false">SUM(DH94:DH97)</f>
        <v>3.24626530927164E-010</v>
      </c>
      <c r="DI98" s="57" t="n">
        <f aca="false">SUM(DI94:DI97)</f>
        <v>3.28684362563753E-010</v>
      </c>
      <c r="DJ98" s="57" t="n">
        <f aca="false">SUM(DJ94:DJ97)</f>
        <v>3.327929170958E-010</v>
      </c>
      <c r="DK98" s="57" t="n">
        <f aca="false">SUM(DK94:DK97)</f>
        <v>3.36952828559498E-010</v>
      </c>
      <c r="DL98" s="57" t="n">
        <f aca="false">SUM(DL94:DL97)</f>
        <v>3.41164738916491E-010</v>
      </c>
      <c r="DM98" s="57" t="n">
        <f aca="false">SUM(DM94:DM97)</f>
        <v>3.45429298152947E-010</v>
      </c>
      <c r="DN98" s="57" t="n">
        <f aca="false">SUM(DN94:DN97)</f>
        <v>3.49747164379859E-010</v>
      </c>
      <c r="DO98" s="57" t="n">
        <f aca="false">SUM(DO94:DO97)</f>
        <v>3.54119003934608E-010</v>
      </c>
      <c r="DP98" s="57" t="n">
        <f aca="false">SUM(DP94:DP97)</f>
        <v>3.5854549148379E-010</v>
      </c>
      <c r="DQ98" s="57" t="n">
        <f aca="false">SUM(DQ94:DQ97)</f>
        <v>3.63027310127338E-010</v>
      </c>
      <c r="DR98" s="57" t="n">
        <f aca="false">SUM(DR94:DR97)</f>
        <v>3.67565151503929E-010</v>
      </c>
      <c r="DS98" s="57" t="n">
        <f aca="false">SUM(DS94:DS97)</f>
        <v>3.72159715897728E-010</v>
      </c>
      <c r="DT98" s="57" t="n">
        <f aca="false">SUM(DT94:DT97)</f>
        <v>3.7681171234645E-010</v>
      </c>
      <c r="DU98" s="57" t="n">
        <f aca="false">SUM(DU94:DU97)</f>
        <v>3.81521858750781E-010</v>
      </c>
      <c r="DV98" s="57" t="n">
        <f aca="false">SUM(DV94:DV97)</f>
        <v>3.86290881985165E-010</v>
      </c>
      <c r="DW98" s="57" t="n">
        <f aca="false">SUM(DW94:DW97)</f>
        <v>3.9111951800998E-010</v>
      </c>
      <c r="DX98" s="57" t="n">
        <f aca="false">SUM(DX94:DX97)</f>
        <v>3.96008511985105E-010</v>
      </c>
      <c r="DY98" s="57" t="n">
        <f aca="false">SUM(DY94:DY97)</f>
        <v>4.00958618384919E-010</v>
      </c>
      <c r="DZ98" s="57" t="n">
        <f aca="false">SUM(DZ94:DZ97)</f>
        <v>4.0597060111473E-010</v>
      </c>
      <c r="EA98" s="57" t="n">
        <f aca="false">SUM(EA94:EA97)</f>
        <v>4.11045233628664E-010</v>
      </c>
      <c r="EB98" s="57" t="n">
        <f aca="false">SUM(EB94:EB97)</f>
        <v>4.16183299049022E-010</v>
      </c>
      <c r="EC98" s="57" t="n">
        <f aca="false">SUM(EC94:EC97)</f>
        <v>4.21385590287135E-010</v>
      </c>
      <c r="ED98" s="57" t="n">
        <f aca="false">SUM(ED94:ED97)</f>
        <v>4.26652910165724E-010</v>
      </c>
      <c r="EE98" s="57" t="n">
        <f aca="false">SUM(EE94:EE97)</f>
        <v>4.31986071542796E-010</v>
      </c>
      <c r="EF98" s="57" t="n">
        <f aca="false">SUM(EF94:EF97)</f>
        <v>4.37385897437081E-010</v>
      </c>
      <c r="EG98" s="57" t="n">
        <f aca="false">SUM(EG94:EG97)</f>
        <v>4.42853221155045E-010</v>
      </c>
      <c r="EH98" s="57" t="n">
        <f aca="false">SUM(EH94:EH97)</f>
        <v>4.48388886419483E-010</v>
      </c>
      <c r="EI98" s="57" t="n">
        <f aca="false">SUM(EI94:EI97)</f>
        <v>4.53993747499726E-010</v>
      </c>
      <c r="EJ98" s="57" t="n">
        <f aca="false">SUM(EJ94:EJ97)</f>
        <v>4.59668669343473E-010</v>
      </c>
      <c r="EK98" s="57" t="n">
        <f aca="false">SUM(EK94:EK97)</f>
        <v>4.65414527710266E-010</v>
      </c>
      <c r="EL98" s="57" t="n">
        <f aca="false">SUM(EL94:EL97)</f>
        <v>4.71232209306644E-010</v>
      </c>
      <c r="EM98" s="57" t="n">
        <f aca="false">SUM(EM94:EM97)</f>
        <v>4.77122611922978E-010</v>
      </c>
      <c r="EN98" s="57" t="n">
        <f aca="false">SUM(EN94:EN97)</f>
        <v>4.83086644572015E-010</v>
      </c>
      <c r="EO98" s="57" t="n">
        <f aca="false">SUM(EO94:EO97)</f>
        <v>4.89125227629165E-010</v>
      </c>
    </row>
    <row r="99" customFormat="false" ht="15" hidden="false" customHeight="false" outlineLevel="0" collapsed="false">
      <c r="C99" s="0" t="s">
        <v>477</v>
      </c>
      <c r="D99" s="11" t="s">
        <v>33</v>
      </c>
      <c r="I99" s="48" t="n">
        <f aca="false">SUM(J99:EO99)</f>
        <v>-1033.47120889813</v>
      </c>
      <c r="J99" s="48" t="n">
        <f aca="false">-In_Upfront_Fee*$E98*(J94=0)*(J95&gt;0)</f>
        <v>-0</v>
      </c>
      <c r="K99" s="48" t="n">
        <f aca="false">-In_Upfront_Fee*$E98*(K94=0)*(K95&gt;0)</f>
        <v>-0</v>
      </c>
      <c r="L99" s="48" t="n">
        <f aca="false">-In_Upfront_Fee*$E98*(L94=0)*(L95&gt;0)</f>
        <v>-0</v>
      </c>
      <c r="M99" s="48" t="n">
        <f aca="false">-In_Upfront_Fee*$E98*(M94=0)*(M95&gt;0)</f>
        <v>-0</v>
      </c>
      <c r="N99" s="48" t="n">
        <f aca="false">-In_Upfront_Fee*$E98*(N94=0)*(N95&gt;0)</f>
        <v>-0</v>
      </c>
      <c r="O99" s="48" t="n">
        <f aca="false">-In_Upfront_Fee*$E98*(O94=0)*(O95&gt;0)</f>
        <v>-0</v>
      </c>
      <c r="P99" s="48" t="n">
        <f aca="false">-In_Upfront_Fee*$E98*(P94=0)*(P95&gt;0)</f>
        <v>-0</v>
      </c>
      <c r="Q99" s="48" t="n">
        <f aca="false">-In_Upfront_Fee*$E98*(Q94=0)*(Q95&gt;0)</f>
        <v>-0</v>
      </c>
      <c r="R99" s="48" t="n">
        <f aca="false">-In_Upfront_Fee*$E98*(R94=0)*(R95&gt;0)</f>
        <v>-1033.47120889813</v>
      </c>
      <c r="S99" s="48" t="n">
        <f aca="false">-In_Upfront_Fee*$E98*(S94=0)*(S95&gt;0)</f>
        <v>-0</v>
      </c>
      <c r="T99" s="48" t="n">
        <f aca="false">-In_Upfront_Fee*$E98*(T94=0)*(T95&gt;0)</f>
        <v>-0</v>
      </c>
      <c r="U99" s="48" t="n">
        <f aca="false">-In_Upfront_Fee*$E98*(U94=0)*(U95&gt;0)</f>
        <v>-0</v>
      </c>
      <c r="V99" s="48" t="n">
        <f aca="false">-In_Upfront_Fee*$E98*(V94=0)*(V95&gt;0)</f>
        <v>-0</v>
      </c>
      <c r="W99" s="48" t="n">
        <f aca="false">-In_Upfront_Fee*$E98*(W94=0)*(W95&gt;0)</f>
        <v>-0</v>
      </c>
      <c r="X99" s="48" t="n">
        <f aca="false">-In_Upfront_Fee*$E98*(X94=0)*(X95&gt;0)</f>
        <v>-0</v>
      </c>
      <c r="Y99" s="48" t="n">
        <f aca="false">-In_Upfront_Fee*$E98*(Y94=0)*(Y95&gt;0)</f>
        <v>-0</v>
      </c>
      <c r="Z99" s="48" t="n">
        <f aca="false">-In_Upfront_Fee*$E98*(Z94=0)*(Z95&gt;0)</f>
        <v>-0</v>
      </c>
      <c r="AA99" s="48" t="n">
        <f aca="false">-In_Upfront_Fee*$E98*(AA94=0)*(AA95&gt;0)</f>
        <v>-0</v>
      </c>
      <c r="AB99" s="48" t="n">
        <f aca="false">-In_Upfront_Fee*$E98*(AB94=0)*(AB95&gt;0)</f>
        <v>-0</v>
      </c>
      <c r="AC99" s="48" t="n">
        <f aca="false">-In_Upfront_Fee*$E98*(AC94=0)*(AC95&gt;0)</f>
        <v>-0</v>
      </c>
      <c r="AD99" s="48" t="n">
        <f aca="false">-In_Upfront_Fee*$E98*(AD94=0)*(AD95&gt;0)</f>
        <v>-0</v>
      </c>
      <c r="AE99" s="48" t="n">
        <f aca="false">-In_Upfront_Fee*$E98*(AE94=0)*(AE95&gt;0)</f>
        <v>-0</v>
      </c>
      <c r="AF99" s="48" t="n">
        <f aca="false">-In_Upfront_Fee*$E98*(AF94=0)*(AF95&gt;0)</f>
        <v>-0</v>
      </c>
      <c r="AG99" s="48" t="n">
        <f aca="false">-In_Upfront_Fee*$E98*(AG94=0)*(AG95&gt;0)</f>
        <v>-0</v>
      </c>
      <c r="AH99" s="48" t="n">
        <f aca="false">-In_Upfront_Fee*$E98*(AH94=0)*(AH95&gt;0)</f>
        <v>-0</v>
      </c>
      <c r="AI99" s="48" t="n">
        <f aca="false">-In_Upfront_Fee*$E98*(AI94=0)*(AI95&gt;0)</f>
        <v>-0</v>
      </c>
      <c r="AJ99" s="48" t="n">
        <f aca="false">-In_Upfront_Fee*$E98*(AJ94=0)*(AJ95&gt;0)</f>
        <v>-0</v>
      </c>
      <c r="AK99" s="48" t="n">
        <f aca="false">-In_Upfront_Fee*$E98*(AK94=0)*(AK95&gt;0)</f>
        <v>-0</v>
      </c>
      <c r="AL99" s="48" t="n">
        <f aca="false">-In_Upfront_Fee*$E98*(AL94=0)*(AL95&gt;0)</f>
        <v>-0</v>
      </c>
      <c r="AM99" s="48" t="n">
        <f aca="false">-In_Upfront_Fee*$E98*(AM94=0)*(AM95&gt;0)</f>
        <v>-0</v>
      </c>
      <c r="AN99" s="48" t="n">
        <f aca="false">-In_Upfront_Fee*$E98*(AN94=0)*(AN95&gt;0)</f>
        <v>-0</v>
      </c>
      <c r="AO99" s="48" t="n">
        <f aca="false">-In_Upfront_Fee*$E98*(AO94=0)*(AO95&gt;0)</f>
        <v>-0</v>
      </c>
      <c r="AP99" s="48" t="n">
        <f aca="false">-In_Upfront_Fee*$E98*(AP94=0)*(AP95&gt;0)</f>
        <v>-0</v>
      </c>
      <c r="AQ99" s="48" t="n">
        <f aca="false">-In_Upfront_Fee*$E98*(AQ94=0)*(AQ95&gt;0)</f>
        <v>-0</v>
      </c>
      <c r="AR99" s="48" t="n">
        <f aca="false">-In_Upfront_Fee*$E98*(AR94=0)*(AR95&gt;0)</f>
        <v>-0</v>
      </c>
      <c r="AS99" s="48" t="n">
        <f aca="false">-In_Upfront_Fee*$E98*(AS94=0)*(AS95&gt;0)</f>
        <v>-0</v>
      </c>
      <c r="AT99" s="48" t="n">
        <f aca="false">-In_Upfront_Fee*$E98*(AT94=0)*(AT95&gt;0)</f>
        <v>-0</v>
      </c>
      <c r="AU99" s="48" t="n">
        <f aca="false">-In_Upfront_Fee*$E98*(AU94=0)*(AU95&gt;0)</f>
        <v>-0</v>
      </c>
      <c r="AV99" s="48" t="n">
        <f aca="false">-In_Upfront_Fee*$E98*(AV94=0)*(AV95&gt;0)</f>
        <v>-0</v>
      </c>
      <c r="AW99" s="48" t="n">
        <f aca="false">-In_Upfront_Fee*$E98*(AW94=0)*(AW95&gt;0)</f>
        <v>-0</v>
      </c>
      <c r="AX99" s="48" t="n">
        <f aca="false">-In_Upfront_Fee*$E98*(AX94=0)*(AX95&gt;0)</f>
        <v>-0</v>
      </c>
      <c r="AY99" s="48" t="n">
        <f aca="false">-In_Upfront_Fee*$E98*(AY94=0)*(AY95&gt;0)</f>
        <v>-0</v>
      </c>
      <c r="AZ99" s="48" t="n">
        <f aca="false">-In_Upfront_Fee*$E98*(AZ94=0)*(AZ95&gt;0)</f>
        <v>-0</v>
      </c>
      <c r="BA99" s="48" t="n">
        <f aca="false">-In_Upfront_Fee*$E98*(BA94=0)*(BA95&gt;0)</f>
        <v>-0</v>
      </c>
      <c r="BB99" s="48" t="n">
        <f aca="false">-In_Upfront_Fee*$E98*(BB94=0)*(BB95&gt;0)</f>
        <v>-0</v>
      </c>
      <c r="BC99" s="48" t="n">
        <f aca="false">-In_Upfront_Fee*$E98*(BC94=0)*(BC95&gt;0)</f>
        <v>-0</v>
      </c>
      <c r="BD99" s="48" t="n">
        <f aca="false">-In_Upfront_Fee*$E98*(BD94=0)*(BD95&gt;0)</f>
        <v>-0</v>
      </c>
      <c r="BE99" s="48" t="n">
        <f aca="false">-In_Upfront_Fee*$E98*(BE94=0)*(BE95&gt;0)</f>
        <v>-0</v>
      </c>
      <c r="BF99" s="48" t="n">
        <f aca="false">-In_Upfront_Fee*$E98*(BF94=0)*(BF95&gt;0)</f>
        <v>-0</v>
      </c>
      <c r="BG99" s="48" t="n">
        <f aca="false">-In_Upfront_Fee*$E98*(BG94=0)*(BG95&gt;0)</f>
        <v>-0</v>
      </c>
      <c r="BH99" s="48" t="n">
        <f aca="false">-In_Upfront_Fee*$E98*(BH94=0)*(BH95&gt;0)</f>
        <v>-0</v>
      </c>
      <c r="BI99" s="48" t="n">
        <f aca="false">-In_Upfront_Fee*$E98*(BI94=0)*(BI95&gt;0)</f>
        <v>-0</v>
      </c>
      <c r="BJ99" s="48" t="n">
        <f aca="false">-In_Upfront_Fee*$E98*(BJ94=0)*(BJ95&gt;0)</f>
        <v>-0</v>
      </c>
      <c r="BK99" s="48" t="n">
        <f aca="false">-In_Upfront_Fee*$E98*(BK94=0)*(BK95&gt;0)</f>
        <v>-0</v>
      </c>
      <c r="BL99" s="48" t="n">
        <f aca="false">-In_Upfront_Fee*$E98*(BL94=0)*(BL95&gt;0)</f>
        <v>-0</v>
      </c>
      <c r="BM99" s="48" t="n">
        <f aca="false">-In_Upfront_Fee*$E98*(BM94=0)*(BM95&gt;0)</f>
        <v>-0</v>
      </c>
      <c r="BN99" s="48" t="n">
        <f aca="false">-In_Upfront_Fee*$E98*(BN94=0)*(BN95&gt;0)</f>
        <v>-0</v>
      </c>
      <c r="BO99" s="48" t="n">
        <f aca="false">-In_Upfront_Fee*$E98*(BO94=0)*(BO95&gt;0)</f>
        <v>-0</v>
      </c>
      <c r="BP99" s="48" t="n">
        <f aca="false">-In_Upfront_Fee*$E98*(BP94=0)*(BP95&gt;0)</f>
        <v>-0</v>
      </c>
      <c r="BQ99" s="48" t="n">
        <f aca="false">-In_Upfront_Fee*$E98*(BQ94=0)*(BQ95&gt;0)</f>
        <v>-0</v>
      </c>
      <c r="BR99" s="48" t="n">
        <f aca="false">-In_Upfront_Fee*$E98*(BR94=0)*(BR95&gt;0)</f>
        <v>-0</v>
      </c>
      <c r="BS99" s="48" t="n">
        <f aca="false">-In_Upfront_Fee*$E98*(BS94=0)*(BS95&gt;0)</f>
        <v>-0</v>
      </c>
      <c r="BT99" s="48" t="n">
        <f aca="false">-In_Upfront_Fee*$E98*(BT94=0)*(BT95&gt;0)</f>
        <v>-0</v>
      </c>
      <c r="BU99" s="48" t="n">
        <f aca="false">-In_Upfront_Fee*$E98*(BU94=0)*(BU95&gt;0)</f>
        <v>-0</v>
      </c>
      <c r="BV99" s="48" t="n">
        <f aca="false">-In_Upfront_Fee*$E98*(BV94=0)*(BV95&gt;0)</f>
        <v>-0</v>
      </c>
      <c r="BW99" s="48" t="n">
        <f aca="false">-In_Upfront_Fee*$E98*(BW94=0)*(BW95&gt;0)</f>
        <v>-0</v>
      </c>
      <c r="BX99" s="48" t="n">
        <f aca="false">-In_Upfront_Fee*$E98*(BX94=0)*(BX95&gt;0)</f>
        <v>-0</v>
      </c>
      <c r="BY99" s="48" t="n">
        <f aca="false">-In_Upfront_Fee*$E98*(BY94=0)*(BY95&gt;0)</f>
        <v>-0</v>
      </c>
      <c r="BZ99" s="48" t="n">
        <f aca="false">-In_Upfront_Fee*$E98*(BZ94=0)*(BZ95&gt;0)</f>
        <v>-0</v>
      </c>
      <c r="CA99" s="48" t="n">
        <f aca="false">-In_Upfront_Fee*$E98*(CA94=0)*(CA95&gt;0)</f>
        <v>-0</v>
      </c>
      <c r="CB99" s="48" t="n">
        <f aca="false">-In_Upfront_Fee*$E98*(CB94=0)*(CB95&gt;0)</f>
        <v>-0</v>
      </c>
      <c r="CC99" s="48" t="n">
        <f aca="false">-In_Upfront_Fee*$E98*(CC94=0)*(CC95&gt;0)</f>
        <v>-0</v>
      </c>
      <c r="CD99" s="48" t="n">
        <f aca="false">-In_Upfront_Fee*$E98*(CD94=0)*(CD95&gt;0)</f>
        <v>-0</v>
      </c>
      <c r="CE99" s="48" t="n">
        <f aca="false">-In_Upfront_Fee*$E98*(CE94=0)*(CE95&gt;0)</f>
        <v>-0</v>
      </c>
      <c r="CF99" s="48" t="n">
        <f aca="false">-In_Upfront_Fee*$E98*(CF94=0)*(CF95&gt;0)</f>
        <v>-0</v>
      </c>
      <c r="CG99" s="48" t="n">
        <f aca="false">-In_Upfront_Fee*$E98*(CG94=0)*(CG95&gt;0)</f>
        <v>-0</v>
      </c>
      <c r="CH99" s="48" t="n">
        <f aca="false">-In_Upfront_Fee*$E98*(CH94=0)*(CH95&gt;0)</f>
        <v>-0</v>
      </c>
      <c r="CI99" s="48" t="n">
        <f aca="false">-In_Upfront_Fee*$E98*(CI94=0)*(CI95&gt;0)</f>
        <v>-0</v>
      </c>
      <c r="CJ99" s="48" t="n">
        <f aca="false">-In_Upfront_Fee*$E98*(CJ94=0)*(CJ95&gt;0)</f>
        <v>-0</v>
      </c>
      <c r="CK99" s="48" t="n">
        <f aca="false">-In_Upfront_Fee*$E98*(CK94=0)*(CK95&gt;0)</f>
        <v>-0</v>
      </c>
      <c r="CL99" s="48" t="n">
        <f aca="false">-In_Upfront_Fee*$E98*(CL94=0)*(CL95&gt;0)</f>
        <v>-0</v>
      </c>
      <c r="CM99" s="48" t="n">
        <f aca="false">-In_Upfront_Fee*$E98*(CM94=0)*(CM95&gt;0)</f>
        <v>-0</v>
      </c>
      <c r="CN99" s="48" t="n">
        <f aca="false">-In_Upfront_Fee*$E98*(CN94=0)*(CN95&gt;0)</f>
        <v>-0</v>
      </c>
      <c r="CO99" s="48" t="n">
        <f aca="false">-In_Upfront_Fee*$E98*(CO94=0)*(CO95&gt;0)</f>
        <v>-0</v>
      </c>
      <c r="CP99" s="48" t="n">
        <f aca="false">-In_Upfront_Fee*$E98*(CP94=0)*(CP95&gt;0)</f>
        <v>-0</v>
      </c>
      <c r="CQ99" s="48" t="n">
        <f aca="false">-In_Upfront_Fee*$E98*(CQ94=0)*(CQ95&gt;0)</f>
        <v>-0</v>
      </c>
      <c r="CR99" s="48" t="n">
        <f aca="false">-In_Upfront_Fee*$E98*(CR94=0)*(CR95&gt;0)</f>
        <v>-0</v>
      </c>
      <c r="CS99" s="48" t="n">
        <f aca="false">-In_Upfront_Fee*$E98*(CS94=0)*(CS95&gt;0)</f>
        <v>-0</v>
      </c>
      <c r="CT99" s="48" t="n">
        <f aca="false">-In_Upfront_Fee*$E98*(CT94=0)*(CT95&gt;0)</f>
        <v>-0</v>
      </c>
      <c r="CU99" s="48" t="n">
        <f aca="false">-In_Upfront_Fee*$E98*(CU94=0)*(CU95&gt;0)</f>
        <v>-0</v>
      </c>
      <c r="CV99" s="48" t="n">
        <f aca="false">-In_Upfront_Fee*$E98*(CV94=0)*(CV95&gt;0)</f>
        <v>-0</v>
      </c>
      <c r="CW99" s="48" t="n">
        <f aca="false">-In_Upfront_Fee*$E98*(CW94=0)*(CW95&gt;0)</f>
        <v>-0</v>
      </c>
      <c r="CX99" s="48" t="n">
        <f aca="false">-In_Upfront_Fee*$E98*(CX94=0)*(CX95&gt;0)</f>
        <v>-0</v>
      </c>
      <c r="CY99" s="48" t="n">
        <f aca="false">-In_Upfront_Fee*$E98*(CY94=0)*(CY95&gt;0)</f>
        <v>-0</v>
      </c>
      <c r="CZ99" s="48" t="n">
        <f aca="false">-In_Upfront_Fee*$E98*(CZ94=0)*(CZ95&gt;0)</f>
        <v>-0</v>
      </c>
      <c r="DA99" s="48" t="n">
        <f aca="false">-In_Upfront_Fee*$E98*(DA94=0)*(DA95&gt;0)</f>
        <v>-0</v>
      </c>
      <c r="DB99" s="48" t="n">
        <f aca="false">-In_Upfront_Fee*$E98*(DB94=0)*(DB95&gt;0)</f>
        <v>-0</v>
      </c>
      <c r="DC99" s="48" t="n">
        <f aca="false">-In_Upfront_Fee*$E98*(DC94=0)*(DC95&gt;0)</f>
        <v>-0</v>
      </c>
      <c r="DD99" s="48" t="n">
        <f aca="false">-In_Upfront_Fee*$E98*(DD94=0)*(DD95&gt;0)</f>
        <v>-0</v>
      </c>
      <c r="DE99" s="48" t="n">
        <f aca="false">-In_Upfront_Fee*$E98*(DE94=0)*(DE95&gt;0)</f>
        <v>-0</v>
      </c>
      <c r="DF99" s="48" t="n">
        <f aca="false">-In_Upfront_Fee*$E98*(DF94=0)*(DF95&gt;0)</f>
        <v>-0</v>
      </c>
      <c r="DG99" s="48" t="n">
        <f aca="false">-In_Upfront_Fee*$E98*(DG94=0)*(DG95&gt;0)</f>
        <v>-0</v>
      </c>
      <c r="DH99" s="48" t="n">
        <f aca="false">-In_Upfront_Fee*$E98*(DH94=0)*(DH95&gt;0)</f>
        <v>-0</v>
      </c>
      <c r="DI99" s="48" t="n">
        <f aca="false">-In_Upfront_Fee*$E98*(DI94=0)*(DI95&gt;0)</f>
        <v>-0</v>
      </c>
      <c r="DJ99" s="48" t="n">
        <f aca="false">-In_Upfront_Fee*$E98*(DJ94=0)*(DJ95&gt;0)</f>
        <v>-0</v>
      </c>
      <c r="DK99" s="48" t="n">
        <f aca="false">-In_Upfront_Fee*$E98*(DK94=0)*(DK95&gt;0)</f>
        <v>-0</v>
      </c>
      <c r="DL99" s="48" t="n">
        <f aca="false">-In_Upfront_Fee*$E98*(DL94=0)*(DL95&gt;0)</f>
        <v>-0</v>
      </c>
      <c r="DM99" s="48" t="n">
        <f aca="false">-In_Upfront_Fee*$E98*(DM94=0)*(DM95&gt;0)</f>
        <v>-0</v>
      </c>
      <c r="DN99" s="48" t="n">
        <f aca="false">-In_Upfront_Fee*$E98*(DN94=0)*(DN95&gt;0)</f>
        <v>-0</v>
      </c>
      <c r="DO99" s="48" t="n">
        <f aca="false">-In_Upfront_Fee*$E98*(DO94=0)*(DO95&gt;0)</f>
        <v>-0</v>
      </c>
      <c r="DP99" s="48" t="n">
        <f aca="false">-In_Upfront_Fee*$E98*(DP94=0)*(DP95&gt;0)</f>
        <v>-0</v>
      </c>
      <c r="DQ99" s="48" t="n">
        <f aca="false">-In_Upfront_Fee*$E98*(DQ94=0)*(DQ95&gt;0)</f>
        <v>-0</v>
      </c>
      <c r="DR99" s="48" t="n">
        <f aca="false">-In_Upfront_Fee*$E98*(DR94=0)*(DR95&gt;0)</f>
        <v>-0</v>
      </c>
      <c r="DS99" s="48" t="n">
        <f aca="false">-In_Upfront_Fee*$E98*(DS94=0)*(DS95&gt;0)</f>
        <v>-0</v>
      </c>
      <c r="DT99" s="48" t="n">
        <f aca="false">-In_Upfront_Fee*$E98*(DT94=0)*(DT95&gt;0)</f>
        <v>-0</v>
      </c>
      <c r="DU99" s="48" t="n">
        <f aca="false">-In_Upfront_Fee*$E98*(DU94=0)*(DU95&gt;0)</f>
        <v>-0</v>
      </c>
      <c r="DV99" s="48" t="n">
        <f aca="false">-In_Upfront_Fee*$E98*(DV94=0)*(DV95&gt;0)</f>
        <v>-0</v>
      </c>
      <c r="DW99" s="48" t="n">
        <f aca="false">-In_Upfront_Fee*$E98*(DW94=0)*(DW95&gt;0)</f>
        <v>-0</v>
      </c>
      <c r="DX99" s="48" t="n">
        <f aca="false">-In_Upfront_Fee*$E98*(DX94=0)*(DX95&gt;0)</f>
        <v>-0</v>
      </c>
      <c r="DY99" s="48" t="n">
        <f aca="false">-In_Upfront_Fee*$E98*(DY94=0)*(DY95&gt;0)</f>
        <v>-0</v>
      </c>
      <c r="DZ99" s="48" t="n">
        <f aca="false">-In_Upfront_Fee*$E98*(DZ94=0)*(DZ95&gt;0)</f>
        <v>-0</v>
      </c>
      <c r="EA99" s="48" t="n">
        <f aca="false">-In_Upfront_Fee*$E98*(EA94=0)*(EA95&gt;0)</f>
        <v>-0</v>
      </c>
      <c r="EB99" s="48" t="n">
        <f aca="false">-In_Upfront_Fee*$E98*(EB94=0)*(EB95&gt;0)</f>
        <v>-0</v>
      </c>
      <c r="EC99" s="48" t="n">
        <f aca="false">-In_Upfront_Fee*$E98*(EC94=0)*(EC95&gt;0)</f>
        <v>-0</v>
      </c>
      <c r="ED99" s="48" t="n">
        <f aca="false">-In_Upfront_Fee*$E98*(ED94=0)*(ED95&gt;0)</f>
        <v>-0</v>
      </c>
      <c r="EE99" s="48" t="n">
        <f aca="false">-In_Upfront_Fee*$E98*(EE94=0)*(EE95&gt;0)</f>
        <v>-0</v>
      </c>
      <c r="EF99" s="48" t="n">
        <f aca="false">-In_Upfront_Fee*$E98*(EF94=0)*(EF95&gt;0)</f>
        <v>-0</v>
      </c>
      <c r="EG99" s="48" t="n">
        <f aca="false">-In_Upfront_Fee*$E98*(EG94=0)*(EG95&gt;0)</f>
        <v>-0</v>
      </c>
      <c r="EH99" s="48" t="n">
        <f aca="false">-In_Upfront_Fee*$E98*(EH94=0)*(EH95&gt;0)</f>
        <v>-0</v>
      </c>
      <c r="EI99" s="48" t="n">
        <f aca="false">-In_Upfront_Fee*$E98*(EI94=0)*(EI95&gt;0)</f>
        <v>-0</v>
      </c>
      <c r="EJ99" s="48" t="n">
        <f aca="false">-In_Upfront_Fee*$E98*(EJ94=0)*(EJ95&gt;0)</f>
        <v>-0</v>
      </c>
      <c r="EK99" s="48" t="n">
        <f aca="false">-In_Upfront_Fee*$E98*(EK94=0)*(EK95&gt;0)</f>
        <v>-0</v>
      </c>
      <c r="EL99" s="48" t="n">
        <f aca="false">-In_Upfront_Fee*$E98*(EL94=0)*(EL95&gt;0)</f>
        <v>-0</v>
      </c>
      <c r="EM99" s="48" t="n">
        <f aca="false">-In_Upfront_Fee*$E98*(EM94=0)*(EM95&gt;0)</f>
        <v>-0</v>
      </c>
      <c r="EN99" s="48" t="n">
        <f aca="false">-In_Upfront_Fee*$E98*(EN94=0)*(EN95&gt;0)</f>
        <v>-0</v>
      </c>
      <c r="EO99" s="48" t="n">
        <f aca="false">-In_Upfront_Fee*$E98*(EO94=0)*(EO95&gt;0)</f>
        <v>-0</v>
      </c>
    </row>
    <row r="100" customFormat="false" ht="15" hidden="false" customHeight="false" outlineLevel="0" collapsed="false">
      <c r="C100" s="0" t="s">
        <v>478</v>
      </c>
      <c r="D100" s="11" t="s">
        <v>33</v>
      </c>
      <c r="I100" s="48" t="n">
        <f aca="false">SUM(J100:EO100)</f>
        <v>-557.005721986292</v>
      </c>
      <c r="J100" s="48" t="n">
        <f aca="false">-In_Commitment_Fee*($I95-SUM($J95:J95)+J95)*J$6*(J12&gt;0)</f>
        <v>-0</v>
      </c>
      <c r="K100" s="48" t="n">
        <f aca="false">-In_Commitment_Fee*($I95-SUM($J95:K95)+K95)*K$6*(K12&gt;0)</f>
        <v>-0</v>
      </c>
      <c r="L100" s="48" t="n">
        <f aca="false">-In_Commitment_Fee*($I95-SUM($J95:L95)+L95)*L$6*(L12&gt;0)</f>
        <v>-0</v>
      </c>
      <c r="M100" s="48" t="n">
        <f aca="false">-In_Commitment_Fee*($I95-SUM($J95:M95)+M95)*M$6*(M12&gt;0)</f>
        <v>-0</v>
      </c>
      <c r="N100" s="48" t="n">
        <f aca="false">-In_Commitment_Fee*($I95-SUM($J95:N95)+N95)*N$6*(N12&gt;0)</f>
        <v>-0</v>
      </c>
      <c r="O100" s="48" t="n">
        <f aca="false">-In_Commitment_Fee*($I95-SUM($J95:O95)+O95)*O$6*(O12&gt;0)</f>
        <v>-0</v>
      </c>
      <c r="P100" s="48" t="n">
        <f aca="false">-In_Commitment_Fee*($I95-SUM($J95:P95)+P95)*P$6*(P12&gt;0)</f>
        <v>-0</v>
      </c>
      <c r="Q100" s="48" t="n">
        <f aca="false">-In_Commitment_Fee*($I95-SUM($J95:Q95)+Q95)*Q$6*(Q12&gt;0)</f>
        <v>-0</v>
      </c>
      <c r="R100" s="48" t="n">
        <f aca="false">-In_Commitment_Fee*($I95-SUM($J95:R95)+R95)*R$6*(R12&gt;0)</f>
        <v>-128.034241678964</v>
      </c>
      <c r="S100" s="48" t="n">
        <f aca="false">-In_Commitment_Fee*($I95-SUM($J95:S95)+S95)*S$6*(S12&gt;0)</f>
        <v>-111.104796433477</v>
      </c>
      <c r="T100" s="48" t="n">
        <f aca="false">-In_Commitment_Fee*($I95-SUM($J95:T95)+T95)*T$6*(T12&gt;0)</f>
        <v>-88.2830184302871</v>
      </c>
      <c r="U100" s="48" t="n">
        <f aca="false">-In_Commitment_Fee*($I95-SUM($J95:U95)+U95)*U$6*(U12&gt;0)</f>
        <v>-74.9498905226122</v>
      </c>
      <c r="V100" s="48" t="n">
        <f aca="false">-In_Commitment_Fee*($I95-SUM($J95:V95)+V95)*V$6*(V12&gt;0)</f>
        <v>-60.4894407534247</v>
      </c>
      <c r="W100" s="48" t="n">
        <f aca="false">-In_Commitment_Fee*($I95-SUM($J95:W95)+W95)*W$6*(W12&gt;0)</f>
        <v>-45.0283607454494</v>
      </c>
      <c r="X100" s="48" t="n">
        <f aca="false">-In_Commitment_Fee*($I95-SUM($J95:X95)+X95)*X$6*(X12&gt;0)</f>
        <v>-31.5363455706981</v>
      </c>
      <c r="Y100" s="48" t="n">
        <f aca="false">-In_Commitment_Fee*($I95-SUM($J95:Y95)+Y95)*Y$6*(Y12&gt;0)</f>
        <v>-17.5796278513793</v>
      </c>
      <c r="Z100" s="48" t="n">
        <f aca="false">-In_Commitment_Fee*($I95-SUM($J95:Z95)+Z95)*Z$6*(Z12&gt;0)</f>
        <v>-0</v>
      </c>
      <c r="AA100" s="48" t="n">
        <f aca="false">-In_Commitment_Fee*($I95-SUM($J95:AA95)+AA95)*AA$6*(AA12&gt;0)</f>
        <v>-0</v>
      </c>
      <c r="AB100" s="48" t="n">
        <f aca="false">-In_Commitment_Fee*($I95-SUM($J95:AB95)+AB95)*AB$6*(AB12&gt;0)</f>
        <v>-0</v>
      </c>
      <c r="AC100" s="48" t="n">
        <f aca="false">-In_Commitment_Fee*($I95-SUM($J95:AC95)+AC95)*AC$6*(AC12&gt;0)</f>
        <v>-0</v>
      </c>
      <c r="AD100" s="48" t="n">
        <f aca="false">-In_Commitment_Fee*($I95-SUM($J95:AD95)+AD95)*AD$6*(AD12&gt;0)</f>
        <v>-0</v>
      </c>
      <c r="AE100" s="48" t="n">
        <f aca="false">-In_Commitment_Fee*($I95-SUM($J95:AE95)+AE95)*AE$6*(AE12&gt;0)</f>
        <v>-0</v>
      </c>
      <c r="AF100" s="48" t="n">
        <f aca="false">-In_Commitment_Fee*($I95-SUM($J95:AF95)+AF95)*AF$6*(AF12&gt;0)</f>
        <v>-0</v>
      </c>
      <c r="AG100" s="48" t="n">
        <f aca="false">-In_Commitment_Fee*($I95-SUM($J95:AG95)+AG95)*AG$6*(AG12&gt;0)</f>
        <v>-0</v>
      </c>
      <c r="AH100" s="48" t="n">
        <f aca="false">-In_Commitment_Fee*($I95-SUM($J95:AH95)+AH95)*AH$6*(AH12&gt;0)</f>
        <v>-0</v>
      </c>
      <c r="AI100" s="48" t="n">
        <f aca="false">-In_Commitment_Fee*($I95-SUM($J95:AI95)+AI95)*AI$6*(AI12&gt;0)</f>
        <v>-0</v>
      </c>
      <c r="AJ100" s="48" t="n">
        <f aca="false">-In_Commitment_Fee*($I95-SUM($J95:AJ95)+AJ95)*AJ$6*(AJ12&gt;0)</f>
        <v>-0</v>
      </c>
      <c r="AK100" s="48" t="n">
        <f aca="false">-In_Commitment_Fee*($I95-SUM($J95:AK95)+AK95)*AK$6*(AK12&gt;0)</f>
        <v>-0</v>
      </c>
      <c r="AL100" s="48" t="n">
        <f aca="false">-In_Commitment_Fee*($I95-SUM($J95:AL95)+AL95)*AL$6*(AL12&gt;0)</f>
        <v>-0</v>
      </c>
      <c r="AM100" s="48" t="n">
        <f aca="false">-In_Commitment_Fee*($I95-SUM($J95:AM95)+AM95)*AM$6*(AM12&gt;0)</f>
        <v>-0</v>
      </c>
      <c r="AN100" s="48" t="n">
        <f aca="false">-In_Commitment_Fee*($I95-SUM($J95:AN95)+AN95)*AN$6*(AN12&gt;0)</f>
        <v>-0</v>
      </c>
      <c r="AO100" s="48" t="n">
        <f aca="false">-In_Commitment_Fee*($I95-SUM($J95:AO95)+AO95)*AO$6*(AO12&gt;0)</f>
        <v>-0</v>
      </c>
      <c r="AP100" s="48" t="n">
        <f aca="false">-In_Commitment_Fee*($I95-SUM($J95:AP95)+AP95)*AP$6*(AP12&gt;0)</f>
        <v>-0</v>
      </c>
      <c r="AQ100" s="48" t="n">
        <f aca="false">-In_Commitment_Fee*($I95-SUM($J95:AQ95)+AQ95)*AQ$6*(AQ12&gt;0)</f>
        <v>-0</v>
      </c>
      <c r="AR100" s="48" t="n">
        <f aca="false">-In_Commitment_Fee*($I95-SUM($J95:AR95)+AR95)*AR$6*(AR12&gt;0)</f>
        <v>-0</v>
      </c>
      <c r="AS100" s="48" t="n">
        <f aca="false">-In_Commitment_Fee*($I95-SUM($J95:AS95)+AS95)*AS$6*(AS12&gt;0)</f>
        <v>-0</v>
      </c>
      <c r="AT100" s="48" t="n">
        <f aca="false">-In_Commitment_Fee*($I95-SUM($J95:AT95)+AT95)*AT$6*(AT12&gt;0)</f>
        <v>-0</v>
      </c>
      <c r="AU100" s="48" t="n">
        <f aca="false">-In_Commitment_Fee*($I95-SUM($J95:AU95)+AU95)*AU$6*(AU12&gt;0)</f>
        <v>-0</v>
      </c>
      <c r="AV100" s="48" t="n">
        <f aca="false">-In_Commitment_Fee*($I95-SUM($J95:AV95)+AV95)*AV$6*(AV12&gt;0)</f>
        <v>-0</v>
      </c>
      <c r="AW100" s="48" t="n">
        <f aca="false">-In_Commitment_Fee*($I95-SUM($J95:AW95)+AW95)*AW$6*(AW12&gt;0)</f>
        <v>-0</v>
      </c>
      <c r="AX100" s="48" t="n">
        <f aca="false">-In_Commitment_Fee*($I95-SUM($J95:AX95)+AX95)*AX$6*(AX12&gt;0)</f>
        <v>-0</v>
      </c>
      <c r="AY100" s="48" t="n">
        <f aca="false">-In_Commitment_Fee*($I95-SUM($J95:AY95)+AY95)*AY$6*(AY12&gt;0)</f>
        <v>-0</v>
      </c>
      <c r="AZ100" s="48" t="n">
        <f aca="false">-In_Commitment_Fee*($I95-SUM($J95:AZ95)+AZ95)*AZ$6*(AZ12&gt;0)</f>
        <v>-0</v>
      </c>
      <c r="BA100" s="48" t="n">
        <f aca="false">-In_Commitment_Fee*($I95-SUM($J95:BA95)+BA95)*BA$6*(BA12&gt;0)</f>
        <v>-0</v>
      </c>
      <c r="BB100" s="48" t="n">
        <f aca="false">-In_Commitment_Fee*($I95-SUM($J95:BB95)+BB95)*BB$6*(BB12&gt;0)</f>
        <v>-0</v>
      </c>
      <c r="BC100" s="48" t="n">
        <f aca="false">-In_Commitment_Fee*($I95-SUM($J95:BC95)+BC95)*BC$6*(BC12&gt;0)</f>
        <v>-0</v>
      </c>
      <c r="BD100" s="48" t="n">
        <f aca="false">-In_Commitment_Fee*($I95-SUM($J95:BD95)+BD95)*BD$6*(BD12&gt;0)</f>
        <v>-0</v>
      </c>
      <c r="BE100" s="48" t="n">
        <f aca="false">-In_Commitment_Fee*($I95-SUM($J95:BE95)+BE95)*BE$6*(BE12&gt;0)</f>
        <v>-0</v>
      </c>
      <c r="BF100" s="48" t="n">
        <f aca="false">-In_Commitment_Fee*($I95-SUM($J95:BF95)+BF95)*BF$6*(BF12&gt;0)</f>
        <v>-0</v>
      </c>
      <c r="BG100" s="48" t="n">
        <f aca="false">-In_Commitment_Fee*($I95-SUM($J95:BG95)+BG95)*BG$6*(BG12&gt;0)</f>
        <v>-0</v>
      </c>
      <c r="BH100" s="48" t="n">
        <f aca="false">-In_Commitment_Fee*($I95-SUM($J95:BH95)+BH95)*BH$6*(BH12&gt;0)</f>
        <v>-0</v>
      </c>
      <c r="BI100" s="48" t="n">
        <f aca="false">-In_Commitment_Fee*($I95-SUM($J95:BI95)+BI95)*BI$6*(BI12&gt;0)</f>
        <v>-0</v>
      </c>
      <c r="BJ100" s="48" t="n">
        <f aca="false">-In_Commitment_Fee*($I95-SUM($J95:BJ95)+BJ95)*BJ$6*(BJ12&gt;0)</f>
        <v>-0</v>
      </c>
      <c r="BK100" s="48" t="n">
        <f aca="false">-In_Commitment_Fee*($I95-SUM($J95:BK95)+BK95)*BK$6*(BK12&gt;0)</f>
        <v>-0</v>
      </c>
      <c r="BL100" s="48" t="n">
        <f aca="false">-In_Commitment_Fee*($I95-SUM($J95:BL95)+BL95)*BL$6*(BL12&gt;0)</f>
        <v>-0</v>
      </c>
      <c r="BM100" s="48" t="n">
        <f aca="false">-In_Commitment_Fee*($I95-SUM($J95:BM95)+BM95)*BM$6*(BM12&gt;0)</f>
        <v>-0</v>
      </c>
      <c r="BN100" s="48" t="n">
        <f aca="false">-In_Commitment_Fee*($I95-SUM($J95:BN95)+BN95)*BN$6*(BN12&gt;0)</f>
        <v>-0</v>
      </c>
      <c r="BO100" s="48" t="n">
        <f aca="false">-In_Commitment_Fee*($I95-SUM($J95:BO95)+BO95)*BO$6*(BO12&gt;0)</f>
        <v>-0</v>
      </c>
      <c r="BP100" s="48" t="n">
        <f aca="false">-In_Commitment_Fee*($I95-SUM($J95:BP95)+BP95)*BP$6*(BP12&gt;0)</f>
        <v>-0</v>
      </c>
      <c r="BQ100" s="48" t="n">
        <f aca="false">-In_Commitment_Fee*($I95-SUM($J95:BQ95)+BQ95)*BQ$6*(BQ12&gt;0)</f>
        <v>-0</v>
      </c>
      <c r="BR100" s="48" t="n">
        <f aca="false">-In_Commitment_Fee*($I95-SUM($J95:BR95)+BR95)*BR$6*(BR12&gt;0)</f>
        <v>-0</v>
      </c>
      <c r="BS100" s="48" t="n">
        <f aca="false">-In_Commitment_Fee*($I95-SUM($J95:BS95)+BS95)*BS$6*(BS12&gt;0)</f>
        <v>-0</v>
      </c>
      <c r="BT100" s="48" t="n">
        <f aca="false">-In_Commitment_Fee*($I95-SUM($J95:BT95)+BT95)*BT$6*(BT12&gt;0)</f>
        <v>-0</v>
      </c>
      <c r="BU100" s="48" t="n">
        <f aca="false">-In_Commitment_Fee*($I95-SUM($J95:BU95)+BU95)*BU$6*(BU12&gt;0)</f>
        <v>-0</v>
      </c>
      <c r="BV100" s="48" t="n">
        <f aca="false">-In_Commitment_Fee*($I95-SUM($J95:BV95)+BV95)*BV$6*(BV12&gt;0)</f>
        <v>-0</v>
      </c>
      <c r="BW100" s="48" t="n">
        <f aca="false">-In_Commitment_Fee*($I95-SUM($J95:BW95)+BW95)*BW$6*(BW12&gt;0)</f>
        <v>-0</v>
      </c>
      <c r="BX100" s="48" t="n">
        <f aca="false">-In_Commitment_Fee*($I95-SUM($J95:BX95)+BX95)*BX$6*(BX12&gt;0)</f>
        <v>-0</v>
      </c>
      <c r="BY100" s="48" t="n">
        <f aca="false">-In_Commitment_Fee*($I95-SUM($J95:BY95)+BY95)*BY$6*(BY12&gt;0)</f>
        <v>-0</v>
      </c>
      <c r="BZ100" s="48" t="n">
        <f aca="false">-In_Commitment_Fee*($I95-SUM($J95:BZ95)+BZ95)*BZ$6*(BZ12&gt;0)</f>
        <v>-0</v>
      </c>
      <c r="CA100" s="48" t="n">
        <f aca="false">-In_Commitment_Fee*($I95-SUM($J95:CA95)+CA95)*CA$6*(CA12&gt;0)</f>
        <v>-0</v>
      </c>
      <c r="CB100" s="48" t="n">
        <f aca="false">-In_Commitment_Fee*($I95-SUM($J95:CB95)+CB95)*CB$6*(CB12&gt;0)</f>
        <v>-0</v>
      </c>
      <c r="CC100" s="48" t="n">
        <f aca="false">-In_Commitment_Fee*($I95-SUM($J95:CC95)+CC95)*CC$6*(CC12&gt;0)</f>
        <v>-0</v>
      </c>
      <c r="CD100" s="48" t="n">
        <f aca="false">-In_Commitment_Fee*($I95-SUM($J95:CD95)+CD95)*CD$6*(CD12&gt;0)</f>
        <v>-0</v>
      </c>
      <c r="CE100" s="48" t="n">
        <f aca="false">-In_Commitment_Fee*($I95-SUM($J95:CE95)+CE95)*CE$6*(CE12&gt;0)</f>
        <v>-0</v>
      </c>
      <c r="CF100" s="48" t="n">
        <f aca="false">-In_Commitment_Fee*($I95-SUM($J95:CF95)+CF95)*CF$6*(CF12&gt;0)</f>
        <v>-0</v>
      </c>
      <c r="CG100" s="48" t="n">
        <f aca="false">-In_Commitment_Fee*($I95-SUM($J95:CG95)+CG95)*CG$6*(CG12&gt;0)</f>
        <v>-0</v>
      </c>
      <c r="CH100" s="48" t="n">
        <f aca="false">-In_Commitment_Fee*($I95-SUM($J95:CH95)+CH95)*CH$6*(CH12&gt;0)</f>
        <v>-0</v>
      </c>
      <c r="CI100" s="48" t="n">
        <f aca="false">-In_Commitment_Fee*($I95-SUM($J95:CI95)+CI95)*CI$6*(CI12&gt;0)</f>
        <v>-0</v>
      </c>
      <c r="CJ100" s="48" t="n">
        <f aca="false">-In_Commitment_Fee*($I95-SUM($J95:CJ95)+CJ95)*CJ$6*(CJ12&gt;0)</f>
        <v>-0</v>
      </c>
      <c r="CK100" s="48" t="n">
        <f aca="false">-In_Commitment_Fee*($I95-SUM($J95:CK95)+CK95)*CK$6*(CK12&gt;0)</f>
        <v>-0</v>
      </c>
      <c r="CL100" s="48" t="n">
        <f aca="false">-In_Commitment_Fee*($I95-SUM($J95:CL95)+CL95)*CL$6*(CL12&gt;0)</f>
        <v>-0</v>
      </c>
      <c r="CM100" s="48" t="n">
        <f aca="false">-In_Commitment_Fee*($I95-SUM($J95:CM95)+CM95)*CM$6*(CM12&gt;0)</f>
        <v>-0</v>
      </c>
      <c r="CN100" s="48" t="n">
        <f aca="false">-In_Commitment_Fee*($I95-SUM($J95:CN95)+CN95)*CN$6*(CN12&gt;0)</f>
        <v>-0</v>
      </c>
      <c r="CO100" s="48" t="n">
        <f aca="false">-In_Commitment_Fee*($I95-SUM($J95:CO95)+CO95)*CO$6*(CO12&gt;0)</f>
        <v>-0</v>
      </c>
      <c r="CP100" s="48" t="n">
        <f aca="false">-In_Commitment_Fee*($I95-SUM($J95:CP95)+CP95)*CP$6*(CP12&gt;0)</f>
        <v>-0</v>
      </c>
      <c r="CQ100" s="48" t="n">
        <f aca="false">-In_Commitment_Fee*($I95-SUM($J95:CQ95)+CQ95)*CQ$6*(CQ12&gt;0)</f>
        <v>-0</v>
      </c>
      <c r="CR100" s="48" t="n">
        <f aca="false">-In_Commitment_Fee*($I95-SUM($J95:CR95)+CR95)*CR$6*(CR12&gt;0)</f>
        <v>-0</v>
      </c>
      <c r="CS100" s="48" t="n">
        <f aca="false">-In_Commitment_Fee*($I95-SUM($J95:CS95)+CS95)*CS$6*(CS12&gt;0)</f>
        <v>-0</v>
      </c>
      <c r="CT100" s="48" t="n">
        <f aca="false">-In_Commitment_Fee*($I95-SUM($J95:CT95)+CT95)*CT$6*(CT12&gt;0)</f>
        <v>-0</v>
      </c>
      <c r="CU100" s="48" t="n">
        <f aca="false">-In_Commitment_Fee*($I95-SUM($J95:CU95)+CU95)*CU$6*(CU12&gt;0)</f>
        <v>-0</v>
      </c>
      <c r="CV100" s="48" t="n">
        <f aca="false">-In_Commitment_Fee*($I95-SUM($J95:CV95)+CV95)*CV$6*(CV12&gt;0)</f>
        <v>-0</v>
      </c>
      <c r="CW100" s="48" t="n">
        <f aca="false">-In_Commitment_Fee*($I95-SUM($J95:CW95)+CW95)*CW$6*(CW12&gt;0)</f>
        <v>-0</v>
      </c>
      <c r="CX100" s="48" t="n">
        <f aca="false">-In_Commitment_Fee*($I95-SUM($J95:CX95)+CX95)*CX$6*(CX12&gt;0)</f>
        <v>-0</v>
      </c>
      <c r="CY100" s="48" t="n">
        <f aca="false">-In_Commitment_Fee*($I95-SUM($J95:CY95)+CY95)*CY$6*(CY12&gt;0)</f>
        <v>-0</v>
      </c>
      <c r="CZ100" s="48" t="n">
        <f aca="false">-In_Commitment_Fee*($I95-SUM($J95:CZ95)+CZ95)*CZ$6*(CZ12&gt;0)</f>
        <v>-0</v>
      </c>
      <c r="DA100" s="48" t="n">
        <f aca="false">-In_Commitment_Fee*($I95-SUM($J95:DA95)+DA95)*DA$6*(DA12&gt;0)</f>
        <v>-0</v>
      </c>
      <c r="DB100" s="48" t="n">
        <f aca="false">-In_Commitment_Fee*($I95-SUM($J95:DB95)+DB95)*DB$6*(DB12&gt;0)</f>
        <v>-0</v>
      </c>
      <c r="DC100" s="48" t="n">
        <f aca="false">-In_Commitment_Fee*($I95-SUM($J95:DC95)+DC95)*DC$6*(DC12&gt;0)</f>
        <v>-0</v>
      </c>
      <c r="DD100" s="48" t="n">
        <f aca="false">-In_Commitment_Fee*($I95-SUM($J95:DD95)+DD95)*DD$6*(DD12&gt;0)</f>
        <v>-0</v>
      </c>
      <c r="DE100" s="48" t="n">
        <f aca="false">-In_Commitment_Fee*($I95-SUM($J95:DE95)+DE95)*DE$6*(DE12&gt;0)</f>
        <v>-0</v>
      </c>
      <c r="DF100" s="48" t="n">
        <f aca="false">-In_Commitment_Fee*($I95-SUM($J95:DF95)+DF95)*DF$6*(DF12&gt;0)</f>
        <v>-0</v>
      </c>
      <c r="DG100" s="48" t="n">
        <f aca="false">-In_Commitment_Fee*($I95-SUM($J95:DG95)+DG95)*DG$6*(DG12&gt;0)</f>
        <v>-0</v>
      </c>
      <c r="DH100" s="48" t="n">
        <f aca="false">-In_Commitment_Fee*($I95-SUM($J95:DH95)+DH95)*DH$6*(DH12&gt;0)</f>
        <v>-0</v>
      </c>
      <c r="DI100" s="48" t="n">
        <f aca="false">-In_Commitment_Fee*($I95-SUM($J95:DI95)+DI95)*DI$6*(DI12&gt;0)</f>
        <v>-0</v>
      </c>
      <c r="DJ100" s="48" t="n">
        <f aca="false">-In_Commitment_Fee*($I95-SUM($J95:DJ95)+DJ95)*DJ$6*(DJ12&gt;0)</f>
        <v>-0</v>
      </c>
      <c r="DK100" s="48" t="n">
        <f aca="false">-In_Commitment_Fee*($I95-SUM($J95:DK95)+DK95)*DK$6*(DK12&gt;0)</f>
        <v>-0</v>
      </c>
      <c r="DL100" s="48" t="n">
        <f aca="false">-In_Commitment_Fee*($I95-SUM($J95:DL95)+DL95)*DL$6*(DL12&gt;0)</f>
        <v>-0</v>
      </c>
      <c r="DM100" s="48" t="n">
        <f aca="false">-In_Commitment_Fee*($I95-SUM($J95:DM95)+DM95)*DM$6*(DM12&gt;0)</f>
        <v>-0</v>
      </c>
      <c r="DN100" s="48" t="n">
        <f aca="false">-In_Commitment_Fee*($I95-SUM($J95:DN95)+DN95)*DN$6*(DN12&gt;0)</f>
        <v>-0</v>
      </c>
      <c r="DO100" s="48" t="n">
        <f aca="false">-In_Commitment_Fee*($I95-SUM($J95:DO95)+DO95)*DO$6*(DO12&gt;0)</f>
        <v>-0</v>
      </c>
      <c r="DP100" s="48" t="n">
        <f aca="false">-In_Commitment_Fee*($I95-SUM($J95:DP95)+DP95)*DP$6*(DP12&gt;0)</f>
        <v>-0</v>
      </c>
      <c r="DQ100" s="48" t="n">
        <f aca="false">-In_Commitment_Fee*($I95-SUM($J95:DQ95)+DQ95)*DQ$6*(DQ12&gt;0)</f>
        <v>-0</v>
      </c>
      <c r="DR100" s="48" t="n">
        <f aca="false">-In_Commitment_Fee*($I95-SUM($J95:DR95)+DR95)*DR$6*(DR12&gt;0)</f>
        <v>-0</v>
      </c>
      <c r="DS100" s="48" t="n">
        <f aca="false">-In_Commitment_Fee*($I95-SUM($J95:DS95)+DS95)*DS$6*(DS12&gt;0)</f>
        <v>-0</v>
      </c>
      <c r="DT100" s="48" t="n">
        <f aca="false">-In_Commitment_Fee*($I95-SUM($J95:DT95)+DT95)*DT$6*(DT12&gt;0)</f>
        <v>-0</v>
      </c>
      <c r="DU100" s="48" t="n">
        <f aca="false">-In_Commitment_Fee*($I95-SUM($J95:DU95)+DU95)*DU$6*(DU12&gt;0)</f>
        <v>-0</v>
      </c>
      <c r="DV100" s="48" t="n">
        <f aca="false">-In_Commitment_Fee*($I95-SUM($J95:DV95)+DV95)*DV$6*(DV12&gt;0)</f>
        <v>-0</v>
      </c>
      <c r="DW100" s="48" t="n">
        <f aca="false">-In_Commitment_Fee*($I95-SUM($J95:DW95)+DW95)*DW$6*(DW12&gt;0)</f>
        <v>-0</v>
      </c>
      <c r="DX100" s="48" t="n">
        <f aca="false">-In_Commitment_Fee*($I95-SUM($J95:DX95)+DX95)*DX$6*(DX12&gt;0)</f>
        <v>-0</v>
      </c>
      <c r="DY100" s="48" t="n">
        <f aca="false">-In_Commitment_Fee*($I95-SUM($J95:DY95)+DY95)*DY$6*(DY12&gt;0)</f>
        <v>-0</v>
      </c>
      <c r="DZ100" s="48" t="n">
        <f aca="false">-In_Commitment_Fee*($I95-SUM($J95:DZ95)+DZ95)*DZ$6*(DZ12&gt;0)</f>
        <v>-0</v>
      </c>
      <c r="EA100" s="48" t="n">
        <f aca="false">-In_Commitment_Fee*($I95-SUM($J95:EA95)+EA95)*EA$6*(EA12&gt;0)</f>
        <v>-0</v>
      </c>
      <c r="EB100" s="48" t="n">
        <f aca="false">-In_Commitment_Fee*($I95-SUM($J95:EB95)+EB95)*EB$6*(EB12&gt;0)</f>
        <v>-0</v>
      </c>
      <c r="EC100" s="48" t="n">
        <f aca="false">-In_Commitment_Fee*($I95-SUM($J95:EC95)+EC95)*EC$6*(EC12&gt;0)</f>
        <v>-0</v>
      </c>
      <c r="ED100" s="48" t="n">
        <f aca="false">-In_Commitment_Fee*($I95-SUM($J95:ED95)+ED95)*ED$6*(ED12&gt;0)</f>
        <v>-0</v>
      </c>
      <c r="EE100" s="48" t="n">
        <f aca="false">-In_Commitment_Fee*($I95-SUM($J95:EE95)+EE95)*EE$6*(EE12&gt;0)</f>
        <v>-0</v>
      </c>
      <c r="EF100" s="48" t="n">
        <f aca="false">-In_Commitment_Fee*($I95-SUM($J95:EF95)+EF95)*EF$6*(EF12&gt;0)</f>
        <v>-0</v>
      </c>
      <c r="EG100" s="48" t="n">
        <f aca="false">-In_Commitment_Fee*($I95-SUM($J95:EG95)+EG95)*EG$6*(EG12&gt;0)</f>
        <v>-0</v>
      </c>
      <c r="EH100" s="48" t="n">
        <f aca="false">-In_Commitment_Fee*($I95-SUM($J95:EH95)+EH95)*EH$6*(EH12&gt;0)</f>
        <v>-0</v>
      </c>
      <c r="EI100" s="48" t="n">
        <f aca="false">-In_Commitment_Fee*($I95-SUM($J95:EI95)+EI95)*EI$6*(EI12&gt;0)</f>
        <v>-0</v>
      </c>
      <c r="EJ100" s="48" t="n">
        <f aca="false">-In_Commitment_Fee*($I95-SUM($J95:EJ95)+EJ95)*EJ$6*(EJ12&gt;0)</f>
        <v>-0</v>
      </c>
      <c r="EK100" s="48" t="n">
        <f aca="false">-In_Commitment_Fee*($I95-SUM($J95:EK95)+EK95)*EK$6*(EK12&gt;0)</f>
        <v>-0</v>
      </c>
      <c r="EL100" s="48" t="n">
        <f aca="false">-In_Commitment_Fee*($I95-SUM($J95:EL95)+EL95)*EL$6*(EL12&gt;0)</f>
        <v>-0</v>
      </c>
      <c r="EM100" s="48" t="n">
        <f aca="false">-In_Commitment_Fee*($I95-SUM($J95:EM95)+EM95)*EM$6*(EM12&gt;0)</f>
        <v>-0</v>
      </c>
      <c r="EN100" s="48" t="n">
        <f aca="false">-In_Commitment_Fee*($I95-SUM($J95:EN95)+EN95)*EN$6*(EN12&gt;0)</f>
        <v>-0</v>
      </c>
      <c r="EO100" s="48" t="n">
        <f aca="false">-In_Commitment_Fee*($I95-SUM($J95:EO95)+EO95)*EO$6*(EO12&gt;0)</f>
        <v>-0</v>
      </c>
    </row>
    <row r="101" customFormat="false" ht="15" hidden="false" customHeight="false" outlineLevel="0" collapsed="false">
      <c r="C101" s="0" t="s">
        <v>479</v>
      </c>
      <c r="D101" s="11" t="s">
        <v>33</v>
      </c>
      <c r="E101" s="48" t="n">
        <f aca="false">-SUMIFS($J93:$EO93,$J$4:$EO$4,"&gt;"&amp;In_COD,$J$4:$EO$4,"&lt;="&amp;EDATE(In_COD,In_DSRA_Months))</f>
        <v>1246.00253223261</v>
      </c>
      <c r="I101" s="48" t="n">
        <f aca="false">SUM(J101:EO101)</f>
        <v>0</v>
      </c>
      <c r="J101" s="48" t="n">
        <f aca="false">$E101*(J19-J14)</f>
        <v>0</v>
      </c>
      <c r="K101" s="48" t="n">
        <f aca="false">$E101*(K19-K14)</f>
        <v>0</v>
      </c>
      <c r="L101" s="48" t="n">
        <f aca="false">$E101*(L19-L14)</f>
        <v>0</v>
      </c>
      <c r="M101" s="48" t="n">
        <f aca="false">$E101*(M19-M14)</f>
        <v>0</v>
      </c>
      <c r="N101" s="48" t="n">
        <f aca="false">$E101*(N19-N14)</f>
        <v>0</v>
      </c>
      <c r="O101" s="48" t="n">
        <f aca="false">$E101*(O19-O14)</f>
        <v>0</v>
      </c>
      <c r="P101" s="48" t="n">
        <f aca="false">$E101*(P19-P14)</f>
        <v>0</v>
      </c>
      <c r="Q101" s="48" t="n">
        <f aca="false">$E101*(Q19-Q14)</f>
        <v>0</v>
      </c>
      <c r="R101" s="48" t="n">
        <f aca="false">$E101*(R19-R14)</f>
        <v>0</v>
      </c>
      <c r="S101" s="48" t="n">
        <f aca="false">$E101*(S19-S14)</f>
        <v>0</v>
      </c>
      <c r="T101" s="48" t="n">
        <f aca="false">$E101*(T19-T14)</f>
        <v>0</v>
      </c>
      <c r="U101" s="48" t="n">
        <f aca="false">$E101*(U19-U14)</f>
        <v>0</v>
      </c>
      <c r="V101" s="48" t="n">
        <f aca="false">$E101*(V19-V14)</f>
        <v>0</v>
      </c>
      <c r="W101" s="48" t="n">
        <f aca="false">$E101*(W19-W14)</f>
        <v>0</v>
      </c>
      <c r="X101" s="48" t="n">
        <f aca="false">$E101*(X19-X14)</f>
        <v>0</v>
      </c>
      <c r="Y101" s="48" t="n">
        <f aca="false">$E101*(Y19-Y14)</f>
        <v>-1246.00253223261</v>
      </c>
      <c r="Z101" s="48" t="n">
        <f aca="false">$E101*(Z19-Z14)</f>
        <v>0</v>
      </c>
      <c r="AA101" s="48" t="n">
        <f aca="false">$E101*(AA19-AA14)</f>
        <v>0</v>
      </c>
      <c r="AB101" s="48" t="n">
        <f aca="false">$E101*(AB19-AB14)</f>
        <v>0</v>
      </c>
      <c r="AC101" s="48" t="n">
        <f aca="false">$E101*(AC19-AC14)</f>
        <v>0</v>
      </c>
      <c r="AD101" s="48" t="n">
        <f aca="false">$E101*(AD19-AD14)</f>
        <v>0</v>
      </c>
      <c r="AE101" s="48" t="n">
        <f aca="false">$E101*(AE19-AE14)</f>
        <v>0</v>
      </c>
      <c r="AF101" s="48" t="n">
        <f aca="false">$E101*(AF19-AF14)</f>
        <v>0</v>
      </c>
      <c r="AG101" s="48" t="n">
        <f aca="false">$E101*(AG19-AG14)</f>
        <v>0</v>
      </c>
      <c r="AH101" s="48" t="n">
        <f aca="false">$E101*(AH19-AH14)</f>
        <v>0</v>
      </c>
      <c r="AI101" s="48" t="n">
        <f aca="false">$E101*(AI19-AI14)</f>
        <v>0</v>
      </c>
      <c r="AJ101" s="48" t="n">
        <f aca="false">$E101*(AJ19-AJ14)</f>
        <v>0</v>
      </c>
      <c r="AK101" s="48" t="n">
        <f aca="false">$E101*(AK19-AK14)</f>
        <v>0</v>
      </c>
      <c r="AL101" s="48" t="n">
        <f aca="false">$E101*(AL19-AL14)</f>
        <v>0</v>
      </c>
      <c r="AM101" s="48" t="n">
        <f aca="false">$E101*(AM19-AM14)</f>
        <v>0</v>
      </c>
      <c r="AN101" s="48" t="n">
        <f aca="false">$E101*(AN19-AN14)</f>
        <v>0</v>
      </c>
      <c r="AO101" s="48" t="n">
        <f aca="false">$E101*(AO19-AO14)</f>
        <v>0</v>
      </c>
      <c r="AP101" s="48" t="n">
        <f aca="false">$E101*(AP19-AP14)</f>
        <v>0</v>
      </c>
      <c r="AQ101" s="48" t="n">
        <f aca="false">$E101*(AQ19-AQ14)</f>
        <v>0</v>
      </c>
      <c r="AR101" s="48" t="n">
        <f aca="false">$E101*(AR19-AR14)</f>
        <v>0</v>
      </c>
      <c r="AS101" s="48" t="n">
        <f aca="false">$E101*(AS19-AS14)</f>
        <v>0</v>
      </c>
      <c r="AT101" s="48" t="n">
        <f aca="false">$E101*(AT19-AT14)</f>
        <v>0</v>
      </c>
      <c r="AU101" s="48" t="n">
        <f aca="false">$E101*(AU19-AU14)</f>
        <v>0</v>
      </c>
      <c r="AV101" s="48" t="n">
        <f aca="false">$E101*(AV19-AV14)</f>
        <v>0</v>
      </c>
      <c r="AW101" s="48" t="n">
        <f aca="false">$E101*(AW19-AW14)</f>
        <v>0</v>
      </c>
      <c r="AX101" s="48" t="n">
        <f aca="false">$E101*(AX19-AX14)</f>
        <v>0</v>
      </c>
      <c r="AY101" s="48" t="n">
        <f aca="false">$E101*(AY19-AY14)</f>
        <v>0</v>
      </c>
      <c r="AZ101" s="48" t="n">
        <f aca="false">$E101*(AZ19-AZ14)</f>
        <v>0</v>
      </c>
      <c r="BA101" s="48" t="n">
        <f aca="false">$E101*(BA19-BA14)</f>
        <v>0</v>
      </c>
      <c r="BB101" s="48" t="n">
        <f aca="false">$E101*(BB19-BB14)</f>
        <v>0</v>
      </c>
      <c r="BC101" s="48" t="n">
        <f aca="false">$E101*(BC19-BC14)</f>
        <v>0</v>
      </c>
      <c r="BD101" s="48" t="n">
        <f aca="false">$E101*(BD19-BD14)</f>
        <v>0</v>
      </c>
      <c r="BE101" s="48" t="n">
        <f aca="false">$E101*(BE19-BE14)</f>
        <v>0</v>
      </c>
      <c r="BF101" s="48" t="n">
        <f aca="false">$E101*(BF19-BF14)</f>
        <v>0</v>
      </c>
      <c r="BG101" s="48" t="n">
        <f aca="false">$E101*(BG19-BG14)</f>
        <v>0</v>
      </c>
      <c r="BH101" s="48" t="n">
        <f aca="false">$E101*(BH19-BH14)</f>
        <v>0</v>
      </c>
      <c r="BI101" s="48" t="n">
        <f aca="false">$E101*(BI19-BI14)</f>
        <v>0</v>
      </c>
      <c r="BJ101" s="48" t="n">
        <f aca="false">$E101*(BJ19-BJ14)</f>
        <v>0</v>
      </c>
      <c r="BK101" s="48" t="n">
        <f aca="false">$E101*(BK19-BK14)</f>
        <v>0</v>
      </c>
      <c r="BL101" s="48" t="n">
        <f aca="false">$E101*(BL19-BL14)</f>
        <v>0</v>
      </c>
      <c r="BM101" s="48" t="n">
        <f aca="false">$E101*(BM19-BM14)</f>
        <v>0</v>
      </c>
      <c r="BN101" s="48" t="n">
        <f aca="false">$E101*(BN19-BN14)</f>
        <v>0</v>
      </c>
      <c r="BO101" s="48" t="n">
        <f aca="false">$E101*(BO19-BO14)</f>
        <v>0</v>
      </c>
      <c r="BP101" s="48" t="n">
        <f aca="false">$E101*(BP19-BP14)</f>
        <v>0</v>
      </c>
      <c r="BQ101" s="48" t="n">
        <f aca="false">$E101*(BQ19-BQ14)</f>
        <v>0</v>
      </c>
      <c r="BR101" s="48" t="n">
        <f aca="false">$E101*(BR19-BR14)</f>
        <v>0</v>
      </c>
      <c r="BS101" s="48" t="n">
        <f aca="false">$E101*(BS19-BS14)</f>
        <v>0</v>
      </c>
      <c r="BT101" s="48" t="n">
        <f aca="false">$E101*(BT19-BT14)</f>
        <v>0</v>
      </c>
      <c r="BU101" s="48" t="n">
        <f aca="false">$E101*(BU19-BU14)</f>
        <v>0</v>
      </c>
      <c r="BV101" s="48" t="n">
        <f aca="false">$E101*(BV19-BV14)</f>
        <v>0</v>
      </c>
      <c r="BW101" s="48" t="n">
        <f aca="false">$E101*(BW19-BW14)</f>
        <v>0</v>
      </c>
      <c r="BX101" s="48" t="n">
        <f aca="false">$E101*(BX19-BX14)</f>
        <v>0</v>
      </c>
      <c r="BY101" s="48" t="n">
        <f aca="false">$E101*(BY19-BY14)</f>
        <v>0</v>
      </c>
      <c r="BZ101" s="48" t="n">
        <f aca="false">$E101*(BZ19-BZ14)</f>
        <v>0</v>
      </c>
      <c r="CA101" s="48" t="n">
        <f aca="false">$E101*(CA19-CA14)</f>
        <v>0</v>
      </c>
      <c r="CB101" s="48" t="n">
        <f aca="false">$E101*(CB19-CB14)</f>
        <v>0</v>
      </c>
      <c r="CC101" s="48" t="n">
        <f aca="false">$E101*(CC19-CC14)</f>
        <v>0</v>
      </c>
      <c r="CD101" s="48" t="n">
        <f aca="false">$E101*(CD19-CD14)</f>
        <v>0</v>
      </c>
      <c r="CE101" s="48" t="n">
        <f aca="false">$E101*(CE19-CE14)</f>
        <v>0</v>
      </c>
      <c r="CF101" s="48" t="n">
        <f aca="false">$E101*(CF19-CF14)</f>
        <v>0</v>
      </c>
      <c r="CG101" s="48" t="n">
        <f aca="false">$E101*(CG19-CG14)</f>
        <v>0</v>
      </c>
      <c r="CH101" s="48" t="n">
        <f aca="false">$E101*(CH19-CH14)</f>
        <v>0</v>
      </c>
      <c r="CI101" s="48" t="n">
        <f aca="false">$E101*(CI19-CI14)</f>
        <v>0</v>
      </c>
      <c r="CJ101" s="48" t="n">
        <f aca="false">$E101*(CJ19-CJ14)</f>
        <v>0</v>
      </c>
      <c r="CK101" s="48" t="n">
        <f aca="false">$E101*(CK19-CK14)</f>
        <v>0</v>
      </c>
      <c r="CL101" s="48" t="n">
        <f aca="false">$E101*(CL19-CL14)</f>
        <v>0</v>
      </c>
      <c r="CM101" s="48" t="n">
        <f aca="false">$E101*(CM19-CM14)</f>
        <v>0</v>
      </c>
      <c r="CN101" s="48" t="n">
        <f aca="false">$E101*(CN19-CN14)</f>
        <v>0</v>
      </c>
      <c r="CO101" s="48" t="n">
        <f aca="false">$E101*(CO19-CO14)</f>
        <v>0</v>
      </c>
      <c r="CP101" s="48" t="n">
        <f aca="false">$E101*(CP19-CP14)</f>
        <v>0</v>
      </c>
      <c r="CQ101" s="48" t="n">
        <f aca="false">$E101*(CQ19-CQ14)</f>
        <v>0</v>
      </c>
      <c r="CR101" s="48" t="n">
        <f aca="false">$E101*(CR19-CR14)</f>
        <v>0</v>
      </c>
      <c r="CS101" s="48" t="n">
        <f aca="false">$E101*(CS19-CS14)</f>
        <v>1246.00253223261</v>
      </c>
      <c r="CT101" s="48" t="n">
        <f aca="false">$E101*(CT19-CT14)</f>
        <v>0</v>
      </c>
      <c r="CU101" s="48" t="n">
        <f aca="false">$E101*(CU19-CU14)</f>
        <v>0</v>
      </c>
      <c r="CV101" s="48" t="n">
        <f aca="false">$E101*(CV19-CV14)</f>
        <v>0</v>
      </c>
      <c r="CW101" s="48" t="n">
        <f aca="false">$E101*(CW19-CW14)</f>
        <v>0</v>
      </c>
      <c r="CX101" s="48" t="n">
        <f aca="false">$E101*(CX19-CX14)</f>
        <v>0</v>
      </c>
      <c r="CY101" s="48" t="n">
        <f aca="false">$E101*(CY19-CY14)</f>
        <v>0</v>
      </c>
      <c r="CZ101" s="48" t="n">
        <f aca="false">$E101*(CZ19-CZ14)</f>
        <v>0</v>
      </c>
      <c r="DA101" s="48" t="n">
        <f aca="false">$E101*(DA19-DA14)</f>
        <v>0</v>
      </c>
      <c r="DB101" s="48" t="n">
        <f aca="false">$E101*(DB19-DB14)</f>
        <v>0</v>
      </c>
      <c r="DC101" s="48" t="n">
        <f aca="false">$E101*(DC19-DC14)</f>
        <v>0</v>
      </c>
      <c r="DD101" s="48" t="n">
        <f aca="false">$E101*(DD19-DD14)</f>
        <v>0</v>
      </c>
      <c r="DE101" s="48" t="n">
        <f aca="false">$E101*(DE19-DE14)</f>
        <v>0</v>
      </c>
      <c r="DF101" s="48" t="n">
        <f aca="false">$E101*(DF19-DF14)</f>
        <v>0</v>
      </c>
      <c r="DG101" s="48" t="n">
        <f aca="false">$E101*(DG19-DG14)</f>
        <v>0</v>
      </c>
      <c r="DH101" s="48" t="n">
        <f aca="false">$E101*(DH19-DH14)</f>
        <v>0</v>
      </c>
      <c r="DI101" s="48" t="n">
        <f aca="false">$E101*(DI19-DI14)</f>
        <v>0</v>
      </c>
      <c r="DJ101" s="48" t="n">
        <f aca="false">$E101*(DJ19-DJ14)</f>
        <v>0</v>
      </c>
      <c r="DK101" s="48" t="n">
        <f aca="false">$E101*(DK19-DK14)</f>
        <v>0</v>
      </c>
      <c r="DL101" s="48" t="n">
        <f aca="false">$E101*(DL19-DL14)</f>
        <v>0</v>
      </c>
      <c r="DM101" s="48" t="n">
        <f aca="false">$E101*(DM19-DM14)</f>
        <v>0</v>
      </c>
      <c r="DN101" s="48" t="n">
        <f aca="false">$E101*(DN19-DN14)</f>
        <v>0</v>
      </c>
      <c r="DO101" s="48" t="n">
        <f aca="false">$E101*(DO19-DO14)</f>
        <v>0</v>
      </c>
      <c r="DP101" s="48" t="n">
        <f aca="false">$E101*(DP19-DP14)</f>
        <v>0</v>
      </c>
      <c r="DQ101" s="48" t="n">
        <f aca="false">$E101*(DQ19-DQ14)</f>
        <v>0</v>
      </c>
      <c r="DR101" s="48" t="n">
        <f aca="false">$E101*(DR19-DR14)</f>
        <v>0</v>
      </c>
      <c r="DS101" s="48" t="n">
        <f aca="false">$E101*(DS19-DS14)</f>
        <v>0</v>
      </c>
      <c r="DT101" s="48" t="n">
        <f aca="false">$E101*(DT19-DT14)</f>
        <v>0</v>
      </c>
      <c r="DU101" s="48" t="n">
        <f aca="false">$E101*(DU19-DU14)</f>
        <v>0</v>
      </c>
      <c r="DV101" s="48" t="n">
        <f aca="false">$E101*(DV19-DV14)</f>
        <v>0</v>
      </c>
      <c r="DW101" s="48" t="n">
        <f aca="false">$E101*(DW19-DW14)</f>
        <v>0</v>
      </c>
      <c r="DX101" s="48" t="n">
        <f aca="false">$E101*(DX19-DX14)</f>
        <v>0</v>
      </c>
      <c r="DY101" s="48" t="n">
        <f aca="false">$E101*(DY19-DY14)</f>
        <v>0</v>
      </c>
      <c r="DZ101" s="48" t="n">
        <f aca="false">$E101*(DZ19-DZ14)</f>
        <v>0</v>
      </c>
      <c r="EA101" s="48" t="n">
        <f aca="false">$E101*(EA19-EA14)</f>
        <v>0</v>
      </c>
      <c r="EB101" s="48" t="n">
        <f aca="false">$E101*(EB19-EB14)</f>
        <v>0</v>
      </c>
      <c r="EC101" s="48" t="n">
        <f aca="false">$E101*(EC19-EC14)</f>
        <v>0</v>
      </c>
      <c r="ED101" s="48" t="n">
        <f aca="false">$E101*(ED19-ED14)</f>
        <v>0</v>
      </c>
      <c r="EE101" s="48" t="n">
        <f aca="false">$E101*(EE19-EE14)</f>
        <v>0</v>
      </c>
      <c r="EF101" s="48" t="n">
        <f aca="false">$E101*(EF19-EF14)</f>
        <v>0</v>
      </c>
      <c r="EG101" s="48" t="n">
        <f aca="false">$E101*(EG19-EG14)</f>
        <v>0</v>
      </c>
      <c r="EH101" s="48" t="n">
        <f aca="false">$E101*(EH19-EH14)</f>
        <v>0</v>
      </c>
      <c r="EI101" s="48" t="n">
        <f aca="false">$E101*(EI19-EI14)</f>
        <v>0</v>
      </c>
      <c r="EJ101" s="48" t="n">
        <f aca="false">$E101*(EJ19-EJ14)</f>
        <v>0</v>
      </c>
      <c r="EK101" s="48" t="n">
        <f aca="false">$E101*(EK19-EK14)</f>
        <v>0</v>
      </c>
      <c r="EL101" s="48" t="n">
        <f aca="false">$E101*(EL19-EL14)</f>
        <v>0</v>
      </c>
      <c r="EM101" s="48" t="n">
        <f aca="false">$E101*(EM19-EM14)</f>
        <v>0</v>
      </c>
      <c r="EN101" s="48" t="n">
        <f aca="false">$E101*(EN19-EN14)</f>
        <v>0</v>
      </c>
      <c r="EO101" s="48" t="n">
        <f aca="false">$E101*(EO19-EO14)</f>
        <v>0</v>
      </c>
    </row>
    <row r="102" customFormat="false" ht="15" hidden="false" customHeight="false" outlineLevel="0" collapsed="false">
      <c r="C102" s="0" t="s">
        <v>480</v>
      </c>
      <c r="D102" s="11" t="s">
        <v>13</v>
      </c>
      <c r="E102" s="53" t="n">
        <f aca="false">MIN($J102:$EO102)</f>
        <v>1.8815437824053</v>
      </c>
      <c r="J102" s="53" t="str">
        <f aca="false">IF(J93&lt;0,J86/-J93,"")</f>
        <v/>
      </c>
      <c r="K102" s="53" t="str">
        <f aca="false">IF(K93&lt;0,K86/-K93,"")</f>
        <v/>
      </c>
      <c r="L102" s="53" t="str">
        <f aca="false">IF(L93&lt;0,L86/-L93,"")</f>
        <v/>
      </c>
      <c r="M102" s="53" t="str">
        <f aca="false">IF(M93&lt;0,M86/-M93,"")</f>
        <v/>
      </c>
      <c r="N102" s="53" t="str">
        <f aca="false">IF(N93&lt;0,N86/-N93,"")</f>
        <v/>
      </c>
      <c r="O102" s="53" t="str">
        <f aca="false">IF(O93&lt;0,O86/-O93,"")</f>
        <v/>
      </c>
      <c r="P102" s="53" t="str">
        <f aca="false">IF(P93&lt;0,P86/-P93,"")</f>
        <v/>
      </c>
      <c r="Q102" s="53" t="str">
        <f aca="false">IF(Q93&lt;0,Q86/-Q93,"")</f>
        <v/>
      </c>
      <c r="R102" s="53" t="str">
        <f aca="false">IF(R93&lt;0,R86/-R93,"")</f>
        <v/>
      </c>
      <c r="S102" s="53" t="str">
        <f aca="false">IF(S93&lt;0,S86/-S93,"")</f>
        <v/>
      </c>
      <c r="T102" s="53" t="str">
        <f aca="false">IF(T93&lt;0,T86/-T93,"")</f>
        <v/>
      </c>
      <c r="U102" s="53" t="str">
        <f aca="false">IF(U93&lt;0,U86/-U93,"")</f>
        <v/>
      </c>
      <c r="V102" s="53" t="str">
        <f aca="false">IF(V93&lt;0,V86/-V93,"")</f>
        <v/>
      </c>
      <c r="W102" s="53" t="str">
        <f aca="false">IF(W93&lt;0,W86/-W93,"")</f>
        <v/>
      </c>
      <c r="X102" s="53" t="str">
        <f aca="false">IF(X93&lt;0,X86/-X93,"")</f>
        <v/>
      </c>
      <c r="Y102" s="53" t="str">
        <f aca="false">IF(Y93&lt;0,Y86/-Y93,"")</f>
        <v/>
      </c>
      <c r="Z102" s="53" t="n">
        <f aca="false">IF(Z93&lt;0,Z86/-Z93,"")</f>
        <v>1.8815437824053</v>
      </c>
      <c r="AA102" s="53" t="n">
        <f aca="false">IF(AA93&lt;0,AA86/-AA93,"")</f>
        <v>1.8815437824053</v>
      </c>
      <c r="AB102" s="53" t="n">
        <f aca="false">IF(AB93&lt;0,AB86/-AB93,"")</f>
        <v>1.8815437824053</v>
      </c>
      <c r="AC102" s="53" t="n">
        <f aca="false">IF(AC93&lt;0,AC86/-AC93,"")</f>
        <v>1.8815437824053</v>
      </c>
      <c r="AD102" s="53" t="n">
        <f aca="false">IF(AD93&lt;0,AD86/-AD93,"")</f>
        <v>1.8815437824053</v>
      </c>
      <c r="AE102" s="53" t="n">
        <f aca="false">IF(AE93&lt;0,AE86/-AE93,"")</f>
        <v>1.8815437824053</v>
      </c>
      <c r="AF102" s="53" t="n">
        <f aca="false">IF(AF93&lt;0,AF86/-AF93,"")</f>
        <v>1.8815437824053</v>
      </c>
      <c r="AG102" s="53" t="n">
        <f aca="false">IF(AG93&lt;0,AG86/-AG93,"")</f>
        <v>1.8815437824053</v>
      </c>
      <c r="AH102" s="53" t="n">
        <f aca="false">IF(AH93&lt;0,AH86/-AH93,"")</f>
        <v>1.8815437824053</v>
      </c>
      <c r="AI102" s="53" t="n">
        <f aca="false">IF(AI93&lt;0,AI86/-AI93,"")</f>
        <v>1.8815437824053</v>
      </c>
      <c r="AJ102" s="53" t="n">
        <f aca="false">IF(AJ93&lt;0,AJ86/-AJ93,"")</f>
        <v>1.8815437824053</v>
      </c>
      <c r="AK102" s="53" t="n">
        <f aca="false">IF(AK93&lt;0,AK86/-AK93,"")</f>
        <v>1.8815437824053</v>
      </c>
      <c r="AL102" s="53" t="n">
        <f aca="false">IF(AL93&lt;0,AL86/-AL93,"")</f>
        <v>1.8815437824053</v>
      </c>
      <c r="AM102" s="53" t="n">
        <f aca="false">IF(AM93&lt;0,AM86/-AM93,"")</f>
        <v>1.8815437824053</v>
      </c>
      <c r="AN102" s="53" t="n">
        <f aca="false">IF(AN93&lt;0,AN86/-AN93,"")</f>
        <v>1.8815437824053</v>
      </c>
      <c r="AO102" s="53" t="n">
        <f aca="false">IF(AO93&lt;0,AO86/-AO93,"")</f>
        <v>1.8815437824053</v>
      </c>
      <c r="AP102" s="53" t="n">
        <f aca="false">IF(AP93&lt;0,AP86/-AP93,"")</f>
        <v>1.8815437824053</v>
      </c>
      <c r="AQ102" s="53" t="n">
        <f aca="false">IF(AQ93&lt;0,AQ86/-AQ93,"")</f>
        <v>1.8815437824053</v>
      </c>
      <c r="AR102" s="53" t="n">
        <f aca="false">IF(AR93&lt;0,AR86/-AR93,"")</f>
        <v>1.8815437824053</v>
      </c>
      <c r="AS102" s="53" t="n">
        <f aca="false">IF(AS93&lt;0,AS86/-AS93,"")</f>
        <v>1.8815437824053</v>
      </c>
      <c r="AT102" s="53" t="n">
        <f aca="false">IF(AT93&lt;0,AT86/-AT93,"")</f>
        <v>1.8815437824053</v>
      </c>
      <c r="AU102" s="53" t="n">
        <f aca="false">IF(AU93&lt;0,AU86/-AU93,"")</f>
        <v>1.8815437824053</v>
      </c>
      <c r="AV102" s="53" t="n">
        <f aca="false">IF(AV93&lt;0,AV86/-AV93,"")</f>
        <v>1.8815437824053</v>
      </c>
      <c r="AW102" s="53" t="n">
        <f aca="false">IF(AW93&lt;0,AW86/-AW93,"")</f>
        <v>1.8815437824053</v>
      </c>
      <c r="AX102" s="53" t="n">
        <f aca="false">IF(AX93&lt;0,AX86/-AX93,"")</f>
        <v>1.8815437824053</v>
      </c>
      <c r="AY102" s="53" t="n">
        <f aca="false">IF(AY93&lt;0,AY86/-AY93,"")</f>
        <v>1.8815437824053</v>
      </c>
      <c r="AZ102" s="53" t="n">
        <f aca="false">IF(AZ93&lt;0,AZ86/-AZ93,"")</f>
        <v>1.8815437824053</v>
      </c>
      <c r="BA102" s="53" t="n">
        <f aca="false">IF(BA93&lt;0,BA86/-BA93,"")</f>
        <v>1.8815437824053</v>
      </c>
      <c r="BB102" s="53" t="n">
        <f aca="false">IF(BB93&lt;0,BB86/-BB93,"")</f>
        <v>1.8815437824053</v>
      </c>
      <c r="BC102" s="53" t="n">
        <f aca="false">IF(BC93&lt;0,BC86/-BC93,"")</f>
        <v>1.8815437824053</v>
      </c>
      <c r="BD102" s="53" t="n">
        <f aca="false">IF(BD93&lt;0,BD86/-BD93,"")</f>
        <v>1.8815437824053</v>
      </c>
      <c r="BE102" s="53" t="n">
        <f aca="false">IF(BE93&lt;0,BE86/-BE93,"")</f>
        <v>1.8815437824053</v>
      </c>
      <c r="BF102" s="53" t="n">
        <f aca="false">IF(BF93&lt;0,BF86/-BF93,"")</f>
        <v>1.8815437824053</v>
      </c>
      <c r="BG102" s="53" t="n">
        <f aca="false">IF(BG93&lt;0,BG86/-BG93,"")</f>
        <v>1.8815437824053</v>
      </c>
      <c r="BH102" s="53" t="n">
        <f aca="false">IF(BH93&lt;0,BH86/-BH93,"")</f>
        <v>1.8815437824053</v>
      </c>
      <c r="BI102" s="53" t="n">
        <f aca="false">IF(BI93&lt;0,BI86/-BI93,"")</f>
        <v>1.8815437824053</v>
      </c>
      <c r="BJ102" s="53" t="n">
        <f aca="false">IF(BJ93&lt;0,BJ86/-BJ93,"")</f>
        <v>1.8815437824053</v>
      </c>
      <c r="BK102" s="53" t="n">
        <f aca="false">IF(BK93&lt;0,BK86/-BK93,"")</f>
        <v>1.8815437824053</v>
      </c>
      <c r="BL102" s="53" t="n">
        <f aca="false">IF(BL93&lt;0,BL86/-BL93,"")</f>
        <v>1.8815437824053</v>
      </c>
      <c r="BM102" s="53" t="n">
        <f aca="false">IF(BM93&lt;0,BM86/-BM93,"")</f>
        <v>1.8815437824053</v>
      </c>
      <c r="BN102" s="53" t="n">
        <f aca="false">IF(BN93&lt;0,BN86/-BN93,"")</f>
        <v>1.8815437824053</v>
      </c>
      <c r="BO102" s="53" t="n">
        <f aca="false">IF(BO93&lt;0,BO86/-BO93,"")</f>
        <v>1.8815437824053</v>
      </c>
      <c r="BP102" s="53" t="n">
        <f aca="false">IF(BP93&lt;0,BP86/-BP93,"")</f>
        <v>1.8815437824053</v>
      </c>
      <c r="BQ102" s="53" t="n">
        <f aca="false">IF(BQ93&lt;0,BQ86/-BQ93,"")</f>
        <v>1.8815437824053</v>
      </c>
      <c r="BR102" s="53" t="n">
        <f aca="false">IF(BR93&lt;0,BR86/-BR93,"")</f>
        <v>1.8815437824053</v>
      </c>
      <c r="BS102" s="53" t="n">
        <f aca="false">IF(BS93&lt;0,BS86/-BS93,"")</f>
        <v>1.8815437824053</v>
      </c>
      <c r="BT102" s="53" t="n">
        <f aca="false">IF(BT93&lt;0,BT86/-BT93,"")</f>
        <v>1.8815437824053</v>
      </c>
      <c r="BU102" s="53" t="n">
        <f aca="false">IF(BU93&lt;0,BU86/-BU93,"")</f>
        <v>1.8815437824053</v>
      </c>
      <c r="BV102" s="53" t="n">
        <f aca="false">IF(BV93&lt;0,BV86/-BV93,"")</f>
        <v>1.8815437824053</v>
      </c>
      <c r="BW102" s="53" t="n">
        <f aca="false">IF(BW93&lt;0,BW86/-BW93,"")</f>
        <v>1.8815437824053</v>
      </c>
      <c r="BX102" s="53" t="n">
        <f aca="false">IF(BX93&lt;0,BX86/-BX93,"")</f>
        <v>1.8815437824053</v>
      </c>
      <c r="BY102" s="53" t="n">
        <f aca="false">IF(BY93&lt;0,BY86/-BY93,"")</f>
        <v>1.8815437824053</v>
      </c>
      <c r="BZ102" s="53" t="n">
        <f aca="false">IF(BZ93&lt;0,BZ86/-BZ93,"")</f>
        <v>1.8815437824053</v>
      </c>
      <c r="CA102" s="53" t="n">
        <f aca="false">IF(CA93&lt;0,CA86/-CA93,"")</f>
        <v>1.8815437824053</v>
      </c>
      <c r="CB102" s="53" t="n">
        <f aca="false">IF(CB93&lt;0,CB86/-CB93,"")</f>
        <v>1.8815437824053</v>
      </c>
      <c r="CC102" s="53" t="n">
        <f aca="false">IF(CC93&lt;0,CC86/-CC93,"")</f>
        <v>1.8815437824053</v>
      </c>
      <c r="CD102" s="53" t="n">
        <f aca="false">IF(CD93&lt;0,CD86/-CD93,"")</f>
        <v>1.8815437824053</v>
      </c>
      <c r="CE102" s="53" t="n">
        <f aca="false">IF(CE93&lt;0,CE86/-CE93,"")</f>
        <v>1.8815437824053</v>
      </c>
      <c r="CF102" s="53" t="n">
        <f aca="false">IF(CF93&lt;0,CF86/-CF93,"")</f>
        <v>1.8815437824053</v>
      </c>
      <c r="CG102" s="53" t="n">
        <f aca="false">IF(CG93&lt;0,CG86/-CG93,"")</f>
        <v>1.8815437824053</v>
      </c>
      <c r="CH102" s="53" t="n">
        <f aca="false">IF(CH93&lt;0,CH86/-CH93,"")</f>
        <v>1.8815437824053</v>
      </c>
      <c r="CI102" s="53" t="n">
        <f aca="false">IF(CI93&lt;0,CI86/-CI93,"")</f>
        <v>1.8815437824053</v>
      </c>
      <c r="CJ102" s="53" t="n">
        <f aca="false">IF(CJ93&lt;0,CJ86/-CJ93,"")</f>
        <v>1.8815437824053</v>
      </c>
      <c r="CK102" s="53" t="n">
        <f aca="false">IF(CK93&lt;0,CK86/-CK93,"")</f>
        <v>1.8815437824053</v>
      </c>
      <c r="CL102" s="53" t="n">
        <f aca="false">IF(CL93&lt;0,CL86/-CL93,"")</f>
        <v>1.8815437824053</v>
      </c>
      <c r="CM102" s="53" t="n">
        <f aca="false">IF(CM93&lt;0,CM86/-CM93,"")</f>
        <v>1.8815437824053</v>
      </c>
      <c r="CN102" s="53" t="n">
        <f aca="false">IF(CN93&lt;0,CN86/-CN93,"")</f>
        <v>1.8815437824053</v>
      </c>
      <c r="CO102" s="53" t="n">
        <f aca="false">IF(CO93&lt;0,CO86/-CO93,"")</f>
        <v>1.8815437824053</v>
      </c>
      <c r="CP102" s="53" t="n">
        <f aca="false">IF(CP93&lt;0,CP86/-CP93,"")</f>
        <v>1.8815437824053</v>
      </c>
      <c r="CQ102" s="53" t="n">
        <f aca="false">IF(CQ93&lt;0,CQ86/-CQ93,"")</f>
        <v>1.8815437824053</v>
      </c>
      <c r="CR102" s="53" t="n">
        <f aca="false">IF(CR93&lt;0,CR86/-CR93,"")</f>
        <v>1.8815437824053</v>
      </c>
      <c r="CS102" s="53" t="n">
        <f aca="false">IF(CS93&lt;0,CS86/-CS93,"")</f>
        <v>1.8815437824053</v>
      </c>
      <c r="CT102" s="53" t="str">
        <f aca="false">IF(CT93&lt;0,CT86/-CT93,"")</f>
        <v/>
      </c>
      <c r="CU102" s="53" t="str">
        <f aca="false">IF(CU93&lt;0,CU86/-CU93,"")</f>
        <v/>
      </c>
      <c r="CV102" s="53" t="str">
        <f aca="false">IF(CV93&lt;0,CV86/-CV93,"")</f>
        <v/>
      </c>
      <c r="CW102" s="53" t="str">
        <f aca="false">IF(CW93&lt;0,CW86/-CW93,"")</f>
        <v/>
      </c>
      <c r="CX102" s="53" t="str">
        <f aca="false">IF(CX93&lt;0,CX86/-CX93,"")</f>
        <v/>
      </c>
      <c r="CY102" s="53" t="str">
        <f aca="false">IF(CY93&lt;0,CY86/-CY93,"")</f>
        <v/>
      </c>
      <c r="CZ102" s="53" t="str">
        <f aca="false">IF(CZ93&lt;0,CZ86/-CZ93,"")</f>
        <v/>
      </c>
      <c r="DA102" s="53" t="str">
        <f aca="false">IF(DA93&lt;0,DA86/-DA93,"")</f>
        <v/>
      </c>
      <c r="DB102" s="53" t="str">
        <f aca="false">IF(DB93&lt;0,DB86/-DB93,"")</f>
        <v/>
      </c>
      <c r="DC102" s="53" t="str">
        <f aca="false">IF(DC93&lt;0,DC86/-DC93,"")</f>
        <v/>
      </c>
      <c r="DD102" s="53" t="str">
        <f aca="false">IF(DD93&lt;0,DD86/-DD93,"")</f>
        <v/>
      </c>
      <c r="DE102" s="53" t="str">
        <f aca="false">IF(DE93&lt;0,DE86/-DE93,"")</f>
        <v/>
      </c>
      <c r="DF102" s="53" t="str">
        <f aca="false">IF(DF93&lt;0,DF86/-DF93,"")</f>
        <v/>
      </c>
      <c r="DG102" s="53" t="str">
        <f aca="false">IF(DG93&lt;0,DG86/-DG93,"")</f>
        <v/>
      </c>
      <c r="DH102" s="53" t="str">
        <f aca="false">IF(DH93&lt;0,DH86/-DH93,"")</f>
        <v/>
      </c>
      <c r="DI102" s="53" t="str">
        <f aca="false">IF(DI93&lt;0,DI86/-DI93,"")</f>
        <v/>
      </c>
      <c r="DJ102" s="53" t="str">
        <f aca="false">IF(DJ93&lt;0,DJ86/-DJ93,"")</f>
        <v/>
      </c>
      <c r="DK102" s="53" t="str">
        <f aca="false">IF(DK93&lt;0,DK86/-DK93,"")</f>
        <v/>
      </c>
      <c r="DL102" s="53" t="str">
        <f aca="false">IF(DL93&lt;0,DL86/-DL93,"")</f>
        <v/>
      </c>
      <c r="DM102" s="53" t="str">
        <f aca="false">IF(DM93&lt;0,DM86/-DM93,"")</f>
        <v/>
      </c>
      <c r="DN102" s="53" t="str">
        <f aca="false">IF(DN93&lt;0,DN86/-DN93,"")</f>
        <v/>
      </c>
      <c r="DO102" s="53" t="str">
        <f aca="false">IF(DO93&lt;0,DO86/-DO93,"")</f>
        <v/>
      </c>
      <c r="DP102" s="53" t="str">
        <f aca="false">IF(DP93&lt;0,DP86/-DP93,"")</f>
        <v/>
      </c>
      <c r="DQ102" s="53" t="str">
        <f aca="false">IF(DQ93&lt;0,DQ86/-DQ93,"")</f>
        <v/>
      </c>
      <c r="DR102" s="53" t="str">
        <f aca="false">IF(DR93&lt;0,DR86/-DR93,"")</f>
        <v/>
      </c>
      <c r="DS102" s="53" t="str">
        <f aca="false">IF(DS93&lt;0,DS86/-DS93,"")</f>
        <v/>
      </c>
      <c r="DT102" s="53" t="str">
        <f aca="false">IF(DT93&lt;0,DT86/-DT93,"")</f>
        <v/>
      </c>
      <c r="DU102" s="53" t="str">
        <f aca="false">IF(DU93&lt;0,DU86/-DU93,"")</f>
        <v/>
      </c>
      <c r="DV102" s="53" t="str">
        <f aca="false">IF(DV93&lt;0,DV86/-DV93,"")</f>
        <v/>
      </c>
      <c r="DW102" s="53" t="str">
        <f aca="false">IF(DW93&lt;0,DW86/-DW93,"")</f>
        <v/>
      </c>
      <c r="DX102" s="53" t="str">
        <f aca="false">IF(DX93&lt;0,DX86/-DX93,"")</f>
        <v/>
      </c>
      <c r="DY102" s="53" t="str">
        <f aca="false">IF(DY93&lt;0,DY86/-DY93,"")</f>
        <v/>
      </c>
      <c r="DZ102" s="53" t="str">
        <f aca="false">IF(DZ93&lt;0,DZ86/-DZ93,"")</f>
        <v/>
      </c>
      <c r="EA102" s="53" t="str">
        <f aca="false">IF(EA93&lt;0,EA86/-EA93,"")</f>
        <v/>
      </c>
      <c r="EB102" s="53" t="str">
        <f aca="false">IF(EB93&lt;0,EB86/-EB93,"")</f>
        <v/>
      </c>
      <c r="EC102" s="53" t="str">
        <f aca="false">IF(EC93&lt;0,EC86/-EC93,"")</f>
        <v/>
      </c>
      <c r="ED102" s="53" t="str">
        <f aca="false">IF(ED93&lt;0,ED86/-ED93,"")</f>
        <v/>
      </c>
      <c r="EE102" s="53" t="str">
        <f aca="false">IF(EE93&lt;0,EE86/-EE93,"")</f>
        <v/>
      </c>
      <c r="EF102" s="53" t="str">
        <f aca="false">IF(EF93&lt;0,EF86/-EF93,"")</f>
        <v/>
      </c>
      <c r="EG102" s="53" t="str">
        <f aca="false">IF(EG93&lt;0,EG86/-EG93,"")</f>
        <v/>
      </c>
      <c r="EH102" s="53" t="str">
        <f aca="false">IF(EH93&lt;0,EH86/-EH93,"")</f>
        <v/>
      </c>
      <c r="EI102" s="53" t="str">
        <f aca="false">IF(EI93&lt;0,EI86/-EI93,"")</f>
        <v/>
      </c>
      <c r="EJ102" s="53" t="str">
        <f aca="false">IF(EJ93&lt;0,EJ86/-EJ93,"")</f>
        <v/>
      </c>
      <c r="EK102" s="53" t="str">
        <f aca="false">IF(EK93&lt;0,EK86/-EK93,"")</f>
        <v/>
      </c>
      <c r="EL102" s="53" t="str">
        <f aca="false">IF(EL93&lt;0,EL86/-EL93,"")</f>
        <v/>
      </c>
      <c r="EM102" s="53" t="str">
        <f aca="false">IF(EM93&lt;0,EM86/-EM93,"")</f>
        <v/>
      </c>
      <c r="EN102" s="53" t="str">
        <f aca="false">IF(EN93&lt;0,EN86/-EN93,"")</f>
        <v/>
      </c>
      <c r="EO102" s="53" t="str">
        <f aca="false">IF(EO93&lt;0,EO86/-EO93,"")</f>
        <v/>
      </c>
    </row>
    <row r="104" customFormat="false" ht="15" hidden="false" customHeight="false" outlineLevel="0" collapsed="false">
      <c r="A104" s="9" t="s">
        <v>13</v>
      </c>
      <c r="B104" s="9"/>
      <c r="C104" s="9" t="s">
        <v>481</v>
      </c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</row>
    <row r="105" customFormat="false" ht="15" hidden="false" customHeight="false" outlineLevel="0" collapsed="false">
      <c r="C105" s="0" t="s">
        <v>482</v>
      </c>
      <c r="D105" s="11" t="s">
        <v>33</v>
      </c>
      <c r="E105" s="48" t="n">
        <f aca="false">$I96-($I67+$I57+$I68+$I54+$I47+$I48+$I49)</f>
        <v>111000.293925295</v>
      </c>
      <c r="I105" s="48" t="n">
        <f aca="false">SUM(J105:EO105)</f>
        <v>-111000.293925295</v>
      </c>
      <c r="J105" s="48" t="n">
        <f aca="false">-$E105*J20</f>
        <v>-0</v>
      </c>
      <c r="K105" s="48" t="n">
        <f aca="false">-$E105*K20</f>
        <v>-0</v>
      </c>
      <c r="L105" s="48" t="n">
        <f aca="false">-$E105*L20</f>
        <v>-0</v>
      </c>
      <c r="M105" s="48" t="n">
        <f aca="false">-$E105*M20</f>
        <v>-0</v>
      </c>
      <c r="N105" s="48" t="n">
        <f aca="false">-$E105*N20</f>
        <v>-0</v>
      </c>
      <c r="O105" s="48" t="n">
        <f aca="false">-$E105*O20</f>
        <v>-0</v>
      </c>
      <c r="P105" s="48" t="n">
        <f aca="false">-$E105*P20</f>
        <v>-0</v>
      </c>
      <c r="Q105" s="48" t="n">
        <f aca="false">-$E105*Q20</f>
        <v>-0</v>
      </c>
      <c r="R105" s="48" t="n">
        <f aca="false">-$E105*R20</f>
        <v>-0</v>
      </c>
      <c r="S105" s="48" t="n">
        <f aca="false">-$E105*S20</f>
        <v>-0</v>
      </c>
      <c r="T105" s="48" t="n">
        <f aca="false">-$E105*T20</f>
        <v>-0</v>
      </c>
      <c r="U105" s="48" t="n">
        <f aca="false">-$E105*U20</f>
        <v>-0</v>
      </c>
      <c r="V105" s="48" t="n">
        <f aca="false">-$E105*V20</f>
        <v>-0</v>
      </c>
      <c r="W105" s="48" t="n">
        <f aca="false">-$E105*W20</f>
        <v>-0</v>
      </c>
      <c r="X105" s="48" t="n">
        <f aca="false">-$E105*X20</f>
        <v>-0</v>
      </c>
      <c r="Y105" s="48" t="n">
        <f aca="false">-$E105*Y20</f>
        <v>-0</v>
      </c>
      <c r="Z105" s="48" t="n">
        <f aca="false">-$E105*Z20</f>
        <v>-1397.95031363821</v>
      </c>
      <c r="AA105" s="48" t="n">
        <f aca="false">-$E105*AA20</f>
        <v>-1367.56008942868</v>
      </c>
      <c r="AB105" s="48" t="n">
        <f aca="false">-$E105*AB20</f>
        <v>-1382.75520153344</v>
      </c>
      <c r="AC105" s="48" t="n">
        <f aca="false">-$E105*AC20</f>
        <v>-1397.95031363821</v>
      </c>
      <c r="AD105" s="48" t="n">
        <f aca="false">-$E105*AD20</f>
        <v>-1397.95031363821</v>
      </c>
      <c r="AE105" s="48" t="n">
        <f aca="false">-$E105*AE20</f>
        <v>-1382.75520153344</v>
      </c>
      <c r="AF105" s="48" t="n">
        <f aca="false">-$E105*AF20</f>
        <v>-1382.75520153344</v>
      </c>
      <c r="AG105" s="48" t="n">
        <f aca="false">-$E105*AG20</f>
        <v>-1397.95031363821</v>
      </c>
      <c r="AH105" s="48" t="n">
        <f aca="false">-$E105*AH20</f>
        <v>-1397.95031363821</v>
      </c>
      <c r="AI105" s="48" t="n">
        <f aca="false">-$E105*AI20</f>
        <v>-1367.56008942868</v>
      </c>
      <c r="AJ105" s="48" t="n">
        <f aca="false">-$E105*AJ20</f>
        <v>-1382.75520153344</v>
      </c>
      <c r="AK105" s="48" t="n">
        <f aca="false">-$E105*AK20</f>
        <v>-1397.95031363821</v>
      </c>
      <c r="AL105" s="48" t="n">
        <f aca="false">-$E105*AL20</f>
        <v>-1397.95031363821</v>
      </c>
      <c r="AM105" s="48" t="n">
        <f aca="false">-$E105*AM20</f>
        <v>-1367.56008942868</v>
      </c>
      <c r="AN105" s="48" t="n">
        <f aca="false">-$E105*AN20</f>
        <v>-1382.75520153344</v>
      </c>
      <c r="AO105" s="48" t="n">
        <f aca="false">-$E105*AO20</f>
        <v>-1397.95031363821</v>
      </c>
      <c r="AP105" s="48" t="n">
        <f aca="false">-$E105*AP20</f>
        <v>-1397.95031363821</v>
      </c>
      <c r="AQ105" s="48" t="n">
        <f aca="false">-$E105*AQ20</f>
        <v>-1367.56008942868</v>
      </c>
      <c r="AR105" s="48" t="n">
        <f aca="false">-$E105*AR20</f>
        <v>-1382.75520153344</v>
      </c>
      <c r="AS105" s="48" t="n">
        <f aca="false">-$E105*AS20</f>
        <v>-1397.95031363821</v>
      </c>
      <c r="AT105" s="48" t="n">
        <f aca="false">-$E105*AT20</f>
        <v>-1397.95031363821</v>
      </c>
      <c r="AU105" s="48" t="n">
        <f aca="false">-$E105*AU20</f>
        <v>-1382.75520153344</v>
      </c>
      <c r="AV105" s="48" t="n">
        <f aca="false">-$E105*AV20</f>
        <v>-1382.75520153344</v>
      </c>
      <c r="AW105" s="48" t="n">
        <f aca="false">-$E105*AW20</f>
        <v>-1397.95031363821</v>
      </c>
      <c r="AX105" s="48" t="n">
        <f aca="false">-$E105*AX20</f>
        <v>-1397.95031363821</v>
      </c>
      <c r="AY105" s="48" t="n">
        <f aca="false">-$E105*AY20</f>
        <v>-1367.56008942868</v>
      </c>
      <c r="AZ105" s="48" t="n">
        <f aca="false">-$E105*AZ20</f>
        <v>-1382.75520153344</v>
      </c>
      <c r="BA105" s="48" t="n">
        <f aca="false">-$E105*BA20</f>
        <v>-1397.95031363821</v>
      </c>
      <c r="BB105" s="48" t="n">
        <f aca="false">-$E105*BB20</f>
        <v>-1397.95031363821</v>
      </c>
      <c r="BC105" s="48" t="n">
        <f aca="false">-$E105*BC20</f>
        <v>-1367.56008942868</v>
      </c>
      <c r="BD105" s="48" t="n">
        <f aca="false">-$E105*BD20</f>
        <v>-1382.75520153344</v>
      </c>
      <c r="BE105" s="48" t="n">
        <f aca="false">-$E105*BE20</f>
        <v>-1397.95031363821</v>
      </c>
      <c r="BF105" s="48" t="n">
        <f aca="false">-$E105*BF20</f>
        <v>-1397.95031363821</v>
      </c>
      <c r="BG105" s="48" t="n">
        <f aca="false">-$E105*BG20</f>
        <v>-1367.56008942868</v>
      </c>
      <c r="BH105" s="48" t="n">
        <f aca="false">-$E105*BH20</f>
        <v>-1382.75520153344</v>
      </c>
      <c r="BI105" s="48" t="n">
        <f aca="false">-$E105*BI20</f>
        <v>-1397.95031363821</v>
      </c>
      <c r="BJ105" s="48" t="n">
        <f aca="false">-$E105*BJ20</f>
        <v>-1397.95031363821</v>
      </c>
      <c r="BK105" s="48" t="n">
        <f aca="false">-$E105*BK20</f>
        <v>-1382.75520153344</v>
      </c>
      <c r="BL105" s="48" t="n">
        <f aca="false">-$E105*BL20</f>
        <v>-1382.75520153344</v>
      </c>
      <c r="BM105" s="48" t="n">
        <f aca="false">-$E105*BM20</f>
        <v>-1397.95031363821</v>
      </c>
      <c r="BN105" s="48" t="n">
        <f aca="false">-$E105*BN20</f>
        <v>-1397.95031363821</v>
      </c>
      <c r="BO105" s="48" t="n">
        <f aca="false">-$E105*BO20</f>
        <v>-1367.56008942868</v>
      </c>
      <c r="BP105" s="48" t="n">
        <f aca="false">-$E105*BP20</f>
        <v>-1382.75520153344</v>
      </c>
      <c r="BQ105" s="48" t="n">
        <f aca="false">-$E105*BQ20</f>
        <v>-1397.95031363821</v>
      </c>
      <c r="BR105" s="48" t="n">
        <f aca="false">-$E105*BR20</f>
        <v>-1397.95031363821</v>
      </c>
      <c r="BS105" s="48" t="n">
        <f aca="false">-$E105*BS20</f>
        <v>-1367.56008942868</v>
      </c>
      <c r="BT105" s="48" t="n">
        <f aca="false">-$E105*BT20</f>
        <v>-1382.75520153344</v>
      </c>
      <c r="BU105" s="48" t="n">
        <f aca="false">-$E105*BU20</f>
        <v>-1397.95031363821</v>
      </c>
      <c r="BV105" s="48" t="n">
        <f aca="false">-$E105*BV20</f>
        <v>-1397.95031363821</v>
      </c>
      <c r="BW105" s="48" t="n">
        <f aca="false">-$E105*BW20</f>
        <v>-1367.56008942868</v>
      </c>
      <c r="BX105" s="48" t="n">
        <f aca="false">-$E105*BX20</f>
        <v>-1382.75520153344</v>
      </c>
      <c r="BY105" s="48" t="n">
        <f aca="false">-$E105*BY20</f>
        <v>-1397.95031363821</v>
      </c>
      <c r="BZ105" s="48" t="n">
        <f aca="false">-$E105*BZ20</f>
        <v>-1397.95031363821</v>
      </c>
      <c r="CA105" s="48" t="n">
        <f aca="false">-$E105*CA20</f>
        <v>-1382.75520153344</v>
      </c>
      <c r="CB105" s="48" t="n">
        <f aca="false">-$E105*CB20</f>
        <v>-1382.75520153344</v>
      </c>
      <c r="CC105" s="48" t="n">
        <f aca="false">-$E105*CC20</f>
        <v>-1397.95031363821</v>
      </c>
      <c r="CD105" s="48" t="n">
        <f aca="false">-$E105*CD20</f>
        <v>-1397.95031363821</v>
      </c>
      <c r="CE105" s="48" t="n">
        <f aca="false">-$E105*CE20</f>
        <v>-1367.56008942868</v>
      </c>
      <c r="CF105" s="48" t="n">
        <f aca="false">-$E105*CF20</f>
        <v>-1382.75520153344</v>
      </c>
      <c r="CG105" s="48" t="n">
        <f aca="false">-$E105*CG20</f>
        <v>-1397.95031363821</v>
      </c>
      <c r="CH105" s="48" t="n">
        <f aca="false">-$E105*CH20</f>
        <v>-1397.95031363821</v>
      </c>
      <c r="CI105" s="48" t="n">
        <f aca="false">-$E105*CI20</f>
        <v>-1367.56008942868</v>
      </c>
      <c r="CJ105" s="48" t="n">
        <f aca="false">-$E105*CJ20</f>
        <v>-1382.75520153344</v>
      </c>
      <c r="CK105" s="48" t="n">
        <f aca="false">-$E105*CK20</f>
        <v>-1397.95031363821</v>
      </c>
      <c r="CL105" s="48" t="n">
        <f aca="false">-$E105*CL20</f>
        <v>-1397.95031363821</v>
      </c>
      <c r="CM105" s="48" t="n">
        <f aca="false">-$E105*CM20</f>
        <v>-1367.56008942868</v>
      </c>
      <c r="CN105" s="48" t="n">
        <f aca="false">-$E105*CN20</f>
        <v>-1382.75520153344</v>
      </c>
      <c r="CO105" s="48" t="n">
        <f aca="false">-$E105*CO20</f>
        <v>-1397.95031363821</v>
      </c>
      <c r="CP105" s="48" t="n">
        <f aca="false">-$E105*CP20</f>
        <v>-1397.95031363821</v>
      </c>
      <c r="CQ105" s="48" t="n">
        <f aca="false">-$E105*CQ20</f>
        <v>-1382.75520153344</v>
      </c>
      <c r="CR105" s="48" t="n">
        <f aca="false">-$E105*CR20</f>
        <v>-1382.75520153344</v>
      </c>
      <c r="CS105" s="48" t="n">
        <f aca="false">-$E105*CS20</f>
        <v>-1397.95031363821</v>
      </c>
      <c r="CT105" s="48" t="n">
        <f aca="false">-$E105*CT20</f>
        <v>-1397.95031363821</v>
      </c>
      <c r="CU105" s="48" t="n">
        <f aca="false">-$E105*CU20</f>
        <v>-1367.56008942868</v>
      </c>
      <c r="CV105" s="48" t="n">
        <f aca="false">-$E105*CV20</f>
        <v>-1382.75520153344</v>
      </c>
      <c r="CW105" s="48" t="n">
        <f aca="false">-$E105*CW20</f>
        <v>-1397.95031363821</v>
      </c>
      <c r="CX105" s="48" t="n">
        <f aca="false">-$E105*CX20</f>
        <v>-1397.95031363821</v>
      </c>
      <c r="CY105" s="48" t="n">
        <f aca="false">-$E105*CY20</f>
        <v>-1367.56008942868</v>
      </c>
      <c r="CZ105" s="48" t="n">
        <f aca="false">-$E105*CZ20</f>
        <v>-1382.75520153344</v>
      </c>
      <c r="DA105" s="48" t="n">
        <f aca="false">-$E105*DA20</f>
        <v>-1397.95031363821</v>
      </c>
      <c r="DB105" s="48" t="n">
        <f aca="false">-$E105*DB20</f>
        <v>-0</v>
      </c>
      <c r="DC105" s="48" t="n">
        <f aca="false">-$E105*DC20</f>
        <v>-0</v>
      </c>
      <c r="DD105" s="48" t="n">
        <f aca="false">-$E105*DD20</f>
        <v>-0</v>
      </c>
      <c r="DE105" s="48" t="n">
        <f aca="false">-$E105*DE20</f>
        <v>-0</v>
      </c>
      <c r="DF105" s="48" t="n">
        <f aca="false">-$E105*DF20</f>
        <v>-0</v>
      </c>
      <c r="DG105" s="48" t="n">
        <f aca="false">-$E105*DG20</f>
        <v>-0</v>
      </c>
      <c r="DH105" s="48" t="n">
        <f aca="false">-$E105*DH20</f>
        <v>-0</v>
      </c>
      <c r="DI105" s="48" t="n">
        <f aca="false">-$E105*DI20</f>
        <v>-0</v>
      </c>
      <c r="DJ105" s="48" t="n">
        <f aca="false">-$E105*DJ20</f>
        <v>-0</v>
      </c>
      <c r="DK105" s="48" t="n">
        <f aca="false">-$E105*DK20</f>
        <v>-0</v>
      </c>
      <c r="DL105" s="48" t="n">
        <f aca="false">-$E105*DL20</f>
        <v>-0</v>
      </c>
      <c r="DM105" s="48" t="n">
        <f aca="false">-$E105*DM20</f>
        <v>-0</v>
      </c>
      <c r="DN105" s="48" t="n">
        <f aca="false">-$E105*DN20</f>
        <v>-0</v>
      </c>
      <c r="DO105" s="48" t="n">
        <f aca="false">-$E105*DO20</f>
        <v>-0</v>
      </c>
      <c r="DP105" s="48" t="n">
        <f aca="false">-$E105*DP20</f>
        <v>-0</v>
      </c>
      <c r="DQ105" s="48" t="n">
        <f aca="false">-$E105*DQ20</f>
        <v>-0</v>
      </c>
      <c r="DR105" s="48" t="n">
        <f aca="false">-$E105*DR20</f>
        <v>-0</v>
      </c>
      <c r="DS105" s="48" t="n">
        <f aca="false">-$E105*DS20</f>
        <v>-0</v>
      </c>
      <c r="DT105" s="48" t="n">
        <f aca="false">-$E105*DT20</f>
        <v>-0</v>
      </c>
      <c r="DU105" s="48" t="n">
        <f aca="false">-$E105*DU20</f>
        <v>-0</v>
      </c>
      <c r="DV105" s="48" t="n">
        <f aca="false">-$E105*DV20</f>
        <v>-0</v>
      </c>
      <c r="DW105" s="48" t="n">
        <f aca="false">-$E105*DW20</f>
        <v>-0</v>
      </c>
      <c r="DX105" s="48" t="n">
        <f aca="false">-$E105*DX20</f>
        <v>-0</v>
      </c>
      <c r="DY105" s="48" t="n">
        <f aca="false">-$E105*DY20</f>
        <v>-0</v>
      </c>
      <c r="DZ105" s="48" t="n">
        <f aca="false">-$E105*DZ20</f>
        <v>-0</v>
      </c>
      <c r="EA105" s="48" t="n">
        <f aca="false">-$E105*EA20</f>
        <v>-0</v>
      </c>
      <c r="EB105" s="48" t="n">
        <f aca="false">-$E105*EB20</f>
        <v>-0</v>
      </c>
      <c r="EC105" s="48" t="n">
        <f aca="false">-$E105*EC20</f>
        <v>-0</v>
      </c>
      <c r="ED105" s="48" t="n">
        <f aca="false">-$E105*ED20</f>
        <v>-0</v>
      </c>
      <c r="EE105" s="48" t="n">
        <f aca="false">-$E105*EE20</f>
        <v>-0</v>
      </c>
      <c r="EF105" s="48" t="n">
        <f aca="false">-$E105*EF20</f>
        <v>-0</v>
      </c>
      <c r="EG105" s="48" t="n">
        <f aca="false">-$E105*EG20</f>
        <v>-0</v>
      </c>
      <c r="EH105" s="48" t="n">
        <f aca="false">-$E105*EH20</f>
        <v>-0</v>
      </c>
      <c r="EI105" s="48" t="n">
        <f aca="false">-$E105*EI20</f>
        <v>-0</v>
      </c>
      <c r="EJ105" s="48" t="n">
        <f aca="false">-$E105*EJ20</f>
        <v>-0</v>
      </c>
      <c r="EK105" s="48" t="n">
        <f aca="false">-$E105*EK20</f>
        <v>-0</v>
      </c>
      <c r="EL105" s="48" t="n">
        <f aca="false">-$E105*EL20</f>
        <v>-0</v>
      </c>
      <c r="EM105" s="48" t="n">
        <f aca="false">-$E105*EM20</f>
        <v>-0</v>
      </c>
      <c r="EN105" s="48" t="n">
        <f aca="false">-$E105*EN20</f>
        <v>-0</v>
      </c>
      <c r="EO105" s="48" t="n">
        <f aca="false">-$E105*EO20</f>
        <v>-0</v>
      </c>
    </row>
    <row r="106" customFormat="false" ht="15" hidden="false" customHeight="false" outlineLevel="0" collapsed="false">
      <c r="C106" s="0" t="s">
        <v>483</v>
      </c>
      <c r="D106" s="11" t="s">
        <v>33</v>
      </c>
      <c r="I106" s="48" t="n">
        <f aca="false">SUM(J106:EO106)</f>
        <v>151138.423811464</v>
      </c>
      <c r="J106" s="48" t="n">
        <f aca="false">J82+J105+J92+J99+J100+J51+J58</f>
        <v>-12.8099380746857</v>
      </c>
      <c r="K106" s="48" t="n">
        <f aca="false">K82+K105+K92+K99+K100+K51+K58</f>
        <v>-19.6746856821167</v>
      </c>
      <c r="L106" s="48" t="n">
        <f aca="false">L82+L105+L92+L99+L100+L51+L58</f>
        <v>-33.1554888346782</v>
      </c>
      <c r="M106" s="48" t="n">
        <f aca="false">M82+M105+M92+M99+M100+M51+M58</f>
        <v>-33.5198348658285</v>
      </c>
      <c r="N106" s="48" t="n">
        <f aca="false">N82+N105+N92+N99+N100+N51+N58</f>
        <v>-33.5198348658285</v>
      </c>
      <c r="O106" s="48" t="n">
        <f aca="false">O82+O105+O92+O99+O100+O51+O58</f>
        <v>-33.1554888346782</v>
      </c>
      <c r="P106" s="48" t="n">
        <f aca="false">P82+P105+P92+P99+P100+P51+P58</f>
        <v>-33.1554888346782</v>
      </c>
      <c r="Q106" s="48" t="n">
        <f aca="false">Q82+Q105+Q92+Q99+Q100+Q51+Q58</f>
        <v>-33.5198348658285</v>
      </c>
      <c r="R106" s="48" t="n">
        <f aca="false">R82+R105+R92+R99+R100+R51+R58</f>
        <v>-1236.58958588379</v>
      </c>
      <c r="S106" s="48" t="n">
        <f aca="false">S82+S105+S92+S99+S100+S51+S58</f>
        <v>-185.573186146461</v>
      </c>
      <c r="T106" s="48" t="n">
        <f aca="false">T82+T105+T92+T99+T100+T51+T58</f>
        <v>-163.578834695637</v>
      </c>
      <c r="U106" s="48" t="n">
        <f aca="false">U82+U105+U92+U99+U100+U51+U58</f>
        <v>-151.073133340328</v>
      </c>
      <c r="V106" s="48" t="n">
        <f aca="false">V82+V105+V92+V99+V100+V51+V58</f>
        <v>-136.612683571141</v>
      </c>
      <c r="W106" s="48" t="n">
        <f aca="false">W82+W105+W92+W99+W100+W51+W58</f>
        <v>-120.538681631169</v>
      </c>
      <c r="X106" s="48" t="n">
        <f aca="false">X82+X105+X92+X99+X100+X51+X58</f>
        <v>-107.885670021815</v>
      </c>
      <c r="Y106" s="48" t="n">
        <f aca="false">Y82+Y105+Y92+Y99+Y100+Y51+Y58</f>
        <v>-94.7679558678927</v>
      </c>
      <c r="Z106" s="48" t="n">
        <f aca="false">Z82+Z105+Z92+Z99+Z100+Z51+Z58</f>
        <v>225.150576328414</v>
      </c>
      <c r="AA106" s="48" t="n">
        <f aca="false">AA82+AA105+AA92+AA99+AA100+AA51+AA58</f>
        <v>226.384117759787</v>
      </c>
      <c r="AB106" s="48" t="n">
        <f aca="false">AB82+AB105+AB92+AB99+AB100+AB51+AB58</f>
        <v>243.221588853519</v>
      </c>
      <c r="AC106" s="48" t="n">
        <f aca="false">AC82+AC105+AC92+AC99+AC100+AC51+AC58</f>
        <v>260.299732940569</v>
      </c>
      <c r="AD106" s="48" t="n">
        <f aca="false">AD82+AD105+AD92+AD99+AD100+AD51+AD58</f>
        <v>258.500374409033</v>
      </c>
      <c r="AE106" s="48" t="n">
        <f aca="false">AE82+AE105+AE92+AE99+AE100+AE51+AE58</f>
        <v>270.515618585971</v>
      </c>
      <c r="AF106" s="48" t="n">
        <f aca="false">AF82+AF105+AF92+AF99+AF100+AF51+AF58</f>
        <v>277.230497280355</v>
      </c>
      <c r="AG106" s="48" t="n">
        <f aca="false">AG82+AG105+AG92+AG99+AG100+AG51+AG58</f>
        <v>294.755226413688</v>
      </c>
      <c r="AH106" s="48" t="n">
        <f aca="false">AH82+AH105+AH92+AH99+AH100+AH51+AH58</f>
        <v>293.271343219463</v>
      </c>
      <c r="AI106" s="48" t="n">
        <f aca="false">AI82+AI105+AI92+AI99+AI100+AI51+AI58</f>
        <v>294.625250128017</v>
      </c>
      <c r="AJ106" s="48" t="n">
        <f aca="false">AJ82+AJ105+AJ92+AJ99+AJ100+AJ51+AJ58</f>
        <v>345.514001277229</v>
      </c>
      <c r="AK106" s="48" t="n">
        <f aca="false">AK82+AK105+AK92+AK99+AK100+AK51+AK58</f>
        <v>364.06583060879</v>
      </c>
      <c r="AL106" s="48" t="n">
        <f aca="false">AL82+AL105+AL92+AL99+AL100+AL51+AL58</f>
        <v>363.120421222166</v>
      </c>
      <c r="AM106" s="48" t="n">
        <f aca="false">AM82+AM105+AM92+AM99+AM100+AM51+AM58</f>
        <v>363.855750102514</v>
      </c>
      <c r="AN106" s="48" t="n">
        <f aca="false">AN82+AN105+AN92+AN99+AN100+AN51+AN58</f>
        <v>382.447725374465</v>
      </c>
      <c r="AO106" s="48" t="n">
        <f aca="false">AO82+AO105+AO92+AO99+AO100+AO51+AO58</f>
        <v>401.288626512867</v>
      </c>
      <c r="AP106" s="48" t="n">
        <f aca="false">AP82+AP105+AP92+AP99+AP100+AP51+AP58</f>
        <v>400.493976720877</v>
      </c>
      <c r="AQ106" s="48" t="n">
        <f aca="false">AQ82+AQ105+AQ92+AQ99+AQ100+AQ51+AQ58</f>
        <v>401.306712220983</v>
      </c>
      <c r="AR106" s="48" t="n">
        <f aca="false">AR82+AR105+AR92+AR99+AR100+AR51+AR58</f>
        <v>420.365221835856</v>
      </c>
      <c r="AS106" s="48" t="n">
        <f aca="false">AS82+AS105+AS92+AS99+AS100+AS51+AS58</f>
        <v>439.677581755533</v>
      </c>
      <c r="AT106" s="48" t="n">
        <f aca="false">AT82+AT105+AT92+AT99+AT100+AT51+AT58</f>
        <v>439.229585905544</v>
      </c>
      <c r="AU106" s="48" t="n">
        <f aca="false">AU82+AU105+AU92+AU99+AU100+AU51+AU58</f>
        <v>451.534043282927</v>
      </c>
      <c r="AV106" s="48" t="n">
        <f aca="false">AV82+AV105+AV92+AV99+AV100+AV51+AV58</f>
        <v>459.838903249868</v>
      </c>
      <c r="AW106" s="48" t="n">
        <f aca="false">AW82+AW105+AW92+AW99+AW100+AW51+AW58</f>
        <v>479.639497889959</v>
      </c>
      <c r="AX106" s="48" t="n">
        <f aca="false">AX82+AX105+AX92+AX99+AX100+AX51+AX58</f>
        <v>479.55737884241</v>
      </c>
      <c r="AY106" s="48" t="n">
        <f aca="false">AY82+AY105+AY92+AY99+AY100+AY51+AY58</f>
        <v>480.56992968762</v>
      </c>
      <c r="AZ106" s="48" t="n">
        <f aca="false">AZ82+AZ105+AZ92+AZ99+AZ100+AZ51+AZ58</f>
        <v>500.60821772214</v>
      </c>
      <c r="BA106" s="48" t="n">
        <f aca="false">BA82+BA105+BA92+BA99+BA100+BA51+BA58</f>
        <v>520.910785114716</v>
      </c>
      <c r="BB106" s="48" t="n">
        <f aca="false">BB82+BB105+BB92+BB99+BB100+BB51+BB58</f>
        <v>521.210783570466</v>
      </c>
      <c r="BC106" s="48" t="n">
        <f aca="false">BC82+BC105+BC92+BC99+BC100+BC51+BC58</f>
        <v>522.345341951193</v>
      </c>
      <c r="BD106" s="48" t="n">
        <f aca="false">BD82+BD105+BD92+BD99+BD100+BD51+BD58</f>
        <v>542.896366815254</v>
      </c>
      <c r="BE106" s="48" t="n">
        <f aca="false">BE82+BE105+BE92+BE99+BE100+BE51+BE58</f>
        <v>563.717170850271</v>
      </c>
      <c r="BF106" s="48" t="n">
        <f aca="false">BF82+BF105+BF92+BF99+BF100+BF51+BF58</f>
        <v>564.418175566389</v>
      </c>
      <c r="BG106" s="48" t="n">
        <f aca="false">BG82+BG105+BG92+BG99+BG100+BG51+BG58</f>
        <v>565.69109260251</v>
      </c>
      <c r="BH106" s="48" t="n">
        <f aca="false">BH82+BH105+BH92+BH99+BH100+BH51+BH58</f>
        <v>586.771652128406</v>
      </c>
      <c r="BI106" s="48" t="n">
        <f aca="false">BI82+BI105+BI92+BI99+BI100+BI51+BI58</f>
        <v>608.127699556138</v>
      </c>
      <c r="BJ106" s="48" t="n">
        <f aca="false">BJ82+BJ105+BJ92+BJ99+BJ100+BJ51+BJ58</f>
        <v>609.249446346948</v>
      </c>
      <c r="BK106" s="48" t="n">
        <f aca="false">BK82+BK105+BK92+BK99+BK100+BK51+BK58</f>
        <v>622.344682305699</v>
      </c>
      <c r="BL106" s="48" t="n">
        <f aca="false">BL82+BL105+BL92+BL99+BL100+BL51+BL58</f>
        <v>632.472378762476</v>
      </c>
      <c r="BM106" s="48" t="n">
        <f aca="false">BM82+BM105+BM92+BM99+BM100+BM51+BM58</f>
        <v>654.383373688095</v>
      </c>
      <c r="BN106" s="48" t="n">
        <f aca="false">BN82+BN105+BN92+BN99+BN100+BN51+BN58</f>
        <v>655.948424975127</v>
      </c>
      <c r="BO106" s="48" t="n">
        <f aca="false">BO82+BO105+BO92+BO99+BO100+BO51+BO58</f>
        <v>657.552371802414</v>
      </c>
      <c r="BP106" s="48" t="n">
        <f aca="false">BP82+BP105+BP92+BP99+BP100+BP51+BP58</f>
        <v>679.747492199659</v>
      </c>
      <c r="BQ106" s="48" t="n">
        <f aca="false">BQ82+BQ105+BQ92+BQ99+BQ100+BQ51+BQ58</f>
        <v>702.230205580387</v>
      </c>
      <c r="BR106" s="48" t="n">
        <f aca="false">BR82+BR105+BR92+BR99+BR100+BR51+BR58</f>
        <v>704.25825775516</v>
      </c>
      <c r="BS106" s="48" t="n">
        <f aca="false">BS82+BS105+BS92+BS99+BS100+BS51+BS58</f>
        <v>706.054748510674</v>
      </c>
      <c r="BT106" s="48" t="n">
        <f aca="false">BT82+BT105+BT92+BT99+BT100+BT51+BT58</f>
        <v>728.834651188246</v>
      </c>
      <c r="BU106" s="48" t="n">
        <f aca="false">BU82+BU105+BU92+BU99+BU100+BU51+BU58</f>
        <v>751.908541541248</v>
      </c>
      <c r="BV106" s="48" t="n">
        <f aca="false">BV82+BV105+BV92+BV99+BV100+BV51+BV58</f>
        <v>754.42211303253</v>
      </c>
      <c r="BW106" s="48" t="n">
        <f aca="false">BW82+BW105+BW92+BW99+BW100+BW51+BW58</f>
        <v>756.430995560756</v>
      </c>
      <c r="BX106" s="48" t="n">
        <f aca="false">BX82+BX105+BX92+BX99+BX100+BX51+BX58</f>
        <v>779.815784689938</v>
      </c>
      <c r="BY106" s="48" t="n">
        <f aca="false">BY82+BY105+BY92+BY99+BY100+BY51+BY58</f>
        <v>803.501205434038</v>
      </c>
      <c r="BZ106" s="48" t="n">
        <f aca="false">BZ82+BZ105+BZ92+BZ99+BZ100+BZ51+BZ58</f>
        <v>806.52382619676</v>
      </c>
      <c r="CA106" s="48" t="n">
        <f aca="false">CA82+CA105+CA92+CA99+CA100+CA51+CA58</f>
        <v>820.653360700981</v>
      </c>
      <c r="CB106" s="48" t="n">
        <f aca="false">CB82+CB105+CB92+CB99+CB100+CB51+CB58</f>
        <v>832.944707873298</v>
      </c>
      <c r="CC106" s="48" t="n">
        <f aca="false">CC82+CC105+CC92+CC99+CC100+CC51+CC58</f>
        <v>857.26488336353</v>
      </c>
      <c r="CD106" s="48" t="n">
        <f aca="false">CD82+CD105+CD92+CD99+CD100+CD51+CD58</f>
        <v>860.82309648253</v>
      </c>
      <c r="CE106" s="48" t="n">
        <f aca="false">CE82+CE105+CE92+CE99+CE100+CE51+CE58</f>
        <v>863.322238921159</v>
      </c>
      <c r="CF106" s="48" t="n">
        <f aca="false">CF82+CF105+CF92+CF99+CF100+CF51+CF58</f>
        <v>887.982863321075</v>
      </c>
      <c r="CG106" s="48" t="n">
        <f aca="false">CG82+CG105+CG92+CG99+CG100+CG51+CG58</f>
        <v>912.958223565647</v>
      </c>
      <c r="CH106" s="48" t="n">
        <f aca="false">CH82+CH105+CH92+CH99+CH100+CH51+CH58</f>
        <v>917.075857710763</v>
      </c>
      <c r="CI106" s="48" t="n">
        <f aca="false">CI82+CI105+CI92+CI99+CI100+CI51+CI58</f>
        <v>919.853075888122</v>
      </c>
      <c r="CJ106" s="48" t="n">
        <f aca="false">CJ82+CJ105+CJ92+CJ99+CJ100+CJ51+CJ58</f>
        <v>945.184728525082</v>
      </c>
      <c r="CK106" s="48" t="n">
        <f aca="false">CK82+CK105+CK92+CK99+CK100+CK51+CK58</f>
        <v>970.838579483654</v>
      </c>
      <c r="CL106" s="48" t="n">
        <f aca="false">CL82+CL105+CL92+CL99+CL100+CL51+CL58</f>
        <v>975.542487417078</v>
      </c>
      <c r="CM106" s="48" t="n">
        <f aca="false">CM82+CM105+CM92+CM99+CM100+CM51+CM58</f>
        <v>978.621824228481</v>
      </c>
      <c r="CN106" s="48" t="n">
        <f aca="false">CN82+CN105+CN92+CN99+CN100+CN51+CN58</f>
        <v>1004.64859133663</v>
      </c>
      <c r="CO106" s="48" t="n">
        <f aca="false">CO82+CO105+CO92+CO99+CO100+CO51+CO58</f>
        <v>1031.00531684553</v>
      </c>
      <c r="CP106" s="48" t="n">
        <f aca="false">CP82+CP105+CP92+CP99+CP100+CP51+CP58</f>
        <v>1036.32355971799</v>
      </c>
      <c r="CQ106" s="48" t="n">
        <f aca="false">CQ82+CQ105+CQ92+CQ99+CQ100+CQ51+CQ58</f>
        <v>1051.78574027081</v>
      </c>
      <c r="CR106" s="48" t="n">
        <f aca="false">CR82+CR105+CR92+CR99+CR100+CR51+CR58</f>
        <v>1066.64633946603</v>
      </c>
      <c r="CS106" s="48" t="n">
        <f aca="false">CS82+CS105+CS92+CS99+CS100+CS51+CS58</f>
        <v>1093.73339685605</v>
      </c>
      <c r="CT106" s="48" t="n">
        <f aca="false">CT82+CT105+CT92+CT99+CT100+CT51+CT58</f>
        <v>1099.69726591222</v>
      </c>
      <c r="CU106" s="48" t="n">
        <f aca="false">CU82+CU105+CU92+CU99+CU100+CU51+CU58</f>
        <v>1087.96250189823</v>
      </c>
      <c r="CV106" s="48" t="n">
        <f aca="false">CV82+CV105+CV92+CV99+CV100+CV51+CV58</f>
        <v>1100.05097414154</v>
      </c>
      <c r="CW106" s="48" t="n">
        <f aca="false">CW82+CW105+CW92+CW99+CW100+CW51+CW58</f>
        <v>1112.13944638485</v>
      </c>
      <c r="CX106" s="48" t="n">
        <f aca="false">CX82+CX105+CX92+CX99+CX100+CX51+CX58</f>
        <v>1102.67351832041</v>
      </c>
      <c r="CY106" s="48" t="n">
        <f aca="false">CY82+CY105+CY92+CY99+CY100+CY51+CY58</f>
        <v>1090.58155777033</v>
      </c>
      <c r="CZ106" s="48" t="n">
        <f aca="false">CZ82+CZ105+CZ92+CZ99+CZ100+CZ51+CZ58</f>
        <v>1102.69913063445</v>
      </c>
      <c r="DA106" s="48" t="n">
        <f aca="false">DA82+DA105+DA92+DA99+DA100+DA51+DA58</f>
        <v>1114.81670349856</v>
      </c>
      <c r="DB106" s="48" t="n">
        <f aca="false">DB82+DB105+DB92+DB99+DB100+DB51+DB58</f>
        <v>2503.24466583137</v>
      </c>
      <c r="DC106" s="48" t="n">
        <f aca="false">DC82+DC105+DC92+DC99+DC100+DC51+DC58</f>
        <v>2460.4018457948</v>
      </c>
      <c r="DD106" s="48" t="n">
        <f aca="false">DD82+DD105+DD92+DD99+DD100+DD51+DD58</f>
        <v>2487.7396440814</v>
      </c>
      <c r="DE106" s="48" t="n">
        <f aca="false">DE82+DE105+DE92+DE99+DE100+DE51+DE58</f>
        <v>2515.07744236801</v>
      </c>
      <c r="DF106" s="48" t="n">
        <f aca="false">DF82+DF105+DF92+DF99+DF100+DF51+DF58</f>
        <v>2505.49855853058</v>
      </c>
      <c r="DG106" s="48" t="n">
        <f aca="false">DG82+DG105+DG92+DG99+DG100+DG51+DG58</f>
        <v>2489.65041143909</v>
      </c>
      <c r="DH106" s="48" t="n">
        <f aca="false">DH82+DH105+DH92+DH99+DH100+DH51+DH58</f>
        <v>2489.65041143909</v>
      </c>
      <c r="DI106" s="48" t="n">
        <f aca="false">DI82+DI105+DI92+DI99+DI100+DI51+DI58</f>
        <v>2517.00920716919</v>
      </c>
      <c r="DJ106" s="48" t="n">
        <f aca="false">DJ82+DJ105+DJ92+DJ99+DJ100+DJ51+DJ58</f>
        <v>2507.37368674959</v>
      </c>
      <c r="DK106" s="48" t="n">
        <f aca="false">DK82+DK105+DK92+DK99+DK100+DK51+DK58</f>
        <v>2463.79908392978</v>
      </c>
      <c r="DL106" s="48" t="n">
        <f aca="false">DL82+DL105+DL92+DL99+DL100+DL51+DL58</f>
        <v>2491.17462930677</v>
      </c>
      <c r="DM106" s="48" t="n">
        <f aca="false">DM82+DM105+DM92+DM99+DM100+DM51+DM58</f>
        <v>2518.55017468377</v>
      </c>
      <c r="DN106" s="48" t="n">
        <f aca="false">DN82+DN105+DN92+DN99+DN100+DN51+DN58</f>
        <v>2508.85791904168</v>
      </c>
      <c r="DO106" s="48" t="n">
        <f aca="false">DO82+DO105+DO92+DO99+DO100+DO51+DO58</f>
        <v>2464.91206834605</v>
      </c>
      <c r="DP106" s="48" t="n">
        <f aca="false">DP82+DP105+DP92+DP99+DP100+DP51+DP58</f>
        <v>2492.29998021657</v>
      </c>
      <c r="DQ106" s="48" t="n">
        <f aca="false">DQ82+DQ105+DQ92+DQ99+DQ100+DQ51+DQ58</f>
        <v>2519.68789208708</v>
      </c>
      <c r="DR106" s="48" t="n">
        <f aca="false">DR82+DR105+DR92+DR99+DR100+DR51+DR58</f>
        <v>2509.93880816482</v>
      </c>
      <c r="DS106" s="48" t="n">
        <f aca="false">DS82+DS105+DS92+DS99+DS100+DS51+DS58</f>
        <v>2465.61807007058</v>
      </c>
      <c r="DT106" s="48" t="n">
        <f aca="false">DT82+DT105+DT92+DT99+DT100+DT51+DT58</f>
        <v>2493.0138264047</v>
      </c>
      <c r="DU106" s="48" t="n">
        <f aca="false">DU82+DU105+DU92+DU99+DU100+DU51+DU58</f>
        <v>2520.40958273882</v>
      </c>
      <c r="DV106" s="48" t="n">
        <f aca="false">DV82+DV105+DV92+DV99+DV100+DV51+DV58</f>
        <v>2510.60358323846</v>
      </c>
      <c r="DW106" s="48" t="n">
        <f aca="false">DW82+DW105+DW92+DW99+DW100+DW51+DW58</f>
        <v>2493.30320185874</v>
      </c>
      <c r="DX106" s="48" t="n">
        <f aca="false">DX82+DX105+DX92+DX99+DX100+DX51+DX58</f>
        <v>2493.30320185874</v>
      </c>
      <c r="DY106" s="48" t="n">
        <f aca="false">DY82+DY105+DY92+DY99+DY100+DY51+DY58</f>
        <v>2520.7021381429</v>
      </c>
      <c r="DZ106" s="48" t="n">
        <f aca="false">DZ82+DZ105+DZ92+DZ99+DZ100+DZ51+DZ58</f>
        <v>2510.83914170752</v>
      </c>
      <c r="EA106" s="48" t="n">
        <f aca="false">EA82+EA105+EA92+EA99+EA100+EA51+EA58</f>
        <v>2465.75749862902</v>
      </c>
      <c r="EB106" s="48" t="n">
        <f aca="false">EB82+EB105+EB92+EB99+EB100+EB51+EB58</f>
        <v>2493.15480416934</v>
      </c>
      <c r="EC106" s="48" t="n">
        <f aca="false">EC82+EC105+EC92+EC99+EC100+EC51+EC58</f>
        <v>2520.55210970967</v>
      </c>
      <c r="ED106" s="48" t="n">
        <f aca="false">ED82+ED105+ED92+ED99+ED100+ED51+ED58</f>
        <v>2510.63204110906</v>
      </c>
      <c r="EE106" s="48" t="n">
        <f aca="false">EE82+EE105+EE92+EE99+EE100+EE51+EE58</f>
        <v>2465.16427204806</v>
      </c>
      <c r="EF106" s="48" t="n">
        <f aca="false">EF82+EF105+EF92+EF99+EF100+EF51+EF58</f>
        <v>2492.55498618193</v>
      </c>
      <c r="EG106" s="48" t="n">
        <f aca="false">EG82+EG105+EG92+EG99+EG100+EG51+EG58</f>
        <v>2519.94570031579</v>
      </c>
      <c r="EH106" s="48" t="n">
        <f aca="false">EH82+EH105+EH92+EH99+EH100+EH51+EH58</f>
        <v>2509.96849063659</v>
      </c>
      <c r="EI106" s="48" t="n">
        <f aca="false">EI82+EI105+EI92+EI99+EI100+EI51+EI58</f>
        <v>2464.11073922955</v>
      </c>
      <c r="EJ106" s="48" t="n">
        <f aca="false">EJ82+EJ105+EJ92+EJ99+EJ100+EJ51+EJ58</f>
        <v>2491.48974744321</v>
      </c>
      <c r="EK106" s="48" t="n">
        <f aca="false">EK82+EK105+EK92+EK99+EK100+EK51+EK58</f>
        <v>2518.86875565688</v>
      </c>
      <c r="EL106" s="48" t="n">
        <f aca="false">EL82+EL105+EL92+EL99+EL100+EL51+EL58</f>
        <v>2508.83434249719</v>
      </c>
      <c r="EM106" s="48" t="n">
        <f aca="false">EM82+EM105+EM92+EM99+EM100+EM51+EM58</f>
        <v>2489.94472543768</v>
      </c>
      <c r="EN106" s="48" t="n">
        <f aca="false">EN82+EN105+EN92+EN99+EN100+EN51+EN58</f>
        <v>2489.94472543768</v>
      </c>
      <c r="EO106" s="48" t="n">
        <f aca="false">EO82+EO105+EO92+EO99+EO100+EO51+EO58</f>
        <v>2517.30675538754</v>
      </c>
    </row>
    <row r="107" customFormat="false" ht="15" hidden="false" customHeight="false" outlineLevel="0" collapsed="false">
      <c r="C107" s="0" t="s">
        <v>484</v>
      </c>
      <c r="D107" s="11" t="s">
        <v>33</v>
      </c>
      <c r="J107" s="18" t="n">
        <f aca="false">I111</f>
        <v>0</v>
      </c>
      <c r="K107" s="18" t="n">
        <f aca="false">J111</f>
        <v>12.8099380746857</v>
      </c>
      <c r="L107" s="18" t="n">
        <f aca="false">K111</f>
        <v>32.4846237568024</v>
      </c>
      <c r="M107" s="18" t="n">
        <f aca="false">L111</f>
        <v>65.6401125914806</v>
      </c>
      <c r="N107" s="18" t="n">
        <f aca="false">M111</f>
        <v>99.1599474573091</v>
      </c>
      <c r="O107" s="18" t="n">
        <f aca="false">N111</f>
        <v>132.679782323138</v>
      </c>
      <c r="P107" s="18" t="n">
        <f aca="false">O111</f>
        <v>165.835271157816</v>
      </c>
      <c r="Q107" s="18" t="n">
        <f aca="false">P111</f>
        <v>198.990759992494</v>
      </c>
      <c r="R107" s="18" t="n">
        <f aca="false">Q111</f>
        <v>232.510594858322</v>
      </c>
      <c r="S107" s="18" t="n">
        <f aca="false">R111</f>
        <v>1469.10018074212</v>
      </c>
      <c r="T107" s="18" t="n">
        <f aca="false">S111</f>
        <v>1654.67336688858</v>
      </c>
      <c r="U107" s="18" t="n">
        <f aca="false">T111</f>
        <v>1818.25220158421</v>
      </c>
      <c r="V107" s="18" t="n">
        <f aca="false">U111</f>
        <v>1969.32533492454</v>
      </c>
      <c r="W107" s="18" t="n">
        <f aca="false">V111</f>
        <v>2105.93801849568</v>
      </c>
      <c r="X107" s="18" t="n">
        <f aca="false">W111</f>
        <v>2226.47670012685</v>
      </c>
      <c r="Y107" s="18" t="n">
        <f aca="false">X111</f>
        <v>2334.36237014867</v>
      </c>
      <c r="Z107" s="18" t="n">
        <f aca="false">Y111</f>
        <v>2429.13032601656</v>
      </c>
      <c r="AA107" s="18" t="n">
        <f aca="false">Z111</f>
        <v>2316.55503785235</v>
      </c>
      <c r="AB107" s="18" t="n">
        <f aca="false">AA111</f>
        <v>2203.36297897246</v>
      </c>
      <c r="AC107" s="18" t="n">
        <f aca="false">AB111</f>
        <v>2081.7521845457</v>
      </c>
      <c r="AD107" s="18" t="n">
        <f aca="false">AC111</f>
        <v>1951.60231807541</v>
      </c>
      <c r="AE107" s="18" t="n">
        <f aca="false">AD111</f>
        <v>1822.3521308709</v>
      </c>
      <c r="AF107" s="18" t="n">
        <f aca="false">AE111</f>
        <v>1687.09432157791</v>
      </c>
      <c r="AG107" s="18" t="n">
        <f aca="false">AF111</f>
        <v>1548.47907293773</v>
      </c>
      <c r="AH107" s="18" t="n">
        <f aca="false">AG111</f>
        <v>1401.10145973089</v>
      </c>
      <c r="AI107" s="18" t="n">
        <f aca="false">AH111</f>
        <v>1254.46578812116</v>
      </c>
      <c r="AJ107" s="18" t="n">
        <f aca="false">AI111</f>
        <v>1107.15316305715</v>
      </c>
      <c r="AK107" s="18" t="n">
        <f aca="false">AJ111</f>
        <v>934.396162418536</v>
      </c>
      <c r="AL107" s="18" t="n">
        <f aca="false">AK111</f>
        <v>0</v>
      </c>
      <c r="AM107" s="18" t="n">
        <f aca="false">AL111</f>
        <v>0</v>
      </c>
      <c r="AN107" s="18" t="n">
        <f aca="false">AM111</f>
        <v>0</v>
      </c>
      <c r="AO107" s="18" t="n">
        <f aca="false">AN111</f>
        <v>0</v>
      </c>
      <c r="AP107" s="18" t="n">
        <f aca="false">AO111</f>
        <v>0</v>
      </c>
      <c r="AQ107" s="18" t="n">
        <f aca="false">AP111</f>
        <v>0</v>
      </c>
      <c r="AR107" s="18" t="n">
        <f aca="false">AQ111</f>
        <v>0</v>
      </c>
      <c r="AS107" s="18" t="n">
        <f aca="false">AR111</f>
        <v>0</v>
      </c>
      <c r="AT107" s="18" t="n">
        <f aca="false">AS111</f>
        <v>0</v>
      </c>
      <c r="AU107" s="18" t="n">
        <f aca="false">AT111</f>
        <v>0</v>
      </c>
      <c r="AV107" s="18" t="n">
        <f aca="false">AU111</f>
        <v>0</v>
      </c>
      <c r="AW107" s="18" t="n">
        <f aca="false">AV111</f>
        <v>0</v>
      </c>
      <c r="AX107" s="18" t="n">
        <f aca="false">AW111</f>
        <v>0</v>
      </c>
      <c r="AY107" s="18" t="n">
        <f aca="false">AX111</f>
        <v>0</v>
      </c>
      <c r="AZ107" s="18" t="n">
        <f aca="false">AY111</f>
        <v>0</v>
      </c>
      <c r="BA107" s="18" t="n">
        <f aca="false">AZ111</f>
        <v>0</v>
      </c>
      <c r="BB107" s="18" t="n">
        <f aca="false">BA111</f>
        <v>0</v>
      </c>
      <c r="BC107" s="18" t="n">
        <f aca="false">BB111</f>
        <v>0</v>
      </c>
      <c r="BD107" s="18" t="n">
        <f aca="false">BC111</f>
        <v>0</v>
      </c>
      <c r="BE107" s="18" t="n">
        <f aca="false">BD111</f>
        <v>0</v>
      </c>
      <c r="BF107" s="18" t="n">
        <f aca="false">BE111</f>
        <v>0</v>
      </c>
      <c r="BG107" s="18" t="n">
        <f aca="false">BF111</f>
        <v>0</v>
      </c>
      <c r="BH107" s="18" t="n">
        <f aca="false">BG111</f>
        <v>0</v>
      </c>
      <c r="BI107" s="18" t="n">
        <f aca="false">BH111</f>
        <v>0</v>
      </c>
      <c r="BJ107" s="18" t="n">
        <f aca="false">BI111</f>
        <v>0</v>
      </c>
      <c r="BK107" s="18" t="n">
        <f aca="false">BJ111</f>
        <v>0</v>
      </c>
      <c r="BL107" s="18" t="n">
        <f aca="false">BK111</f>
        <v>0</v>
      </c>
      <c r="BM107" s="18" t="n">
        <f aca="false">BL111</f>
        <v>0</v>
      </c>
      <c r="BN107" s="18" t="n">
        <f aca="false">BM111</f>
        <v>0</v>
      </c>
      <c r="BO107" s="18" t="n">
        <f aca="false">BN111</f>
        <v>0</v>
      </c>
      <c r="BP107" s="18" t="n">
        <f aca="false">BO111</f>
        <v>0</v>
      </c>
      <c r="BQ107" s="18" t="n">
        <f aca="false">BP111</f>
        <v>0</v>
      </c>
      <c r="BR107" s="18" t="n">
        <f aca="false">BQ111</f>
        <v>0</v>
      </c>
      <c r="BS107" s="18" t="n">
        <f aca="false">BR111</f>
        <v>0</v>
      </c>
      <c r="BT107" s="18" t="n">
        <f aca="false">BS111</f>
        <v>0</v>
      </c>
      <c r="BU107" s="18" t="n">
        <f aca="false">BT111</f>
        <v>0</v>
      </c>
      <c r="BV107" s="18" t="n">
        <f aca="false">BU111</f>
        <v>0</v>
      </c>
      <c r="BW107" s="18" t="n">
        <f aca="false">BV111</f>
        <v>0</v>
      </c>
      <c r="BX107" s="18" t="n">
        <f aca="false">BW111</f>
        <v>0</v>
      </c>
      <c r="BY107" s="18" t="n">
        <f aca="false">BX111</f>
        <v>0</v>
      </c>
      <c r="BZ107" s="18" t="n">
        <f aca="false">BY111</f>
        <v>0</v>
      </c>
      <c r="CA107" s="18" t="n">
        <f aca="false">BZ111</f>
        <v>0</v>
      </c>
      <c r="CB107" s="18" t="n">
        <f aca="false">CA111</f>
        <v>0</v>
      </c>
      <c r="CC107" s="18" t="n">
        <f aca="false">CB111</f>
        <v>0</v>
      </c>
      <c r="CD107" s="18" t="n">
        <f aca="false">CC111</f>
        <v>0</v>
      </c>
      <c r="CE107" s="18" t="n">
        <f aca="false">CD111</f>
        <v>0</v>
      </c>
      <c r="CF107" s="18" t="n">
        <f aca="false">CE111</f>
        <v>0</v>
      </c>
      <c r="CG107" s="18" t="n">
        <f aca="false">CF111</f>
        <v>0</v>
      </c>
      <c r="CH107" s="18" t="n">
        <f aca="false">CG111</f>
        <v>0</v>
      </c>
      <c r="CI107" s="18" t="n">
        <f aca="false">CH111</f>
        <v>0</v>
      </c>
      <c r="CJ107" s="18" t="n">
        <f aca="false">CI111</f>
        <v>0</v>
      </c>
      <c r="CK107" s="18" t="n">
        <f aca="false">CJ111</f>
        <v>0</v>
      </c>
      <c r="CL107" s="18" t="n">
        <f aca="false">CK111</f>
        <v>0</v>
      </c>
      <c r="CM107" s="18" t="n">
        <f aca="false">CL111</f>
        <v>0</v>
      </c>
      <c r="CN107" s="18" t="n">
        <f aca="false">CM111</f>
        <v>0</v>
      </c>
      <c r="CO107" s="18" t="n">
        <f aca="false">CN111</f>
        <v>0</v>
      </c>
      <c r="CP107" s="18" t="n">
        <f aca="false">CO111</f>
        <v>0</v>
      </c>
      <c r="CQ107" s="18" t="n">
        <f aca="false">CP111</f>
        <v>0</v>
      </c>
      <c r="CR107" s="18" t="n">
        <f aca="false">CQ111</f>
        <v>0</v>
      </c>
      <c r="CS107" s="18" t="n">
        <f aca="false">CR111</f>
        <v>0</v>
      </c>
      <c r="CT107" s="18" t="n">
        <f aca="false">CS111</f>
        <v>0</v>
      </c>
      <c r="CU107" s="18" t="n">
        <f aca="false">CT111</f>
        <v>0</v>
      </c>
      <c r="CV107" s="18" t="n">
        <f aca="false">CU111</f>
        <v>0</v>
      </c>
      <c r="CW107" s="18" t="n">
        <f aca="false">CV111</f>
        <v>0</v>
      </c>
      <c r="CX107" s="18" t="n">
        <f aca="false">CW111</f>
        <v>0</v>
      </c>
      <c r="CY107" s="18" t="n">
        <f aca="false">CX111</f>
        <v>0</v>
      </c>
      <c r="CZ107" s="18" t="n">
        <f aca="false">CY111</f>
        <v>0</v>
      </c>
      <c r="DA107" s="18" t="n">
        <f aca="false">CZ111</f>
        <v>0</v>
      </c>
      <c r="DB107" s="18" t="n">
        <f aca="false">DA111</f>
        <v>0</v>
      </c>
      <c r="DC107" s="18" t="n">
        <f aca="false">DB111</f>
        <v>0</v>
      </c>
      <c r="DD107" s="18" t="n">
        <f aca="false">DC111</f>
        <v>0</v>
      </c>
      <c r="DE107" s="18" t="n">
        <f aca="false">DD111</f>
        <v>0</v>
      </c>
      <c r="DF107" s="18" t="n">
        <f aca="false">DE111</f>
        <v>0</v>
      </c>
      <c r="DG107" s="18" t="n">
        <f aca="false">DF111</f>
        <v>0</v>
      </c>
      <c r="DH107" s="18" t="n">
        <f aca="false">DG111</f>
        <v>0</v>
      </c>
      <c r="DI107" s="18" t="n">
        <f aca="false">DH111</f>
        <v>0</v>
      </c>
      <c r="DJ107" s="18" t="n">
        <f aca="false">DI111</f>
        <v>0</v>
      </c>
      <c r="DK107" s="18" t="n">
        <f aca="false">DJ111</f>
        <v>0</v>
      </c>
      <c r="DL107" s="18" t="n">
        <f aca="false">DK111</f>
        <v>0</v>
      </c>
      <c r="DM107" s="18" t="n">
        <f aca="false">DL111</f>
        <v>0</v>
      </c>
      <c r="DN107" s="18" t="n">
        <f aca="false">DM111</f>
        <v>0</v>
      </c>
      <c r="DO107" s="18" t="n">
        <f aca="false">DN111</f>
        <v>0</v>
      </c>
      <c r="DP107" s="18" t="n">
        <f aca="false">DO111</f>
        <v>0</v>
      </c>
      <c r="DQ107" s="18" t="n">
        <f aca="false">DP111</f>
        <v>0</v>
      </c>
      <c r="DR107" s="18" t="n">
        <f aca="false">DQ111</f>
        <v>0</v>
      </c>
      <c r="DS107" s="18" t="n">
        <f aca="false">DR111</f>
        <v>0</v>
      </c>
      <c r="DT107" s="18" t="n">
        <f aca="false">DS111</f>
        <v>0</v>
      </c>
      <c r="DU107" s="18" t="n">
        <f aca="false">DT111</f>
        <v>0</v>
      </c>
      <c r="DV107" s="18" t="n">
        <f aca="false">DU111</f>
        <v>0</v>
      </c>
      <c r="DW107" s="18" t="n">
        <f aca="false">DV111</f>
        <v>0</v>
      </c>
      <c r="DX107" s="18" t="n">
        <f aca="false">DW111</f>
        <v>0</v>
      </c>
      <c r="DY107" s="18" t="n">
        <f aca="false">DX111</f>
        <v>0</v>
      </c>
      <c r="DZ107" s="18" t="n">
        <f aca="false">DY111</f>
        <v>0</v>
      </c>
      <c r="EA107" s="18" t="n">
        <f aca="false">DZ111</f>
        <v>0</v>
      </c>
      <c r="EB107" s="18" t="n">
        <f aca="false">EA111</f>
        <v>0</v>
      </c>
      <c r="EC107" s="18" t="n">
        <f aca="false">EB111</f>
        <v>0</v>
      </c>
      <c r="ED107" s="18" t="n">
        <f aca="false">EC111</f>
        <v>0</v>
      </c>
      <c r="EE107" s="18" t="n">
        <f aca="false">ED111</f>
        <v>0</v>
      </c>
      <c r="EF107" s="18" t="n">
        <f aca="false">EE111</f>
        <v>0</v>
      </c>
      <c r="EG107" s="18" t="n">
        <f aca="false">EF111</f>
        <v>0</v>
      </c>
      <c r="EH107" s="18" t="n">
        <f aca="false">EG111</f>
        <v>0</v>
      </c>
      <c r="EI107" s="18" t="n">
        <f aca="false">EH111</f>
        <v>0</v>
      </c>
      <c r="EJ107" s="18" t="n">
        <f aca="false">EI111</f>
        <v>0</v>
      </c>
      <c r="EK107" s="18" t="n">
        <f aca="false">EJ111</f>
        <v>0</v>
      </c>
      <c r="EL107" s="18" t="n">
        <f aca="false">EK111</f>
        <v>0</v>
      </c>
      <c r="EM107" s="18" t="n">
        <f aca="false">EL111</f>
        <v>0</v>
      </c>
      <c r="EN107" s="18" t="n">
        <f aca="false">EM111</f>
        <v>0</v>
      </c>
      <c r="EO107" s="18" t="n">
        <f aca="false">EN111</f>
        <v>0</v>
      </c>
    </row>
    <row r="108" customFormat="false" ht="15" hidden="false" customHeight="false" outlineLevel="0" collapsed="false">
      <c r="C108" s="0" t="s">
        <v>485</v>
      </c>
      <c r="D108" s="11" t="s">
        <v>33</v>
      </c>
      <c r="I108" s="48" t="n">
        <f aca="false">SUM(J108:EO108)</f>
        <v>2429.13032601656</v>
      </c>
      <c r="J108" s="48" t="n">
        <f aca="false">MAX(0,-J106)</f>
        <v>12.8099380746857</v>
      </c>
      <c r="K108" s="48" t="n">
        <f aca="false">MAX(0,-K106)</f>
        <v>19.6746856821167</v>
      </c>
      <c r="L108" s="48" t="n">
        <f aca="false">MAX(0,-L106)</f>
        <v>33.1554888346782</v>
      </c>
      <c r="M108" s="48" t="n">
        <f aca="false">MAX(0,-M106)</f>
        <v>33.5198348658285</v>
      </c>
      <c r="N108" s="48" t="n">
        <f aca="false">MAX(0,-N106)</f>
        <v>33.5198348658285</v>
      </c>
      <c r="O108" s="48" t="n">
        <f aca="false">MAX(0,-O106)</f>
        <v>33.1554888346782</v>
      </c>
      <c r="P108" s="48" t="n">
        <f aca="false">MAX(0,-P106)</f>
        <v>33.1554888346782</v>
      </c>
      <c r="Q108" s="48" t="n">
        <f aca="false">MAX(0,-Q106)</f>
        <v>33.5198348658285</v>
      </c>
      <c r="R108" s="48" t="n">
        <f aca="false">MAX(0,-R106)</f>
        <v>1236.58958588379</v>
      </c>
      <c r="S108" s="48" t="n">
        <f aca="false">MAX(0,-S106)</f>
        <v>185.573186146461</v>
      </c>
      <c r="T108" s="48" t="n">
        <f aca="false">MAX(0,-T106)</f>
        <v>163.578834695637</v>
      </c>
      <c r="U108" s="48" t="n">
        <f aca="false">MAX(0,-U106)</f>
        <v>151.073133340328</v>
      </c>
      <c r="V108" s="48" t="n">
        <f aca="false">MAX(0,-V106)</f>
        <v>136.612683571141</v>
      </c>
      <c r="W108" s="48" t="n">
        <f aca="false">MAX(0,-W106)</f>
        <v>120.538681631169</v>
      </c>
      <c r="X108" s="48" t="n">
        <f aca="false">MAX(0,-X106)</f>
        <v>107.885670021815</v>
      </c>
      <c r="Y108" s="48" t="n">
        <f aca="false">MAX(0,-Y106)</f>
        <v>94.7679558678927</v>
      </c>
      <c r="Z108" s="48" t="n">
        <f aca="false">MAX(0,-Z106)</f>
        <v>0</v>
      </c>
      <c r="AA108" s="48" t="n">
        <f aca="false">MAX(0,-AA106)</f>
        <v>0</v>
      </c>
      <c r="AB108" s="48" t="n">
        <f aca="false">MAX(0,-AB106)</f>
        <v>0</v>
      </c>
      <c r="AC108" s="48" t="n">
        <f aca="false">MAX(0,-AC106)</f>
        <v>0</v>
      </c>
      <c r="AD108" s="48" t="n">
        <f aca="false">MAX(0,-AD106)</f>
        <v>0</v>
      </c>
      <c r="AE108" s="48" t="n">
        <f aca="false">MAX(0,-AE106)</f>
        <v>0</v>
      </c>
      <c r="AF108" s="48" t="n">
        <f aca="false">MAX(0,-AF106)</f>
        <v>0</v>
      </c>
      <c r="AG108" s="48" t="n">
        <f aca="false">MAX(0,-AG106)</f>
        <v>0</v>
      </c>
      <c r="AH108" s="48" t="n">
        <f aca="false">MAX(0,-AH106)</f>
        <v>0</v>
      </c>
      <c r="AI108" s="48" t="n">
        <f aca="false">MAX(0,-AI106)</f>
        <v>0</v>
      </c>
      <c r="AJ108" s="48" t="n">
        <f aca="false">MAX(0,-AJ106)</f>
        <v>0</v>
      </c>
      <c r="AK108" s="48" t="n">
        <f aca="false">MAX(0,-AK106)</f>
        <v>0</v>
      </c>
      <c r="AL108" s="48" t="n">
        <f aca="false">MAX(0,-AL106)</f>
        <v>0</v>
      </c>
      <c r="AM108" s="48" t="n">
        <f aca="false">MAX(0,-AM106)</f>
        <v>0</v>
      </c>
      <c r="AN108" s="48" t="n">
        <f aca="false">MAX(0,-AN106)</f>
        <v>0</v>
      </c>
      <c r="AO108" s="48" t="n">
        <f aca="false">MAX(0,-AO106)</f>
        <v>0</v>
      </c>
      <c r="AP108" s="48" t="n">
        <f aca="false">MAX(0,-AP106)</f>
        <v>0</v>
      </c>
      <c r="AQ108" s="48" t="n">
        <f aca="false">MAX(0,-AQ106)</f>
        <v>0</v>
      </c>
      <c r="AR108" s="48" t="n">
        <f aca="false">MAX(0,-AR106)</f>
        <v>0</v>
      </c>
      <c r="AS108" s="48" t="n">
        <f aca="false">MAX(0,-AS106)</f>
        <v>0</v>
      </c>
      <c r="AT108" s="48" t="n">
        <f aca="false">MAX(0,-AT106)</f>
        <v>0</v>
      </c>
      <c r="AU108" s="48" t="n">
        <f aca="false">MAX(0,-AU106)</f>
        <v>0</v>
      </c>
      <c r="AV108" s="48" t="n">
        <f aca="false">MAX(0,-AV106)</f>
        <v>0</v>
      </c>
      <c r="AW108" s="48" t="n">
        <f aca="false">MAX(0,-AW106)</f>
        <v>0</v>
      </c>
      <c r="AX108" s="48" t="n">
        <f aca="false">MAX(0,-AX106)</f>
        <v>0</v>
      </c>
      <c r="AY108" s="48" t="n">
        <f aca="false">MAX(0,-AY106)</f>
        <v>0</v>
      </c>
      <c r="AZ108" s="48" t="n">
        <f aca="false">MAX(0,-AZ106)</f>
        <v>0</v>
      </c>
      <c r="BA108" s="48" t="n">
        <f aca="false">MAX(0,-BA106)</f>
        <v>0</v>
      </c>
      <c r="BB108" s="48" t="n">
        <f aca="false">MAX(0,-BB106)</f>
        <v>0</v>
      </c>
      <c r="BC108" s="48" t="n">
        <f aca="false">MAX(0,-BC106)</f>
        <v>0</v>
      </c>
      <c r="BD108" s="48" t="n">
        <f aca="false">MAX(0,-BD106)</f>
        <v>0</v>
      </c>
      <c r="BE108" s="48" t="n">
        <f aca="false">MAX(0,-BE106)</f>
        <v>0</v>
      </c>
      <c r="BF108" s="48" t="n">
        <f aca="false">MAX(0,-BF106)</f>
        <v>0</v>
      </c>
      <c r="BG108" s="48" t="n">
        <f aca="false">MAX(0,-BG106)</f>
        <v>0</v>
      </c>
      <c r="BH108" s="48" t="n">
        <f aca="false">MAX(0,-BH106)</f>
        <v>0</v>
      </c>
      <c r="BI108" s="48" t="n">
        <f aca="false">MAX(0,-BI106)</f>
        <v>0</v>
      </c>
      <c r="BJ108" s="48" t="n">
        <f aca="false">MAX(0,-BJ106)</f>
        <v>0</v>
      </c>
      <c r="BK108" s="48" t="n">
        <f aca="false">MAX(0,-BK106)</f>
        <v>0</v>
      </c>
      <c r="BL108" s="48" t="n">
        <f aca="false">MAX(0,-BL106)</f>
        <v>0</v>
      </c>
      <c r="BM108" s="48" t="n">
        <f aca="false">MAX(0,-BM106)</f>
        <v>0</v>
      </c>
      <c r="BN108" s="48" t="n">
        <f aca="false">MAX(0,-BN106)</f>
        <v>0</v>
      </c>
      <c r="BO108" s="48" t="n">
        <f aca="false">MAX(0,-BO106)</f>
        <v>0</v>
      </c>
      <c r="BP108" s="48" t="n">
        <f aca="false">MAX(0,-BP106)</f>
        <v>0</v>
      </c>
      <c r="BQ108" s="48" t="n">
        <f aca="false">MAX(0,-BQ106)</f>
        <v>0</v>
      </c>
      <c r="BR108" s="48" t="n">
        <f aca="false">MAX(0,-BR106)</f>
        <v>0</v>
      </c>
      <c r="BS108" s="48" t="n">
        <f aca="false">MAX(0,-BS106)</f>
        <v>0</v>
      </c>
      <c r="BT108" s="48" t="n">
        <f aca="false">MAX(0,-BT106)</f>
        <v>0</v>
      </c>
      <c r="BU108" s="48" t="n">
        <f aca="false">MAX(0,-BU106)</f>
        <v>0</v>
      </c>
      <c r="BV108" s="48" t="n">
        <f aca="false">MAX(0,-BV106)</f>
        <v>0</v>
      </c>
      <c r="BW108" s="48" t="n">
        <f aca="false">MAX(0,-BW106)</f>
        <v>0</v>
      </c>
      <c r="BX108" s="48" t="n">
        <f aca="false">MAX(0,-BX106)</f>
        <v>0</v>
      </c>
      <c r="BY108" s="48" t="n">
        <f aca="false">MAX(0,-BY106)</f>
        <v>0</v>
      </c>
      <c r="BZ108" s="48" t="n">
        <f aca="false">MAX(0,-BZ106)</f>
        <v>0</v>
      </c>
      <c r="CA108" s="48" t="n">
        <f aca="false">MAX(0,-CA106)</f>
        <v>0</v>
      </c>
      <c r="CB108" s="48" t="n">
        <f aca="false">MAX(0,-CB106)</f>
        <v>0</v>
      </c>
      <c r="CC108" s="48" t="n">
        <f aca="false">MAX(0,-CC106)</f>
        <v>0</v>
      </c>
      <c r="CD108" s="48" t="n">
        <f aca="false">MAX(0,-CD106)</f>
        <v>0</v>
      </c>
      <c r="CE108" s="48" t="n">
        <f aca="false">MAX(0,-CE106)</f>
        <v>0</v>
      </c>
      <c r="CF108" s="48" t="n">
        <f aca="false">MAX(0,-CF106)</f>
        <v>0</v>
      </c>
      <c r="CG108" s="48" t="n">
        <f aca="false">MAX(0,-CG106)</f>
        <v>0</v>
      </c>
      <c r="CH108" s="48" t="n">
        <f aca="false">MAX(0,-CH106)</f>
        <v>0</v>
      </c>
      <c r="CI108" s="48" t="n">
        <f aca="false">MAX(0,-CI106)</f>
        <v>0</v>
      </c>
      <c r="CJ108" s="48" t="n">
        <f aca="false">MAX(0,-CJ106)</f>
        <v>0</v>
      </c>
      <c r="CK108" s="48" t="n">
        <f aca="false">MAX(0,-CK106)</f>
        <v>0</v>
      </c>
      <c r="CL108" s="48" t="n">
        <f aca="false">MAX(0,-CL106)</f>
        <v>0</v>
      </c>
      <c r="CM108" s="48" t="n">
        <f aca="false">MAX(0,-CM106)</f>
        <v>0</v>
      </c>
      <c r="CN108" s="48" t="n">
        <f aca="false">MAX(0,-CN106)</f>
        <v>0</v>
      </c>
      <c r="CO108" s="48" t="n">
        <f aca="false">MAX(0,-CO106)</f>
        <v>0</v>
      </c>
      <c r="CP108" s="48" t="n">
        <f aca="false">MAX(0,-CP106)</f>
        <v>0</v>
      </c>
      <c r="CQ108" s="48" t="n">
        <f aca="false">MAX(0,-CQ106)</f>
        <v>0</v>
      </c>
      <c r="CR108" s="48" t="n">
        <f aca="false">MAX(0,-CR106)</f>
        <v>0</v>
      </c>
      <c r="CS108" s="48" t="n">
        <f aca="false">MAX(0,-CS106)</f>
        <v>0</v>
      </c>
      <c r="CT108" s="48" t="n">
        <f aca="false">MAX(0,-CT106)</f>
        <v>0</v>
      </c>
      <c r="CU108" s="48" t="n">
        <f aca="false">MAX(0,-CU106)</f>
        <v>0</v>
      </c>
      <c r="CV108" s="48" t="n">
        <f aca="false">MAX(0,-CV106)</f>
        <v>0</v>
      </c>
      <c r="CW108" s="48" t="n">
        <f aca="false">MAX(0,-CW106)</f>
        <v>0</v>
      </c>
      <c r="CX108" s="48" t="n">
        <f aca="false">MAX(0,-CX106)</f>
        <v>0</v>
      </c>
      <c r="CY108" s="48" t="n">
        <f aca="false">MAX(0,-CY106)</f>
        <v>0</v>
      </c>
      <c r="CZ108" s="48" t="n">
        <f aca="false">MAX(0,-CZ106)</f>
        <v>0</v>
      </c>
      <c r="DA108" s="48" t="n">
        <f aca="false">MAX(0,-DA106)</f>
        <v>0</v>
      </c>
      <c r="DB108" s="48" t="n">
        <f aca="false">MAX(0,-DB106)</f>
        <v>0</v>
      </c>
      <c r="DC108" s="48" t="n">
        <f aca="false">MAX(0,-DC106)</f>
        <v>0</v>
      </c>
      <c r="DD108" s="48" t="n">
        <f aca="false">MAX(0,-DD106)</f>
        <v>0</v>
      </c>
      <c r="DE108" s="48" t="n">
        <f aca="false">MAX(0,-DE106)</f>
        <v>0</v>
      </c>
      <c r="DF108" s="48" t="n">
        <f aca="false">MAX(0,-DF106)</f>
        <v>0</v>
      </c>
      <c r="DG108" s="48" t="n">
        <f aca="false">MAX(0,-DG106)</f>
        <v>0</v>
      </c>
      <c r="DH108" s="48" t="n">
        <f aca="false">MAX(0,-DH106)</f>
        <v>0</v>
      </c>
      <c r="DI108" s="48" t="n">
        <f aca="false">MAX(0,-DI106)</f>
        <v>0</v>
      </c>
      <c r="DJ108" s="48" t="n">
        <f aca="false">MAX(0,-DJ106)</f>
        <v>0</v>
      </c>
      <c r="DK108" s="48" t="n">
        <f aca="false">MAX(0,-DK106)</f>
        <v>0</v>
      </c>
      <c r="DL108" s="48" t="n">
        <f aca="false">MAX(0,-DL106)</f>
        <v>0</v>
      </c>
      <c r="DM108" s="48" t="n">
        <f aca="false">MAX(0,-DM106)</f>
        <v>0</v>
      </c>
      <c r="DN108" s="48" t="n">
        <f aca="false">MAX(0,-DN106)</f>
        <v>0</v>
      </c>
      <c r="DO108" s="48" t="n">
        <f aca="false">MAX(0,-DO106)</f>
        <v>0</v>
      </c>
      <c r="DP108" s="48" t="n">
        <f aca="false">MAX(0,-DP106)</f>
        <v>0</v>
      </c>
      <c r="DQ108" s="48" t="n">
        <f aca="false">MAX(0,-DQ106)</f>
        <v>0</v>
      </c>
      <c r="DR108" s="48" t="n">
        <f aca="false">MAX(0,-DR106)</f>
        <v>0</v>
      </c>
      <c r="DS108" s="48" t="n">
        <f aca="false">MAX(0,-DS106)</f>
        <v>0</v>
      </c>
      <c r="DT108" s="48" t="n">
        <f aca="false">MAX(0,-DT106)</f>
        <v>0</v>
      </c>
      <c r="DU108" s="48" t="n">
        <f aca="false">MAX(0,-DU106)</f>
        <v>0</v>
      </c>
      <c r="DV108" s="48" t="n">
        <f aca="false">MAX(0,-DV106)</f>
        <v>0</v>
      </c>
      <c r="DW108" s="48" t="n">
        <f aca="false">MAX(0,-DW106)</f>
        <v>0</v>
      </c>
      <c r="DX108" s="48" t="n">
        <f aca="false">MAX(0,-DX106)</f>
        <v>0</v>
      </c>
      <c r="DY108" s="48" t="n">
        <f aca="false">MAX(0,-DY106)</f>
        <v>0</v>
      </c>
      <c r="DZ108" s="48" t="n">
        <f aca="false">MAX(0,-DZ106)</f>
        <v>0</v>
      </c>
      <c r="EA108" s="48" t="n">
        <f aca="false">MAX(0,-EA106)</f>
        <v>0</v>
      </c>
      <c r="EB108" s="48" t="n">
        <f aca="false">MAX(0,-EB106)</f>
        <v>0</v>
      </c>
      <c r="EC108" s="48" t="n">
        <f aca="false">MAX(0,-EC106)</f>
        <v>0</v>
      </c>
      <c r="ED108" s="48" t="n">
        <f aca="false">MAX(0,-ED106)</f>
        <v>0</v>
      </c>
      <c r="EE108" s="48" t="n">
        <f aca="false">MAX(0,-EE106)</f>
        <v>0</v>
      </c>
      <c r="EF108" s="48" t="n">
        <f aca="false">MAX(0,-EF106)</f>
        <v>0</v>
      </c>
      <c r="EG108" s="48" t="n">
        <f aca="false">MAX(0,-EG106)</f>
        <v>0</v>
      </c>
      <c r="EH108" s="48" t="n">
        <f aca="false">MAX(0,-EH106)</f>
        <v>0</v>
      </c>
      <c r="EI108" s="48" t="n">
        <f aca="false">MAX(0,-EI106)</f>
        <v>0</v>
      </c>
      <c r="EJ108" s="48" t="n">
        <f aca="false">MAX(0,-EJ106)</f>
        <v>0</v>
      </c>
      <c r="EK108" s="48" t="n">
        <f aca="false">MAX(0,-EK106)</f>
        <v>0</v>
      </c>
      <c r="EL108" s="48" t="n">
        <f aca="false">MAX(0,-EL106)</f>
        <v>0</v>
      </c>
      <c r="EM108" s="48" t="n">
        <f aca="false">MAX(0,-EM106)</f>
        <v>0</v>
      </c>
      <c r="EN108" s="48" t="n">
        <f aca="false">MAX(0,-EN106)</f>
        <v>0</v>
      </c>
      <c r="EO108" s="48" t="n">
        <f aca="false">MAX(0,-EO106)</f>
        <v>0</v>
      </c>
    </row>
    <row r="109" customFormat="false" ht="15" hidden="false" customHeight="false" outlineLevel="0" collapsed="false">
      <c r="C109" s="0" t="s">
        <v>486</v>
      </c>
      <c r="D109" s="11" t="s">
        <v>33</v>
      </c>
      <c r="I109" s="48" t="n">
        <f aca="false">SUM(J109:EO109)</f>
        <v>-1676.76707890242</v>
      </c>
      <c r="J109" s="48" t="n">
        <f aca="false">-MIN(J107,In_Loss_Cap*MAX(0,J106))</f>
        <v>-0</v>
      </c>
      <c r="K109" s="48" t="n">
        <f aca="false">-MIN(K107,In_Loss_Cap*MAX(0,K106))</f>
        <v>-0</v>
      </c>
      <c r="L109" s="48" t="n">
        <f aca="false">-MIN(L107,In_Loss_Cap*MAX(0,L106))</f>
        <v>-0</v>
      </c>
      <c r="M109" s="48" t="n">
        <f aca="false">-MIN(M107,In_Loss_Cap*MAX(0,M106))</f>
        <v>-0</v>
      </c>
      <c r="N109" s="48" t="n">
        <f aca="false">-MIN(N107,In_Loss_Cap*MAX(0,N106))</f>
        <v>-0</v>
      </c>
      <c r="O109" s="48" t="n">
        <f aca="false">-MIN(O107,In_Loss_Cap*MAX(0,O106))</f>
        <v>-0</v>
      </c>
      <c r="P109" s="48" t="n">
        <f aca="false">-MIN(P107,In_Loss_Cap*MAX(0,P106))</f>
        <v>-0</v>
      </c>
      <c r="Q109" s="48" t="n">
        <f aca="false">-MIN(Q107,In_Loss_Cap*MAX(0,Q106))</f>
        <v>-0</v>
      </c>
      <c r="R109" s="48" t="n">
        <f aca="false">-MIN(R107,In_Loss_Cap*MAX(0,R106))</f>
        <v>-0</v>
      </c>
      <c r="S109" s="48" t="n">
        <f aca="false">-MIN(S107,In_Loss_Cap*MAX(0,S106))</f>
        <v>-0</v>
      </c>
      <c r="T109" s="48" t="n">
        <f aca="false">-MIN(T107,In_Loss_Cap*MAX(0,T106))</f>
        <v>-0</v>
      </c>
      <c r="U109" s="48" t="n">
        <f aca="false">-MIN(U107,In_Loss_Cap*MAX(0,U106))</f>
        <v>-0</v>
      </c>
      <c r="V109" s="48" t="n">
        <f aca="false">-MIN(V107,In_Loss_Cap*MAX(0,V106))</f>
        <v>-0</v>
      </c>
      <c r="W109" s="48" t="n">
        <f aca="false">-MIN(W107,In_Loss_Cap*MAX(0,W106))</f>
        <v>-0</v>
      </c>
      <c r="X109" s="48" t="n">
        <f aca="false">-MIN(X107,In_Loss_Cap*MAX(0,X106))</f>
        <v>-0</v>
      </c>
      <c r="Y109" s="48" t="n">
        <f aca="false">-MIN(Y107,In_Loss_Cap*MAX(0,Y106))</f>
        <v>-0</v>
      </c>
      <c r="Z109" s="48" t="n">
        <f aca="false">-MIN(Z107,In_Loss_Cap*MAX(0,Z106))</f>
        <v>-112.575288164207</v>
      </c>
      <c r="AA109" s="48" t="n">
        <f aca="false">-MIN(AA107,In_Loss_Cap*MAX(0,AA106))</f>
        <v>-113.192058879893</v>
      </c>
      <c r="AB109" s="48" t="n">
        <f aca="false">-MIN(AB107,In_Loss_Cap*MAX(0,AB106))</f>
        <v>-121.610794426759</v>
      </c>
      <c r="AC109" s="48" t="n">
        <f aca="false">-MIN(AC107,In_Loss_Cap*MAX(0,AC106))</f>
        <v>-130.149866470284</v>
      </c>
      <c r="AD109" s="48" t="n">
        <f aca="false">-MIN(AD107,In_Loss_Cap*MAX(0,AD106))</f>
        <v>-129.250187204517</v>
      </c>
      <c r="AE109" s="48" t="n">
        <f aca="false">-MIN(AE107,In_Loss_Cap*MAX(0,AE106))</f>
        <v>-135.257809292986</v>
      </c>
      <c r="AF109" s="48" t="n">
        <f aca="false">-MIN(AF107,In_Loss_Cap*MAX(0,AF106))</f>
        <v>-138.615248640178</v>
      </c>
      <c r="AG109" s="48" t="n">
        <f aca="false">-MIN(AG107,In_Loss_Cap*MAX(0,AG106))</f>
        <v>-147.377613206844</v>
      </c>
      <c r="AH109" s="48" t="n">
        <f aca="false">-MIN(AH107,In_Loss_Cap*MAX(0,AH106))</f>
        <v>-146.635671609732</v>
      </c>
      <c r="AI109" s="48" t="n">
        <f aca="false">-MIN(AI107,In_Loss_Cap*MAX(0,AI106))</f>
        <v>-147.312625064008</v>
      </c>
      <c r="AJ109" s="48" t="n">
        <f aca="false">-MIN(AJ107,In_Loss_Cap*MAX(0,AJ106))</f>
        <v>-172.757000638614</v>
      </c>
      <c r="AK109" s="48" t="n">
        <f aca="false">-MIN(AK107,In_Loss_Cap*MAX(0,AK106))</f>
        <v>-182.032915304395</v>
      </c>
      <c r="AL109" s="48" t="n">
        <f aca="false">-MIN(AL107,In_Loss_Cap*MAX(0,AL106))</f>
        <v>-0</v>
      </c>
      <c r="AM109" s="48" t="n">
        <f aca="false">-MIN(AM107,In_Loss_Cap*MAX(0,AM106))</f>
        <v>-0</v>
      </c>
      <c r="AN109" s="48" t="n">
        <f aca="false">-MIN(AN107,In_Loss_Cap*MAX(0,AN106))</f>
        <v>-0</v>
      </c>
      <c r="AO109" s="48" t="n">
        <f aca="false">-MIN(AO107,In_Loss_Cap*MAX(0,AO106))</f>
        <v>-0</v>
      </c>
      <c r="AP109" s="48" t="n">
        <f aca="false">-MIN(AP107,In_Loss_Cap*MAX(0,AP106))</f>
        <v>-0</v>
      </c>
      <c r="AQ109" s="48" t="n">
        <f aca="false">-MIN(AQ107,In_Loss_Cap*MAX(0,AQ106))</f>
        <v>-0</v>
      </c>
      <c r="AR109" s="48" t="n">
        <f aca="false">-MIN(AR107,In_Loss_Cap*MAX(0,AR106))</f>
        <v>-0</v>
      </c>
      <c r="AS109" s="48" t="n">
        <f aca="false">-MIN(AS107,In_Loss_Cap*MAX(0,AS106))</f>
        <v>-0</v>
      </c>
      <c r="AT109" s="48" t="n">
        <f aca="false">-MIN(AT107,In_Loss_Cap*MAX(0,AT106))</f>
        <v>-0</v>
      </c>
      <c r="AU109" s="48" t="n">
        <f aca="false">-MIN(AU107,In_Loss_Cap*MAX(0,AU106))</f>
        <v>-0</v>
      </c>
      <c r="AV109" s="48" t="n">
        <f aca="false">-MIN(AV107,In_Loss_Cap*MAX(0,AV106))</f>
        <v>-0</v>
      </c>
      <c r="AW109" s="48" t="n">
        <f aca="false">-MIN(AW107,In_Loss_Cap*MAX(0,AW106))</f>
        <v>-0</v>
      </c>
      <c r="AX109" s="48" t="n">
        <f aca="false">-MIN(AX107,In_Loss_Cap*MAX(0,AX106))</f>
        <v>-0</v>
      </c>
      <c r="AY109" s="48" t="n">
        <f aca="false">-MIN(AY107,In_Loss_Cap*MAX(0,AY106))</f>
        <v>-0</v>
      </c>
      <c r="AZ109" s="48" t="n">
        <f aca="false">-MIN(AZ107,In_Loss_Cap*MAX(0,AZ106))</f>
        <v>-0</v>
      </c>
      <c r="BA109" s="48" t="n">
        <f aca="false">-MIN(BA107,In_Loss_Cap*MAX(0,BA106))</f>
        <v>-0</v>
      </c>
      <c r="BB109" s="48" t="n">
        <f aca="false">-MIN(BB107,In_Loss_Cap*MAX(0,BB106))</f>
        <v>-0</v>
      </c>
      <c r="BC109" s="48" t="n">
        <f aca="false">-MIN(BC107,In_Loss_Cap*MAX(0,BC106))</f>
        <v>-0</v>
      </c>
      <c r="BD109" s="48" t="n">
        <f aca="false">-MIN(BD107,In_Loss_Cap*MAX(0,BD106))</f>
        <v>-0</v>
      </c>
      <c r="BE109" s="48" t="n">
        <f aca="false">-MIN(BE107,In_Loss_Cap*MAX(0,BE106))</f>
        <v>-0</v>
      </c>
      <c r="BF109" s="48" t="n">
        <f aca="false">-MIN(BF107,In_Loss_Cap*MAX(0,BF106))</f>
        <v>-0</v>
      </c>
      <c r="BG109" s="48" t="n">
        <f aca="false">-MIN(BG107,In_Loss_Cap*MAX(0,BG106))</f>
        <v>-0</v>
      </c>
      <c r="BH109" s="48" t="n">
        <f aca="false">-MIN(BH107,In_Loss_Cap*MAX(0,BH106))</f>
        <v>-0</v>
      </c>
      <c r="BI109" s="48" t="n">
        <f aca="false">-MIN(BI107,In_Loss_Cap*MAX(0,BI106))</f>
        <v>-0</v>
      </c>
      <c r="BJ109" s="48" t="n">
        <f aca="false">-MIN(BJ107,In_Loss_Cap*MAX(0,BJ106))</f>
        <v>-0</v>
      </c>
      <c r="BK109" s="48" t="n">
        <f aca="false">-MIN(BK107,In_Loss_Cap*MAX(0,BK106))</f>
        <v>-0</v>
      </c>
      <c r="BL109" s="48" t="n">
        <f aca="false">-MIN(BL107,In_Loss_Cap*MAX(0,BL106))</f>
        <v>-0</v>
      </c>
      <c r="BM109" s="48" t="n">
        <f aca="false">-MIN(BM107,In_Loss_Cap*MAX(0,BM106))</f>
        <v>-0</v>
      </c>
      <c r="BN109" s="48" t="n">
        <f aca="false">-MIN(BN107,In_Loss_Cap*MAX(0,BN106))</f>
        <v>-0</v>
      </c>
      <c r="BO109" s="48" t="n">
        <f aca="false">-MIN(BO107,In_Loss_Cap*MAX(0,BO106))</f>
        <v>-0</v>
      </c>
      <c r="BP109" s="48" t="n">
        <f aca="false">-MIN(BP107,In_Loss_Cap*MAX(0,BP106))</f>
        <v>-0</v>
      </c>
      <c r="BQ109" s="48" t="n">
        <f aca="false">-MIN(BQ107,In_Loss_Cap*MAX(0,BQ106))</f>
        <v>-0</v>
      </c>
      <c r="BR109" s="48" t="n">
        <f aca="false">-MIN(BR107,In_Loss_Cap*MAX(0,BR106))</f>
        <v>-0</v>
      </c>
      <c r="BS109" s="48" t="n">
        <f aca="false">-MIN(BS107,In_Loss_Cap*MAX(0,BS106))</f>
        <v>-0</v>
      </c>
      <c r="BT109" s="48" t="n">
        <f aca="false">-MIN(BT107,In_Loss_Cap*MAX(0,BT106))</f>
        <v>-0</v>
      </c>
      <c r="BU109" s="48" t="n">
        <f aca="false">-MIN(BU107,In_Loss_Cap*MAX(0,BU106))</f>
        <v>-0</v>
      </c>
      <c r="BV109" s="48" t="n">
        <f aca="false">-MIN(BV107,In_Loss_Cap*MAX(0,BV106))</f>
        <v>-0</v>
      </c>
      <c r="BW109" s="48" t="n">
        <f aca="false">-MIN(BW107,In_Loss_Cap*MAX(0,BW106))</f>
        <v>-0</v>
      </c>
      <c r="BX109" s="48" t="n">
        <f aca="false">-MIN(BX107,In_Loss_Cap*MAX(0,BX106))</f>
        <v>-0</v>
      </c>
      <c r="BY109" s="48" t="n">
        <f aca="false">-MIN(BY107,In_Loss_Cap*MAX(0,BY106))</f>
        <v>-0</v>
      </c>
      <c r="BZ109" s="48" t="n">
        <f aca="false">-MIN(BZ107,In_Loss_Cap*MAX(0,BZ106))</f>
        <v>-0</v>
      </c>
      <c r="CA109" s="48" t="n">
        <f aca="false">-MIN(CA107,In_Loss_Cap*MAX(0,CA106))</f>
        <v>-0</v>
      </c>
      <c r="CB109" s="48" t="n">
        <f aca="false">-MIN(CB107,In_Loss_Cap*MAX(0,CB106))</f>
        <v>-0</v>
      </c>
      <c r="CC109" s="48" t="n">
        <f aca="false">-MIN(CC107,In_Loss_Cap*MAX(0,CC106))</f>
        <v>-0</v>
      </c>
      <c r="CD109" s="48" t="n">
        <f aca="false">-MIN(CD107,In_Loss_Cap*MAX(0,CD106))</f>
        <v>-0</v>
      </c>
      <c r="CE109" s="48" t="n">
        <f aca="false">-MIN(CE107,In_Loss_Cap*MAX(0,CE106))</f>
        <v>-0</v>
      </c>
      <c r="CF109" s="48" t="n">
        <f aca="false">-MIN(CF107,In_Loss_Cap*MAX(0,CF106))</f>
        <v>-0</v>
      </c>
      <c r="CG109" s="48" t="n">
        <f aca="false">-MIN(CG107,In_Loss_Cap*MAX(0,CG106))</f>
        <v>-0</v>
      </c>
      <c r="CH109" s="48" t="n">
        <f aca="false">-MIN(CH107,In_Loss_Cap*MAX(0,CH106))</f>
        <v>-0</v>
      </c>
      <c r="CI109" s="48" t="n">
        <f aca="false">-MIN(CI107,In_Loss_Cap*MAX(0,CI106))</f>
        <v>-0</v>
      </c>
      <c r="CJ109" s="48" t="n">
        <f aca="false">-MIN(CJ107,In_Loss_Cap*MAX(0,CJ106))</f>
        <v>-0</v>
      </c>
      <c r="CK109" s="48" t="n">
        <f aca="false">-MIN(CK107,In_Loss_Cap*MAX(0,CK106))</f>
        <v>-0</v>
      </c>
      <c r="CL109" s="48" t="n">
        <f aca="false">-MIN(CL107,In_Loss_Cap*MAX(0,CL106))</f>
        <v>-0</v>
      </c>
      <c r="CM109" s="48" t="n">
        <f aca="false">-MIN(CM107,In_Loss_Cap*MAX(0,CM106))</f>
        <v>-0</v>
      </c>
      <c r="CN109" s="48" t="n">
        <f aca="false">-MIN(CN107,In_Loss_Cap*MAX(0,CN106))</f>
        <v>-0</v>
      </c>
      <c r="CO109" s="48" t="n">
        <f aca="false">-MIN(CO107,In_Loss_Cap*MAX(0,CO106))</f>
        <v>-0</v>
      </c>
      <c r="CP109" s="48" t="n">
        <f aca="false">-MIN(CP107,In_Loss_Cap*MAX(0,CP106))</f>
        <v>-0</v>
      </c>
      <c r="CQ109" s="48" t="n">
        <f aca="false">-MIN(CQ107,In_Loss_Cap*MAX(0,CQ106))</f>
        <v>-0</v>
      </c>
      <c r="CR109" s="48" t="n">
        <f aca="false">-MIN(CR107,In_Loss_Cap*MAX(0,CR106))</f>
        <v>-0</v>
      </c>
      <c r="CS109" s="48" t="n">
        <f aca="false">-MIN(CS107,In_Loss_Cap*MAX(0,CS106))</f>
        <v>-0</v>
      </c>
      <c r="CT109" s="48" t="n">
        <f aca="false">-MIN(CT107,In_Loss_Cap*MAX(0,CT106))</f>
        <v>-0</v>
      </c>
      <c r="CU109" s="48" t="n">
        <f aca="false">-MIN(CU107,In_Loss_Cap*MAX(0,CU106))</f>
        <v>-0</v>
      </c>
      <c r="CV109" s="48" t="n">
        <f aca="false">-MIN(CV107,In_Loss_Cap*MAX(0,CV106))</f>
        <v>-0</v>
      </c>
      <c r="CW109" s="48" t="n">
        <f aca="false">-MIN(CW107,In_Loss_Cap*MAX(0,CW106))</f>
        <v>-0</v>
      </c>
      <c r="CX109" s="48" t="n">
        <f aca="false">-MIN(CX107,In_Loss_Cap*MAX(0,CX106))</f>
        <v>-0</v>
      </c>
      <c r="CY109" s="48" t="n">
        <f aca="false">-MIN(CY107,In_Loss_Cap*MAX(0,CY106))</f>
        <v>-0</v>
      </c>
      <c r="CZ109" s="48" t="n">
        <f aca="false">-MIN(CZ107,In_Loss_Cap*MAX(0,CZ106))</f>
        <v>-0</v>
      </c>
      <c r="DA109" s="48" t="n">
        <f aca="false">-MIN(DA107,In_Loss_Cap*MAX(0,DA106))</f>
        <v>-0</v>
      </c>
      <c r="DB109" s="48" t="n">
        <f aca="false">-MIN(DB107,In_Loss_Cap*MAX(0,DB106))</f>
        <v>-0</v>
      </c>
      <c r="DC109" s="48" t="n">
        <f aca="false">-MIN(DC107,In_Loss_Cap*MAX(0,DC106))</f>
        <v>-0</v>
      </c>
      <c r="DD109" s="48" t="n">
        <f aca="false">-MIN(DD107,In_Loss_Cap*MAX(0,DD106))</f>
        <v>-0</v>
      </c>
      <c r="DE109" s="48" t="n">
        <f aca="false">-MIN(DE107,In_Loss_Cap*MAX(0,DE106))</f>
        <v>-0</v>
      </c>
      <c r="DF109" s="48" t="n">
        <f aca="false">-MIN(DF107,In_Loss_Cap*MAX(0,DF106))</f>
        <v>-0</v>
      </c>
      <c r="DG109" s="48" t="n">
        <f aca="false">-MIN(DG107,In_Loss_Cap*MAX(0,DG106))</f>
        <v>-0</v>
      </c>
      <c r="DH109" s="48" t="n">
        <f aca="false">-MIN(DH107,In_Loss_Cap*MAX(0,DH106))</f>
        <v>-0</v>
      </c>
      <c r="DI109" s="48" t="n">
        <f aca="false">-MIN(DI107,In_Loss_Cap*MAX(0,DI106))</f>
        <v>-0</v>
      </c>
      <c r="DJ109" s="48" t="n">
        <f aca="false">-MIN(DJ107,In_Loss_Cap*MAX(0,DJ106))</f>
        <v>-0</v>
      </c>
      <c r="DK109" s="48" t="n">
        <f aca="false">-MIN(DK107,In_Loss_Cap*MAX(0,DK106))</f>
        <v>-0</v>
      </c>
      <c r="DL109" s="48" t="n">
        <f aca="false">-MIN(DL107,In_Loss_Cap*MAX(0,DL106))</f>
        <v>-0</v>
      </c>
      <c r="DM109" s="48" t="n">
        <f aca="false">-MIN(DM107,In_Loss_Cap*MAX(0,DM106))</f>
        <v>-0</v>
      </c>
      <c r="DN109" s="48" t="n">
        <f aca="false">-MIN(DN107,In_Loss_Cap*MAX(0,DN106))</f>
        <v>-0</v>
      </c>
      <c r="DO109" s="48" t="n">
        <f aca="false">-MIN(DO107,In_Loss_Cap*MAX(0,DO106))</f>
        <v>-0</v>
      </c>
      <c r="DP109" s="48" t="n">
        <f aca="false">-MIN(DP107,In_Loss_Cap*MAX(0,DP106))</f>
        <v>-0</v>
      </c>
      <c r="DQ109" s="48" t="n">
        <f aca="false">-MIN(DQ107,In_Loss_Cap*MAX(0,DQ106))</f>
        <v>-0</v>
      </c>
      <c r="DR109" s="48" t="n">
        <f aca="false">-MIN(DR107,In_Loss_Cap*MAX(0,DR106))</f>
        <v>-0</v>
      </c>
      <c r="DS109" s="48" t="n">
        <f aca="false">-MIN(DS107,In_Loss_Cap*MAX(0,DS106))</f>
        <v>-0</v>
      </c>
      <c r="DT109" s="48" t="n">
        <f aca="false">-MIN(DT107,In_Loss_Cap*MAX(0,DT106))</f>
        <v>-0</v>
      </c>
      <c r="DU109" s="48" t="n">
        <f aca="false">-MIN(DU107,In_Loss_Cap*MAX(0,DU106))</f>
        <v>-0</v>
      </c>
      <c r="DV109" s="48" t="n">
        <f aca="false">-MIN(DV107,In_Loss_Cap*MAX(0,DV106))</f>
        <v>-0</v>
      </c>
      <c r="DW109" s="48" t="n">
        <f aca="false">-MIN(DW107,In_Loss_Cap*MAX(0,DW106))</f>
        <v>-0</v>
      </c>
      <c r="DX109" s="48" t="n">
        <f aca="false">-MIN(DX107,In_Loss_Cap*MAX(0,DX106))</f>
        <v>-0</v>
      </c>
      <c r="DY109" s="48" t="n">
        <f aca="false">-MIN(DY107,In_Loss_Cap*MAX(0,DY106))</f>
        <v>-0</v>
      </c>
      <c r="DZ109" s="48" t="n">
        <f aca="false">-MIN(DZ107,In_Loss_Cap*MAX(0,DZ106))</f>
        <v>-0</v>
      </c>
      <c r="EA109" s="48" t="n">
        <f aca="false">-MIN(EA107,In_Loss_Cap*MAX(0,EA106))</f>
        <v>-0</v>
      </c>
      <c r="EB109" s="48" t="n">
        <f aca="false">-MIN(EB107,In_Loss_Cap*MAX(0,EB106))</f>
        <v>-0</v>
      </c>
      <c r="EC109" s="48" t="n">
        <f aca="false">-MIN(EC107,In_Loss_Cap*MAX(0,EC106))</f>
        <v>-0</v>
      </c>
      <c r="ED109" s="48" t="n">
        <f aca="false">-MIN(ED107,In_Loss_Cap*MAX(0,ED106))</f>
        <v>-0</v>
      </c>
      <c r="EE109" s="48" t="n">
        <f aca="false">-MIN(EE107,In_Loss_Cap*MAX(0,EE106))</f>
        <v>-0</v>
      </c>
      <c r="EF109" s="48" t="n">
        <f aca="false">-MIN(EF107,In_Loss_Cap*MAX(0,EF106))</f>
        <v>-0</v>
      </c>
      <c r="EG109" s="48" t="n">
        <f aca="false">-MIN(EG107,In_Loss_Cap*MAX(0,EG106))</f>
        <v>-0</v>
      </c>
      <c r="EH109" s="48" t="n">
        <f aca="false">-MIN(EH107,In_Loss_Cap*MAX(0,EH106))</f>
        <v>-0</v>
      </c>
      <c r="EI109" s="48" t="n">
        <f aca="false">-MIN(EI107,In_Loss_Cap*MAX(0,EI106))</f>
        <v>-0</v>
      </c>
      <c r="EJ109" s="48" t="n">
        <f aca="false">-MIN(EJ107,In_Loss_Cap*MAX(0,EJ106))</f>
        <v>-0</v>
      </c>
      <c r="EK109" s="48" t="n">
        <f aca="false">-MIN(EK107,In_Loss_Cap*MAX(0,EK106))</f>
        <v>-0</v>
      </c>
      <c r="EL109" s="48" t="n">
        <f aca="false">-MIN(EL107,In_Loss_Cap*MAX(0,EL106))</f>
        <v>-0</v>
      </c>
      <c r="EM109" s="48" t="n">
        <f aca="false">-MIN(EM107,In_Loss_Cap*MAX(0,EM106))</f>
        <v>-0</v>
      </c>
      <c r="EN109" s="48" t="n">
        <f aca="false">-MIN(EN107,In_Loss_Cap*MAX(0,EN106))</f>
        <v>-0</v>
      </c>
      <c r="EO109" s="48" t="n">
        <f aca="false">-MIN(EO107,In_Loss_Cap*MAX(0,EO106))</f>
        <v>-0</v>
      </c>
    </row>
    <row r="110" customFormat="false" ht="15" hidden="false" customHeight="false" outlineLevel="0" collapsed="false">
      <c r="C110" s="0" t="s">
        <v>487</v>
      </c>
      <c r="D110" s="11" t="s">
        <v>33</v>
      </c>
      <c r="E110" s="46" t="n">
        <f aca="false">EDATE(In_NTP,In_Loss_Years*Months_In_Year)</f>
        <v>48852</v>
      </c>
      <c r="I110" s="48" t="n">
        <f aca="false">SUM(J110:EO110)</f>
        <v>-752.363247114141</v>
      </c>
      <c r="J110" s="48" t="n">
        <f aca="false">-(J107+J108+J109)*N(AND(J$3&lt;=$E110,J$4&gt;=$E110))</f>
        <v>-0</v>
      </c>
      <c r="K110" s="48" t="n">
        <f aca="false">-(K107+K108+K109)*N(AND(K$3&lt;=$E110,K$4&gt;=$E110))</f>
        <v>-0</v>
      </c>
      <c r="L110" s="48" t="n">
        <f aca="false">-(L107+L108+L109)*N(AND(L$3&lt;=$E110,L$4&gt;=$E110))</f>
        <v>-0</v>
      </c>
      <c r="M110" s="48" t="n">
        <f aca="false">-(M107+M108+M109)*N(AND(M$3&lt;=$E110,M$4&gt;=$E110))</f>
        <v>-0</v>
      </c>
      <c r="N110" s="48" t="n">
        <f aca="false">-(N107+N108+N109)*N(AND(N$3&lt;=$E110,N$4&gt;=$E110))</f>
        <v>-0</v>
      </c>
      <c r="O110" s="48" t="n">
        <f aca="false">-(O107+O108+O109)*N(AND(O$3&lt;=$E110,O$4&gt;=$E110))</f>
        <v>-0</v>
      </c>
      <c r="P110" s="48" t="n">
        <f aca="false">-(P107+P108+P109)*N(AND(P$3&lt;=$E110,P$4&gt;=$E110))</f>
        <v>-0</v>
      </c>
      <c r="Q110" s="48" t="n">
        <f aca="false">-(Q107+Q108+Q109)*N(AND(Q$3&lt;=$E110,Q$4&gt;=$E110))</f>
        <v>-0</v>
      </c>
      <c r="R110" s="48" t="n">
        <f aca="false">-(R107+R108+R109)*N(AND(R$3&lt;=$E110,R$4&gt;=$E110))</f>
        <v>-0</v>
      </c>
      <c r="S110" s="48" t="n">
        <f aca="false">-(S107+S108+S109)*N(AND(S$3&lt;=$E110,S$4&gt;=$E110))</f>
        <v>-0</v>
      </c>
      <c r="T110" s="48" t="n">
        <f aca="false">-(T107+T108+T109)*N(AND(T$3&lt;=$E110,T$4&gt;=$E110))</f>
        <v>-0</v>
      </c>
      <c r="U110" s="48" t="n">
        <f aca="false">-(U107+U108+U109)*N(AND(U$3&lt;=$E110,U$4&gt;=$E110))</f>
        <v>-0</v>
      </c>
      <c r="V110" s="48" t="n">
        <f aca="false">-(V107+V108+V109)*N(AND(V$3&lt;=$E110,V$4&gt;=$E110))</f>
        <v>-0</v>
      </c>
      <c r="W110" s="48" t="n">
        <f aca="false">-(W107+W108+W109)*N(AND(W$3&lt;=$E110,W$4&gt;=$E110))</f>
        <v>-0</v>
      </c>
      <c r="X110" s="48" t="n">
        <f aca="false">-(X107+X108+X109)*N(AND(X$3&lt;=$E110,X$4&gt;=$E110))</f>
        <v>-0</v>
      </c>
      <c r="Y110" s="48" t="n">
        <f aca="false">-(Y107+Y108+Y109)*N(AND(Y$3&lt;=$E110,Y$4&gt;=$E110))</f>
        <v>-0</v>
      </c>
      <c r="Z110" s="48" t="n">
        <f aca="false">-(Z107+Z108+Z109)*N(AND(Z$3&lt;=$E110,Z$4&gt;=$E110))</f>
        <v>-0</v>
      </c>
      <c r="AA110" s="48" t="n">
        <f aca="false">-(AA107+AA108+AA109)*N(AND(AA$3&lt;=$E110,AA$4&gt;=$E110))</f>
        <v>-0</v>
      </c>
      <c r="AB110" s="48" t="n">
        <f aca="false">-(AB107+AB108+AB109)*N(AND(AB$3&lt;=$E110,AB$4&gt;=$E110))</f>
        <v>-0</v>
      </c>
      <c r="AC110" s="48" t="n">
        <f aca="false">-(AC107+AC108+AC109)*N(AND(AC$3&lt;=$E110,AC$4&gt;=$E110))</f>
        <v>-0</v>
      </c>
      <c r="AD110" s="48" t="n">
        <f aca="false">-(AD107+AD108+AD109)*N(AND(AD$3&lt;=$E110,AD$4&gt;=$E110))</f>
        <v>-0</v>
      </c>
      <c r="AE110" s="48" t="n">
        <f aca="false">-(AE107+AE108+AE109)*N(AND(AE$3&lt;=$E110,AE$4&gt;=$E110))</f>
        <v>-0</v>
      </c>
      <c r="AF110" s="48" t="n">
        <f aca="false">-(AF107+AF108+AF109)*N(AND(AF$3&lt;=$E110,AF$4&gt;=$E110))</f>
        <v>-0</v>
      </c>
      <c r="AG110" s="48" t="n">
        <f aca="false">-(AG107+AG108+AG109)*N(AND(AG$3&lt;=$E110,AG$4&gt;=$E110))</f>
        <v>-0</v>
      </c>
      <c r="AH110" s="48" t="n">
        <f aca="false">-(AH107+AH108+AH109)*N(AND(AH$3&lt;=$E110,AH$4&gt;=$E110))</f>
        <v>-0</v>
      </c>
      <c r="AI110" s="48" t="n">
        <f aca="false">-(AI107+AI108+AI109)*N(AND(AI$3&lt;=$E110,AI$4&gt;=$E110))</f>
        <v>-0</v>
      </c>
      <c r="AJ110" s="48" t="n">
        <f aca="false">-(AJ107+AJ108+AJ109)*N(AND(AJ$3&lt;=$E110,AJ$4&gt;=$E110))</f>
        <v>-0</v>
      </c>
      <c r="AK110" s="48" t="n">
        <f aca="false">-(AK107+AK108+AK109)*N(AND(AK$3&lt;=$E110,AK$4&gt;=$E110))</f>
        <v>-752.363247114141</v>
      </c>
      <c r="AL110" s="48" t="n">
        <f aca="false">-(AL107+AL108+AL109)*N(AND(AL$3&lt;=$E110,AL$4&gt;=$E110))</f>
        <v>-0</v>
      </c>
      <c r="AM110" s="48" t="n">
        <f aca="false">-(AM107+AM108+AM109)*N(AND(AM$3&lt;=$E110,AM$4&gt;=$E110))</f>
        <v>-0</v>
      </c>
      <c r="AN110" s="48" t="n">
        <f aca="false">-(AN107+AN108+AN109)*N(AND(AN$3&lt;=$E110,AN$4&gt;=$E110))</f>
        <v>-0</v>
      </c>
      <c r="AO110" s="48" t="n">
        <f aca="false">-(AO107+AO108+AO109)*N(AND(AO$3&lt;=$E110,AO$4&gt;=$E110))</f>
        <v>-0</v>
      </c>
      <c r="AP110" s="48" t="n">
        <f aca="false">-(AP107+AP108+AP109)*N(AND(AP$3&lt;=$E110,AP$4&gt;=$E110))</f>
        <v>-0</v>
      </c>
      <c r="AQ110" s="48" t="n">
        <f aca="false">-(AQ107+AQ108+AQ109)*N(AND(AQ$3&lt;=$E110,AQ$4&gt;=$E110))</f>
        <v>-0</v>
      </c>
      <c r="AR110" s="48" t="n">
        <f aca="false">-(AR107+AR108+AR109)*N(AND(AR$3&lt;=$E110,AR$4&gt;=$E110))</f>
        <v>-0</v>
      </c>
      <c r="AS110" s="48" t="n">
        <f aca="false">-(AS107+AS108+AS109)*N(AND(AS$3&lt;=$E110,AS$4&gt;=$E110))</f>
        <v>-0</v>
      </c>
      <c r="AT110" s="48" t="n">
        <f aca="false">-(AT107+AT108+AT109)*N(AND(AT$3&lt;=$E110,AT$4&gt;=$E110))</f>
        <v>-0</v>
      </c>
      <c r="AU110" s="48" t="n">
        <f aca="false">-(AU107+AU108+AU109)*N(AND(AU$3&lt;=$E110,AU$4&gt;=$E110))</f>
        <v>-0</v>
      </c>
      <c r="AV110" s="48" t="n">
        <f aca="false">-(AV107+AV108+AV109)*N(AND(AV$3&lt;=$E110,AV$4&gt;=$E110))</f>
        <v>-0</v>
      </c>
      <c r="AW110" s="48" t="n">
        <f aca="false">-(AW107+AW108+AW109)*N(AND(AW$3&lt;=$E110,AW$4&gt;=$E110))</f>
        <v>-0</v>
      </c>
      <c r="AX110" s="48" t="n">
        <f aca="false">-(AX107+AX108+AX109)*N(AND(AX$3&lt;=$E110,AX$4&gt;=$E110))</f>
        <v>-0</v>
      </c>
      <c r="AY110" s="48" t="n">
        <f aca="false">-(AY107+AY108+AY109)*N(AND(AY$3&lt;=$E110,AY$4&gt;=$E110))</f>
        <v>-0</v>
      </c>
      <c r="AZ110" s="48" t="n">
        <f aca="false">-(AZ107+AZ108+AZ109)*N(AND(AZ$3&lt;=$E110,AZ$4&gt;=$E110))</f>
        <v>-0</v>
      </c>
      <c r="BA110" s="48" t="n">
        <f aca="false">-(BA107+BA108+BA109)*N(AND(BA$3&lt;=$E110,BA$4&gt;=$E110))</f>
        <v>-0</v>
      </c>
      <c r="BB110" s="48" t="n">
        <f aca="false">-(BB107+BB108+BB109)*N(AND(BB$3&lt;=$E110,BB$4&gt;=$E110))</f>
        <v>-0</v>
      </c>
      <c r="BC110" s="48" t="n">
        <f aca="false">-(BC107+BC108+BC109)*N(AND(BC$3&lt;=$E110,BC$4&gt;=$E110))</f>
        <v>-0</v>
      </c>
      <c r="BD110" s="48" t="n">
        <f aca="false">-(BD107+BD108+BD109)*N(AND(BD$3&lt;=$E110,BD$4&gt;=$E110))</f>
        <v>-0</v>
      </c>
      <c r="BE110" s="48" t="n">
        <f aca="false">-(BE107+BE108+BE109)*N(AND(BE$3&lt;=$E110,BE$4&gt;=$E110))</f>
        <v>-0</v>
      </c>
      <c r="BF110" s="48" t="n">
        <f aca="false">-(BF107+BF108+BF109)*N(AND(BF$3&lt;=$E110,BF$4&gt;=$E110))</f>
        <v>-0</v>
      </c>
      <c r="BG110" s="48" t="n">
        <f aca="false">-(BG107+BG108+BG109)*N(AND(BG$3&lt;=$E110,BG$4&gt;=$E110))</f>
        <v>-0</v>
      </c>
      <c r="BH110" s="48" t="n">
        <f aca="false">-(BH107+BH108+BH109)*N(AND(BH$3&lt;=$E110,BH$4&gt;=$E110))</f>
        <v>-0</v>
      </c>
      <c r="BI110" s="48" t="n">
        <f aca="false">-(BI107+BI108+BI109)*N(AND(BI$3&lt;=$E110,BI$4&gt;=$E110))</f>
        <v>-0</v>
      </c>
      <c r="BJ110" s="48" t="n">
        <f aca="false">-(BJ107+BJ108+BJ109)*N(AND(BJ$3&lt;=$E110,BJ$4&gt;=$E110))</f>
        <v>-0</v>
      </c>
      <c r="BK110" s="48" t="n">
        <f aca="false">-(BK107+BK108+BK109)*N(AND(BK$3&lt;=$E110,BK$4&gt;=$E110))</f>
        <v>-0</v>
      </c>
      <c r="BL110" s="48" t="n">
        <f aca="false">-(BL107+BL108+BL109)*N(AND(BL$3&lt;=$E110,BL$4&gt;=$E110))</f>
        <v>-0</v>
      </c>
      <c r="BM110" s="48" t="n">
        <f aca="false">-(BM107+BM108+BM109)*N(AND(BM$3&lt;=$E110,BM$4&gt;=$E110))</f>
        <v>-0</v>
      </c>
      <c r="BN110" s="48" t="n">
        <f aca="false">-(BN107+BN108+BN109)*N(AND(BN$3&lt;=$E110,BN$4&gt;=$E110))</f>
        <v>-0</v>
      </c>
      <c r="BO110" s="48" t="n">
        <f aca="false">-(BO107+BO108+BO109)*N(AND(BO$3&lt;=$E110,BO$4&gt;=$E110))</f>
        <v>-0</v>
      </c>
      <c r="BP110" s="48" t="n">
        <f aca="false">-(BP107+BP108+BP109)*N(AND(BP$3&lt;=$E110,BP$4&gt;=$E110))</f>
        <v>-0</v>
      </c>
      <c r="BQ110" s="48" t="n">
        <f aca="false">-(BQ107+BQ108+BQ109)*N(AND(BQ$3&lt;=$E110,BQ$4&gt;=$E110))</f>
        <v>-0</v>
      </c>
      <c r="BR110" s="48" t="n">
        <f aca="false">-(BR107+BR108+BR109)*N(AND(BR$3&lt;=$E110,BR$4&gt;=$E110))</f>
        <v>-0</v>
      </c>
      <c r="BS110" s="48" t="n">
        <f aca="false">-(BS107+BS108+BS109)*N(AND(BS$3&lt;=$E110,BS$4&gt;=$E110))</f>
        <v>-0</v>
      </c>
      <c r="BT110" s="48" t="n">
        <f aca="false">-(BT107+BT108+BT109)*N(AND(BT$3&lt;=$E110,BT$4&gt;=$E110))</f>
        <v>-0</v>
      </c>
      <c r="BU110" s="48" t="n">
        <f aca="false">-(BU107+BU108+BU109)*N(AND(BU$3&lt;=$E110,BU$4&gt;=$E110))</f>
        <v>-0</v>
      </c>
      <c r="BV110" s="48" t="n">
        <f aca="false">-(BV107+BV108+BV109)*N(AND(BV$3&lt;=$E110,BV$4&gt;=$E110))</f>
        <v>-0</v>
      </c>
      <c r="BW110" s="48" t="n">
        <f aca="false">-(BW107+BW108+BW109)*N(AND(BW$3&lt;=$E110,BW$4&gt;=$E110))</f>
        <v>-0</v>
      </c>
      <c r="BX110" s="48" t="n">
        <f aca="false">-(BX107+BX108+BX109)*N(AND(BX$3&lt;=$E110,BX$4&gt;=$E110))</f>
        <v>-0</v>
      </c>
      <c r="BY110" s="48" t="n">
        <f aca="false">-(BY107+BY108+BY109)*N(AND(BY$3&lt;=$E110,BY$4&gt;=$E110))</f>
        <v>-0</v>
      </c>
      <c r="BZ110" s="48" t="n">
        <f aca="false">-(BZ107+BZ108+BZ109)*N(AND(BZ$3&lt;=$E110,BZ$4&gt;=$E110))</f>
        <v>-0</v>
      </c>
      <c r="CA110" s="48" t="n">
        <f aca="false">-(CA107+CA108+CA109)*N(AND(CA$3&lt;=$E110,CA$4&gt;=$E110))</f>
        <v>-0</v>
      </c>
      <c r="CB110" s="48" t="n">
        <f aca="false">-(CB107+CB108+CB109)*N(AND(CB$3&lt;=$E110,CB$4&gt;=$E110))</f>
        <v>-0</v>
      </c>
      <c r="CC110" s="48" t="n">
        <f aca="false">-(CC107+CC108+CC109)*N(AND(CC$3&lt;=$E110,CC$4&gt;=$E110))</f>
        <v>-0</v>
      </c>
      <c r="CD110" s="48" t="n">
        <f aca="false">-(CD107+CD108+CD109)*N(AND(CD$3&lt;=$E110,CD$4&gt;=$E110))</f>
        <v>-0</v>
      </c>
      <c r="CE110" s="48" t="n">
        <f aca="false">-(CE107+CE108+CE109)*N(AND(CE$3&lt;=$E110,CE$4&gt;=$E110))</f>
        <v>-0</v>
      </c>
      <c r="CF110" s="48" t="n">
        <f aca="false">-(CF107+CF108+CF109)*N(AND(CF$3&lt;=$E110,CF$4&gt;=$E110))</f>
        <v>-0</v>
      </c>
      <c r="CG110" s="48" t="n">
        <f aca="false">-(CG107+CG108+CG109)*N(AND(CG$3&lt;=$E110,CG$4&gt;=$E110))</f>
        <v>-0</v>
      </c>
      <c r="CH110" s="48" t="n">
        <f aca="false">-(CH107+CH108+CH109)*N(AND(CH$3&lt;=$E110,CH$4&gt;=$E110))</f>
        <v>-0</v>
      </c>
      <c r="CI110" s="48" t="n">
        <f aca="false">-(CI107+CI108+CI109)*N(AND(CI$3&lt;=$E110,CI$4&gt;=$E110))</f>
        <v>-0</v>
      </c>
      <c r="CJ110" s="48" t="n">
        <f aca="false">-(CJ107+CJ108+CJ109)*N(AND(CJ$3&lt;=$E110,CJ$4&gt;=$E110))</f>
        <v>-0</v>
      </c>
      <c r="CK110" s="48" t="n">
        <f aca="false">-(CK107+CK108+CK109)*N(AND(CK$3&lt;=$E110,CK$4&gt;=$E110))</f>
        <v>-0</v>
      </c>
      <c r="CL110" s="48" t="n">
        <f aca="false">-(CL107+CL108+CL109)*N(AND(CL$3&lt;=$E110,CL$4&gt;=$E110))</f>
        <v>-0</v>
      </c>
      <c r="CM110" s="48" t="n">
        <f aca="false">-(CM107+CM108+CM109)*N(AND(CM$3&lt;=$E110,CM$4&gt;=$E110))</f>
        <v>-0</v>
      </c>
      <c r="CN110" s="48" t="n">
        <f aca="false">-(CN107+CN108+CN109)*N(AND(CN$3&lt;=$E110,CN$4&gt;=$E110))</f>
        <v>-0</v>
      </c>
      <c r="CO110" s="48" t="n">
        <f aca="false">-(CO107+CO108+CO109)*N(AND(CO$3&lt;=$E110,CO$4&gt;=$E110))</f>
        <v>-0</v>
      </c>
      <c r="CP110" s="48" t="n">
        <f aca="false">-(CP107+CP108+CP109)*N(AND(CP$3&lt;=$E110,CP$4&gt;=$E110))</f>
        <v>-0</v>
      </c>
      <c r="CQ110" s="48" t="n">
        <f aca="false">-(CQ107+CQ108+CQ109)*N(AND(CQ$3&lt;=$E110,CQ$4&gt;=$E110))</f>
        <v>-0</v>
      </c>
      <c r="CR110" s="48" t="n">
        <f aca="false">-(CR107+CR108+CR109)*N(AND(CR$3&lt;=$E110,CR$4&gt;=$E110))</f>
        <v>-0</v>
      </c>
      <c r="CS110" s="48" t="n">
        <f aca="false">-(CS107+CS108+CS109)*N(AND(CS$3&lt;=$E110,CS$4&gt;=$E110))</f>
        <v>-0</v>
      </c>
      <c r="CT110" s="48" t="n">
        <f aca="false">-(CT107+CT108+CT109)*N(AND(CT$3&lt;=$E110,CT$4&gt;=$E110))</f>
        <v>-0</v>
      </c>
      <c r="CU110" s="48" t="n">
        <f aca="false">-(CU107+CU108+CU109)*N(AND(CU$3&lt;=$E110,CU$4&gt;=$E110))</f>
        <v>-0</v>
      </c>
      <c r="CV110" s="48" t="n">
        <f aca="false">-(CV107+CV108+CV109)*N(AND(CV$3&lt;=$E110,CV$4&gt;=$E110))</f>
        <v>-0</v>
      </c>
      <c r="CW110" s="48" t="n">
        <f aca="false">-(CW107+CW108+CW109)*N(AND(CW$3&lt;=$E110,CW$4&gt;=$E110))</f>
        <v>-0</v>
      </c>
      <c r="CX110" s="48" t="n">
        <f aca="false">-(CX107+CX108+CX109)*N(AND(CX$3&lt;=$E110,CX$4&gt;=$E110))</f>
        <v>-0</v>
      </c>
      <c r="CY110" s="48" t="n">
        <f aca="false">-(CY107+CY108+CY109)*N(AND(CY$3&lt;=$E110,CY$4&gt;=$E110))</f>
        <v>-0</v>
      </c>
      <c r="CZ110" s="48" t="n">
        <f aca="false">-(CZ107+CZ108+CZ109)*N(AND(CZ$3&lt;=$E110,CZ$4&gt;=$E110))</f>
        <v>-0</v>
      </c>
      <c r="DA110" s="48" t="n">
        <f aca="false">-(DA107+DA108+DA109)*N(AND(DA$3&lt;=$E110,DA$4&gt;=$E110))</f>
        <v>-0</v>
      </c>
      <c r="DB110" s="48" t="n">
        <f aca="false">-(DB107+DB108+DB109)*N(AND(DB$3&lt;=$E110,DB$4&gt;=$E110))</f>
        <v>-0</v>
      </c>
      <c r="DC110" s="48" t="n">
        <f aca="false">-(DC107+DC108+DC109)*N(AND(DC$3&lt;=$E110,DC$4&gt;=$E110))</f>
        <v>-0</v>
      </c>
      <c r="DD110" s="48" t="n">
        <f aca="false">-(DD107+DD108+DD109)*N(AND(DD$3&lt;=$E110,DD$4&gt;=$E110))</f>
        <v>-0</v>
      </c>
      <c r="DE110" s="48" t="n">
        <f aca="false">-(DE107+DE108+DE109)*N(AND(DE$3&lt;=$E110,DE$4&gt;=$E110))</f>
        <v>-0</v>
      </c>
      <c r="DF110" s="48" t="n">
        <f aca="false">-(DF107+DF108+DF109)*N(AND(DF$3&lt;=$E110,DF$4&gt;=$E110))</f>
        <v>-0</v>
      </c>
      <c r="DG110" s="48" t="n">
        <f aca="false">-(DG107+DG108+DG109)*N(AND(DG$3&lt;=$E110,DG$4&gt;=$E110))</f>
        <v>-0</v>
      </c>
      <c r="DH110" s="48" t="n">
        <f aca="false">-(DH107+DH108+DH109)*N(AND(DH$3&lt;=$E110,DH$4&gt;=$E110))</f>
        <v>-0</v>
      </c>
      <c r="DI110" s="48" t="n">
        <f aca="false">-(DI107+DI108+DI109)*N(AND(DI$3&lt;=$E110,DI$4&gt;=$E110))</f>
        <v>-0</v>
      </c>
      <c r="DJ110" s="48" t="n">
        <f aca="false">-(DJ107+DJ108+DJ109)*N(AND(DJ$3&lt;=$E110,DJ$4&gt;=$E110))</f>
        <v>-0</v>
      </c>
      <c r="DK110" s="48" t="n">
        <f aca="false">-(DK107+DK108+DK109)*N(AND(DK$3&lt;=$E110,DK$4&gt;=$E110))</f>
        <v>-0</v>
      </c>
      <c r="DL110" s="48" t="n">
        <f aca="false">-(DL107+DL108+DL109)*N(AND(DL$3&lt;=$E110,DL$4&gt;=$E110))</f>
        <v>-0</v>
      </c>
      <c r="DM110" s="48" t="n">
        <f aca="false">-(DM107+DM108+DM109)*N(AND(DM$3&lt;=$E110,DM$4&gt;=$E110))</f>
        <v>-0</v>
      </c>
      <c r="DN110" s="48" t="n">
        <f aca="false">-(DN107+DN108+DN109)*N(AND(DN$3&lt;=$E110,DN$4&gt;=$E110))</f>
        <v>-0</v>
      </c>
      <c r="DO110" s="48" t="n">
        <f aca="false">-(DO107+DO108+DO109)*N(AND(DO$3&lt;=$E110,DO$4&gt;=$E110))</f>
        <v>-0</v>
      </c>
      <c r="DP110" s="48" t="n">
        <f aca="false">-(DP107+DP108+DP109)*N(AND(DP$3&lt;=$E110,DP$4&gt;=$E110))</f>
        <v>-0</v>
      </c>
      <c r="DQ110" s="48" t="n">
        <f aca="false">-(DQ107+DQ108+DQ109)*N(AND(DQ$3&lt;=$E110,DQ$4&gt;=$E110))</f>
        <v>-0</v>
      </c>
      <c r="DR110" s="48" t="n">
        <f aca="false">-(DR107+DR108+DR109)*N(AND(DR$3&lt;=$E110,DR$4&gt;=$E110))</f>
        <v>-0</v>
      </c>
      <c r="DS110" s="48" t="n">
        <f aca="false">-(DS107+DS108+DS109)*N(AND(DS$3&lt;=$E110,DS$4&gt;=$E110))</f>
        <v>-0</v>
      </c>
      <c r="DT110" s="48" t="n">
        <f aca="false">-(DT107+DT108+DT109)*N(AND(DT$3&lt;=$E110,DT$4&gt;=$E110))</f>
        <v>-0</v>
      </c>
      <c r="DU110" s="48" t="n">
        <f aca="false">-(DU107+DU108+DU109)*N(AND(DU$3&lt;=$E110,DU$4&gt;=$E110))</f>
        <v>-0</v>
      </c>
      <c r="DV110" s="48" t="n">
        <f aca="false">-(DV107+DV108+DV109)*N(AND(DV$3&lt;=$E110,DV$4&gt;=$E110))</f>
        <v>-0</v>
      </c>
      <c r="DW110" s="48" t="n">
        <f aca="false">-(DW107+DW108+DW109)*N(AND(DW$3&lt;=$E110,DW$4&gt;=$E110))</f>
        <v>-0</v>
      </c>
      <c r="DX110" s="48" t="n">
        <f aca="false">-(DX107+DX108+DX109)*N(AND(DX$3&lt;=$E110,DX$4&gt;=$E110))</f>
        <v>-0</v>
      </c>
      <c r="DY110" s="48" t="n">
        <f aca="false">-(DY107+DY108+DY109)*N(AND(DY$3&lt;=$E110,DY$4&gt;=$E110))</f>
        <v>-0</v>
      </c>
      <c r="DZ110" s="48" t="n">
        <f aca="false">-(DZ107+DZ108+DZ109)*N(AND(DZ$3&lt;=$E110,DZ$4&gt;=$E110))</f>
        <v>-0</v>
      </c>
      <c r="EA110" s="48" t="n">
        <f aca="false">-(EA107+EA108+EA109)*N(AND(EA$3&lt;=$E110,EA$4&gt;=$E110))</f>
        <v>-0</v>
      </c>
      <c r="EB110" s="48" t="n">
        <f aca="false">-(EB107+EB108+EB109)*N(AND(EB$3&lt;=$E110,EB$4&gt;=$E110))</f>
        <v>-0</v>
      </c>
      <c r="EC110" s="48" t="n">
        <f aca="false">-(EC107+EC108+EC109)*N(AND(EC$3&lt;=$E110,EC$4&gt;=$E110))</f>
        <v>-0</v>
      </c>
      <c r="ED110" s="48" t="n">
        <f aca="false">-(ED107+ED108+ED109)*N(AND(ED$3&lt;=$E110,ED$4&gt;=$E110))</f>
        <v>-0</v>
      </c>
      <c r="EE110" s="48" t="n">
        <f aca="false">-(EE107+EE108+EE109)*N(AND(EE$3&lt;=$E110,EE$4&gt;=$E110))</f>
        <v>-0</v>
      </c>
      <c r="EF110" s="48" t="n">
        <f aca="false">-(EF107+EF108+EF109)*N(AND(EF$3&lt;=$E110,EF$4&gt;=$E110))</f>
        <v>-0</v>
      </c>
      <c r="EG110" s="48" t="n">
        <f aca="false">-(EG107+EG108+EG109)*N(AND(EG$3&lt;=$E110,EG$4&gt;=$E110))</f>
        <v>-0</v>
      </c>
      <c r="EH110" s="48" t="n">
        <f aca="false">-(EH107+EH108+EH109)*N(AND(EH$3&lt;=$E110,EH$4&gt;=$E110))</f>
        <v>-0</v>
      </c>
      <c r="EI110" s="48" t="n">
        <f aca="false">-(EI107+EI108+EI109)*N(AND(EI$3&lt;=$E110,EI$4&gt;=$E110))</f>
        <v>-0</v>
      </c>
      <c r="EJ110" s="48" t="n">
        <f aca="false">-(EJ107+EJ108+EJ109)*N(AND(EJ$3&lt;=$E110,EJ$4&gt;=$E110))</f>
        <v>-0</v>
      </c>
      <c r="EK110" s="48" t="n">
        <f aca="false">-(EK107+EK108+EK109)*N(AND(EK$3&lt;=$E110,EK$4&gt;=$E110))</f>
        <v>-0</v>
      </c>
      <c r="EL110" s="48" t="n">
        <f aca="false">-(EL107+EL108+EL109)*N(AND(EL$3&lt;=$E110,EL$4&gt;=$E110))</f>
        <v>-0</v>
      </c>
      <c r="EM110" s="48" t="n">
        <f aca="false">-(EM107+EM108+EM109)*N(AND(EM$3&lt;=$E110,EM$4&gt;=$E110))</f>
        <v>-0</v>
      </c>
      <c r="EN110" s="48" t="n">
        <f aca="false">-(EN107+EN108+EN109)*N(AND(EN$3&lt;=$E110,EN$4&gt;=$E110))</f>
        <v>-0</v>
      </c>
      <c r="EO110" s="48" t="n">
        <f aca="false">-(EO107+EO108+EO109)*N(AND(EO$3&lt;=$E110,EO$4&gt;=$E110))</f>
        <v>-0</v>
      </c>
    </row>
    <row r="111" customFormat="false" ht="15" hidden="false" customHeight="false" outlineLevel="0" collapsed="false">
      <c r="C111" s="0" t="s">
        <v>488</v>
      </c>
      <c r="D111" s="11" t="s">
        <v>33</v>
      </c>
      <c r="I111" s="59"/>
      <c r="J111" s="48" t="n">
        <f aca="false">SUM(J107:J110)</f>
        <v>12.8099380746857</v>
      </c>
      <c r="K111" s="48" t="n">
        <f aca="false">SUM(K107:K110)</f>
        <v>32.4846237568024</v>
      </c>
      <c r="L111" s="48" t="n">
        <f aca="false">SUM(L107:L110)</f>
        <v>65.6401125914806</v>
      </c>
      <c r="M111" s="48" t="n">
        <f aca="false">SUM(M107:M110)</f>
        <v>99.1599474573091</v>
      </c>
      <c r="N111" s="48" t="n">
        <f aca="false">SUM(N107:N110)</f>
        <v>132.679782323138</v>
      </c>
      <c r="O111" s="48" t="n">
        <f aca="false">SUM(O107:O110)</f>
        <v>165.835271157816</v>
      </c>
      <c r="P111" s="48" t="n">
        <f aca="false">SUM(P107:P110)</f>
        <v>198.990759992494</v>
      </c>
      <c r="Q111" s="48" t="n">
        <f aca="false">SUM(Q107:Q110)</f>
        <v>232.510594858322</v>
      </c>
      <c r="R111" s="48" t="n">
        <f aca="false">SUM(R107:R110)</f>
        <v>1469.10018074212</v>
      </c>
      <c r="S111" s="48" t="n">
        <f aca="false">SUM(S107:S110)</f>
        <v>1654.67336688858</v>
      </c>
      <c r="T111" s="48" t="n">
        <f aca="false">SUM(T107:T110)</f>
        <v>1818.25220158421</v>
      </c>
      <c r="U111" s="48" t="n">
        <f aca="false">SUM(U107:U110)</f>
        <v>1969.32533492454</v>
      </c>
      <c r="V111" s="48" t="n">
        <f aca="false">SUM(V107:V110)</f>
        <v>2105.93801849568</v>
      </c>
      <c r="W111" s="48" t="n">
        <f aca="false">SUM(W107:W110)</f>
        <v>2226.47670012685</v>
      </c>
      <c r="X111" s="48" t="n">
        <f aca="false">SUM(X107:X110)</f>
        <v>2334.36237014867</v>
      </c>
      <c r="Y111" s="48" t="n">
        <f aca="false">SUM(Y107:Y110)</f>
        <v>2429.13032601656</v>
      </c>
      <c r="Z111" s="48" t="n">
        <f aca="false">SUM(Z107:Z110)</f>
        <v>2316.55503785235</v>
      </c>
      <c r="AA111" s="48" t="n">
        <f aca="false">SUM(AA107:AA110)</f>
        <v>2203.36297897246</v>
      </c>
      <c r="AB111" s="48" t="n">
        <f aca="false">SUM(AB107:AB110)</f>
        <v>2081.7521845457</v>
      </c>
      <c r="AC111" s="48" t="n">
        <f aca="false">SUM(AC107:AC110)</f>
        <v>1951.60231807541</v>
      </c>
      <c r="AD111" s="48" t="n">
        <f aca="false">SUM(AD107:AD110)</f>
        <v>1822.3521308709</v>
      </c>
      <c r="AE111" s="48" t="n">
        <f aca="false">SUM(AE107:AE110)</f>
        <v>1687.09432157791</v>
      </c>
      <c r="AF111" s="48" t="n">
        <f aca="false">SUM(AF107:AF110)</f>
        <v>1548.47907293773</v>
      </c>
      <c r="AG111" s="48" t="n">
        <f aca="false">SUM(AG107:AG110)</f>
        <v>1401.10145973089</v>
      </c>
      <c r="AH111" s="48" t="n">
        <f aca="false">SUM(AH107:AH110)</f>
        <v>1254.46578812116</v>
      </c>
      <c r="AI111" s="48" t="n">
        <f aca="false">SUM(AI107:AI110)</f>
        <v>1107.15316305715</v>
      </c>
      <c r="AJ111" s="48" t="n">
        <f aca="false">SUM(AJ107:AJ110)</f>
        <v>934.396162418536</v>
      </c>
      <c r="AK111" s="48" t="n">
        <f aca="false">SUM(AK107:AK110)</f>
        <v>0</v>
      </c>
      <c r="AL111" s="48" t="n">
        <f aca="false">SUM(AL107:AL110)</f>
        <v>0</v>
      </c>
      <c r="AM111" s="48" t="n">
        <f aca="false">SUM(AM107:AM110)</f>
        <v>0</v>
      </c>
      <c r="AN111" s="48" t="n">
        <f aca="false">SUM(AN107:AN110)</f>
        <v>0</v>
      </c>
      <c r="AO111" s="48" t="n">
        <f aca="false">SUM(AO107:AO110)</f>
        <v>0</v>
      </c>
      <c r="AP111" s="48" t="n">
        <f aca="false">SUM(AP107:AP110)</f>
        <v>0</v>
      </c>
      <c r="AQ111" s="48" t="n">
        <f aca="false">SUM(AQ107:AQ110)</f>
        <v>0</v>
      </c>
      <c r="AR111" s="48" t="n">
        <f aca="false">SUM(AR107:AR110)</f>
        <v>0</v>
      </c>
      <c r="AS111" s="48" t="n">
        <f aca="false">SUM(AS107:AS110)</f>
        <v>0</v>
      </c>
      <c r="AT111" s="48" t="n">
        <f aca="false">SUM(AT107:AT110)</f>
        <v>0</v>
      </c>
      <c r="AU111" s="48" t="n">
        <f aca="false">SUM(AU107:AU110)</f>
        <v>0</v>
      </c>
      <c r="AV111" s="48" t="n">
        <f aca="false">SUM(AV107:AV110)</f>
        <v>0</v>
      </c>
      <c r="AW111" s="48" t="n">
        <f aca="false">SUM(AW107:AW110)</f>
        <v>0</v>
      </c>
      <c r="AX111" s="48" t="n">
        <f aca="false">SUM(AX107:AX110)</f>
        <v>0</v>
      </c>
      <c r="AY111" s="48" t="n">
        <f aca="false">SUM(AY107:AY110)</f>
        <v>0</v>
      </c>
      <c r="AZ111" s="48" t="n">
        <f aca="false">SUM(AZ107:AZ110)</f>
        <v>0</v>
      </c>
      <c r="BA111" s="48" t="n">
        <f aca="false">SUM(BA107:BA110)</f>
        <v>0</v>
      </c>
      <c r="BB111" s="48" t="n">
        <f aca="false">SUM(BB107:BB110)</f>
        <v>0</v>
      </c>
      <c r="BC111" s="48" t="n">
        <f aca="false">SUM(BC107:BC110)</f>
        <v>0</v>
      </c>
      <c r="BD111" s="48" t="n">
        <f aca="false">SUM(BD107:BD110)</f>
        <v>0</v>
      </c>
      <c r="BE111" s="48" t="n">
        <f aca="false">SUM(BE107:BE110)</f>
        <v>0</v>
      </c>
      <c r="BF111" s="48" t="n">
        <f aca="false">SUM(BF107:BF110)</f>
        <v>0</v>
      </c>
      <c r="BG111" s="48" t="n">
        <f aca="false">SUM(BG107:BG110)</f>
        <v>0</v>
      </c>
      <c r="BH111" s="48" t="n">
        <f aca="false">SUM(BH107:BH110)</f>
        <v>0</v>
      </c>
      <c r="BI111" s="48" t="n">
        <f aca="false">SUM(BI107:BI110)</f>
        <v>0</v>
      </c>
      <c r="BJ111" s="48" t="n">
        <f aca="false">SUM(BJ107:BJ110)</f>
        <v>0</v>
      </c>
      <c r="BK111" s="48" t="n">
        <f aca="false">SUM(BK107:BK110)</f>
        <v>0</v>
      </c>
      <c r="BL111" s="48" t="n">
        <f aca="false">SUM(BL107:BL110)</f>
        <v>0</v>
      </c>
      <c r="BM111" s="48" t="n">
        <f aca="false">SUM(BM107:BM110)</f>
        <v>0</v>
      </c>
      <c r="BN111" s="48" t="n">
        <f aca="false">SUM(BN107:BN110)</f>
        <v>0</v>
      </c>
      <c r="BO111" s="48" t="n">
        <f aca="false">SUM(BO107:BO110)</f>
        <v>0</v>
      </c>
      <c r="BP111" s="48" t="n">
        <f aca="false">SUM(BP107:BP110)</f>
        <v>0</v>
      </c>
      <c r="BQ111" s="48" t="n">
        <f aca="false">SUM(BQ107:BQ110)</f>
        <v>0</v>
      </c>
      <c r="BR111" s="48" t="n">
        <f aca="false">SUM(BR107:BR110)</f>
        <v>0</v>
      </c>
      <c r="BS111" s="48" t="n">
        <f aca="false">SUM(BS107:BS110)</f>
        <v>0</v>
      </c>
      <c r="BT111" s="48" t="n">
        <f aca="false">SUM(BT107:BT110)</f>
        <v>0</v>
      </c>
      <c r="BU111" s="48" t="n">
        <f aca="false">SUM(BU107:BU110)</f>
        <v>0</v>
      </c>
      <c r="BV111" s="48" t="n">
        <f aca="false">SUM(BV107:BV110)</f>
        <v>0</v>
      </c>
      <c r="BW111" s="48" t="n">
        <f aca="false">SUM(BW107:BW110)</f>
        <v>0</v>
      </c>
      <c r="BX111" s="48" t="n">
        <f aca="false">SUM(BX107:BX110)</f>
        <v>0</v>
      </c>
      <c r="BY111" s="48" t="n">
        <f aca="false">SUM(BY107:BY110)</f>
        <v>0</v>
      </c>
      <c r="BZ111" s="48" t="n">
        <f aca="false">SUM(BZ107:BZ110)</f>
        <v>0</v>
      </c>
      <c r="CA111" s="48" t="n">
        <f aca="false">SUM(CA107:CA110)</f>
        <v>0</v>
      </c>
      <c r="CB111" s="48" t="n">
        <f aca="false">SUM(CB107:CB110)</f>
        <v>0</v>
      </c>
      <c r="CC111" s="48" t="n">
        <f aca="false">SUM(CC107:CC110)</f>
        <v>0</v>
      </c>
      <c r="CD111" s="48" t="n">
        <f aca="false">SUM(CD107:CD110)</f>
        <v>0</v>
      </c>
      <c r="CE111" s="48" t="n">
        <f aca="false">SUM(CE107:CE110)</f>
        <v>0</v>
      </c>
      <c r="CF111" s="48" t="n">
        <f aca="false">SUM(CF107:CF110)</f>
        <v>0</v>
      </c>
      <c r="CG111" s="48" t="n">
        <f aca="false">SUM(CG107:CG110)</f>
        <v>0</v>
      </c>
      <c r="CH111" s="48" t="n">
        <f aca="false">SUM(CH107:CH110)</f>
        <v>0</v>
      </c>
      <c r="CI111" s="48" t="n">
        <f aca="false">SUM(CI107:CI110)</f>
        <v>0</v>
      </c>
      <c r="CJ111" s="48" t="n">
        <f aca="false">SUM(CJ107:CJ110)</f>
        <v>0</v>
      </c>
      <c r="CK111" s="48" t="n">
        <f aca="false">SUM(CK107:CK110)</f>
        <v>0</v>
      </c>
      <c r="CL111" s="48" t="n">
        <f aca="false">SUM(CL107:CL110)</f>
        <v>0</v>
      </c>
      <c r="CM111" s="48" t="n">
        <f aca="false">SUM(CM107:CM110)</f>
        <v>0</v>
      </c>
      <c r="CN111" s="48" t="n">
        <f aca="false">SUM(CN107:CN110)</f>
        <v>0</v>
      </c>
      <c r="CO111" s="48" t="n">
        <f aca="false">SUM(CO107:CO110)</f>
        <v>0</v>
      </c>
      <c r="CP111" s="48" t="n">
        <f aca="false">SUM(CP107:CP110)</f>
        <v>0</v>
      </c>
      <c r="CQ111" s="48" t="n">
        <f aca="false">SUM(CQ107:CQ110)</f>
        <v>0</v>
      </c>
      <c r="CR111" s="48" t="n">
        <f aca="false">SUM(CR107:CR110)</f>
        <v>0</v>
      </c>
      <c r="CS111" s="48" t="n">
        <f aca="false">SUM(CS107:CS110)</f>
        <v>0</v>
      </c>
      <c r="CT111" s="48" t="n">
        <f aca="false">SUM(CT107:CT110)</f>
        <v>0</v>
      </c>
      <c r="CU111" s="48" t="n">
        <f aca="false">SUM(CU107:CU110)</f>
        <v>0</v>
      </c>
      <c r="CV111" s="48" t="n">
        <f aca="false">SUM(CV107:CV110)</f>
        <v>0</v>
      </c>
      <c r="CW111" s="48" t="n">
        <f aca="false">SUM(CW107:CW110)</f>
        <v>0</v>
      </c>
      <c r="CX111" s="48" t="n">
        <f aca="false">SUM(CX107:CX110)</f>
        <v>0</v>
      </c>
      <c r="CY111" s="48" t="n">
        <f aca="false">SUM(CY107:CY110)</f>
        <v>0</v>
      </c>
      <c r="CZ111" s="48" t="n">
        <f aca="false">SUM(CZ107:CZ110)</f>
        <v>0</v>
      </c>
      <c r="DA111" s="48" t="n">
        <f aca="false">SUM(DA107:DA110)</f>
        <v>0</v>
      </c>
      <c r="DB111" s="48" t="n">
        <f aca="false">SUM(DB107:DB110)</f>
        <v>0</v>
      </c>
      <c r="DC111" s="48" t="n">
        <f aca="false">SUM(DC107:DC110)</f>
        <v>0</v>
      </c>
      <c r="DD111" s="48" t="n">
        <f aca="false">SUM(DD107:DD110)</f>
        <v>0</v>
      </c>
      <c r="DE111" s="48" t="n">
        <f aca="false">SUM(DE107:DE110)</f>
        <v>0</v>
      </c>
      <c r="DF111" s="48" t="n">
        <f aca="false">SUM(DF107:DF110)</f>
        <v>0</v>
      </c>
      <c r="DG111" s="48" t="n">
        <f aca="false">SUM(DG107:DG110)</f>
        <v>0</v>
      </c>
      <c r="DH111" s="48" t="n">
        <f aca="false">SUM(DH107:DH110)</f>
        <v>0</v>
      </c>
      <c r="DI111" s="48" t="n">
        <f aca="false">SUM(DI107:DI110)</f>
        <v>0</v>
      </c>
      <c r="DJ111" s="48" t="n">
        <f aca="false">SUM(DJ107:DJ110)</f>
        <v>0</v>
      </c>
      <c r="DK111" s="48" t="n">
        <f aca="false">SUM(DK107:DK110)</f>
        <v>0</v>
      </c>
      <c r="DL111" s="48" t="n">
        <f aca="false">SUM(DL107:DL110)</f>
        <v>0</v>
      </c>
      <c r="DM111" s="48" t="n">
        <f aca="false">SUM(DM107:DM110)</f>
        <v>0</v>
      </c>
      <c r="DN111" s="48" t="n">
        <f aca="false">SUM(DN107:DN110)</f>
        <v>0</v>
      </c>
      <c r="DO111" s="48" t="n">
        <f aca="false">SUM(DO107:DO110)</f>
        <v>0</v>
      </c>
      <c r="DP111" s="48" t="n">
        <f aca="false">SUM(DP107:DP110)</f>
        <v>0</v>
      </c>
      <c r="DQ111" s="48" t="n">
        <f aca="false">SUM(DQ107:DQ110)</f>
        <v>0</v>
      </c>
      <c r="DR111" s="48" t="n">
        <f aca="false">SUM(DR107:DR110)</f>
        <v>0</v>
      </c>
      <c r="DS111" s="48" t="n">
        <f aca="false">SUM(DS107:DS110)</f>
        <v>0</v>
      </c>
      <c r="DT111" s="48" t="n">
        <f aca="false">SUM(DT107:DT110)</f>
        <v>0</v>
      </c>
      <c r="DU111" s="48" t="n">
        <f aca="false">SUM(DU107:DU110)</f>
        <v>0</v>
      </c>
      <c r="DV111" s="48" t="n">
        <f aca="false">SUM(DV107:DV110)</f>
        <v>0</v>
      </c>
      <c r="DW111" s="48" t="n">
        <f aca="false">SUM(DW107:DW110)</f>
        <v>0</v>
      </c>
      <c r="DX111" s="48" t="n">
        <f aca="false">SUM(DX107:DX110)</f>
        <v>0</v>
      </c>
      <c r="DY111" s="48" t="n">
        <f aca="false">SUM(DY107:DY110)</f>
        <v>0</v>
      </c>
      <c r="DZ111" s="48" t="n">
        <f aca="false">SUM(DZ107:DZ110)</f>
        <v>0</v>
      </c>
      <c r="EA111" s="48" t="n">
        <f aca="false">SUM(EA107:EA110)</f>
        <v>0</v>
      </c>
      <c r="EB111" s="48" t="n">
        <f aca="false">SUM(EB107:EB110)</f>
        <v>0</v>
      </c>
      <c r="EC111" s="48" t="n">
        <f aca="false">SUM(EC107:EC110)</f>
        <v>0</v>
      </c>
      <c r="ED111" s="48" t="n">
        <f aca="false">SUM(ED107:ED110)</f>
        <v>0</v>
      </c>
      <c r="EE111" s="48" t="n">
        <f aca="false">SUM(EE107:EE110)</f>
        <v>0</v>
      </c>
      <c r="EF111" s="48" t="n">
        <f aca="false">SUM(EF107:EF110)</f>
        <v>0</v>
      </c>
      <c r="EG111" s="48" t="n">
        <f aca="false">SUM(EG107:EG110)</f>
        <v>0</v>
      </c>
      <c r="EH111" s="48" t="n">
        <f aca="false">SUM(EH107:EH110)</f>
        <v>0</v>
      </c>
      <c r="EI111" s="48" t="n">
        <f aca="false">SUM(EI107:EI110)</f>
        <v>0</v>
      </c>
      <c r="EJ111" s="48" t="n">
        <f aca="false">SUM(EJ107:EJ110)</f>
        <v>0</v>
      </c>
      <c r="EK111" s="48" t="n">
        <f aca="false">SUM(EK107:EK110)</f>
        <v>0</v>
      </c>
      <c r="EL111" s="48" t="n">
        <f aca="false">SUM(EL107:EL110)</f>
        <v>0</v>
      </c>
      <c r="EM111" s="48" t="n">
        <f aca="false">SUM(EM107:EM110)</f>
        <v>0</v>
      </c>
      <c r="EN111" s="48" t="n">
        <f aca="false">SUM(EN107:EN110)</f>
        <v>0</v>
      </c>
      <c r="EO111" s="48" t="n">
        <f aca="false">SUM(EO107:EO110)</f>
        <v>0</v>
      </c>
    </row>
    <row r="112" customFormat="false" ht="15" hidden="false" customHeight="false" outlineLevel="0" collapsed="false">
      <c r="C112" s="0" t="s">
        <v>489</v>
      </c>
      <c r="D112" s="11" t="s">
        <v>33</v>
      </c>
      <c r="J112" s="48" t="n">
        <f aca="false">-In_CIT*(MAX(0,J106)+J109)-In_RH_On*In_RH_Rate*MAX(0,J106)</f>
        <v>-0</v>
      </c>
      <c r="K112" s="48" t="n">
        <f aca="false">-In_CIT*(MAX(0,K106)+K109)-In_RH_On*In_RH_Rate*MAX(0,K106)</f>
        <v>-0</v>
      </c>
      <c r="L112" s="48" t="n">
        <f aca="false">-In_CIT*(MAX(0,L106)+L109)-In_RH_On*In_RH_Rate*MAX(0,L106)</f>
        <v>-0</v>
      </c>
      <c r="M112" s="48" t="n">
        <f aca="false">-In_CIT*(MAX(0,M106)+M109)-In_RH_On*In_RH_Rate*MAX(0,M106)</f>
        <v>-0</v>
      </c>
      <c r="N112" s="48" t="n">
        <f aca="false">-In_CIT*(MAX(0,N106)+N109)-In_RH_On*In_RH_Rate*MAX(0,N106)</f>
        <v>-0</v>
      </c>
      <c r="O112" s="48" t="n">
        <f aca="false">-In_CIT*(MAX(0,O106)+O109)-In_RH_On*In_RH_Rate*MAX(0,O106)</f>
        <v>-0</v>
      </c>
      <c r="P112" s="48" t="n">
        <f aca="false">-In_CIT*(MAX(0,P106)+P109)-In_RH_On*In_RH_Rate*MAX(0,P106)</f>
        <v>-0</v>
      </c>
      <c r="Q112" s="48" t="n">
        <f aca="false">-In_CIT*(MAX(0,Q106)+Q109)-In_RH_On*In_RH_Rate*MAX(0,Q106)</f>
        <v>-0</v>
      </c>
      <c r="R112" s="48" t="n">
        <f aca="false">-In_CIT*(MAX(0,R106)+R109)-In_RH_On*In_RH_Rate*MAX(0,R106)</f>
        <v>-0</v>
      </c>
      <c r="S112" s="48" t="n">
        <f aca="false">-In_CIT*(MAX(0,S106)+S109)-In_RH_On*In_RH_Rate*MAX(0,S106)</f>
        <v>-0</v>
      </c>
      <c r="T112" s="48" t="n">
        <f aca="false">-In_CIT*(MAX(0,T106)+T109)-In_RH_On*In_RH_Rate*MAX(0,T106)</f>
        <v>-0</v>
      </c>
      <c r="U112" s="48" t="n">
        <f aca="false">-In_CIT*(MAX(0,U106)+U109)-In_RH_On*In_RH_Rate*MAX(0,U106)</f>
        <v>-0</v>
      </c>
      <c r="V112" s="48" t="n">
        <f aca="false">-In_CIT*(MAX(0,V106)+V109)-In_RH_On*In_RH_Rate*MAX(0,V106)</f>
        <v>-0</v>
      </c>
      <c r="W112" s="48" t="n">
        <f aca="false">-In_CIT*(MAX(0,W106)+W109)-In_RH_On*In_RH_Rate*MAX(0,W106)</f>
        <v>-0</v>
      </c>
      <c r="X112" s="48" t="n">
        <f aca="false">-In_CIT*(MAX(0,X106)+X109)-In_RH_On*In_RH_Rate*MAX(0,X106)</f>
        <v>-0</v>
      </c>
      <c r="Y112" s="48" t="n">
        <f aca="false">-In_CIT*(MAX(0,Y106)+Y109)-In_RH_On*In_RH_Rate*MAX(0,Y106)</f>
        <v>-0</v>
      </c>
      <c r="Z112" s="48" t="n">
        <f aca="false">-In_CIT*(MAX(0,Z106)+Z109)-In_RH_On*In_RH_Rate*MAX(0,Z106)</f>
        <v>-16.886293224631</v>
      </c>
      <c r="AA112" s="48" t="n">
        <f aca="false">-In_CIT*(MAX(0,AA106)+AA109)-In_RH_On*In_RH_Rate*MAX(0,AA106)</f>
        <v>-16.978808831984</v>
      </c>
      <c r="AB112" s="48" t="n">
        <f aca="false">-In_CIT*(MAX(0,AB106)+AB109)-In_RH_On*In_RH_Rate*MAX(0,AB106)</f>
        <v>-18.2416191640139</v>
      </c>
      <c r="AC112" s="48" t="n">
        <f aca="false">-In_CIT*(MAX(0,AC106)+AC109)-In_RH_On*In_RH_Rate*MAX(0,AC106)</f>
        <v>-19.5224799705427</v>
      </c>
      <c r="AD112" s="48" t="n">
        <f aca="false">-In_CIT*(MAX(0,AD106)+AD109)-In_RH_On*In_RH_Rate*MAX(0,AD106)</f>
        <v>-19.3875280806775</v>
      </c>
      <c r="AE112" s="48" t="n">
        <f aca="false">-In_CIT*(MAX(0,AE106)+AE109)-In_RH_On*In_RH_Rate*MAX(0,AE106)</f>
        <v>-20.2886713939478</v>
      </c>
      <c r="AF112" s="48" t="n">
        <f aca="false">-In_CIT*(MAX(0,AF106)+AF109)-In_RH_On*In_RH_Rate*MAX(0,AF106)</f>
        <v>-20.7922872960267</v>
      </c>
      <c r="AG112" s="48" t="n">
        <f aca="false">-In_CIT*(MAX(0,AG106)+AG109)-In_RH_On*In_RH_Rate*MAX(0,AG106)</f>
        <v>-22.1066419810266</v>
      </c>
      <c r="AH112" s="48" t="n">
        <f aca="false">-In_CIT*(MAX(0,AH106)+AH109)-In_RH_On*In_RH_Rate*MAX(0,AH106)</f>
        <v>-21.9953507414597</v>
      </c>
      <c r="AI112" s="48" t="n">
        <f aca="false">-In_CIT*(MAX(0,AI106)+AI109)-In_RH_On*In_RH_Rate*MAX(0,AI106)</f>
        <v>-22.0968937596013</v>
      </c>
      <c r="AJ112" s="48" t="n">
        <f aca="false">-In_CIT*(MAX(0,AJ106)+AJ109)-In_RH_On*In_RH_Rate*MAX(0,AJ106)</f>
        <v>-25.9135500957921</v>
      </c>
      <c r="AK112" s="48" t="n">
        <f aca="false">-In_CIT*(MAX(0,AK106)+AK109)-In_RH_On*In_RH_Rate*MAX(0,AK106)</f>
        <v>-27.3049372956593</v>
      </c>
      <c r="AL112" s="48" t="n">
        <f aca="false">-In_CIT*(MAX(0,AL106)+AL109)-In_RH_On*In_RH_Rate*MAX(0,AL106)</f>
        <v>-54.4680631833249</v>
      </c>
      <c r="AM112" s="48" t="n">
        <f aca="false">-In_CIT*(MAX(0,AM106)+AM109)-In_RH_On*In_RH_Rate*MAX(0,AM106)</f>
        <v>-54.578362515377</v>
      </c>
      <c r="AN112" s="48" t="n">
        <f aca="false">-In_CIT*(MAX(0,AN106)+AN109)-In_RH_On*In_RH_Rate*MAX(0,AN106)</f>
        <v>-57.3671588061698</v>
      </c>
      <c r="AO112" s="48" t="n">
        <f aca="false">-In_CIT*(MAX(0,AO106)+AO109)-In_RH_On*In_RH_Rate*MAX(0,AO106)</f>
        <v>-60.1932939769301</v>
      </c>
      <c r="AP112" s="48" t="n">
        <f aca="false">-In_CIT*(MAX(0,AP106)+AP109)-In_RH_On*In_RH_Rate*MAX(0,AP106)</f>
        <v>-60.0740965081316</v>
      </c>
      <c r="AQ112" s="48" t="n">
        <f aca="false">-In_CIT*(MAX(0,AQ106)+AQ109)-In_RH_On*In_RH_Rate*MAX(0,AQ106)</f>
        <v>-60.1960068331475</v>
      </c>
      <c r="AR112" s="48" t="n">
        <f aca="false">-In_CIT*(MAX(0,AR106)+AR109)-In_RH_On*In_RH_Rate*MAX(0,AR106)</f>
        <v>-63.0547832753783</v>
      </c>
      <c r="AS112" s="48" t="n">
        <f aca="false">-In_CIT*(MAX(0,AS106)+AS109)-In_RH_On*In_RH_Rate*MAX(0,AS106)</f>
        <v>-65.95163726333</v>
      </c>
      <c r="AT112" s="48" t="n">
        <f aca="false">-In_CIT*(MAX(0,AT106)+AT109)-In_RH_On*In_RH_Rate*MAX(0,AT106)</f>
        <v>-65.8844378858316</v>
      </c>
      <c r="AU112" s="48" t="n">
        <f aca="false">-In_CIT*(MAX(0,AU106)+AU109)-In_RH_On*In_RH_Rate*MAX(0,AU106)</f>
        <v>-67.7301064924391</v>
      </c>
      <c r="AV112" s="48" t="n">
        <f aca="false">-In_CIT*(MAX(0,AV106)+AV109)-In_RH_On*In_RH_Rate*MAX(0,AV106)</f>
        <v>-68.9758354874802</v>
      </c>
      <c r="AW112" s="48" t="n">
        <f aca="false">-In_CIT*(MAX(0,AW106)+AW109)-In_RH_On*In_RH_Rate*MAX(0,AW106)</f>
        <v>-71.9459246834938</v>
      </c>
      <c r="AX112" s="48" t="n">
        <f aca="false">-In_CIT*(MAX(0,AX106)+AX109)-In_RH_On*In_RH_Rate*MAX(0,AX106)</f>
        <v>-71.9336068263615</v>
      </c>
      <c r="AY112" s="48" t="n">
        <f aca="false">-In_CIT*(MAX(0,AY106)+AY109)-In_RH_On*In_RH_Rate*MAX(0,AY106)</f>
        <v>-72.085489453143</v>
      </c>
      <c r="AZ112" s="48" t="n">
        <f aca="false">-In_CIT*(MAX(0,AZ106)+AZ109)-In_RH_On*In_RH_Rate*MAX(0,AZ106)</f>
        <v>-75.0912326583209</v>
      </c>
      <c r="BA112" s="48" t="n">
        <f aca="false">-In_CIT*(MAX(0,BA106)+BA109)-In_RH_On*In_RH_Rate*MAX(0,BA106)</f>
        <v>-78.1366177672074</v>
      </c>
      <c r="BB112" s="48" t="n">
        <f aca="false">-In_CIT*(MAX(0,BB106)+BB109)-In_RH_On*In_RH_Rate*MAX(0,BB106)</f>
        <v>-78.18161753557</v>
      </c>
      <c r="BC112" s="48" t="n">
        <f aca="false">-In_CIT*(MAX(0,BC106)+BC109)-In_RH_On*In_RH_Rate*MAX(0,BC106)</f>
        <v>-78.3518012926789</v>
      </c>
      <c r="BD112" s="48" t="n">
        <f aca="false">-In_CIT*(MAX(0,BD106)+BD109)-In_RH_On*In_RH_Rate*MAX(0,BD106)</f>
        <v>-81.4344550222881</v>
      </c>
      <c r="BE112" s="48" t="n">
        <f aca="false">-In_CIT*(MAX(0,BE106)+BE109)-In_RH_On*In_RH_Rate*MAX(0,BE106)</f>
        <v>-84.5575756275407</v>
      </c>
      <c r="BF112" s="48" t="n">
        <f aca="false">-In_CIT*(MAX(0,BF106)+BF109)-In_RH_On*In_RH_Rate*MAX(0,BF106)</f>
        <v>-84.6627263349583</v>
      </c>
      <c r="BG112" s="48" t="n">
        <f aca="false">-In_CIT*(MAX(0,BG106)+BG109)-In_RH_On*In_RH_Rate*MAX(0,BG106)</f>
        <v>-84.8536638903764</v>
      </c>
      <c r="BH112" s="48" t="n">
        <f aca="false">-In_CIT*(MAX(0,BH106)+BH109)-In_RH_On*In_RH_Rate*MAX(0,BH106)</f>
        <v>-88.0157478192608</v>
      </c>
      <c r="BI112" s="48" t="n">
        <f aca="false">-In_CIT*(MAX(0,BI106)+BI109)-In_RH_On*In_RH_Rate*MAX(0,BI106)</f>
        <v>-91.2191549334207</v>
      </c>
      <c r="BJ112" s="48" t="n">
        <f aca="false">-In_CIT*(MAX(0,BJ106)+BJ109)-In_RH_On*In_RH_Rate*MAX(0,BJ106)</f>
        <v>-91.3874169520422</v>
      </c>
      <c r="BK112" s="48" t="n">
        <f aca="false">-In_CIT*(MAX(0,BK106)+BK109)-In_RH_On*In_RH_Rate*MAX(0,BK106)</f>
        <v>-93.3517023458549</v>
      </c>
      <c r="BL112" s="48" t="n">
        <f aca="false">-In_CIT*(MAX(0,BL106)+BL109)-In_RH_On*In_RH_Rate*MAX(0,BL106)</f>
        <v>-94.8708568143714</v>
      </c>
      <c r="BM112" s="48" t="n">
        <f aca="false">-In_CIT*(MAX(0,BM106)+BM109)-In_RH_On*In_RH_Rate*MAX(0,BM106)</f>
        <v>-98.1575060532142</v>
      </c>
      <c r="BN112" s="48" t="n">
        <f aca="false">-In_CIT*(MAX(0,BN106)+BN109)-In_RH_On*In_RH_Rate*MAX(0,BN106)</f>
        <v>-98.392263746269</v>
      </c>
      <c r="BO112" s="48" t="n">
        <f aca="false">-In_CIT*(MAX(0,BO106)+BO109)-In_RH_On*In_RH_Rate*MAX(0,BO106)</f>
        <v>-98.632855770362</v>
      </c>
      <c r="BP112" s="48" t="n">
        <f aca="false">-In_CIT*(MAX(0,BP106)+BP109)-In_RH_On*In_RH_Rate*MAX(0,BP106)</f>
        <v>-101.962123829949</v>
      </c>
      <c r="BQ112" s="48" t="n">
        <f aca="false">-In_CIT*(MAX(0,BQ106)+BQ109)-In_RH_On*In_RH_Rate*MAX(0,BQ106)</f>
        <v>-105.334530837058</v>
      </c>
      <c r="BR112" s="48" t="n">
        <f aca="false">-In_CIT*(MAX(0,BR106)+BR109)-In_RH_On*In_RH_Rate*MAX(0,BR106)</f>
        <v>-105.638738663274</v>
      </c>
      <c r="BS112" s="48" t="n">
        <f aca="false">-In_CIT*(MAX(0,BS106)+BS109)-In_RH_On*In_RH_Rate*MAX(0,BS106)</f>
        <v>-105.908212276601</v>
      </c>
      <c r="BT112" s="48" t="n">
        <f aca="false">-In_CIT*(MAX(0,BT106)+BT109)-In_RH_On*In_RH_Rate*MAX(0,BT106)</f>
        <v>-109.325197678237</v>
      </c>
      <c r="BU112" s="48" t="n">
        <f aca="false">-In_CIT*(MAX(0,BU106)+BU109)-In_RH_On*In_RH_Rate*MAX(0,BU106)</f>
        <v>-112.786281231187</v>
      </c>
      <c r="BV112" s="48" t="n">
        <f aca="false">-In_CIT*(MAX(0,BV106)+BV109)-In_RH_On*In_RH_Rate*MAX(0,BV106)</f>
        <v>-113.16331695488</v>
      </c>
      <c r="BW112" s="48" t="n">
        <f aca="false">-In_CIT*(MAX(0,BW106)+BW109)-In_RH_On*In_RH_Rate*MAX(0,BW106)</f>
        <v>-113.464649334113</v>
      </c>
      <c r="BX112" s="48" t="n">
        <f aca="false">-In_CIT*(MAX(0,BX106)+BX109)-In_RH_On*In_RH_Rate*MAX(0,BX106)</f>
        <v>-116.972367703491</v>
      </c>
      <c r="BY112" s="48" t="n">
        <f aca="false">-In_CIT*(MAX(0,BY106)+BY109)-In_RH_On*In_RH_Rate*MAX(0,BY106)</f>
        <v>-120.525180815106</v>
      </c>
      <c r="BZ112" s="48" t="n">
        <f aca="false">-In_CIT*(MAX(0,BZ106)+BZ109)-In_RH_On*In_RH_Rate*MAX(0,BZ106)</f>
        <v>-120.978573929514</v>
      </c>
      <c r="CA112" s="48" t="n">
        <f aca="false">-In_CIT*(MAX(0,CA106)+CA109)-In_RH_On*In_RH_Rate*MAX(0,CA106)</f>
        <v>-123.098004105147</v>
      </c>
      <c r="CB112" s="48" t="n">
        <f aca="false">-In_CIT*(MAX(0,CB106)+CB109)-In_RH_On*In_RH_Rate*MAX(0,CB106)</f>
        <v>-124.941706180995</v>
      </c>
      <c r="CC112" s="48" t="n">
        <f aca="false">-In_CIT*(MAX(0,CC106)+CC109)-In_RH_On*In_RH_Rate*MAX(0,CC106)</f>
        <v>-128.58973250453</v>
      </c>
      <c r="CD112" s="48" t="n">
        <f aca="false">-In_CIT*(MAX(0,CD106)+CD109)-In_RH_On*In_RH_Rate*MAX(0,CD106)</f>
        <v>-129.123464472379</v>
      </c>
      <c r="CE112" s="48" t="n">
        <f aca="false">-In_CIT*(MAX(0,CE106)+CE109)-In_RH_On*In_RH_Rate*MAX(0,CE106)</f>
        <v>-129.498335838174</v>
      </c>
      <c r="CF112" s="48" t="n">
        <f aca="false">-In_CIT*(MAX(0,CF106)+CF109)-In_RH_On*In_RH_Rate*MAX(0,CF106)</f>
        <v>-133.197429498161</v>
      </c>
      <c r="CG112" s="48" t="n">
        <f aca="false">-In_CIT*(MAX(0,CG106)+CG109)-In_RH_On*In_RH_Rate*MAX(0,CG106)</f>
        <v>-136.943733534847</v>
      </c>
      <c r="CH112" s="48" t="n">
        <f aca="false">-In_CIT*(MAX(0,CH106)+CH109)-In_RH_On*In_RH_Rate*MAX(0,CH106)</f>
        <v>-137.561378656614</v>
      </c>
      <c r="CI112" s="48" t="n">
        <f aca="false">-In_CIT*(MAX(0,CI106)+CI109)-In_RH_On*In_RH_Rate*MAX(0,CI106)</f>
        <v>-137.977961383218</v>
      </c>
      <c r="CJ112" s="48" t="n">
        <f aca="false">-In_CIT*(MAX(0,CJ106)+CJ109)-In_RH_On*In_RH_Rate*MAX(0,CJ106)</f>
        <v>-141.777709278762</v>
      </c>
      <c r="CK112" s="48" t="n">
        <f aca="false">-In_CIT*(MAX(0,CK106)+CK109)-In_RH_On*In_RH_Rate*MAX(0,CK106)</f>
        <v>-145.625786922548</v>
      </c>
      <c r="CL112" s="48" t="n">
        <f aca="false">-In_CIT*(MAX(0,CL106)+CL109)-In_RH_On*In_RH_Rate*MAX(0,CL106)</f>
        <v>-146.331373112562</v>
      </c>
      <c r="CM112" s="48" t="n">
        <f aca="false">-In_CIT*(MAX(0,CM106)+CM109)-In_RH_On*In_RH_Rate*MAX(0,CM106)</f>
        <v>-146.793273634272</v>
      </c>
      <c r="CN112" s="48" t="n">
        <f aca="false">-In_CIT*(MAX(0,CN106)+CN109)-In_RH_On*In_RH_Rate*MAX(0,CN106)</f>
        <v>-150.697288700495</v>
      </c>
      <c r="CO112" s="48" t="n">
        <f aca="false">-In_CIT*(MAX(0,CO106)+CO109)-In_RH_On*In_RH_Rate*MAX(0,CO106)</f>
        <v>-154.650797526829</v>
      </c>
      <c r="CP112" s="48" t="n">
        <f aca="false">-In_CIT*(MAX(0,CP106)+CP109)-In_RH_On*In_RH_Rate*MAX(0,CP106)</f>
        <v>-155.448533957699</v>
      </c>
      <c r="CQ112" s="48" t="n">
        <f aca="false">-In_CIT*(MAX(0,CQ106)+CQ109)-In_RH_On*In_RH_Rate*MAX(0,CQ106)</f>
        <v>-157.767861040622</v>
      </c>
      <c r="CR112" s="48" t="n">
        <f aca="false">-In_CIT*(MAX(0,CR106)+CR109)-In_RH_On*In_RH_Rate*MAX(0,CR106)</f>
        <v>-159.996950919905</v>
      </c>
      <c r="CS112" s="48" t="n">
        <f aca="false">-In_CIT*(MAX(0,CS106)+CS109)-In_RH_On*In_RH_Rate*MAX(0,CS106)</f>
        <v>-164.060009528408</v>
      </c>
      <c r="CT112" s="48" t="n">
        <f aca="false">-In_CIT*(MAX(0,CT106)+CT109)-In_RH_On*In_RH_Rate*MAX(0,CT106)</f>
        <v>-164.954589886834</v>
      </c>
      <c r="CU112" s="48" t="n">
        <f aca="false">-In_CIT*(MAX(0,CU106)+CU109)-In_RH_On*In_RH_Rate*MAX(0,CU106)</f>
        <v>-163.194375284734</v>
      </c>
      <c r="CV112" s="48" t="n">
        <f aca="false">-In_CIT*(MAX(0,CV106)+CV109)-In_RH_On*In_RH_Rate*MAX(0,CV106)</f>
        <v>-165.007646121231</v>
      </c>
      <c r="CW112" s="48" t="n">
        <f aca="false">-In_CIT*(MAX(0,CW106)+CW109)-In_RH_On*In_RH_Rate*MAX(0,CW106)</f>
        <v>-166.820916957728</v>
      </c>
      <c r="CX112" s="48" t="n">
        <f aca="false">-In_CIT*(MAX(0,CX106)+CX109)-In_RH_On*In_RH_Rate*MAX(0,CX106)</f>
        <v>-165.401027748061</v>
      </c>
      <c r="CY112" s="48" t="n">
        <f aca="false">-In_CIT*(MAX(0,CY106)+CY109)-In_RH_On*In_RH_Rate*MAX(0,CY106)</f>
        <v>-163.58723366555</v>
      </c>
      <c r="CZ112" s="48" t="n">
        <f aca="false">-In_CIT*(MAX(0,CZ106)+CZ109)-In_RH_On*In_RH_Rate*MAX(0,CZ106)</f>
        <v>-165.404869595167</v>
      </c>
      <c r="DA112" s="48" t="n">
        <f aca="false">-In_CIT*(MAX(0,DA106)+DA109)-In_RH_On*In_RH_Rate*MAX(0,DA106)</f>
        <v>-167.222505524784</v>
      </c>
      <c r="DB112" s="48" t="n">
        <f aca="false">-In_CIT*(MAX(0,DB106)+DB109)-In_RH_On*In_RH_Rate*MAX(0,DB106)</f>
        <v>-375.486699874706</v>
      </c>
      <c r="DC112" s="48" t="n">
        <f aca="false">-In_CIT*(MAX(0,DC106)+DC109)-In_RH_On*In_RH_Rate*MAX(0,DC106)</f>
        <v>-369.060276869219</v>
      </c>
      <c r="DD112" s="48" t="n">
        <f aca="false">-In_CIT*(MAX(0,DD106)+DD109)-In_RH_On*In_RH_Rate*MAX(0,DD106)</f>
        <v>-373.160946612211</v>
      </c>
      <c r="DE112" s="48" t="n">
        <f aca="false">-In_CIT*(MAX(0,DE106)+DE109)-In_RH_On*In_RH_Rate*MAX(0,DE106)</f>
        <v>-377.261616355202</v>
      </c>
      <c r="DF112" s="48" t="n">
        <f aca="false">-In_CIT*(MAX(0,DF106)+DF109)-In_RH_On*In_RH_Rate*MAX(0,DF106)</f>
        <v>-375.824783779586</v>
      </c>
      <c r="DG112" s="48" t="n">
        <f aca="false">-In_CIT*(MAX(0,DG106)+DG109)-In_RH_On*In_RH_Rate*MAX(0,DG106)</f>
        <v>-373.447561715863</v>
      </c>
      <c r="DH112" s="48" t="n">
        <f aca="false">-In_CIT*(MAX(0,DH106)+DH109)-In_RH_On*In_RH_Rate*MAX(0,DH106)</f>
        <v>-373.447561715863</v>
      </c>
      <c r="DI112" s="48" t="n">
        <f aca="false">-In_CIT*(MAX(0,DI106)+DI109)-In_RH_On*In_RH_Rate*MAX(0,DI106)</f>
        <v>-377.551381075378</v>
      </c>
      <c r="DJ112" s="48" t="n">
        <f aca="false">-In_CIT*(MAX(0,DJ106)+DJ109)-In_RH_On*In_RH_Rate*MAX(0,DJ106)</f>
        <v>-376.106053012438</v>
      </c>
      <c r="DK112" s="48" t="n">
        <f aca="false">-In_CIT*(MAX(0,DK106)+DK109)-In_RH_On*In_RH_Rate*MAX(0,DK106)</f>
        <v>-369.569862589466</v>
      </c>
      <c r="DL112" s="48" t="n">
        <f aca="false">-In_CIT*(MAX(0,DL106)+DL109)-In_RH_On*In_RH_Rate*MAX(0,DL106)</f>
        <v>-373.676194396016</v>
      </c>
      <c r="DM112" s="48" t="n">
        <f aca="false">-In_CIT*(MAX(0,DM106)+DM109)-In_RH_On*In_RH_Rate*MAX(0,DM106)</f>
        <v>-377.782526202566</v>
      </c>
      <c r="DN112" s="48" t="n">
        <f aca="false">-In_CIT*(MAX(0,DN106)+DN109)-In_RH_On*In_RH_Rate*MAX(0,DN106)</f>
        <v>-376.328687856251</v>
      </c>
      <c r="DO112" s="48" t="n">
        <f aca="false">-In_CIT*(MAX(0,DO106)+DO109)-In_RH_On*In_RH_Rate*MAX(0,DO106)</f>
        <v>-369.736810251908</v>
      </c>
      <c r="DP112" s="48" t="n">
        <f aca="false">-In_CIT*(MAX(0,DP106)+DP109)-In_RH_On*In_RH_Rate*MAX(0,DP106)</f>
        <v>-373.844997032485</v>
      </c>
      <c r="DQ112" s="48" t="n">
        <f aca="false">-In_CIT*(MAX(0,DQ106)+DQ109)-In_RH_On*In_RH_Rate*MAX(0,DQ106)</f>
        <v>-377.953183813062</v>
      </c>
      <c r="DR112" s="48" t="n">
        <f aca="false">-In_CIT*(MAX(0,DR106)+DR109)-In_RH_On*In_RH_Rate*MAX(0,DR106)</f>
        <v>-376.490821224723</v>
      </c>
      <c r="DS112" s="48" t="n">
        <f aca="false">-In_CIT*(MAX(0,DS106)+DS109)-In_RH_On*In_RH_Rate*MAX(0,DS106)</f>
        <v>-369.842710510588</v>
      </c>
      <c r="DT112" s="48" t="n">
        <f aca="false">-In_CIT*(MAX(0,DT106)+DT109)-In_RH_On*In_RH_Rate*MAX(0,DT106)</f>
        <v>-373.952073960705</v>
      </c>
      <c r="DU112" s="48" t="n">
        <f aca="false">-In_CIT*(MAX(0,DU106)+DU109)-In_RH_On*In_RH_Rate*MAX(0,DU106)</f>
        <v>-378.061437410823</v>
      </c>
      <c r="DV112" s="48" t="n">
        <f aca="false">-In_CIT*(MAX(0,DV106)+DV109)-In_RH_On*In_RH_Rate*MAX(0,DV106)</f>
        <v>-376.590537485769</v>
      </c>
      <c r="DW112" s="48" t="n">
        <f aca="false">-In_CIT*(MAX(0,DW106)+DW109)-In_RH_On*In_RH_Rate*MAX(0,DW106)</f>
        <v>-373.995480278811</v>
      </c>
      <c r="DX112" s="48" t="n">
        <f aca="false">-In_CIT*(MAX(0,DX106)+DX109)-In_RH_On*In_RH_Rate*MAX(0,DX106)</f>
        <v>-373.995480278811</v>
      </c>
      <c r="DY112" s="48" t="n">
        <f aca="false">-In_CIT*(MAX(0,DY106)+DY109)-In_RH_On*In_RH_Rate*MAX(0,DY106)</f>
        <v>-378.105320721435</v>
      </c>
      <c r="DZ112" s="48" t="n">
        <f aca="false">-In_CIT*(MAX(0,DZ106)+DZ109)-In_RH_On*In_RH_Rate*MAX(0,DZ106)</f>
        <v>-376.625871256129</v>
      </c>
      <c r="EA112" s="48" t="n">
        <f aca="false">-In_CIT*(MAX(0,EA106)+EA109)-In_RH_On*In_RH_Rate*MAX(0,EA106)</f>
        <v>-369.863624794353</v>
      </c>
      <c r="EB112" s="48" t="n">
        <f aca="false">-In_CIT*(MAX(0,EB106)+EB109)-In_RH_On*In_RH_Rate*MAX(0,EB106)</f>
        <v>-373.973220625401</v>
      </c>
      <c r="EC112" s="48" t="n">
        <f aca="false">-In_CIT*(MAX(0,EC106)+EC109)-In_RH_On*In_RH_Rate*MAX(0,EC106)</f>
        <v>-378.08281645645</v>
      </c>
      <c r="ED112" s="48" t="n">
        <f aca="false">-In_CIT*(MAX(0,ED106)+ED109)-In_RH_On*In_RH_Rate*MAX(0,ED106)</f>
        <v>-376.594806166359</v>
      </c>
      <c r="EE112" s="48" t="n">
        <f aca="false">-In_CIT*(MAX(0,EE106)+EE109)-In_RH_On*In_RH_Rate*MAX(0,EE106)</f>
        <v>-369.774640807209</v>
      </c>
      <c r="EF112" s="48" t="n">
        <f aca="false">-In_CIT*(MAX(0,EF106)+EF109)-In_RH_On*In_RH_Rate*MAX(0,EF106)</f>
        <v>-373.883247927289</v>
      </c>
      <c r="EG112" s="48" t="n">
        <f aca="false">-In_CIT*(MAX(0,EG106)+EG109)-In_RH_On*In_RH_Rate*MAX(0,EG106)</f>
        <v>-377.991855047369</v>
      </c>
      <c r="EH112" s="48" t="n">
        <f aca="false">-In_CIT*(MAX(0,EH106)+EH109)-In_RH_On*In_RH_Rate*MAX(0,EH106)</f>
        <v>-376.495273595488</v>
      </c>
      <c r="EI112" s="48" t="n">
        <f aca="false">-In_CIT*(MAX(0,EI106)+EI109)-In_RH_On*In_RH_Rate*MAX(0,EI106)</f>
        <v>-369.616610884433</v>
      </c>
      <c r="EJ112" s="48" t="n">
        <f aca="false">-In_CIT*(MAX(0,EJ106)+EJ109)-In_RH_On*In_RH_Rate*MAX(0,EJ106)</f>
        <v>-373.723462116482</v>
      </c>
      <c r="EK112" s="48" t="n">
        <f aca="false">-In_CIT*(MAX(0,EK106)+EK109)-In_RH_On*In_RH_Rate*MAX(0,EK106)</f>
        <v>-377.830313348531</v>
      </c>
      <c r="EL112" s="48" t="n">
        <f aca="false">-In_CIT*(MAX(0,EL106)+EL109)-In_RH_On*In_RH_Rate*MAX(0,EL106)</f>
        <v>-376.325151374578</v>
      </c>
      <c r="EM112" s="48" t="n">
        <f aca="false">-In_CIT*(MAX(0,EM106)+EM109)-In_RH_On*In_RH_Rate*MAX(0,EM106)</f>
        <v>-373.491708815651</v>
      </c>
      <c r="EN112" s="48" t="n">
        <f aca="false">-In_CIT*(MAX(0,EN106)+EN109)-In_RH_On*In_RH_Rate*MAX(0,EN106)</f>
        <v>-373.491708815651</v>
      </c>
      <c r="EO112" s="48" t="n">
        <f aca="false">-In_CIT*(MAX(0,EO106)+EO109)-In_RH_On*In_RH_Rate*MAX(0,EO106)</f>
        <v>-377.596013308131</v>
      </c>
    </row>
    <row r="113" customFormat="false" ht="15" hidden="false" customHeight="false" outlineLevel="0" collapsed="false">
      <c r="C113" s="0" t="s">
        <v>490</v>
      </c>
      <c r="D113" s="11" t="s">
        <v>33</v>
      </c>
      <c r="I113" s="48" t="n">
        <f aca="false">SUM(J113:EO113)</f>
        <v>1.56550612473438E-008</v>
      </c>
      <c r="J113" s="48" t="n">
        <f aca="false">ABS(J112-J85)</f>
        <v>0</v>
      </c>
      <c r="K113" s="48" t="n">
        <f aca="false">ABS(K112-K85)</f>
        <v>0</v>
      </c>
      <c r="L113" s="48" t="n">
        <f aca="false">ABS(L112-L85)</f>
        <v>0</v>
      </c>
      <c r="M113" s="48" t="n">
        <f aca="false">ABS(M112-M85)</f>
        <v>0</v>
      </c>
      <c r="N113" s="48" t="n">
        <f aca="false">ABS(N112-N85)</f>
        <v>0</v>
      </c>
      <c r="O113" s="48" t="n">
        <f aca="false">ABS(O112-O85)</f>
        <v>0</v>
      </c>
      <c r="P113" s="48" t="n">
        <f aca="false">ABS(P112-P85)</f>
        <v>0</v>
      </c>
      <c r="Q113" s="48" t="n">
        <f aca="false">ABS(Q112-Q85)</f>
        <v>0</v>
      </c>
      <c r="R113" s="48" t="n">
        <f aca="false">ABS(R112-R85)</f>
        <v>0</v>
      </c>
      <c r="S113" s="48" t="n">
        <f aca="false">ABS(S112-S85)</f>
        <v>0</v>
      </c>
      <c r="T113" s="48" t="n">
        <f aca="false">ABS(T112-T85)</f>
        <v>0</v>
      </c>
      <c r="U113" s="48" t="n">
        <f aca="false">ABS(U112-U85)</f>
        <v>0</v>
      </c>
      <c r="V113" s="48" t="n">
        <f aca="false">ABS(V112-V85)</f>
        <v>0</v>
      </c>
      <c r="W113" s="48" t="n">
        <f aca="false">ABS(W112-W85)</f>
        <v>0</v>
      </c>
      <c r="X113" s="48" t="n">
        <f aca="false">ABS(X112-X85)</f>
        <v>0</v>
      </c>
      <c r="Y113" s="48" t="n">
        <f aca="false">ABS(Y112-Y85)</f>
        <v>0</v>
      </c>
      <c r="Z113" s="48" t="n">
        <f aca="false">ABS(Z112-Z85)</f>
        <v>0</v>
      </c>
      <c r="AA113" s="48" t="n">
        <f aca="false">ABS(AA112-AA85)</f>
        <v>8.10729261502274E-012</v>
      </c>
      <c r="AB113" s="48" t="n">
        <f aca="false">ABS(AB112-AB85)</f>
        <v>1.64988023243495E-011</v>
      </c>
      <c r="AC113" s="48" t="n">
        <f aca="false">ABS(AC112-AC85)</f>
        <v>2.5359270239278E-011</v>
      </c>
      <c r="AD113" s="48" t="n">
        <f aca="false">ABS(AD112-AD85)</f>
        <v>3.46602746503777E-011</v>
      </c>
      <c r="AE113" s="48" t="n">
        <f aca="false">ABS(AE112-AE85)</f>
        <v>4.43094450019999E-011</v>
      </c>
      <c r="AF113" s="48" t="n">
        <f aca="false">ABS(AF112-AF85)</f>
        <v>5.42534905889625E-011</v>
      </c>
      <c r="AG113" s="48" t="n">
        <f aca="false">ABS(AG112-AG85)</f>
        <v>6.45137276933383E-011</v>
      </c>
      <c r="AH113" s="48" t="n">
        <f aca="false">ABS(AH112-AH85)</f>
        <v>7.51612105887034E-011</v>
      </c>
      <c r="AI113" s="48" t="n">
        <f aca="false">ABS(AI112-AI85)</f>
        <v>8.60467253005481E-011</v>
      </c>
      <c r="AJ113" s="48" t="n">
        <f aca="false">ABS(AJ112-AJ85)</f>
        <v>9.70672431321873E-011</v>
      </c>
      <c r="AK113" s="48" t="n">
        <f aca="false">ABS(AK112-AK85)</f>
        <v>1.08506981177925E-010</v>
      </c>
      <c r="AL113" s="48" t="n">
        <f aca="false">ABS(AL112-AL85)</f>
        <v>2.40497399772721E-010</v>
      </c>
      <c r="AM113" s="48" t="n">
        <f aca="false">ABS(AM112-AM85)</f>
        <v>2.68414623860735E-010</v>
      </c>
      <c r="AN113" s="48" t="n">
        <f aca="false">ABS(AN112-AN85)</f>
        <v>2.95237612135679E-010</v>
      </c>
      <c r="AO113" s="48" t="n">
        <f aca="false">ABS(AO112-AO85)</f>
        <v>3.21108473144705E-010</v>
      </c>
      <c r="AP113" s="48" t="n">
        <f aca="false">ABS(AP112-AP85)</f>
        <v>3.45849571203871E-010</v>
      </c>
      <c r="AQ113" s="48" t="n">
        <f aca="false">ABS(AQ112-AQ85)</f>
        <v>3.69048791526438E-010</v>
      </c>
      <c r="AR113" s="48" t="n">
        <f aca="false">ABS(AR112-AR85)</f>
        <v>3.90315335607738E-010</v>
      </c>
      <c r="AS113" s="48" t="n">
        <f aca="false">ABS(AS112-AS85)</f>
        <v>4.09897893405287E-010</v>
      </c>
      <c r="AT113" s="48" t="n">
        <f aca="false">ABS(AT112-AT85)</f>
        <v>4.2768988350872E-010</v>
      </c>
      <c r="AU113" s="48" t="n">
        <f aca="false">ABS(AU112-AU85)</f>
        <v>4.43378667114303E-010</v>
      </c>
      <c r="AV113" s="48" t="n">
        <f aca="false">ABS(AV112-AV85)</f>
        <v>4.56850557384314E-010</v>
      </c>
      <c r="AW113" s="48" t="n">
        <f aca="false">ABS(AW112-AW85)</f>
        <v>4.68091343464039E-010</v>
      </c>
      <c r="AX113" s="48" t="n">
        <f aca="false">ABS(AX112-AX85)</f>
        <v>4.77214712191199E-010</v>
      </c>
      <c r="AY113" s="48" t="n">
        <f aca="false">ABS(AY112-AY85)</f>
        <v>4.8402171159978E-010</v>
      </c>
      <c r="AZ113" s="48" t="n">
        <f aca="false">ABS(AZ112-AZ85)</f>
        <v>4.88242335450195E-010</v>
      </c>
      <c r="BA113" s="48" t="n">
        <f aca="false">ABS(BA112-BA85)</f>
        <v>4.903029093839E-010</v>
      </c>
      <c r="BB113" s="48" t="n">
        <f aca="false">ABS(BB112-BB85)</f>
        <v>4.90274487674469E-010</v>
      </c>
      <c r="BC113" s="48" t="n">
        <f aca="false">ABS(BC112-BC85)</f>
        <v>4.87943907501176E-010</v>
      </c>
      <c r="BD113" s="48" t="n">
        <f aca="false">ABS(BD112-BD85)</f>
        <v>4.83154849462153E-010</v>
      </c>
      <c r="BE113" s="48" t="n">
        <f aca="false">ABS(BE112-BE85)</f>
        <v>4.76390482617717E-010</v>
      </c>
      <c r="BF113" s="48" t="n">
        <f aca="false">ABS(BF112-BF85)</f>
        <v>4.67736072096159E-010</v>
      </c>
      <c r="BG113" s="48" t="n">
        <f aca="false">ABS(BG112-BG85)</f>
        <v>4.57077931059757E-010</v>
      </c>
      <c r="BH113" s="48" t="n">
        <f aca="false">ABS(BH112-BH85)</f>
        <v>4.44288161816075E-010</v>
      </c>
      <c r="BI113" s="48" t="n">
        <f aca="false">ABS(BI112-BI85)</f>
        <v>4.29949409408437E-010</v>
      </c>
      <c r="BJ113" s="48" t="n">
        <f aca="false">ABS(BJ112-BJ85)</f>
        <v>4.14090095546271E-010</v>
      </c>
      <c r="BK113" s="48" t="n">
        <f aca="false">ABS(BK112-BK85)</f>
        <v>3.96752852793725E-010</v>
      </c>
      <c r="BL113" s="48" t="n">
        <f aca="false">ABS(BL112-BL85)</f>
        <v>3.77966102860228E-010</v>
      </c>
      <c r="BM113" s="48" t="n">
        <f aca="false">ABS(BM112-BM85)</f>
        <v>3.57985641130654E-010</v>
      </c>
      <c r="BN113" s="48" t="n">
        <f aca="false">ABS(BN112-BN85)</f>
        <v>3.37109895554022E-010</v>
      </c>
      <c r="BO113" s="48" t="n">
        <f aca="false">ABS(BO112-BO85)</f>
        <v>3.15296233566187E-010</v>
      </c>
      <c r="BP113" s="48" t="n">
        <f aca="false">ABS(BP112-BP85)</f>
        <v>2.92502022603003E-010</v>
      </c>
      <c r="BQ113" s="48" t="n">
        <f aca="false">ABS(BQ112-BQ85)</f>
        <v>2.69324118562508E-010</v>
      </c>
      <c r="BR113" s="48" t="n">
        <f aca="false">ABS(BR112-BR85)</f>
        <v>2.45918840846571E-010</v>
      </c>
      <c r="BS113" s="48" t="n">
        <f aca="false">ABS(BS112-BS85)</f>
        <v>2.22229346036329E-010</v>
      </c>
      <c r="BT113" s="48" t="n">
        <f aca="false">ABS(BT112-BT85)</f>
        <v>1.98255634131783E-010</v>
      </c>
      <c r="BU113" s="48" t="n">
        <f aca="false">ABS(BU112-BU85)</f>
        <v>1.74551928466826E-010</v>
      </c>
      <c r="BV113" s="48" t="n">
        <f aca="false">ABS(BV112-BV85)</f>
        <v>1.51317181007471E-010</v>
      </c>
      <c r="BW113" s="48" t="n">
        <f aca="false">ABS(BW112-BW85)</f>
        <v>1.28480337480141E-010</v>
      </c>
      <c r="BX113" s="48" t="n">
        <f aca="false">ABS(BX112-BX85)</f>
        <v>1.05984554465977E-010</v>
      </c>
      <c r="BY113" s="48" t="n">
        <f aca="false">ABS(BY112-BY85)</f>
        <v>8.44551095724455E-011</v>
      </c>
      <c r="BZ113" s="48" t="n">
        <f aca="false">ABS(BZ112-BZ85)</f>
        <v>6.39914787825546E-011</v>
      </c>
      <c r="CA113" s="48" t="n">
        <f aca="false">ABS(CA112-CA85)</f>
        <v>4.45794512415887E-011</v>
      </c>
      <c r="CB113" s="48" t="n">
        <f aca="false">ABS(CB112-CB85)</f>
        <v>2.62900812231237E-011</v>
      </c>
      <c r="CC113" s="48" t="n">
        <f aca="false">ABS(CC112-CC85)</f>
        <v>9.35074240260292E-012</v>
      </c>
      <c r="CD113" s="48" t="n">
        <f aca="false">ABS(CD112-CD85)</f>
        <v>5.99698068981525E-012</v>
      </c>
      <c r="CE113" s="48" t="n">
        <f aca="false">ABS(CE112-CE85)</f>
        <v>1.97530880541308E-011</v>
      </c>
      <c r="CF113" s="48" t="n">
        <f aca="false">ABS(CF112-CF85)</f>
        <v>3.21449533657869E-011</v>
      </c>
      <c r="CG113" s="48" t="n">
        <f aca="false">ABS(CG112-CG85)</f>
        <v>4.25472990173148E-011</v>
      </c>
      <c r="CH113" s="48" t="n">
        <f aca="false">ABS(CH112-CH85)</f>
        <v>5.09601250087144E-011</v>
      </c>
      <c r="CI113" s="48" t="n">
        <f aca="false">ABS(CI112-CI85)</f>
        <v>5.75255398871377E-011</v>
      </c>
      <c r="CJ113" s="48" t="n">
        <f aca="false">ABS(CJ112-CJ85)</f>
        <v>6.24140739091672E-011</v>
      </c>
      <c r="CK113" s="48" t="n">
        <f aca="false">ABS(CK112-CK85)</f>
        <v>6.50857145956252E-011</v>
      </c>
      <c r="CL113" s="48" t="n">
        <f aca="false">ABS(CL112-CL85)</f>
        <v>6.55973053653725E-011</v>
      </c>
      <c r="CM113" s="48" t="n">
        <f aca="false">ABS(CM112-CM85)</f>
        <v>6.41193764749914E-011</v>
      </c>
      <c r="CN113" s="48" t="n">
        <f aca="false">ABS(CN112-CN85)</f>
        <v>6.08793015999254E-011</v>
      </c>
      <c r="CO113" s="48" t="n">
        <f aca="false">ABS(CO112-CO85)</f>
        <v>5.5507598517579E-011</v>
      </c>
      <c r="CP113" s="48" t="n">
        <f aca="false">ABS(CP112-CP85)</f>
        <v>4.7975845518522E-011</v>
      </c>
      <c r="CQ113" s="48" t="n">
        <f aca="false">ABS(CQ112-CQ85)</f>
        <v>3.85966814064886E-011</v>
      </c>
      <c r="CR113" s="48" t="n">
        <f aca="false">ABS(CR112-CR85)</f>
        <v>2.74553713097703E-011</v>
      </c>
      <c r="CS113" s="48" t="n">
        <f aca="false">ABS(CS112-CS85)</f>
        <v>1.46087586472277E-011</v>
      </c>
      <c r="CT113" s="48" t="n">
        <f aca="false">ABS(CT112-CT85)</f>
        <v>0</v>
      </c>
      <c r="CU113" s="48" t="n">
        <f aca="false">ABS(CU112-CU85)</f>
        <v>0</v>
      </c>
      <c r="CV113" s="48" t="n">
        <f aca="false">ABS(CV112-CV85)</f>
        <v>0</v>
      </c>
      <c r="CW113" s="48" t="n">
        <f aca="false">ABS(CW112-CW85)</f>
        <v>0</v>
      </c>
      <c r="CX113" s="48" t="n">
        <f aca="false">ABS(CX112-CX85)</f>
        <v>0</v>
      </c>
      <c r="CY113" s="48" t="n">
        <f aca="false">ABS(CY112-CY85)</f>
        <v>0</v>
      </c>
      <c r="CZ113" s="48" t="n">
        <f aca="false">ABS(CZ112-CZ85)</f>
        <v>0</v>
      </c>
      <c r="DA113" s="48" t="n">
        <f aca="false">ABS(DA112-DA85)</f>
        <v>0</v>
      </c>
      <c r="DB113" s="48" t="n">
        <f aca="false">ABS(DB112-DB85)</f>
        <v>0</v>
      </c>
      <c r="DC113" s="48" t="n">
        <f aca="false">ABS(DC112-DC85)</f>
        <v>0</v>
      </c>
      <c r="DD113" s="48" t="n">
        <f aca="false">ABS(DD112-DD85)</f>
        <v>0</v>
      </c>
      <c r="DE113" s="48" t="n">
        <f aca="false">ABS(DE112-DE85)</f>
        <v>0</v>
      </c>
      <c r="DF113" s="48" t="n">
        <f aca="false">ABS(DF112-DF85)</f>
        <v>0</v>
      </c>
      <c r="DG113" s="48" t="n">
        <f aca="false">ABS(DG112-DG85)</f>
        <v>0</v>
      </c>
      <c r="DH113" s="48" t="n">
        <f aca="false">ABS(DH112-DH85)</f>
        <v>0</v>
      </c>
      <c r="DI113" s="48" t="n">
        <f aca="false">ABS(DI112-DI85)</f>
        <v>0</v>
      </c>
      <c r="DJ113" s="48" t="n">
        <f aca="false">ABS(DJ112-DJ85)</f>
        <v>0</v>
      </c>
      <c r="DK113" s="48" t="n">
        <f aca="false">ABS(DK112-DK85)</f>
        <v>0</v>
      </c>
      <c r="DL113" s="48" t="n">
        <f aca="false">ABS(DL112-DL85)</f>
        <v>0</v>
      </c>
      <c r="DM113" s="48" t="n">
        <f aca="false">ABS(DM112-DM85)</f>
        <v>0</v>
      </c>
      <c r="DN113" s="48" t="n">
        <f aca="false">ABS(DN112-DN85)</f>
        <v>0</v>
      </c>
      <c r="DO113" s="48" t="n">
        <f aca="false">ABS(DO112-DO85)</f>
        <v>0</v>
      </c>
      <c r="DP113" s="48" t="n">
        <f aca="false">ABS(DP112-DP85)</f>
        <v>0</v>
      </c>
      <c r="DQ113" s="48" t="n">
        <f aca="false">ABS(DQ112-DQ85)</f>
        <v>0</v>
      </c>
      <c r="DR113" s="48" t="n">
        <f aca="false">ABS(DR112-DR85)</f>
        <v>0</v>
      </c>
      <c r="DS113" s="48" t="n">
        <f aca="false">ABS(DS112-DS85)</f>
        <v>0</v>
      </c>
      <c r="DT113" s="48" t="n">
        <f aca="false">ABS(DT112-DT85)</f>
        <v>0</v>
      </c>
      <c r="DU113" s="48" t="n">
        <f aca="false">ABS(DU112-DU85)</f>
        <v>0</v>
      </c>
      <c r="DV113" s="48" t="n">
        <f aca="false">ABS(DV112-DV85)</f>
        <v>0</v>
      </c>
      <c r="DW113" s="48" t="n">
        <f aca="false">ABS(DW112-DW85)</f>
        <v>0</v>
      </c>
      <c r="DX113" s="48" t="n">
        <f aca="false">ABS(DX112-DX85)</f>
        <v>0</v>
      </c>
      <c r="DY113" s="48" t="n">
        <f aca="false">ABS(DY112-DY85)</f>
        <v>0</v>
      </c>
      <c r="DZ113" s="48" t="n">
        <f aca="false">ABS(DZ112-DZ85)</f>
        <v>0</v>
      </c>
      <c r="EA113" s="48" t="n">
        <f aca="false">ABS(EA112-EA85)</f>
        <v>0</v>
      </c>
      <c r="EB113" s="48" t="n">
        <f aca="false">ABS(EB112-EB85)</f>
        <v>0</v>
      </c>
      <c r="EC113" s="48" t="n">
        <f aca="false">ABS(EC112-EC85)</f>
        <v>0</v>
      </c>
      <c r="ED113" s="48" t="n">
        <f aca="false">ABS(ED112-ED85)</f>
        <v>0</v>
      </c>
      <c r="EE113" s="48" t="n">
        <f aca="false">ABS(EE112-EE85)</f>
        <v>0</v>
      </c>
      <c r="EF113" s="48" t="n">
        <f aca="false">ABS(EF112-EF85)</f>
        <v>0</v>
      </c>
      <c r="EG113" s="48" t="n">
        <f aca="false">ABS(EG112-EG85)</f>
        <v>0</v>
      </c>
      <c r="EH113" s="48" t="n">
        <f aca="false">ABS(EH112-EH85)</f>
        <v>0</v>
      </c>
      <c r="EI113" s="48" t="n">
        <f aca="false">ABS(EI112-EI85)</f>
        <v>0</v>
      </c>
      <c r="EJ113" s="48" t="n">
        <f aca="false">ABS(EJ112-EJ85)</f>
        <v>0</v>
      </c>
      <c r="EK113" s="48" t="n">
        <f aca="false">ABS(EK112-EK85)</f>
        <v>0</v>
      </c>
      <c r="EL113" s="48" t="n">
        <f aca="false">ABS(EL112-EL85)</f>
        <v>0</v>
      </c>
      <c r="EM113" s="48" t="n">
        <f aca="false">ABS(EM112-EM85)</f>
        <v>0</v>
      </c>
      <c r="EN113" s="48" t="n">
        <f aca="false">ABS(EN112-EN85)</f>
        <v>0</v>
      </c>
      <c r="EO113" s="48" t="n">
        <f aca="false">ABS(EO112-EO85)</f>
        <v>0</v>
      </c>
    </row>
    <row r="115" customFormat="false" ht="15" hidden="false" customHeight="false" outlineLevel="0" collapsed="false">
      <c r="A115" s="9" t="s">
        <v>13</v>
      </c>
      <c r="B115" s="9"/>
      <c r="C115" s="9" t="s">
        <v>491</v>
      </c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</row>
    <row r="116" customFormat="false" ht="15" hidden="false" customHeight="false" outlineLevel="0" collapsed="false">
      <c r="C116" s="0" t="s">
        <v>96</v>
      </c>
      <c r="D116" s="11" t="s">
        <v>33</v>
      </c>
      <c r="E116" s="48" t="n">
        <f aca="false">-($I47+$I48+$I49)</f>
        <v>5150</v>
      </c>
    </row>
    <row r="117" customFormat="false" ht="15" hidden="false" customHeight="false" outlineLevel="0" collapsed="false">
      <c r="C117" s="0" t="s">
        <v>97</v>
      </c>
      <c r="D117" s="11" t="s">
        <v>33</v>
      </c>
      <c r="E117" s="48" t="n">
        <f aca="false">-($I51+$I54+$E58)</f>
        <v>1114.92155376243</v>
      </c>
    </row>
    <row r="118" customFormat="false" ht="15" hidden="false" customHeight="false" outlineLevel="0" collapsed="false">
      <c r="C118" s="0" t="s">
        <v>98</v>
      </c>
      <c r="D118" s="11" t="s">
        <v>33</v>
      </c>
      <c r="E118" s="48" t="n">
        <f aca="false">-$I67</f>
        <v>91963.75</v>
      </c>
    </row>
    <row r="119" customFormat="false" ht="15" hidden="false" customHeight="false" outlineLevel="0" collapsed="false">
      <c r="C119" s="0" t="s">
        <v>99</v>
      </c>
      <c r="D119" s="11" t="s">
        <v>33</v>
      </c>
      <c r="E119" s="48" t="n">
        <f aca="false">-$I57</f>
        <v>8154.82315068493</v>
      </c>
    </row>
    <row r="120" customFormat="false" ht="15" hidden="false" customHeight="false" outlineLevel="0" collapsed="false">
      <c r="C120" s="0" t="s">
        <v>100</v>
      </c>
      <c r="D120" s="11" t="s">
        <v>33</v>
      </c>
      <c r="E120" s="48" t="n">
        <f aca="false">-$I68</f>
        <v>2500</v>
      </c>
    </row>
    <row r="121" customFormat="false" ht="15" hidden="false" customHeight="false" outlineLevel="0" collapsed="false">
      <c r="C121" s="0" t="s">
        <v>101</v>
      </c>
      <c r="D121" s="11" t="s">
        <v>33</v>
      </c>
      <c r="E121" s="48" t="n">
        <f aca="false">$I96-$I99-$I100</f>
        <v>4205.75934932964</v>
      </c>
    </row>
    <row r="122" customFormat="false" ht="15" hidden="false" customHeight="false" outlineLevel="0" collapsed="false">
      <c r="C122" s="0" t="s">
        <v>102</v>
      </c>
      <c r="D122" s="11" t="s">
        <v>33</v>
      </c>
      <c r="E122" s="48" t="n">
        <f aca="false">-SUMIF($J$4:$EO$4,"&lt;="&amp;In_COD,$J82:$EO82)</f>
        <v>340.170197534084</v>
      </c>
    </row>
    <row r="123" customFormat="false" ht="15" hidden="false" customHeight="false" outlineLevel="0" collapsed="false">
      <c r="C123" s="25" t="s">
        <v>103</v>
      </c>
      <c r="D123" s="11" t="s">
        <v>33</v>
      </c>
      <c r="E123" s="57" t="n">
        <f aca="false">SUM($E116:$E122)</f>
        <v>113429.424251311</v>
      </c>
    </row>
    <row r="124" customFormat="false" ht="15" hidden="false" customHeight="false" outlineLevel="0" collapsed="false">
      <c r="C124" s="0" t="s">
        <v>492</v>
      </c>
      <c r="D124" s="11" t="s">
        <v>33</v>
      </c>
      <c r="E124" s="48" t="n">
        <f aca="false">$E123-$E98</f>
        <v>54373.9265999892</v>
      </c>
      <c r="F124" s="48" t="n">
        <f aca="false">$E124+$E101</f>
        <v>55619.9291322218</v>
      </c>
    </row>
    <row r="125" customFormat="false" ht="15" hidden="false" customHeight="false" outlineLevel="0" collapsed="false">
      <c r="C125" s="0" t="s">
        <v>107</v>
      </c>
      <c r="D125" s="11" t="s">
        <v>27</v>
      </c>
      <c r="E125" s="49" t="n">
        <f aca="false">$E98/$E123</f>
        <v>0.520636493053868</v>
      </c>
    </row>
    <row r="126" customFormat="false" ht="15" hidden="false" customHeight="false" outlineLevel="0" collapsed="false">
      <c r="C126" s="0" t="s">
        <v>493</v>
      </c>
      <c r="D126" s="11" t="s">
        <v>33</v>
      </c>
      <c r="E126" s="48" t="n">
        <f aca="false">$E87*In_DSCR/In_DSCR_Max_Low</f>
        <v>101014.094929723</v>
      </c>
      <c r="F126" s="48" t="n">
        <f aca="false">$E87*In_DSCR/In_DSCR_Max_High</f>
        <v>92596.2536855795</v>
      </c>
    </row>
    <row r="127" customFormat="false" ht="15" hidden="false" customHeight="false" outlineLevel="0" collapsed="false">
      <c r="C127" s="0" t="s">
        <v>494</v>
      </c>
      <c r="D127" s="11" t="s">
        <v>27</v>
      </c>
      <c r="E127" s="49" t="n">
        <f aca="false">$E126/$E123</f>
        <v>0.890545778544366</v>
      </c>
      <c r="F127" s="49" t="n">
        <f aca="false">$F126/$E123</f>
        <v>0.816333630332335</v>
      </c>
    </row>
    <row r="129" customFormat="false" ht="15" hidden="false" customHeight="false" outlineLevel="0" collapsed="false">
      <c r="A129" s="9" t="s">
        <v>13</v>
      </c>
      <c r="B129" s="9"/>
      <c r="C129" s="9" t="s">
        <v>123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</row>
    <row r="130" customFormat="false" ht="15" hidden="false" customHeight="false" outlineLevel="0" collapsed="false">
      <c r="C130" s="0" t="s">
        <v>495</v>
      </c>
      <c r="D130" s="11" t="s">
        <v>33</v>
      </c>
      <c r="I130" s="48" t="n">
        <f aca="false">SUM(J130:EO130)</f>
        <v>-54373.9265999892</v>
      </c>
      <c r="J130" s="48" t="n">
        <f aca="false">(J62+J69+J95+J99+J100+J82)*(J$4&lt;=In_COD)</f>
        <v>-4662.80993807469</v>
      </c>
      <c r="K130" s="48" t="n">
        <f aca="false">(K62+K69+K95+K99+K100+K82)*(K$4&lt;=In_COD)</f>
        <v>-706.535577057768</v>
      </c>
      <c r="L130" s="48" t="n">
        <f aca="false">(L62+L69+L95+L99+L100+L82)*(L$4&lt;=In_COD)</f>
        <v>-104.360496659404</v>
      </c>
      <c r="M130" s="48" t="n">
        <f aca="false">(M62+M69+M95+M99+M100+M82)*(M$4&lt;=In_COD)</f>
        <v>-105.507315304013</v>
      </c>
      <c r="N130" s="48" t="n">
        <f aca="false">(N62+N69+N95+N99+N100+N82)*(N$4&lt;=In_COD)</f>
        <v>-105.507315304013</v>
      </c>
      <c r="O130" s="48" t="n">
        <f aca="false">(O62+O69+O95+O99+O100+O82)*(O$4&lt;=In_COD)</f>
        <v>-104.360496659404</v>
      </c>
      <c r="P130" s="48" t="n">
        <f aca="false">(P62+P69+P95+P99+P100+P82)*(P$4&lt;=In_COD)</f>
        <v>-104.360496659404</v>
      </c>
      <c r="Q130" s="48" t="n">
        <f aca="false">(Q62+Q69+Q95+Q99+Q100+Q82)*(Q$4&lt;=In_COD)</f>
        <v>-105.507315304013</v>
      </c>
      <c r="R130" s="48" t="n">
        <f aca="false">(R62+R69+R95+R99+R100+R82)*(R$4&lt;=In_COD)</f>
        <v>-6452.06801054133</v>
      </c>
      <c r="S130" s="48" t="n">
        <f aca="false">(S62+S69+S95+S99+S100+S82)*(S$4&lt;=In_COD)</f>
        <v>-8957.34206285879</v>
      </c>
      <c r="T130" s="48" t="n">
        <f aca="false">(T62+T69+T95+T99+T100+T82)*(T$4&lt;=In_COD)</f>
        <v>-5322.36727647646</v>
      </c>
      <c r="U130" s="48" t="n">
        <f aca="false">(U62+U69+U95+U99+U100+U82)*(U$4&lt;=In_COD)</f>
        <v>-5366.55155799786</v>
      </c>
      <c r="V130" s="48" t="n">
        <f aca="false">(V62+V69+V95+V99+V100+V82)*(V$4&lt;=In_COD)</f>
        <v>-5352.09110822868</v>
      </c>
      <c r="W130" s="48" t="n">
        <f aca="false">(W62+W69+W95+W99+W100+W82)*(W$4&lt;=In_COD)</f>
        <v>-5222.63714053528</v>
      </c>
      <c r="X130" s="48" t="n">
        <f aca="false">(X62+X69+X95+X99+X100+X82)*(X$4&lt;=In_COD)</f>
        <v>-5266.67411180264</v>
      </c>
      <c r="Y130" s="48" t="n">
        <f aca="false">(Y62+Y69+Y95+Y99+Y100+Y82)*(Y$4&lt;=In_COD)</f>
        <v>-6435.24638052543</v>
      </c>
      <c r="Z130" s="48" t="n">
        <f aca="false">(Z62+Z69+Z95+Z99+Z100+Z82)*(Z$4&lt;=In_COD)</f>
        <v>0</v>
      </c>
      <c r="AA130" s="48" t="n">
        <f aca="false">(AA62+AA69+AA95+AA99+AA100+AA82)*(AA$4&lt;=In_COD)</f>
        <v>0</v>
      </c>
      <c r="AB130" s="48" t="n">
        <f aca="false">(AB62+AB69+AB95+AB99+AB100+AB82)*(AB$4&lt;=In_COD)</f>
        <v>0</v>
      </c>
      <c r="AC130" s="48" t="n">
        <f aca="false">(AC62+AC69+AC95+AC99+AC100+AC82)*(AC$4&lt;=In_COD)</f>
        <v>0</v>
      </c>
      <c r="AD130" s="48" t="n">
        <f aca="false">(AD62+AD69+AD95+AD99+AD100+AD82)*(AD$4&lt;=In_COD)</f>
        <v>0</v>
      </c>
      <c r="AE130" s="48" t="n">
        <f aca="false">(AE62+AE69+AE95+AE99+AE100+AE82)*(AE$4&lt;=In_COD)</f>
        <v>0</v>
      </c>
      <c r="AF130" s="48" t="n">
        <f aca="false">(AF62+AF69+AF95+AF99+AF100+AF82)*(AF$4&lt;=In_COD)</f>
        <v>0</v>
      </c>
      <c r="AG130" s="48" t="n">
        <f aca="false">(AG62+AG69+AG95+AG99+AG100+AG82)*(AG$4&lt;=In_COD)</f>
        <v>0</v>
      </c>
      <c r="AH130" s="48" t="n">
        <f aca="false">(AH62+AH69+AH95+AH99+AH100+AH82)*(AH$4&lt;=In_COD)</f>
        <v>0</v>
      </c>
      <c r="AI130" s="48" t="n">
        <f aca="false">(AI62+AI69+AI95+AI99+AI100+AI82)*(AI$4&lt;=In_COD)</f>
        <v>0</v>
      </c>
      <c r="AJ130" s="48" t="n">
        <f aca="false">(AJ62+AJ69+AJ95+AJ99+AJ100+AJ82)*(AJ$4&lt;=In_COD)</f>
        <v>0</v>
      </c>
      <c r="AK130" s="48" t="n">
        <f aca="false">(AK62+AK69+AK95+AK99+AK100+AK82)*(AK$4&lt;=In_COD)</f>
        <v>0</v>
      </c>
      <c r="AL130" s="48" t="n">
        <f aca="false">(AL62+AL69+AL95+AL99+AL100+AL82)*(AL$4&lt;=In_COD)</f>
        <v>0</v>
      </c>
      <c r="AM130" s="48" t="n">
        <f aca="false">(AM62+AM69+AM95+AM99+AM100+AM82)*(AM$4&lt;=In_COD)</f>
        <v>0</v>
      </c>
      <c r="AN130" s="48" t="n">
        <f aca="false">(AN62+AN69+AN95+AN99+AN100+AN82)*(AN$4&lt;=In_COD)</f>
        <v>0</v>
      </c>
      <c r="AO130" s="48" t="n">
        <f aca="false">(AO62+AO69+AO95+AO99+AO100+AO82)*(AO$4&lt;=In_COD)</f>
        <v>0</v>
      </c>
      <c r="AP130" s="48" t="n">
        <f aca="false">(AP62+AP69+AP95+AP99+AP100+AP82)*(AP$4&lt;=In_COD)</f>
        <v>0</v>
      </c>
      <c r="AQ130" s="48" t="n">
        <f aca="false">(AQ62+AQ69+AQ95+AQ99+AQ100+AQ82)*(AQ$4&lt;=In_COD)</f>
        <v>0</v>
      </c>
      <c r="AR130" s="48" t="n">
        <f aca="false">(AR62+AR69+AR95+AR99+AR100+AR82)*(AR$4&lt;=In_COD)</f>
        <v>0</v>
      </c>
      <c r="AS130" s="48" t="n">
        <f aca="false">(AS62+AS69+AS95+AS99+AS100+AS82)*(AS$4&lt;=In_COD)</f>
        <v>0</v>
      </c>
      <c r="AT130" s="48" t="n">
        <f aca="false">(AT62+AT69+AT95+AT99+AT100+AT82)*(AT$4&lt;=In_COD)</f>
        <v>0</v>
      </c>
      <c r="AU130" s="48" t="n">
        <f aca="false">(AU62+AU69+AU95+AU99+AU100+AU82)*(AU$4&lt;=In_COD)</f>
        <v>0</v>
      </c>
      <c r="AV130" s="48" t="n">
        <f aca="false">(AV62+AV69+AV95+AV99+AV100+AV82)*(AV$4&lt;=In_COD)</f>
        <v>0</v>
      </c>
      <c r="AW130" s="48" t="n">
        <f aca="false">(AW62+AW69+AW95+AW99+AW100+AW82)*(AW$4&lt;=In_COD)</f>
        <v>0</v>
      </c>
      <c r="AX130" s="48" t="n">
        <f aca="false">(AX62+AX69+AX95+AX99+AX100+AX82)*(AX$4&lt;=In_COD)</f>
        <v>0</v>
      </c>
      <c r="AY130" s="48" t="n">
        <f aca="false">(AY62+AY69+AY95+AY99+AY100+AY82)*(AY$4&lt;=In_COD)</f>
        <v>0</v>
      </c>
      <c r="AZ130" s="48" t="n">
        <f aca="false">(AZ62+AZ69+AZ95+AZ99+AZ100+AZ82)*(AZ$4&lt;=In_COD)</f>
        <v>0</v>
      </c>
      <c r="BA130" s="48" t="n">
        <f aca="false">(BA62+BA69+BA95+BA99+BA100+BA82)*(BA$4&lt;=In_COD)</f>
        <v>0</v>
      </c>
      <c r="BB130" s="48" t="n">
        <f aca="false">(BB62+BB69+BB95+BB99+BB100+BB82)*(BB$4&lt;=In_COD)</f>
        <v>0</v>
      </c>
      <c r="BC130" s="48" t="n">
        <f aca="false">(BC62+BC69+BC95+BC99+BC100+BC82)*(BC$4&lt;=In_COD)</f>
        <v>0</v>
      </c>
      <c r="BD130" s="48" t="n">
        <f aca="false">(BD62+BD69+BD95+BD99+BD100+BD82)*(BD$4&lt;=In_COD)</f>
        <v>0</v>
      </c>
      <c r="BE130" s="48" t="n">
        <f aca="false">(BE62+BE69+BE95+BE99+BE100+BE82)*(BE$4&lt;=In_COD)</f>
        <v>0</v>
      </c>
      <c r="BF130" s="48" t="n">
        <f aca="false">(BF62+BF69+BF95+BF99+BF100+BF82)*(BF$4&lt;=In_COD)</f>
        <v>0</v>
      </c>
      <c r="BG130" s="48" t="n">
        <f aca="false">(BG62+BG69+BG95+BG99+BG100+BG82)*(BG$4&lt;=In_COD)</f>
        <v>0</v>
      </c>
      <c r="BH130" s="48" t="n">
        <f aca="false">(BH62+BH69+BH95+BH99+BH100+BH82)*(BH$4&lt;=In_COD)</f>
        <v>0</v>
      </c>
      <c r="BI130" s="48" t="n">
        <f aca="false">(BI62+BI69+BI95+BI99+BI100+BI82)*(BI$4&lt;=In_COD)</f>
        <v>0</v>
      </c>
      <c r="BJ130" s="48" t="n">
        <f aca="false">(BJ62+BJ69+BJ95+BJ99+BJ100+BJ82)*(BJ$4&lt;=In_COD)</f>
        <v>0</v>
      </c>
      <c r="BK130" s="48" t="n">
        <f aca="false">(BK62+BK69+BK95+BK99+BK100+BK82)*(BK$4&lt;=In_COD)</f>
        <v>0</v>
      </c>
      <c r="BL130" s="48" t="n">
        <f aca="false">(BL62+BL69+BL95+BL99+BL100+BL82)*(BL$4&lt;=In_COD)</f>
        <v>0</v>
      </c>
      <c r="BM130" s="48" t="n">
        <f aca="false">(BM62+BM69+BM95+BM99+BM100+BM82)*(BM$4&lt;=In_COD)</f>
        <v>0</v>
      </c>
      <c r="BN130" s="48" t="n">
        <f aca="false">(BN62+BN69+BN95+BN99+BN100+BN82)*(BN$4&lt;=In_COD)</f>
        <v>0</v>
      </c>
      <c r="BO130" s="48" t="n">
        <f aca="false">(BO62+BO69+BO95+BO99+BO100+BO82)*(BO$4&lt;=In_COD)</f>
        <v>0</v>
      </c>
      <c r="BP130" s="48" t="n">
        <f aca="false">(BP62+BP69+BP95+BP99+BP100+BP82)*(BP$4&lt;=In_COD)</f>
        <v>0</v>
      </c>
      <c r="BQ130" s="48" t="n">
        <f aca="false">(BQ62+BQ69+BQ95+BQ99+BQ100+BQ82)*(BQ$4&lt;=In_COD)</f>
        <v>0</v>
      </c>
      <c r="BR130" s="48" t="n">
        <f aca="false">(BR62+BR69+BR95+BR99+BR100+BR82)*(BR$4&lt;=In_COD)</f>
        <v>0</v>
      </c>
      <c r="BS130" s="48" t="n">
        <f aca="false">(BS62+BS69+BS95+BS99+BS100+BS82)*(BS$4&lt;=In_COD)</f>
        <v>0</v>
      </c>
      <c r="BT130" s="48" t="n">
        <f aca="false">(BT62+BT69+BT95+BT99+BT100+BT82)*(BT$4&lt;=In_COD)</f>
        <v>0</v>
      </c>
      <c r="BU130" s="48" t="n">
        <f aca="false">(BU62+BU69+BU95+BU99+BU100+BU82)*(BU$4&lt;=In_COD)</f>
        <v>0</v>
      </c>
      <c r="BV130" s="48" t="n">
        <f aca="false">(BV62+BV69+BV95+BV99+BV100+BV82)*(BV$4&lt;=In_COD)</f>
        <v>0</v>
      </c>
      <c r="BW130" s="48" t="n">
        <f aca="false">(BW62+BW69+BW95+BW99+BW100+BW82)*(BW$4&lt;=In_COD)</f>
        <v>0</v>
      </c>
      <c r="BX130" s="48" t="n">
        <f aca="false">(BX62+BX69+BX95+BX99+BX100+BX82)*(BX$4&lt;=In_COD)</f>
        <v>0</v>
      </c>
      <c r="BY130" s="48" t="n">
        <f aca="false">(BY62+BY69+BY95+BY99+BY100+BY82)*(BY$4&lt;=In_COD)</f>
        <v>0</v>
      </c>
      <c r="BZ130" s="48" t="n">
        <f aca="false">(BZ62+BZ69+BZ95+BZ99+BZ100+BZ82)*(BZ$4&lt;=In_COD)</f>
        <v>0</v>
      </c>
      <c r="CA130" s="48" t="n">
        <f aca="false">(CA62+CA69+CA95+CA99+CA100+CA82)*(CA$4&lt;=In_COD)</f>
        <v>0</v>
      </c>
      <c r="CB130" s="48" t="n">
        <f aca="false">(CB62+CB69+CB95+CB99+CB100+CB82)*(CB$4&lt;=In_COD)</f>
        <v>0</v>
      </c>
      <c r="CC130" s="48" t="n">
        <f aca="false">(CC62+CC69+CC95+CC99+CC100+CC82)*(CC$4&lt;=In_COD)</f>
        <v>0</v>
      </c>
      <c r="CD130" s="48" t="n">
        <f aca="false">(CD62+CD69+CD95+CD99+CD100+CD82)*(CD$4&lt;=In_COD)</f>
        <v>0</v>
      </c>
      <c r="CE130" s="48" t="n">
        <f aca="false">(CE62+CE69+CE95+CE99+CE100+CE82)*(CE$4&lt;=In_COD)</f>
        <v>0</v>
      </c>
      <c r="CF130" s="48" t="n">
        <f aca="false">(CF62+CF69+CF95+CF99+CF100+CF82)*(CF$4&lt;=In_COD)</f>
        <v>0</v>
      </c>
      <c r="CG130" s="48" t="n">
        <f aca="false">(CG62+CG69+CG95+CG99+CG100+CG82)*(CG$4&lt;=In_COD)</f>
        <v>0</v>
      </c>
      <c r="CH130" s="48" t="n">
        <f aca="false">(CH62+CH69+CH95+CH99+CH100+CH82)*(CH$4&lt;=In_COD)</f>
        <v>0</v>
      </c>
      <c r="CI130" s="48" t="n">
        <f aca="false">(CI62+CI69+CI95+CI99+CI100+CI82)*(CI$4&lt;=In_COD)</f>
        <v>0</v>
      </c>
      <c r="CJ130" s="48" t="n">
        <f aca="false">(CJ62+CJ69+CJ95+CJ99+CJ100+CJ82)*(CJ$4&lt;=In_COD)</f>
        <v>0</v>
      </c>
      <c r="CK130" s="48" t="n">
        <f aca="false">(CK62+CK69+CK95+CK99+CK100+CK82)*(CK$4&lt;=In_COD)</f>
        <v>0</v>
      </c>
      <c r="CL130" s="48" t="n">
        <f aca="false">(CL62+CL69+CL95+CL99+CL100+CL82)*(CL$4&lt;=In_COD)</f>
        <v>0</v>
      </c>
      <c r="CM130" s="48" t="n">
        <f aca="false">(CM62+CM69+CM95+CM99+CM100+CM82)*(CM$4&lt;=In_COD)</f>
        <v>0</v>
      </c>
      <c r="CN130" s="48" t="n">
        <f aca="false">(CN62+CN69+CN95+CN99+CN100+CN82)*(CN$4&lt;=In_COD)</f>
        <v>0</v>
      </c>
      <c r="CO130" s="48" t="n">
        <f aca="false">(CO62+CO69+CO95+CO99+CO100+CO82)*(CO$4&lt;=In_COD)</f>
        <v>0</v>
      </c>
      <c r="CP130" s="48" t="n">
        <f aca="false">(CP62+CP69+CP95+CP99+CP100+CP82)*(CP$4&lt;=In_COD)</f>
        <v>0</v>
      </c>
      <c r="CQ130" s="48" t="n">
        <f aca="false">(CQ62+CQ69+CQ95+CQ99+CQ100+CQ82)*(CQ$4&lt;=In_COD)</f>
        <v>0</v>
      </c>
      <c r="CR130" s="48" t="n">
        <f aca="false">(CR62+CR69+CR95+CR99+CR100+CR82)*(CR$4&lt;=In_COD)</f>
        <v>0</v>
      </c>
      <c r="CS130" s="48" t="n">
        <f aca="false">(CS62+CS69+CS95+CS99+CS100+CS82)*(CS$4&lt;=In_COD)</f>
        <v>0</v>
      </c>
      <c r="CT130" s="48" t="n">
        <f aca="false">(CT62+CT69+CT95+CT99+CT100+CT82)*(CT$4&lt;=In_COD)</f>
        <v>0</v>
      </c>
      <c r="CU130" s="48" t="n">
        <f aca="false">(CU62+CU69+CU95+CU99+CU100+CU82)*(CU$4&lt;=In_COD)</f>
        <v>0</v>
      </c>
      <c r="CV130" s="48" t="n">
        <f aca="false">(CV62+CV69+CV95+CV99+CV100+CV82)*(CV$4&lt;=In_COD)</f>
        <v>0</v>
      </c>
      <c r="CW130" s="48" t="n">
        <f aca="false">(CW62+CW69+CW95+CW99+CW100+CW82)*(CW$4&lt;=In_COD)</f>
        <v>0</v>
      </c>
      <c r="CX130" s="48" t="n">
        <f aca="false">(CX62+CX69+CX95+CX99+CX100+CX82)*(CX$4&lt;=In_COD)</f>
        <v>0</v>
      </c>
      <c r="CY130" s="48" t="n">
        <f aca="false">(CY62+CY69+CY95+CY99+CY100+CY82)*(CY$4&lt;=In_COD)</f>
        <v>0</v>
      </c>
      <c r="CZ130" s="48" t="n">
        <f aca="false">(CZ62+CZ69+CZ95+CZ99+CZ100+CZ82)*(CZ$4&lt;=In_COD)</f>
        <v>0</v>
      </c>
      <c r="DA130" s="48" t="n">
        <f aca="false">(DA62+DA69+DA95+DA99+DA100+DA82)*(DA$4&lt;=In_COD)</f>
        <v>0</v>
      </c>
      <c r="DB130" s="48" t="n">
        <f aca="false">(DB62+DB69+DB95+DB99+DB100+DB82)*(DB$4&lt;=In_COD)</f>
        <v>0</v>
      </c>
      <c r="DC130" s="48" t="n">
        <f aca="false">(DC62+DC69+DC95+DC99+DC100+DC82)*(DC$4&lt;=In_COD)</f>
        <v>0</v>
      </c>
      <c r="DD130" s="48" t="n">
        <f aca="false">(DD62+DD69+DD95+DD99+DD100+DD82)*(DD$4&lt;=In_COD)</f>
        <v>0</v>
      </c>
      <c r="DE130" s="48" t="n">
        <f aca="false">(DE62+DE69+DE95+DE99+DE100+DE82)*(DE$4&lt;=In_COD)</f>
        <v>0</v>
      </c>
      <c r="DF130" s="48" t="n">
        <f aca="false">(DF62+DF69+DF95+DF99+DF100+DF82)*(DF$4&lt;=In_COD)</f>
        <v>0</v>
      </c>
      <c r="DG130" s="48" t="n">
        <f aca="false">(DG62+DG69+DG95+DG99+DG100+DG82)*(DG$4&lt;=In_COD)</f>
        <v>0</v>
      </c>
      <c r="DH130" s="48" t="n">
        <f aca="false">(DH62+DH69+DH95+DH99+DH100+DH82)*(DH$4&lt;=In_COD)</f>
        <v>0</v>
      </c>
      <c r="DI130" s="48" t="n">
        <f aca="false">(DI62+DI69+DI95+DI99+DI100+DI82)*(DI$4&lt;=In_COD)</f>
        <v>0</v>
      </c>
      <c r="DJ130" s="48" t="n">
        <f aca="false">(DJ62+DJ69+DJ95+DJ99+DJ100+DJ82)*(DJ$4&lt;=In_COD)</f>
        <v>0</v>
      </c>
      <c r="DK130" s="48" t="n">
        <f aca="false">(DK62+DK69+DK95+DK99+DK100+DK82)*(DK$4&lt;=In_COD)</f>
        <v>0</v>
      </c>
      <c r="DL130" s="48" t="n">
        <f aca="false">(DL62+DL69+DL95+DL99+DL100+DL82)*(DL$4&lt;=In_COD)</f>
        <v>0</v>
      </c>
      <c r="DM130" s="48" t="n">
        <f aca="false">(DM62+DM69+DM95+DM99+DM100+DM82)*(DM$4&lt;=In_COD)</f>
        <v>0</v>
      </c>
      <c r="DN130" s="48" t="n">
        <f aca="false">(DN62+DN69+DN95+DN99+DN100+DN82)*(DN$4&lt;=In_COD)</f>
        <v>0</v>
      </c>
      <c r="DO130" s="48" t="n">
        <f aca="false">(DO62+DO69+DO95+DO99+DO100+DO82)*(DO$4&lt;=In_COD)</f>
        <v>0</v>
      </c>
      <c r="DP130" s="48" t="n">
        <f aca="false">(DP62+DP69+DP95+DP99+DP100+DP82)*(DP$4&lt;=In_COD)</f>
        <v>0</v>
      </c>
      <c r="DQ130" s="48" t="n">
        <f aca="false">(DQ62+DQ69+DQ95+DQ99+DQ100+DQ82)*(DQ$4&lt;=In_COD)</f>
        <v>0</v>
      </c>
      <c r="DR130" s="48" t="n">
        <f aca="false">(DR62+DR69+DR95+DR99+DR100+DR82)*(DR$4&lt;=In_COD)</f>
        <v>0</v>
      </c>
      <c r="DS130" s="48" t="n">
        <f aca="false">(DS62+DS69+DS95+DS99+DS100+DS82)*(DS$4&lt;=In_COD)</f>
        <v>0</v>
      </c>
      <c r="DT130" s="48" t="n">
        <f aca="false">(DT62+DT69+DT95+DT99+DT100+DT82)*(DT$4&lt;=In_COD)</f>
        <v>0</v>
      </c>
      <c r="DU130" s="48" t="n">
        <f aca="false">(DU62+DU69+DU95+DU99+DU100+DU82)*(DU$4&lt;=In_COD)</f>
        <v>0</v>
      </c>
      <c r="DV130" s="48" t="n">
        <f aca="false">(DV62+DV69+DV95+DV99+DV100+DV82)*(DV$4&lt;=In_COD)</f>
        <v>0</v>
      </c>
      <c r="DW130" s="48" t="n">
        <f aca="false">(DW62+DW69+DW95+DW99+DW100+DW82)*(DW$4&lt;=In_COD)</f>
        <v>0</v>
      </c>
      <c r="DX130" s="48" t="n">
        <f aca="false">(DX62+DX69+DX95+DX99+DX100+DX82)*(DX$4&lt;=In_COD)</f>
        <v>0</v>
      </c>
      <c r="DY130" s="48" t="n">
        <f aca="false">(DY62+DY69+DY95+DY99+DY100+DY82)*(DY$4&lt;=In_COD)</f>
        <v>0</v>
      </c>
      <c r="DZ130" s="48" t="n">
        <f aca="false">(DZ62+DZ69+DZ95+DZ99+DZ100+DZ82)*(DZ$4&lt;=In_COD)</f>
        <v>0</v>
      </c>
      <c r="EA130" s="48" t="n">
        <f aca="false">(EA62+EA69+EA95+EA99+EA100+EA82)*(EA$4&lt;=In_COD)</f>
        <v>0</v>
      </c>
      <c r="EB130" s="48" t="n">
        <f aca="false">(EB62+EB69+EB95+EB99+EB100+EB82)*(EB$4&lt;=In_COD)</f>
        <v>0</v>
      </c>
      <c r="EC130" s="48" t="n">
        <f aca="false">(EC62+EC69+EC95+EC99+EC100+EC82)*(EC$4&lt;=In_COD)</f>
        <v>0</v>
      </c>
      <c r="ED130" s="48" t="n">
        <f aca="false">(ED62+ED69+ED95+ED99+ED100+ED82)*(ED$4&lt;=In_COD)</f>
        <v>0</v>
      </c>
      <c r="EE130" s="48" t="n">
        <f aca="false">(EE62+EE69+EE95+EE99+EE100+EE82)*(EE$4&lt;=In_COD)</f>
        <v>0</v>
      </c>
      <c r="EF130" s="48" t="n">
        <f aca="false">(EF62+EF69+EF95+EF99+EF100+EF82)*(EF$4&lt;=In_COD)</f>
        <v>0</v>
      </c>
      <c r="EG130" s="48" t="n">
        <f aca="false">(EG62+EG69+EG95+EG99+EG100+EG82)*(EG$4&lt;=In_COD)</f>
        <v>0</v>
      </c>
      <c r="EH130" s="48" t="n">
        <f aca="false">(EH62+EH69+EH95+EH99+EH100+EH82)*(EH$4&lt;=In_COD)</f>
        <v>0</v>
      </c>
      <c r="EI130" s="48" t="n">
        <f aca="false">(EI62+EI69+EI95+EI99+EI100+EI82)*(EI$4&lt;=In_COD)</f>
        <v>0</v>
      </c>
      <c r="EJ130" s="48" t="n">
        <f aca="false">(EJ62+EJ69+EJ95+EJ99+EJ100+EJ82)*(EJ$4&lt;=In_COD)</f>
        <v>0</v>
      </c>
      <c r="EK130" s="48" t="n">
        <f aca="false">(EK62+EK69+EK95+EK99+EK100+EK82)*(EK$4&lt;=In_COD)</f>
        <v>0</v>
      </c>
      <c r="EL130" s="48" t="n">
        <f aca="false">(EL62+EL69+EL95+EL99+EL100+EL82)*(EL$4&lt;=In_COD)</f>
        <v>0</v>
      </c>
      <c r="EM130" s="48" t="n">
        <f aca="false">(EM62+EM69+EM95+EM99+EM100+EM82)*(EM$4&lt;=In_COD)</f>
        <v>0</v>
      </c>
      <c r="EN130" s="48" t="n">
        <f aca="false">(EN62+EN69+EN95+EN99+EN100+EN82)*(EN$4&lt;=In_COD)</f>
        <v>0</v>
      </c>
      <c r="EO130" s="48" t="n">
        <f aca="false">(EO62+EO69+EO95+EO99+EO100+EO82)*(EO$4&lt;=In_COD)</f>
        <v>0</v>
      </c>
    </row>
    <row r="131" customFormat="false" ht="15" hidden="false" customHeight="false" outlineLevel="0" collapsed="false">
      <c r="C131" s="0" t="s">
        <v>496</v>
      </c>
      <c r="D131" s="11" t="s">
        <v>33</v>
      </c>
      <c r="E131" s="48" t="n">
        <f aca="false">IF($E41=1,In_COD_Price,In_COD_Price_CN)*$F25*(1-$E29)</f>
        <v>134137.5</v>
      </c>
    </row>
    <row r="132" customFormat="false" ht="15" hidden="false" customHeight="false" outlineLevel="0" collapsed="false">
      <c r="C132" s="0" t="s">
        <v>497</v>
      </c>
      <c r="D132" s="11" t="s">
        <v>33</v>
      </c>
      <c r="E132" s="48" t="n">
        <f aca="false">$E131+$I61-$E98-In_Sale_Costs</f>
        <v>74582.0023486781</v>
      </c>
    </row>
    <row r="133" customFormat="false" ht="15" hidden="false" customHeight="false" outlineLevel="0" collapsed="false">
      <c r="C133" s="0" t="s">
        <v>126</v>
      </c>
      <c r="D133" s="11" t="s">
        <v>33</v>
      </c>
      <c r="E133" s="48" t="n">
        <f aca="false">-In_CIT*In_Sale_Gain_Taxed*MAX(0,$E132+$I130)</f>
        <v>-0</v>
      </c>
    </row>
    <row r="134" customFormat="false" ht="15" hidden="false" customHeight="false" outlineLevel="0" collapsed="false">
      <c r="C134" s="25" t="s">
        <v>498</v>
      </c>
      <c r="D134" s="11" t="s">
        <v>33</v>
      </c>
      <c r="I134" s="57" t="n">
        <f aca="false">SUM(J134:EO134)</f>
        <v>20208.0757486889</v>
      </c>
      <c r="J134" s="57" t="n">
        <f aca="false">J130+($E132+$E133)*J14</f>
        <v>-4662.80993807469</v>
      </c>
      <c r="K134" s="57" t="n">
        <f aca="false">K130+($E132+$E133)*K14</f>
        <v>-706.535577057768</v>
      </c>
      <c r="L134" s="57" t="n">
        <f aca="false">L130+($E132+$E133)*L14</f>
        <v>-104.360496659404</v>
      </c>
      <c r="M134" s="57" t="n">
        <f aca="false">M130+($E132+$E133)*M14</f>
        <v>-105.507315304013</v>
      </c>
      <c r="N134" s="57" t="n">
        <f aca="false">N130+($E132+$E133)*N14</f>
        <v>-105.507315304013</v>
      </c>
      <c r="O134" s="57" t="n">
        <f aca="false">O130+($E132+$E133)*O14</f>
        <v>-104.360496659404</v>
      </c>
      <c r="P134" s="57" t="n">
        <f aca="false">P130+($E132+$E133)*P14</f>
        <v>-104.360496659404</v>
      </c>
      <c r="Q134" s="57" t="n">
        <f aca="false">Q130+($E132+$E133)*Q14</f>
        <v>-105.507315304013</v>
      </c>
      <c r="R134" s="57" t="n">
        <f aca="false">R130+($E132+$E133)*R14</f>
        <v>-6452.06801054133</v>
      </c>
      <c r="S134" s="57" t="n">
        <f aca="false">S130+($E132+$E133)*S14</f>
        <v>-8957.34206285879</v>
      </c>
      <c r="T134" s="57" t="n">
        <f aca="false">T130+($E132+$E133)*T14</f>
        <v>-5322.36727647646</v>
      </c>
      <c r="U134" s="57" t="n">
        <f aca="false">U130+($E132+$E133)*U14</f>
        <v>-5366.55155799786</v>
      </c>
      <c r="V134" s="57" t="n">
        <f aca="false">V130+($E132+$E133)*V14</f>
        <v>-5352.09110822868</v>
      </c>
      <c r="W134" s="57" t="n">
        <f aca="false">W130+($E132+$E133)*W14</f>
        <v>-5222.63714053528</v>
      </c>
      <c r="X134" s="57" t="n">
        <f aca="false">X130+($E132+$E133)*X14</f>
        <v>-5266.67411180264</v>
      </c>
      <c r="Y134" s="57" t="n">
        <f aca="false">Y130+($E132+$E133)*Y14</f>
        <v>68146.7559681527</v>
      </c>
      <c r="Z134" s="57" t="n">
        <f aca="false">Z130+($E132+$E133)*Z14</f>
        <v>0</v>
      </c>
      <c r="AA134" s="57" t="n">
        <f aca="false">AA130+($E132+$E133)*AA14</f>
        <v>0</v>
      </c>
      <c r="AB134" s="57" t="n">
        <f aca="false">AB130+($E132+$E133)*AB14</f>
        <v>0</v>
      </c>
      <c r="AC134" s="57" t="n">
        <f aca="false">AC130+($E132+$E133)*AC14</f>
        <v>0</v>
      </c>
      <c r="AD134" s="57" t="n">
        <f aca="false">AD130+($E132+$E133)*AD14</f>
        <v>0</v>
      </c>
      <c r="AE134" s="57" t="n">
        <f aca="false">AE130+($E132+$E133)*AE14</f>
        <v>0</v>
      </c>
      <c r="AF134" s="57" t="n">
        <f aca="false">AF130+($E132+$E133)*AF14</f>
        <v>0</v>
      </c>
      <c r="AG134" s="57" t="n">
        <f aca="false">AG130+($E132+$E133)*AG14</f>
        <v>0</v>
      </c>
      <c r="AH134" s="57" t="n">
        <f aca="false">AH130+($E132+$E133)*AH14</f>
        <v>0</v>
      </c>
      <c r="AI134" s="57" t="n">
        <f aca="false">AI130+($E132+$E133)*AI14</f>
        <v>0</v>
      </c>
      <c r="AJ134" s="57" t="n">
        <f aca="false">AJ130+($E132+$E133)*AJ14</f>
        <v>0</v>
      </c>
      <c r="AK134" s="57" t="n">
        <f aca="false">AK130+($E132+$E133)*AK14</f>
        <v>0</v>
      </c>
      <c r="AL134" s="57" t="n">
        <f aca="false">AL130+($E132+$E133)*AL14</f>
        <v>0</v>
      </c>
      <c r="AM134" s="57" t="n">
        <f aca="false">AM130+($E132+$E133)*AM14</f>
        <v>0</v>
      </c>
      <c r="AN134" s="57" t="n">
        <f aca="false">AN130+($E132+$E133)*AN14</f>
        <v>0</v>
      </c>
      <c r="AO134" s="57" t="n">
        <f aca="false">AO130+($E132+$E133)*AO14</f>
        <v>0</v>
      </c>
      <c r="AP134" s="57" t="n">
        <f aca="false">AP130+($E132+$E133)*AP14</f>
        <v>0</v>
      </c>
      <c r="AQ134" s="57" t="n">
        <f aca="false">AQ130+($E132+$E133)*AQ14</f>
        <v>0</v>
      </c>
      <c r="AR134" s="57" t="n">
        <f aca="false">AR130+($E132+$E133)*AR14</f>
        <v>0</v>
      </c>
      <c r="AS134" s="57" t="n">
        <f aca="false">AS130+($E132+$E133)*AS14</f>
        <v>0</v>
      </c>
      <c r="AT134" s="57" t="n">
        <f aca="false">AT130+($E132+$E133)*AT14</f>
        <v>0</v>
      </c>
      <c r="AU134" s="57" t="n">
        <f aca="false">AU130+($E132+$E133)*AU14</f>
        <v>0</v>
      </c>
      <c r="AV134" s="57" t="n">
        <f aca="false">AV130+($E132+$E133)*AV14</f>
        <v>0</v>
      </c>
      <c r="AW134" s="57" t="n">
        <f aca="false">AW130+($E132+$E133)*AW14</f>
        <v>0</v>
      </c>
      <c r="AX134" s="57" t="n">
        <f aca="false">AX130+($E132+$E133)*AX14</f>
        <v>0</v>
      </c>
      <c r="AY134" s="57" t="n">
        <f aca="false">AY130+($E132+$E133)*AY14</f>
        <v>0</v>
      </c>
      <c r="AZ134" s="57" t="n">
        <f aca="false">AZ130+($E132+$E133)*AZ14</f>
        <v>0</v>
      </c>
      <c r="BA134" s="57" t="n">
        <f aca="false">BA130+($E132+$E133)*BA14</f>
        <v>0</v>
      </c>
      <c r="BB134" s="57" t="n">
        <f aca="false">BB130+($E132+$E133)*BB14</f>
        <v>0</v>
      </c>
      <c r="BC134" s="57" t="n">
        <f aca="false">BC130+($E132+$E133)*BC14</f>
        <v>0</v>
      </c>
      <c r="BD134" s="57" t="n">
        <f aca="false">BD130+($E132+$E133)*BD14</f>
        <v>0</v>
      </c>
      <c r="BE134" s="57" t="n">
        <f aca="false">BE130+($E132+$E133)*BE14</f>
        <v>0</v>
      </c>
      <c r="BF134" s="57" t="n">
        <f aca="false">BF130+($E132+$E133)*BF14</f>
        <v>0</v>
      </c>
      <c r="BG134" s="57" t="n">
        <f aca="false">BG130+($E132+$E133)*BG14</f>
        <v>0</v>
      </c>
      <c r="BH134" s="57" t="n">
        <f aca="false">BH130+($E132+$E133)*BH14</f>
        <v>0</v>
      </c>
      <c r="BI134" s="57" t="n">
        <f aca="false">BI130+($E132+$E133)*BI14</f>
        <v>0</v>
      </c>
      <c r="BJ134" s="57" t="n">
        <f aca="false">BJ130+($E132+$E133)*BJ14</f>
        <v>0</v>
      </c>
      <c r="BK134" s="57" t="n">
        <f aca="false">BK130+($E132+$E133)*BK14</f>
        <v>0</v>
      </c>
      <c r="BL134" s="57" t="n">
        <f aca="false">BL130+($E132+$E133)*BL14</f>
        <v>0</v>
      </c>
      <c r="BM134" s="57" t="n">
        <f aca="false">BM130+($E132+$E133)*BM14</f>
        <v>0</v>
      </c>
      <c r="BN134" s="57" t="n">
        <f aca="false">BN130+($E132+$E133)*BN14</f>
        <v>0</v>
      </c>
      <c r="BO134" s="57" t="n">
        <f aca="false">BO130+($E132+$E133)*BO14</f>
        <v>0</v>
      </c>
      <c r="BP134" s="57" t="n">
        <f aca="false">BP130+($E132+$E133)*BP14</f>
        <v>0</v>
      </c>
      <c r="BQ134" s="57" t="n">
        <f aca="false">BQ130+($E132+$E133)*BQ14</f>
        <v>0</v>
      </c>
      <c r="BR134" s="57" t="n">
        <f aca="false">BR130+($E132+$E133)*BR14</f>
        <v>0</v>
      </c>
      <c r="BS134" s="57" t="n">
        <f aca="false">BS130+($E132+$E133)*BS14</f>
        <v>0</v>
      </c>
      <c r="BT134" s="57" t="n">
        <f aca="false">BT130+($E132+$E133)*BT14</f>
        <v>0</v>
      </c>
      <c r="BU134" s="57" t="n">
        <f aca="false">BU130+($E132+$E133)*BU14</f>
        <v>0</v>
      </c>
      <c r="BV134" s="57" t="n">
        <f aca="false">BV130+($E132+$E133)*BV14</f>
        <v>0</v>
      </c>
      <c r="BW134" s="57" t="n">
        <f aca="false">BW130+($E132+$E133)*BW14</f>
        <v>0</v>
      </c>
      <c r="BX134" s="57" t="n">
        <f aca="false">BX130+($E132+$E133)*BX14</f>
        <v>0</v>
      </c>
      <c r="BY134" s="57" t="n">
        <f aca="false">BY130+($E132+$E133)*BY14</f>
        <v>0</v>
      </c>
      <c r="BZ134" s="57" t="n">
        <f aca="false">BZ130+($E132+$E133)*BZ14</f>
        <v>0</v>
      </c>
      <c r="CA134" s="57" t="n">
        <f aca="false">CA130+($E132+$E133)*CA14</f>
        <v>0</v>
      </c>
      <c r="CB134" s="57" t="n">
        <f aca="false">CB130+($E132+$E133)*CB14</f>
        <v>0</v>
      </c>
      <c r="CC134" s="57" t="n">
        <f aca="false">CC130+($E132+$E133)*CC14</f>
        <v>0</v>
      </c>
      <c r="CD134" s="57" t="n">
        <f aca="false">CD130+($E132+$E133)*CD14</f>
        <v>0</v>
      </c>
      <c r="CE134" s="57" t="n">
        <f aca="false">CE130+($E132+$E133)*CE14</f>
        <v>0</v>
      </c>
      <c r="CF134" s="57" t="n">
        <f aca="false">CF130+($E132+$E133)*CF14</f>
        <v>0</v>
      </c>
      <c r="CG134" s="57" t="n">
        <f aca="false">CG130+($E132+$E133)*CG14</f>
        <v>0</v>
      </c>
      <c r="CH134" s="57" t="n">
        <f aca="false">CH130+($E132+$E133)*CH14</f>
        <v>0</v>
      </c>
      <c r="CI134" s="57" t="n">
        <f aca="false">CI130+($E132+$E133)*CI14</f>
        <v>0</v>
      </c>
      <c r="CJ134" s="57" t="n">
        <f aca="false">CJ130+($E132+$E133)*CJ14</f>
        <v>0</v>
      </c>
      <c r="CK134" s="57" t="n">
        <f aca="false">CK130+($E132+$E133)*CK14</f>
        <v>0</v>
      </c>
      <c r="CL134" s="57" t="n">
        <f aca="false">CL130+($E132+$E133)*CL14</f>
        <v>0</v>
      </c>
      <c r="CM134" s="57" t="n">
        <f aca="false">CM130+($E132+$E133)*CM14</f>
        <v>0</v>
      </c>
      <c r="CN134" s="57" t="n">
        <f aca="false">CN130+($E132+$E133)*CN14</f>
        <v>0</v>
      </c>
      <c r="CO134" s="57" t="n">
        <f aca="false">CO130+($E132+$E133)*CO14</f>
        <v>0</v>
      </c>
      <c r="CP134" s="57" t="n">
        <f aca="false">CP130+($E132+$E133)*CP14</f>
        <v>0</v>
      </c>
      <c r="CQ134" s="57" t="n">
        <f aca="false">CQ130+($E132+$E133)*CQ14</f>
        <v>0</v>
      </c>
      <c r="CR134" s="57" t="n">
        <f aca="false">CR130+($E132+$E133)*CR14</f>
        <v>0</v>
      </c>
      <c r="CS134" s="57" t="n">
        <f aca="false">CS130+($E132+$E133)*CS14</f>
        <v>0</v>
      </c>
      <c r="CT134" s="57" t="n">
        <f aca="false">CT130+($E132+$E133)*CT14</f>
        <v>0</v>
      </c>
      <c r="CU134" s="57" t="n">
        <f aca="false">CU130+($E132+$E133)*CU14</f>
        <v>0</v>
      </c>
      <c r="CV134" s="57" t="n">
        <f aca="false">CV130+($E132+$E133)*CV14</f>
        <v>0</v>
      </c>
      <c r="CW134" s="57" t="n">
        <f aca="false">CW130+($E132+$E133)*CW14</f>
        <v>0</v>
      </c>
      <c r="CX134" s="57" t="n">
        <f aca="false">CX130+($E132+$E133)*CX14</f>
        <v>0</v>
      </c>
      <c r="CY134" s="57" t="n">
        <f aca="false">CY130+($E132+$E133)*CY14</f>
        <v>0</v>
      </c>
      <c r="CZ134" s="57" t="n">
        <f aca="false">CZ130+($E132+$E133)*CZ14</f>
        <v>0</v>
      </c>
      <c r="DA134" s="57" t="n">
        <f aca="false">DA130+($E132+$E133)*DA14</f>
        <v>0</v>
      </c>
      <c r="DB134" s="57" t="n">
        <f aca="false">DB130+($E132+$E133)*DB14</f>
        <v>0</v>
      </c>
      <c r="DC134" s="57" t="n">
        <f aca="false">DC130+($E132+$E133)*DC14</f>
        <v>0</v>
      </c>
      <c r="DD134" s="57" t="n">
        <f aca="false">DD130+($E132+$E133)*DD14</f>
        <v>0</v>
      </c>
      <c r="DE134" s="57" t="n">
        <f aca="false">DE130+($E132+$E133)*DE14</f>
        <v>0</v>
      </c>
      <c r="DF134" s="57" t="n">
        <f aca="false">DF130+($E132+$E133)*DF14</f>
        <v>0</v>
      </c>
      <c r="DG134" s="57" t="n">
        <f aca="false">DG130+($E132+$E133)*DG14</f>
        <v>0</v>
      </c>
      <c r="DH134" s="57" t="n">
        <f aca="false">DH130+($E132+$E133)*DH14</f>
        <v>0</v>
      </c>
      <c r="DI134" s="57" t="n">
        <f aca="false">DI130+($E132+$E133)*DI14</f>
        <v>0</v>
      </c>
      <c r="DJ134" s="57" t="n">
        <f aca="false">DJ130+($E132+$E133)*DJ14</f>
        <v>0</v>
      </c>
      <c r="DK134" s="57" t="n">
        <f aca="false">DK130+($E132+$E133)*DK14</f>
        <v>0</v>
      </c>
      <c r="DL134" s="57" t="n">
        <f aca="false">DL130+($E132+$E133)*DL14</f>
        <v>0</v>
      </c>
      <c r="DM134" s="57" t="n">
        <f aca="false">DM130+($E132+$E133)*DM14</f>
        <v>0</v>
      </c>
      <c r="DN134" s="57" t="n">
        <f aca="false">DN130+($E132+$E133)*DN14</f>
        <v>0</v>
      </c>
      <c r="DO134" s="57" t="n">
        <f aca="false">DO130+($E132+$E133)*DO14</f>
        <v>0</v>
      </c>
      <c r="DP134" s="57" t="n">
        <f aca="false">DP130+($E132+$E133)*DP14</f>
        <v>0</v>
      </c>
      <c r="DQ134" s="57" t="n">
        <f aca="false">DQ130+($E132+$E133)*DQ14</f>
        <v>0</v>
      </c>
      <c r="DR134" s="57" t="n">
        <f aca="false">DR130+($E132+$E133)*DR14</f>
        <v>0</v>
      </c>
      <c r="DS134" s="57" t="n">
        <f aca="false">DS130+($E132+$E133)*DS14</f>
        <v>0</v>
      </c>
      <c r="DT134" s="57" t="n">
        <f aca="false">DT130+($E132+$E133)*DT14</f>
        <v>0</v>
      </c>
      <c r="DU134" s="57" t="n">
        <f aca="false">DU130+($E132+$E133)*DU14</f>
        <v>0</v>
      </c>
      <c r="DV134" s="57" t="n">
        <f aca="false">DV130+($E132+$E133)*DV14</f>
        <v>0</v>
      </c>
      <c r="DW134" s="57" t="n">
        <f aca="false">DW130+($E132+$E133)*DW14</f>
        <v>0</v>
      </c>
      <c r="DX134" s="57" t="n">
        <f aca="false">DX130+($E132+$E133)*DX14</f>
        <v>0</v>
      </c>
      <c r="DY134" s="57" t="n">
        <f aca="false">DY130+($E132+$E133)*DY14</f>
        <v>0</v>
      </c>
      <c r="DZ134" s="57" t="n">
        <f aca="false">DZ130+($E132+$E133)*DZ14</f>
        <v>0</v>
      </c>
      <c r="EA134" s="57" t="n">
        <f aca="false">EA130+($E132+$E133)*EA14</f>
        <v>0</v>
      </c>
      <c r="EB134" s="57" t="n">
        <f aca="false">EB130+($E132+$E133)*EB14</f>
        <v>0</v>
      </c>
      <c r="EC134" s="57" t="n">
        <f aca="false">EC130+($E132+$E133)*EC14</f>
        <v>0</v>
      </c>
      <c r="ED134" s="57" t="n">
        <f aca="false">ED130+($E132+$E133)*ED14</f>
        <v>0</v>
      </c>
      <c r="EE134" s="57" t="n">
        <f aca="false">EE130+($E132+$E133)*EE14</f>
        <v>0</v>
      </c>
      <c r="EF134" s="57" t="n">
        <f aca="false">EF130+($E132+$E133)*EF14</f>
        <v>0</v>
      </c>
      <c r="EG134" s="57" t="n">
        <f aca="false">EG130+($E132+$E133)*EG14</f>
        <v>0</v>
      </c>
      <c r="EH134" s="57" t="n">
        <f aca="false">EH130+($E132+$E133)*EH14</f>
        <v>0</v>
      </c>
      <c r="EI134" s="57" t="n">
        <f aca="false">EI130+($E132+$E133)*EI14</f>
        <v>0</v>
      </c>
      <c r="EJ134" s="57" t="n">
        <f aca="false">EJ130+($E132+$E133)*EJ14</f>
        <v>0</v>
      </c>
      <c r="EK134" s="57" t="n">
        <f aca="false">EK130+($E132+$E133)*EK14</f>
        <v>0</v>
      </c>
      <c r="EL134" s="57" t="n">
        <f aca="false">EL130+($E132+$E133)*EL14</f>
        <v>0</v>
      </c>
      <c r="EM134" s="57" t="n">
        <f aca="false">EM130+($E132+$E133)*EM14</f>
        <v>0</v>
      </c>
      <c r="EN134" s="57" t="n">
        <f aca="false">EN130+($E132+$E133)*EN14</f>
        <v>0</v>
      </c>
      <c r="EO134" s="57" t="n">
        <f aca="false">EO130+($E132+$E133)*EO14</f>
        <v>0</v>
      </c>
    </row>
    <row r="135" customFormat="false" ht="15" hidden="false" customHeight="false" outlineLevel="0" collapsed="false">
      <c r="C135" s="25" t="s">
        <v>87</v>
      </c>
      <c r="D135" s="11" t="s">
        <v>27</v>
      </c>
      <c r="E135" s="33" t="n">
        <f aca="false">XIRR($J134:$EO134,$J$4:$EO$4)</f>
        <v>0.2632612602034</v>
      </c>
    </row>
    <row r="136" customFormat="false" ht="15" hidden="false" customHeight="false" outlineLevel="0" collapsed="false">
      <c r="C136" s="25" t="s">
        <v>88</v>
      </c>
      <c r="D136" s="11" t="s">
        <v>13</v>
      </c>
      <c r="E136" s="60" t="n">
        <f aca="false">($E132+$E133)/-$I130</f>
        <v>1.37165010901922</v>
      </c>
    </row>
    <row r="137" customFormat="false" ht="15" hidden="false" customHeight="false" outlineLevel="0" collapsed="false">
      <c r="C137" s="25" t="s">
        <v>89</v>
      </c>
      <c r="D137" s="11" t="s">
        <v>33</v>
      </c>
      <c r="E137" s="57" t="n">
        <f aca="false">XNPV(In_Discount_Rate,$J134:$EO134,$J$4:$EO$4)</f>
        <v>10990.2192290749</v>
      </c>
    </row>
    <row r="138" customFormat="false" ht="15" hidden="false" customHeight="false" outlineLevel="0" collapsed="false">
      <c r="A138" s="61"/>
      <c r="B138" s="61"/>
      <c r="C138" s="61" t="s">
        <v>499</v>
      </c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  <c r="CE138" s="61"/>
      <c r="CF138" s="61"/>
      <c r="CG138" s="61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  <c r="EA138" s="61"/>
      <c r="EB138" s="61"/>
      <c r="EC138" s="61"/>
      <c r="ED138" s="61"/>
      <c r="EE138" s="61"/>
      <c r="EF138" s="61"/>
      <c r="EG138" s="61"/>
      <c r="EH138" s="61"/>
      <c r="EI138" s="61"/>
      <c r="EJ138" s="61"/>
      <c r="EK138" s="61"/>
      <c r="EL138" s="61"/>
      <c r="EM138" s="61"/>
      <c r="EN138" s="61"/>
      <c r="EO138" s="61"/>
    </row>
    <row r="139" customFormat="false" ht="15" hidden="false" customHeight="false" outlineLevel="0" collapsed="false">
      <c r="C139" s="0" t="s">
        <v>500</v>
      </c>
      <c r="D139" s="11" t="s">
        <v>33</v>
      </c>
      <c r="I139" s="48" t="n">
        <f aca="false">SUM(J139:EO139)</f>
        <v>138459.731938147</v>
      </c>
      <c r="J139" s="48" t="n">
        <f aca="false">(J82+J58+J61+J112)*(J$4&gt;In_COD)-($E131+$I61)*J14</f>
        <v>-0</v>
      </c>
      <c r="K139" s="48" t="n">
        <f aca="false">(K82+K58+K61+K112)*(K$4&gt;In_COD)-($E131+$I61)*K14</f>
        <v>-0</v>
      </c>
      <c r="L139" s="48" t="n">
        <f aca="false">(L82+L58+L61+L112)*(L$4&gt;In_COD)-($E131+$I61)*L14</f>
        <v>-0</v>
      </c>
      <c r="M139" s="48" t="n">
        <f aca="false">(M82+M58+M61+M112)*(M$4&gt;In_COD)-($E131+$I61)*M14</f>
        <v>-0</v>
      </c>
      <c r="N139" s="48" t="n">
        <f aca="false">(N82+N58+N61+N112)*(N$4&gt;In_COD)-($E131+$I61)*N14</f>
        <v>-0</v>
      </c>
      <c r="O139" s="48" t="n">
        <f aca="false">(O82+O58+O61+O112)*(O$4&gt;In_COD)-($E131+$I61)*O14</f>
        <v>-0</v>
      </c>
      <c r="P139" s="48" t="n">
        <f aca="false">(P82+P58+P61+P112)*(P$4&gt;In_COD)-($E131+$I61)*P14</f>
        <v>-0</v>
      </c>
      <c r="Q139" s="48" t="n">
        <f aca="false">(Q82+Q58+Q61+Q112)*(Q$4&gt;In_COD)-($E131+$I61)*Q14</f>
        <v>-0</v>
      </c>
      <c r="R139" s="48" t="n">
        <f aca="false">(R82+R58+R61+R112)*(R$4&gt;In_COD)-($E131+$I61)*R14</f>
        <v>-0</v>
      </c>
      <c r="S139" s="48" t="n">
        <f aca="false">(S82+S58+S61+S112)*(S$4&gt;In_COD)-($E131+$I61)*S14</f>
        <v>-0</v>
      </c>
      <c r="T139" s="48" t="n">
        <f aca="false">(T82+T58+T61+T112)*(T$4&gt;In_COD)-($E131+$I61)*T14</f>
        <v>-0</v>
      </c>
      <c r="U139" s="48" t="n">
        <f aca="false">(U82+U58+U61+U112)*(U$4&gt;In_COD)-($E131+$I61)*U14</f>
        <v>-0</v>
      </c>
      <c r="V139" s="48" t="n">
        <f aca="false">(V82+V58+V61+V112)*(V$4&gt;In_COD)-($E131+$I61)*V14</f>
        <v>-0</v>
      </c>
      <c r="W139" s="48" t="n">
        <f aca="false">(W82+W58+W61+W112)*(W$4&gt;In_COD)-($E131+$I61)*W14</f>
        <v>-0</v>
      </c>
      <c r="X139" s="48" t="n">
        <f aca="false">(X82+X58+X61+X112)*(X$4&gt;In_COD)-($E131+$I61)*X14</f>
        <v>-0</v>
      </c>
      <c r="Y139" s="48" t="n">
        <f aca="false">(Y82+Y58+Y61+Y112)*(Y$4&gt;In_COD)-($E131+$I61)*Y14</f>
        <v>-134137.5</v>
      </c>
      <c r="Z139" s="48" t="n">
        <f aca="false">(Z82+Z58+Z61+Z112)*(Z$4&gt;In_COD)-($E131+$I61)*Z14</f>
        <v>2344.40831738351</v>
      </c>
      <c r="AA139" s="48" t="n">
        <f aca="false">(AA82+AA58+AA61+AA112)*(AA$4&gt;In_COD)-($E131+$I61)*AA14</f>
        <v>2308.81150885312</v>
      </c>
      <c r="AB139" s="48" t="n">
        <f aca="false">(AB82+AB58+AB61+AB112)*(AB$4&gt;In_COD)-($E131+$I61)*AB14</f>
        <v>2333.39081316203</v>
      </c>
      <c r="AC139" s="48" t="n">
        <f aca="false">(AC82+AC58+AC61+AC112)*(AC$4&gt;In_COD)-($E131+$I61)*AC14</f>
        <v>2357.95206699645</v>
      </c>
      <c r="AD139" s="48" t="n">
        <f aca="false">(AD82+AD58+AD61+AD112)*(AD$4&gt;In_COD)-($E131+$I61)*AD14</f>
        <v>2349.61295731616</v>
      </c>
      <c r="AE139" s="48" t="n">
        <f aca="false">(AE82+AE58+AE61+AE112)*(AE$4&gt;In_COD)-($E131+$I61)*AE14</f>
        <v>2338.82920996354</v>
      </c>
      <c r="AF139" s="48" t="n">
        <f aca="false">(AF82+AF58+AF61+AF112)*(AF$4&gt;In_COD)-($E131+$I61)*AF14</f>
        <v>2338.32559406147</v>
      </c>
      <c r="AG139" s="48" t="n">
        <f aca="false">(AG82+AG58+AG61+AG112)*(AG$4&gt;In_COD)-($E131+$I61)*AG14</f>
        <v>2362.93561169908</v>
      </c>
      <c r="AH139" s="48" t="n">
        <f aca="false">(AH82+AH58+AH61+AH112)*(AH$4&gt;In_COD)-($E131+$I61)*AH14</f>
        <v>2354.51911128773</v>
      </c>
      <c r="AI139" s="48" t="n">
        <f aca="false">(AI82+AI58+AI61+AI112)*(AI$4&gt;In_COD)-($E131+$I61)*AI14</f>
        <v>2318.30520851514</v>
      </c>
      <c r="AJ139" s="48" t="n">
        <f aca="false">(AJ82+AJ58+AJ61+AJ112)*(AJ$4&gt;In_COD)-($E131+$I61)*AJ14</f>
        <v>2373.64850881668</v>
      </c>
      <c r="AK139" s="48" t="n">
        <f aca="false">(AK82+AK58+AK61+AK112)*(AK$4&gt;In_COD)-($E131+$I61)*AK14</f>
        <v>2398.62593545102</v>
      </c>
      <c r="AL139" s="48" t="n">
        <f aca="false">(AL82+AL58+AL61+AL112)*(AL$4&gt;In_COD)-($E131+$I61)*AL14</f>
        <v>2362.8811089252</v>
      </c>
      <c r="AM139" s="48" t="n">
        <f aca="false">(AM82+AM58+AM61+AM112)*(AM$4&gt;In_COD)-($E131+$I61)*AM14</f>
        <v>2325.62163944067</v>
      </c>
      <c r="AN139" s="48" t="n">
        <f aca="false">(AN82+AN58+AN61+AN112)*(AN$4&gt;In_COD)-($E131+$I61)*AN14</f>
        <v>2349.27950983828</v>
      </c>
      <c r="AO139" s="48" t="n">
        <f aca="false">(AO82+AO58+AO61+AO112)*(AO$4&gt;In_COD)-($E131+$I61)*AO14</f>
        <v>2372.90004135592</v>
      </c>
      <c r="AP139" s="48" t="n">
        <f aca="false">(AP82+AP58+AP61+AP112)*(AP$4&gt;In_COD)-($E131+$I61)*AP14</f>
        <v>2364.38345309831</v>
      </c>
      <c r="AQ139" s="48" t="n">
        <f aca="false">(AQ82+AQ58+AQ61+AQ112)*(AQ$4&gt;In_COD)-($E131+$I61)*AQ14</f>
        <v>2326.80148372089</v>
      </c>
      <c r="AR139" s="48" t="n">
        <f aca="false">(AR82+AR58+AR61+AR112)*(AR$4&gt;In_COD)-($E131+$I61)*AR14</f>
        <v>2350.46490161815</v>
      </c>
      <c r="AS139" s="48" t="n">
        <f aca="false">(AS82+AS58+AS61+AS112)*(AS$4&gt;In_COD)-($E131+$I61)*AS14</f>
        <v>2374.09024196968</v>
      </c>
      <c r="AT139" s="48" t="n">
        <f aca="false">(AT82+AT58+AT61+AT112)*(AT$4&gt;In_COD)-($E131+$I61)*AT14</f>
        <v>2365.46739734607</v>
      </c>
      <c r="AU139" s="48" t="n">
        <f aca="false">(AU82+AU58+AU61+AU112)*(AU$4&gt;In_COD)-($E131+$I61)*AU14</f>
        <v>2352.4432859618</v>
      </c>
      <c r="AV139" s="48" t="n">
        <f aca="false">(AV82+AV58+AV61+AV112)*(AV$4&gt;In_COD)-($E131+$I61)*AV14</f>
        <v>2351.19755696676</v>
      </c>
      <c r="AW139" s="48" t="n">
        <f aca="false">(AW82+AW58+AW61+AW112)*(AW$4&gt;In_COD)-($E131+$I61)*AW14</f>
        <v>2374.82277977574</v>
      </c>
      <c r="AX139" s="48" t="n">
        <f aca="false">(AX82+AX58+AX61+AX112)*(AX$4&gt;In_COD)-($E131+$I61)*AX14</f>
        <v>2366.09062519699</v>
      </c>
      <c r="AY139" s="48" t="n">
        <f aca="false">(AY82+AY58+AY61+AY112)*(AY$4&gt;In_COD)-($E131+$I61)*AY14</f>
        <v>2327.84844830153</v>
      </c>
      <c r="AZ139" s="48" t="n">
        <f aca="false">(AZ82+AZ58+AZ61+AZ112)*(AZ$4&gt;In_COD)-($E131+$I61)*AZ14</f>
        <v>2351.50863773808</v>
      </c>
      <c r="BA139" s="48" t="n">
        <f aca="false">(BA82+BA58+BA61+BA112)*(BA$4&gt;In_COD)-($E131+$I61)*BA14</f>
        <v>2375.12918527091</v>
      </c>
      <c r="BB139" s="48" t="n">
        <f aca="false">(BB82+BB58+BB61+BB112)*(BB$4&gt;In_COD)-($E131+$I61)*BB14</f>
        <v>2366.28511761287</v>
      </c>
      <c r="BC139" s="48" t="n">
        <f aca="false">(BC82+BC58+BC61+BC112)*(BC$4&gt;In_COD)-($E131+$I61)*BC14</f>
        <v>2327.70521874593</v>
      </c>
      <c r="BD139" s="48" t="n">
        <f aca="false">(BD82+BD58+BD61+BD112)*(BD$4&gt;In_COD)-($E131+$I61)*BD14</f>
        <v>2351.35653190564</v>
      </c>
      <c r="BE139" s="48" t="n">
        <f aca="false">(BE82+BE58+BE61+BE112)*(BE$4&gt;In_COD)-($E131+$I61)*BE14</f>
        <v>2374.9673781897</v>
      </c>
      <c r="BF139" s="48" t="n">
        <f aca="false">(BF82+BF58+BF61+BF112)*(BF$4&gt;In_COD)-($E131+$I61)*BF14</f>
        <v>2366.00840037826</v>
      </c>
      <c r="BG139" s="48" t="n">
        <f aca="false">(BG82+BG58+BG61+BG112)*(BG$4&gt;In_COD)-($E131+$I61)*BG14</f>
        <v>2327.08540722865</v>
      </c>
      <c r="BH139" s="48" t="n">
        <f aca="false">(BH82+BH58+BH61+BH112)*(BH$4&gt;In_COD)-($E131+$I61)*BH14</f>
        <v>2350.7226463122</v>
      </c>
      <c r="BI139" s="48" t="n">
        <f aca="false">(BI82+BI58+BI61+BI112)*(BI$4&gt;In_COD)-($E131+$I61)*BI14</f>
        <v>2374.31856221047</v>
      </c>
      <c r="BJ139" s="48" t="n">
        <f aca="false">(BJ82+BJ58+BJ61+BJ112)*(BJ$4&gt;In_COD)-($E131+$I61)*BJ14</f>
        <v>2365.24155349178</v>
      </c>
      <c r="BK139" s="48" t="n">
        <f aca="false">(BK82+BK58+BK61+BK112)*(BK$4&gt;In_COD)-($E131+$I61)*BK14</f>
        <v>2351.08182022562</v>
      </c>
      <c r="BL139" s="48" t="n">
        <f aca="false">(BL82+BL58+BL61+BL112)*(BL$4&gt;In_COD)-($E131+$I61)*BL14</f>
        <v>2349.5626657571</v>
      </c>
      <c r="BM139" s="48" t="n">
        <f aca="false">(BM82+BM58+BM61+BM112)*(BM$4&gt;In_COD)-($E131+$I61)*BM14</f>
        <v>2373.1379233597</v>
      </c>
      <c r="BN139" s="48" t="n">
        <f aca="false">(BN82+BN58+BN61+BN112)*(BN$4&gt;In_COD)-($E131+$I61)*BN14</f>
        <v>2363.93934249105</v>
      </c>
      <c r="BO139" s="48" t="n">
        <f aca="false">(BO82+BO58+BO61+BO112)*(BO$4&gt;In_COD)-($E131+$I61)*BO14</f>
        <v>2324.31309828673</v>
      </c>
      <c r="BP139" s="48" t="n">
        <f aca="false">(BP82+BP58+BP61+BP112)*(BP$4&gt;In_COD)-($E131+$I61)*BP14</f>
        <v>2347.90545193889</v>
      </c>
      <c r="BQ139" s="48" t="n">
        <f aca="false">(BQ82+BQ58+BQ61+BQ112)*(BQ$4&gt;In_COD)-($E131+$I61)*BQ14</f>
        <v>2371.45466664353</v>
      </c>
      <c r="BR139" s="48" t="n">
        <f aca="false">(BR82+BR58+BR61+BR112)*(BR$4&gt;In_COD)-($E131+$I61)*BR14</f>
        <v>2362.13140591533</v>
      </c>
      <c r="BS139" s="48" t="n">
        <f aca="false">(BS82+BS58+BS61+BS112)*(BS$4&gt;In_COD)-($E131+$I61)*BS14</f>
        <v>2322.14494386146</v>
      </c>
      <c r="BT139" s="48" t="n">
        <f aca="false">(BT82+BT58+BT61+BT112)*(BT$4&gt;In_COD)-($E131+$I61)*BT14</f>
        <v>2345.70632686136</v>
      </c>
      <c r="BU139" s="48" t="n">
        <f aca="false">(BU82+BU58+BU61+BU112)*(BU$4&gt;In_COD)-($E131+$I61)*BU14</f>
        <v>2369.22361170994</v>
      </c>
      <c r="BV139" s="48" t="n">
        <f aca="false">(BV82+BV58+BV61+BV112)*(BV$4&gt;In_COD)-($E131+$I61)*BV14</f>
        <v>2359.77214386515</v>
      </c>
      <c r="BW139" s="48" t="n">
        <f aca="false">(BW82+BW58+BW61+BW112)*(BW$4&gt;In_COD)-($E131+$I61)*BW14</f>
        <v>2319.41940679227</v>
      </c>
      <c r="BX139" s="48" t="n">
        <f aca="false">(BX82+BX58+BX61+BX112)*(BX$4&gt;In_COD)-($E131+$I61)*BX14</f>
        <v>2342.94373349096</v>
      </c>
      <c r="BY139" s="48" t="n">
        <f aca="false">(BY82+BY58+BY61+BY112)*(BY$4&gt;In_COD)-($E131+$I61)*BY14</f>
        <v>2366.42296544742</v>
      </c>
      <c r="BZ139" s="48" t="n">
        <f aca="false">(BZ82+BZ58+BZ61+BZ112)*(BZ$4&gt;In_COD)-($E131+$I61)*BZ14</f>
        <v>2356.83961539089</v>
      </c>
      <c r="CA139" s="48" t="n">
        <f aca="false">(CA82+CA58+CA61+CA112)*(CA$4&gt;In_COD)-($E131+$I61)*CA14</f>
        <v>2341.41378949069</v>
      </c>
      <c r="CB139" s="48" t="n">
        <f aca="false">(CB82+CB58+CB61+CB112)*(CB$4&gt;In_COD)-($E131+$I61)*CB14</f>
        <v>2339.57008741485</v>
      </c>
      <c r="CC139" s="48" t="n">
        <f aca="false">(CC82+CC58+CC61+CC112)*(CC$4&gt;In_COD)-($E131+$I61)*CC14</f>
        <v>2363.00460827368</v>
      </c>
      <c r="CD139" s="48" t="n">
        <f aca="false">(CD82+CD58+CD61+CD112)*(CD$4&gt;In_COD)-($E131+$I61)*CD14</f>
        <v>2353.28525296758</v>
      </c>
      <c r="CE139" s="48" t="n">
        <f aca="false">(CE82+CE58+CE61+CE112)*(CE$4&gt;In_COD)-($E131+$I61)*CE14</f>
        <v>2312.18073576832</v>
      </c>
      <c r="CF139" s="48" t="n">
        <f aca="false">(CF82+CF58+CF61+CF112)*(CF$4&gt;In_COD)-($E131+$I61)*CF14</f>
        <v>2335.61140957063</v>
      </c>
      <c r="CG139" s="48" t="n">
        <f aca="false">(CG82+CG58+CG61+CG112)*(CG$4&gt;In_COD)-($E131+$I61)*CG14</f>
        <v>2358.99487299624</v>
      </c>
      <c r="CH139" s="48" t="n">
        <f aca="false">(CH82+CH58+CH61+CH112)*(CH$4&gt;In_COD)-($E131+$I61)*CH14</f>
        <v>2349.13580073106</v>
      </c>
      <c r="CI139" s="48" t="n">
        <f aca="false">(CI82+CI58+CI61+CI112)*(CI$4&gt;In_COD)-($E131+$I61)*CI14</f>
        <v>2307.645660975</v>
      </c>
      <c r="CJ139" s="48" t="n">
        <f aca="false">(CJ82+CJ58+CJ61+CJ112)*(CJ$4&gt;In_COD)-($E131+$I61)*CJ14</f>
        <v>2331.01950888343</v>
      </c>
      <c r="CK139" s="48" t="n">
        <f aca="false">(CK82+CK58+CK61+CK112)*(CK$4&gt;In_COD)-($E131+$I61)*CK14</f>
        <v>2354.34502704363</v>
      </c>
      <c r="CL139" s="48" t="n">
        <f aca="false">(CL82+CL58+CL61+CL112)*(CL$4&gt;In_COD)-($E131+$I61)*CL14</f>
        <v>2344.3420768048</v>
      </c>
      <c r="CM139" s="48" t="n">
        <f aca="false">(CM82+CM58+CM61+CM112)*(CM$4&gt;In_COD)-($E131+$I61)*CM14</f>
        <v>2302.45945541085</v>
      </c>
      <c r="CN139" s="48" t="n">
        <f aca="false">(CN82+CN58+CN61+CN112)*(CN$4&gt;In_COD)-($E131+$I61)*CN14</f>
        <v>2325.76935955624</v>
      </c>
      <c r="CO139" s="48" t="n">
        <f aca="false">(CO82+CO58+CO61+CO112)*(CO$4&gt;In_COD)-($E131+$I61)*CO14</f>
        <v>2349.02976994152</v>
      </c>
      <c r="CP139" s="48" t="n">
        <f aca="false">(CP82+CP58+CP61+CP112)*(CP$4&gt;In_COD)-($E131+$I61)*CP14</f>
        <v>2338.87860391116</v>
      </c>
      <c r="CQ139" s="48" t="n">
        <f aca="false">(CQ82+CQ58+CQ61+CQ112)*(CQ$4&gt;In_COD)-($E131+$I61)*CQ14</f>
        <v>2322.0387159751</v>
      </c>
      <c r="CR139" s="48" t="n">
        <f aca="false">(CR82+CR58+CR61+CR112)*(CR$4&gt;In_COD)-($E131+$I61)*CR14</f>
        <v>2319.80962609582</v>
      </c>
      <c r="CS139" s="48" t="n">
        <f aca="false">(CS82+CS58+CS61+CS112)*(CS$4&gt;In_COD)-($E131+$I61)*CS14</f>
        <v>2342.99718921276</v>
      </c>
      <c r="CT139" s="48" t="n">
        <f aca="false">(CT82+CT58+CT61+CT112)*(CT$4&gt;In_COD)-($E131+$I61)*CT14</f>
        <v>2332.6929896636</v>
      </c>
      <c r="CU139" s="48" t="n">
        <f aca="false">(CU82+CU58+CU61+CU112)*(CU$4&gt;In_COD)-($E131+$I61)*CU14</f>
        <v>2292.32821604218</v>
      </c>
      <c r="CV139" s="48" t="n">
        <f aca="false">(CV82+CV58+CV61+CV112)*(CV$4&gt;In_COD)-($E131+$I61)*CV14</f>
        <v>2317.79852955376</v>
      </c>
      <c r="CW139" s="48" t="n">
        <f aca="false">(CW82+CW58+CW61+CW112)*(CW$4&gt;In_COD)-($E131+$I61)*CW14</f>
        <v>2343.26884306534</v>
      </c>
      <c r="CX139" s="48" t="n">
        <f aca="false">(CX82+CX58+CX61+CX112)*(CX$4&gt;In_COD)-($E131+$I61)*CX14</f>
        <v>2335.22280421056</v>
      </c>
      <c r="CY139" s="48" t="n">
        <f aca="false">(CY82+CY58+CY61+CY112)*(CY$4&gt;In_COD)-($E131+$I61)*CY14</f>
        <v>2294.55441353347</v>
      </c>
      <c r="CZ139" s="48" t="n">
        <f aca="false">(CZ82+CZ58+CZ61+CZ112)*(CZ$4&gt;In_COD)-($E131+$I61)*CZ14</f>
        <v>2320.04946257273</v>
      </c>
      <c r="DA139" s="48" t="n">
        <f aca="false">(DA82+DA58+DA61+DA112)*(DA$4&gt;In_COD)-($E131+$I61)*DA14</f>
        <v>2345.54451161199</v>
      </c>
      <c r="DB139" s="48" t="n">
        <f aca="false">(DB82+DB58+DB61+DB112)*(DB$4&gt;In_COD)-($E131+$I61)*DB14</f>
        <v>2127.75796595667</v>
      </c>
      <c r="DC139" s="48" t="n">
        <f aca="false">(DC82+DC58+DC61+DC112)*(DC$4&gt;In_COD)-($E131+$I61)*DC14</f>
        <v>2091.34156892558</v>
      </c>
      <c r="DD139" s="48" t="n">
        <f aca="false">(DD82+DD58+DD61+DD112)*(DD$4&gt;In_COD)-($E131+$I61)*DD14</f>
        <v>2114.5786974692</v>
      </c>
      <c r="DE139" s="48" t="n">
        <f aca="false">(DE82+DE58+DE61+DE112)*(DE$4&gt;In_COD)-($E131+$I61)*DE14</f>
        <v>2137.81582601281</v>
      </c>
      <c r="DF139" s="48" t="n">
        <f aca="false">(DF82+DF58+DF61+DF112)*(DF$4&gt;In_COD)-($E131+$I61)*DF14</f>
        <v>2129.67377475099</v>
      </c>
      <c r="DG139" s="48" t="n">
        <f aca="false">(DG82+DG58+DG61+DG112)*(DG$4&gt;In_COD)-($E131+$I61)*DG14</f>
        <v>2116.20284972323</v>
      </c>
      <c r="DH139" s="48" t="n">
        <f aca="false">(DH82+DH58+DH61+DH112)*(DH$4&gt;In_COD)-($E131+$I61)*DH14</f>
        <v>2116.20284972323</v>
      </c>
      <c r="DI139" s="48" t="n">
        <f aca="false">(DI82+DI58+DI61+DI112)*(DI$4&gt;In_COD)-($E131+$I61)*DI14</f>
        <v>2139.45782609381</v>
      </c>
      <c r="DJ139" s="48" t="n">
        <f aca="false">(DJ82+DJ58+DJ61+DJ112)*(DJ$4&gt;In_COD)-($E131+$I61)*DJ14</f>
        <v>2131.26763373715</v>
      </c>
      <c r="DK139" s="48" t="n">
        <f aca="false">(DK82+DK58+DK61+DK112)*(DK$4&gt;In_COD)-($E131+$I61)*DK14</f>
        <v>2094.22922134031</v>
      </c>
      <c r="DL139" s="48" t="n">
        <f aca="false">(DL82+DL58+DL61+DL112)*(DL$4&gt;In_COD)-($E131+$I61)*DL14</f>
        <v>2117.49843491076</v>
      </c>
      <c r="DM139" s="48" t="n">
        <f aca="false">(DM82+DM58+DM61+DM112)*(DM$4&gt;In_COD)-($E131+$I61)*DM14</f>
        <v>2140.76764848121</v>
      </c>
      <c r="DN139" s="48" t="n">
        <f aca="false">(DN82+DN58+DN61+DN112)*(DN$4&gt;In_COD)-($E131+$I61)*DN14</f>
        <v>2132.52923118543</v>
      </c>
      <c r="DO139" s="48" t="n">
        <f aca="false">(DO82+DO58+DO61+DO112)*(DO$4&gt;In_COD)-($E131+$I61)*DO14</f>
        <v>2095.17525809415</v>
      </c>
      <c r="DP139" s="48" t="n">
        <f aca="false">(DP82+DP58+DP61+DP112)*(DP$4&gt;In_COD)-($E131+$I61)*DP14</f>
        <v>2118.45498318409</v>
      </c>
      <c r="DQ139" s="48" t="n">
        <f aca="false">(DQ82+DQ58+DQ61+DQ112)*(DQ$4&gt;In_COD)-($E131+$I61)*DQ14</f>
        <v>2141.73470827402</v>
      </c>
      <c r="DR139" s="48" t="n">
        <f aca="false">(DR82+DR58+DR61+DR112)*(DR$4&gt;In_COD)-($E131+$I61)*DR14</f>
        <v>2133.4479869401</v>
      </c>
      <c r="DS139" s="48" t="n">
        <f aca="false">(DS82+DS58+DS61+DS112)*(DS$4&gt;In_COD)-($E131+$I61)*DS14</f>
        <v>2095.77535956</v>
      </c>
      <c r="DT139" s="48" t="n">
        <f aca="false">(DT82+DT58+DT61+DT112)*(DT$4&gt;In_COD)-($E131+$I61)*DT14</f>
        <v>2119.061752444</v>
      </c>
      <c r="DU139" s="48" t="n">
        <f aca="false">(DU82+DU58+DU61+DU112)*(DU$4&gt;In_COD)-($E131+$I61)*DU14</f>
        <v>2142.348145328</v>
      </c>
      <c r="DV139" s="48" t="n">
        <f aca="false">(DV82+DV58+DV61+DV112)*(DV$4&gt;In_COD)-($E131+$I61)*DV14</f>
        <v>2134.01304575269</v>
      </c>
      <c r="DW139" s="48" t="n">
        <f aca="false">(DW82+DW58+DW61+DW112)*(DW$4&gt;In_COD)-($E131+$I61)*DW14</f>
        <v>2119.30772157993</v>
      </c>
      <c r="DX139" s="48" t="n">
        <f aca="false">(DX82+DX58+DX61+DX112)*(DX$4&gt;In_COD)-($E131+$I61)*DX14</f>
        <v>2119.30772157993</v>
      </c>
      <c r="DY139" s="48" t="n">
        <f aca="false">(DY82+DY58+DY61+DY112)*(DY$4&gt;In_COD)-($E131+$I61)*DY14</f>
        <v>2142.59681742147</v>
      </c>
      <c r="DZ139" s="48" t="n">
        <f aca="false">(DZ82+DZ58+DZ61+DZ112)*(DZ$4&gt;In_COD)-($E131+$I61)*DZ14</f>
        <v>2134.2132704514</v>
      </c>
      <c r="EA139" s="48" t="n">
        <f aca="false">(EA82+EA58+EA61+EA112)*(EA$4&gt;In_COD)-($E131+$I61)*EA14</f>
        <v>2095.89387383467</v>
      </c>
      <c r="EB139" s="48" t="n">
        <f aca="false">(EB82+EB58+EB61+EB112)*(EB$4&gt;In_COD)-($E131+$I61)*EB14</f>
        <v>2119.18158354395</v>
      </c>
      <c r="EC139" s="48" t="n">
        <f aca="false">(EC82+EC58+EC61+EC112)*(EC$4&gt;In_COD)-($E131+$I61)*EC14</f>
        <v>2142.46929325322</v>
      </c>
      <c r="ED139" s="48" t="n">
        <f aca="false">(ED82+ED58+ED61+ED112)*(ED$4&gt;In_COD)-($E131+$I61)*ED14</f>
        <v>2134.03723494271</v>
      </c>
      <c r="EE139" s="48" t="n">
        <f aca="false">(EE82+EE58+EE61+EE112)*(EE$4&gt;In_COD)-($E131+$I61)*EE14</f>
        <v>2095.38963124086</v>
      </c>
      <c r="EF139" s="48" t="n">
        <f aca="false">(EF82+EF58+EF61+EF112)*(EF$4&gt;In_COD)-($E131+$I61)*EF14</f>
        <v>2118.67173825464</v>
      </c>
      <c r="EG139" s="48" t="n">
        <f aca="false">(EG82+EG58+EG61+EG112)*(EG$4&gt;In_COD)-($E131+$I61)*EG14</f>
        <v>2141.95384526843</v>
      </c>
      <c r="EH139" s="48" t="n">
        <f aca="false">(EH82+EH58+EH61+EH112)*(EH$4&gt;In_COD)-($E131+$I61)*EH14</f>
        <v>2133.47321704111</v>
      </c>
      <c r="EI139" s="48" t="n">
        <f aca="false">(EI82+EI58+EI61+EI112)*(EI$4&gt;In_COD)-($E131+$I61)*EI14</f>
        <v>2094.49412834513</v>
      </c>
      <c r="EJ139" s="48" t="n">
        <f aca="false">(EJ82+EJ58+EJ61+EJ112)*(EJ$4&gt;In_COD)-($E131+$I61)*EJ14</f>
        <v>2117.76628532674</v>
      </c>
      <c r="EK139" s="48" t="n">
        <f aca="false">(EK82+EK58+EK61+EK112)*(EK$4&gt;In_COD)-($E131+$I61)*EK14</f>
        <v>2141.03844230835</v>
      </c>
      <c r="EL139" s="48" t="n">
        <f aca="false">(EL82+EL58+EL61+EL112)*(EL$4&gt;In_COD)-($E131+$I61)*EL14</f>
        <v>2132.50919112262</v>
      </c>
      <c r="EM139" s="48" t="n">
        <f aca="false">(EM82+EM58+EM61+EM112)*(EM$4&gt;In_COD)-($E131+$I61)*EM14</f>
        <v>2116.45301662203</v>
      </c>
      <c r="EN139" s="48" t="n">
        <f aca="false">(EN82+EN58+EN61+EN112)*(EN$4&gt;In_COD)-($E131+$I61)*EN14</f>
        <v>2116.45301662203</v>
      </c>
      <c r="EO139" s="48" t="n">
        <f aca="false">(EO82+EO58+EO61+EO112)*(EO$4&gt;In_COD)-($E131+$I61)*EO14</f>
        <v>2139.71074207941</v>
      </c>
    </row>
    <row r="140" customFormat="false" ht="15" hidden="false" customHeight="false" outlineLevel="0" collapsed="false">
      <c r="C140" s="25" t="s">
        <v>127</v>
      </c>
      <c r="D140" s="11" t="s">
        <v>27</v>
      </c>
      <c r="E140" s="33" t="n">
        <f aca="false">XIRR(INDEX($J139:$EO139,$E15):$EO139,INDEX($J$4:$EO$4,$E15):$EO$4)</f>
        <v>0.0569296881085363</v>
      </c>
    </row>
    <row r="141" customFormat="false" ht="15" hidden="false" customHeight="false" outlineLevel="0" collapsed="false">
      <c r="C141" s="0" t="s">
        <v>501</v>
      </c>
      <c r="D141" s="11" t="s">
        <v>33</v>
      </c>
      <c r="I141" s="48" t="n">
        <f aca="false">SUM(J141:EO141)</f>
        <v>107646.730003989</v>
      </c>
      <c r="J141" s="48" t="n">
        <f aca="false">J139+J93+J101+$E98*J14</f>
        <v>0</v>
      </c>
      <c r="K141" s="48" t="n">
        <f aca="false">K139+K93+K101+$E98*K14</f>
        <v>0</v>
      </c>
      <c r="L141" s="48" t="n">
        <f aca="false">L139+L93+L101+$E98*L14</f>
        <v>0</v>
      </c>
      <c r="M141" s="48" t="n">
        <f aca="false">M139+M93+M101+$E98*M14</f>
        <v>0</v>
      </c>
      <c r="N141" s="48" t="n">
        <f aca="false">N139+N93+N101+$E98*N14</f>
        <v>0</v>
      </c>
      <c r="O141" s="48" t="n">
        <f aca="false">O139+O93+O101+$E98*O14</f>
        <v>0</v>
      </c>
      <c r="P141" s="48" t="n">
        <f aca="false">P139+P93+P101+$E98*P14</f>
        <v>0</v>
      </c>
      <c r="Q141" s="48" t="n">
        <f aca="false">Q139+Q93+Q101+$E98*Q14</f>
        <v>0</v>
      </c>
      <c r="R141" s="48" t="n">
        <f aca="false">R139+R93+R101+$E98*R14</f>
        <v>0</v>
      </c>
      <c r="S141" s="48" t="n">
        <f aca="false">S139+S93+S101+$E98*S14</f>
        <v>0</v>
      </c>
      <c r="T141" s="48" t="n">
        <f aca="false">T139+T93+T101+$E98*T14</f>
        <v>0</v>
      </c>
      <c r="U141" s="48" t="n">
        <f aca="false">U139+U93+U101+$E98*U14</f>
        <v>0</v>
      </c>
      <c r="V141" s="48" t="n">
        <f aca="false">V139+V93+V101+$E98*V14</f>
        <v>0</v>
      </c>
      <c r="W141" s="48" t="n">
        <f aca="false">W139+W93+W101+$E98*W14</f>
        <v>0</v>
      </c>
      <c r="X141" s="48" t="n">
        <f aca="false">X139+X93+X101+$E98*X14</f>
        <v>0</v>
      </c>
      <c r="Y141" s="48" t="n">
        <f aca="false">Y139+Y93+Y101+$E98*Y14</f>
        <v>-76328.0048809107</v>
      </c>
      <c r="Z141" s="48" t="n">
        <f aca="false">Z139+Z93+Z101+$E98*Z14</f>
        <v>1098.40578515091</v>
      </c>
      <c r="AA141" s="48" t="n">
        <f aca="false">AA139+AA93+AA101+$E98*AA14</f>
        <v>1081.7279137525</v>
      </c>
      <c r="AB141" s="48" t="n">
        <f aca="false">AB139+AB93+AB101+$E98*AB14</f>
        <v>1093.24384715357</v>
      </c>
      <c r="AC141" s="48" t="n">
        <f aca="false">AC139+AC93+AC101+$E98*AC14</f>
        <v>1104.75132351861</v>
      </c>
      <c r="AD141" s="48" t="n">
        <f aca="false">AD139+AD93+AD101+$E98*AD14</f>
        <v>1100.8442710449</v>
      </c>
      <c r="AE141" s="48" t="n">
        <f aca="false">AE139+AE93+AE101+$E98*AE14</f>
        <v>1095.79185317473</v>
      </c>
      <c r="AF141" s="48" t="n">
        <f aca="false">AF139+AF93+AF101+$E98*AF14</f>
        <v>1095.5558982789</v>
      </c>
      <c r="AG141" s="48" t="n">
        <f aca="false">AG139+AG93+AG101+$E98*AG14</f>
        <v>1107.0862215359</v>
      </c>
      <c r="AH141" s="48" t="n">
        <f aca="false">AH139+AH93+AH101+$E98*AH14</f>
        <v>1103.14290983802</v>
      </c>
      <c r="AI141" s="48" t="n">
        <f aca="false">AI139+AI93+AI101+$E98*AI14</f>
        <v>1086.17591649759</v>
      </c>
      <c r="AJ141" s="48" t="n">
        <f aca="false">AJ139+AJ93+AJ101+$E98*AJ14</f>
        <v>1112.10544454517</v>
      </c>
      <c r="AK141" s="48" t="n">
        <f aca="false">AK139+AK93+AK101+$E98*AK14</f>
        <v>1123.80790682954</v>
      </c>
      <c r="AL141" s="48" t="n">
        <f aca="false">AL139+AL93+AL101+$E98*AL14</f>
        <v>1107.06068581268</v>
      </c>
      <c r="AM141" s="48" t="n">
        <f aca="false">AM139+AM93+AM101+$E98*AM14</f>
        <v>1089.60382195071</v>
      </c>
      <c r="AN141" s="48" t="n">
        <f aca="false">AN139+AN93+AN101+$E98*AN14</f>
        <v>1100.68804372062</v>
      </c>
      <c r="AO141" s="48" t="n">
        <f aca="false">AO139+AO93+AO101+$E98*AO14</f>
        <v>1111.75477142116</v>
      </c>
      <c r="AP141" s="48" t="n">
        <f aca="false">AP139+AP93+AP101+$E98*AP14</f>
        <v>1107.76456641186</v>
      </c>
      <c r="AQ141" s="48" t="n">
        <f aca="false">AQ139+AQ93+AQ101+$E98*AQ14</f>
        <v>1090.15660440481</v>
      </c>
      <c r="AR141" s="48" t="n">
        <f aca="false">AR139+AR93+AR101+$E98*AR14</f>
        <v>1101.24342529778</v>
      </c>
      <c r="AS141" s="48" t="n">
        <f aca="false">AS139+AS93+AS101+$E98*AS14</f>
        <v>1112.31240604055</v>
      </c>
      <c r="AT141" s="48" t="n">
        <f aca="false">AT139+AT93+AT101+$E98*AT14</f>
        <v>1108.27241763546</v>
      </c>
      <c r="AU141" s="48" t="n">
        <f aca="false">AU139+AU93+AU101+$E98*AU14</f>
        <v>1102.17034096868</v>
      </c>
      <c r="AV141" s="48" t="n">
        <f aca="false">AV139+AV93+AV101+$E98*AV14</f>
        <v>1101.58669010688</v>
      </c>
      <c r="AW141" s="48" t="n">
        <f aca="false">AW139+AW93+AW101+$E98*AW14</f>
        <v>1112.65561577843</v>
      </c>
      <c r="AX141" s="48" t="n">
        <f aca="false">AX139+AX93+AX101+$E98*AX14</f>
        <v>1108.56441330529</v>
      </c>
      <c r="AY141" s="48" t="n">
        <f aca="false">AY139+AY93+AY101+$E98*AY14</f>
        <v>1090.64712985801</v>
      </c>
      <c r="AZ141" s="48" t="n">
        <f aca="false">AZ139+AZ93+AZ101+$E98*AZ14</f>
        <v>1101.7324381476</v>
      </c>
      <c r="BA141" s="48" t="n">
        <f aca="false">BA139+BA93+BA101+$E98*BA14</f>
        <v>1112.79917335158</v>
      </c>
      <c r="BB141" s="48" t="n">
        <f aca="false">BB139+BB93+BB101+$E98*BB14</f>
        <v>1108.65553719067</v>
      </c>
      <c r="BC141" s="48" t="n">
        <f aca="false">BC139+BC93+BC101+$E98*BC14</f>
        <v>1090.58002372666</v>
      </c>
      <c r="BD141" s="48" t="n">
        <f aca="false">BD139+BD93+BD101+$E98*BD14</f>
        <v>1101.66117328939</v>
      </c>
      <c r="BE141" s="48" t="n">
        <f aca="false">BE139+BE93+BE101+$E98*BE14</f>
        <v>1112.7233632494</v>
      </c>
      <c r="BF141" s="48" t="n">
        <f aca="false">BF139+BF93+BF101+$E98*BF14</f>
        <v>1108.52588920694</v>
      </c>
      <c r="BG141" s="48" t="n">
        <f aca="false">BG139+BG93+BG101+$E98*BG14</f>
        <v>1090.28962868273</v>
      </c>
      <c r="BH141" s="48" t="n">
        <f aca="false">BH139+BH93+BH101+$E98*BH14</f>
        <v>1101.36418423768</v>
      </c>
      <c r="BI141" s="48" t="n">
        <f aca="false">BI139+BI93+BI101+$E98*BI14</f>
        <v>1112.4193789904</v>
      </c>
      <c r="BJ141" s="48" t="n">
        <f aca="false">BJ139+BJ93+BJ101+$E98*BJ14</f>
        <v>1108.16660492602</v>
      </c>
      <c r="BK141" s="48" t="n">
        <f aca="false">BK139+BK93+BK101+$E98*BK14</f>
        <v>1101.53246495115</v>
      </c>
      <c r="BL141" s="48" t="n">
        <f aca="false">BL139+BL93+BL101+$E98*BL14</f>
        <v>1100.8207083666</v>
      </c>
      <c r="BM141" s="48" t="n">
        <f aca="false">BM139+BM93+BM101+$E98*BM14</f>
        <v>1111.8662242629</v>
      </c>
      <c r="BN141" s="48" t="n">
        <f aca="false">BN139+BN93+BN101+$E98*BN14</f>
        <v>1107.55649102812</v>
      </c>
      <c r="BO141" s="48" t="n">
        <f aca="false">BO139+BO93+BO101+$E98*BO14</f>
        <v>1088.99074223977</v>
      </c>
      <c r="BP141" s="48" t="n">
        <f aca="false">BP139+BP93+BP101+$E98*BP14</f>
        <v>1100.04426800347</v>
      </c>
      <c r="BQ141" s="48" t="n">
        <f aca="false">BQ139+BQ93+BQ101+$E98*BQ14</f>
        <v>1111.07758224123</v>
      </c>
      <c r="BR141" s="48" t="n">
        <f aca="false">BR139+BR93+BR101+$E98*BR14</f>
        <v>1106.70943380718</v>
      </c>
      <c r="BS141" s="48" t="n">
        <f aca="false">BS139+BS93+BS101+$E98*BS14</f>
        <v>1087.97491519878</v>
      </c>
      <c r="BT141" s="48" t="n">
        <f aca="false">BT139+BT93+BT101+$E98*BT14</f>
        <v>1099.01393054492</v>
      </c>
      <c r="BU141" s="48" t="n">
        <f aca="false">BU139+BU93+BU101+$E98*BU14</f>
        <v>1110.03228495748</v>
      </c>
      <c r="BV141" s="48" t="n">
        <f aca="false">BV139+BV93+BV101+$E98*BV14</f>
        <v>1105.60406872828</v>
      </c>
      <c r="BW141" s="48" t="n">
        <f aca="false">BW139+BW93+BW101+$E98*BW14</f>
        <v>1086.69794238548</v>
      </c>
      <c r="BX141" s="48" t="n">
        <f aca="false">BX139+BX93+BX101+$E98*BX14</f>
        <v>1097.71959605647</v>
      </c>
      <c r="BY141" s="48" t="n">
        <f aca="false">BY139+BY93+BY101+$E98*BY14</f>
        <v>1108.72012186958</v>
      </c>
      <c r="BZ141" s="48" t="n">
        <f aca="false">BZ139+BZ93+BZ101+$E98*BZ14</f>
        <v>1104.23011598401</v>
      </c>
      <c r="CA141" s="48" t="n">
        <f aca="false">CA139+CA93+CA101+$E98*CA14</f>
        <v>1097.00278434391</v>
      </c>
      <c r="CB141" s="48" t="n">
        <f aca="false">CB139+CB93+CB101+$E98*CB14</f>
        <v>1096.13897021597</v>
      </c>
      <c r="CC141" s="48" t="n">
        <f aca="false">CC139+CC93+CC101+$E98*CC14</f>
        <v>1107.11854791696</v>
      </c>
      <c r="CD141" s="48" t="n">
        <f aca="false">CD139+CD93+CD101+$E98*CD14</f>
        <v>1102.564820643</v>
      </c>
      <c r="CE141" s="48" t="n">
        <f aca="false">CE139+CE93+CE101+$E98*CE14</f>
        <v>1083.30646912089</v>
      </c>
      <c r="CF141" s="48" t="n">
        <f aca="false">CF139+CF93+CF101+$E98*CF14</f>
        <v>1094.28424439305</v>
      </c>
      <c r="CG141" s="48" t="n">
        <f aca="false">CG139+CG93+CG101+$E98*CG14</f>
        <v>1105.23990058702</v>
      </c>
      <c r="CH141" s="48" t="n">
        <f aca="false">CH139+CH93+CH101+$E98*CH14</f>
        <v>1100.62071290883</v>
      </c>
      <c r="CI141" s="48" t="n">
        <f aca="false">CI139+CI93+CI101+$E98*CI14</f>
        <v>1081.18168891422</v>
      </c>
      <c r="CJ141" s="48" t="n">
        <f aca="false">CJ139+CJ93+CJ101+$E98*CJ14</f>
        <v>1092.13284003132</v>
      </c>
      <c r="CK141" s="48" t="n">
        <f aca="false">CK139+CK93+CK101+$E98*CK14</f>
        <v>1103.06134762056</v>
      </c>
      <c r="CL141" s="48" t="n">
        <f aca="false">CL139+CL93+CL101+$E98*CL14</f>
        <v>1098.37475001321</v>
      </c>
      <c r="CM141" s="48" t="n">
        <f aca="false">CM139+CM93+CM101+$E98*CM14</f>
        <v>1078.75183991889</v>
      </c>
      <c r="CN141" s="48" t="n">
        <f aca="false">CN139+CN93+CN101+$E98*CN14</f>
        <v>1089.67303200593</v>
      </c>
      <c r="CO141" s="48" t="n">
        <f aca="false">CO139+CO93+CO101+$E98*CO14</f>
        <v>1100.57103520048</v>
      </c>
      <c r="CP141" s="48" t="n">
        <f aca="false">CP139+CP93+CP101+$E98*CP14</f>
        <v>1095.81499530287</v>
      </c>
      <c r="CQ141" s="48" t="n">
        <f aca="false">CQ139+CQ93+CQ101+$E98*CQ14</f>
        <v>1087.92514514619</v>
      </c>
      <c r="CR141" s="48" t="n">
        <f aca="false">CR139+CR93+CR101+$E98*CR14</f>
        <v>1086.88076853275</v>
      </c>
      <c r="CS141" s="48" t="n">
        <f aca="false">CS139+CS93+CS101+$E98*CS14</f>
        <v>2343.74717344589</v>
      </c>
      <c r="CT141" s="48" t="n">
        <f aca="false">CT139+CT93+CT101+$E98*CT14</f>
        <v>2332.6929896636</v>
      </c>
      <c r="CU141" s="48" t="n">
        <f aca="false">CU139+CU93+CU101+$E98*CU14</f>
        <v>2292.32821604218</v>
      </c>
      <c r="CV141" s="48" t="n">
        <f aca="false">CV139+CV93+CV101+$E98*CV14</f>
        <v>2317.79852955376</v>
      </c>
      <c r="CW141" s="48" t="n">
        <f aca="false">CW139+CW93+CW101+$E98*CW14</f>
        <v>2343.26884306534</v>
      </c>
      <c r="CX141" s="48" t="n">
        <f aca="false">CX139+CX93+CX101+$E98*CX14</f>
        <v>2335.22280421056</v>
      </c>
      <c r="CY141" s="48" t="n">
        <f aca="false">CY139+CY93+CY101+$E98*CY14</f>
        <v>2294.55441353347</v>
      </c>
      <c r="CZ141" s="48" t="n">
        <f aca="false">CZ139+CZ93+CZ101+$E98*CZ14</f>
        <v>2320.04946257273</v>
      </c>
      <c r="DA141" s="48" t="n">
        <f aca="false">DA139+DA93+DA101+$E98*DA14</f>
        <v>2345.54451161199</v>
      </c>
      <c r="DB141" s="48" t="n">
        <f aca="false">DB139+DB93+DB101+$E98*DB14</f>
        <v>2127.75796595667</v>
      </c>
      <c r="DC141" s="48" t="n">
        <f aca="false">DC139+DC93+DC101+$E98*DC14</f>
        <v>2091.34156892558</v>
      </c>
      <c r="DD141" s="48" t="n">
        <f aca="false">DD139+DD93+DD101+$E98*DD14</f>
        <v>2114.5786974692</v>
      </c>
      <c r="DE141" s="48" t="n">
        <f aca="false">DE139+DE93+DE101+$E98*DE14</f>
        <v>2137.81582601281</v>
      </c>
      <c r="DF141" s="48" t="n">
        <f aca="false">DF139+DF93+DF101+$E98*DF14</f>
        <v>2129.67377475099</v>
      </c>
      <c r="DG141" s="48" t="n">
        <f aca="false">DG139+DG93+DG101+$E98*DG14</f>
        <v>2116.20284972323</v>
      </c>
      <c r="DH141" s="48" t="n">
        <f aca="false">DH139+DH93+DH101+$E98*DH14</f>
        <v>2116.20284972323</v>
      </c>
      <c r="DI141" s="48" t="n">
        <f aca="false">DI139+DI93+DI101+$E98*DI14</f>
        <v>2139.45782609381</v>
      </c>
      <c r="DJ141" s="48" t="n">
        <f aca="false">DJ139+DJ93+DJ101+$E98*DJ14</f>
        <v>2131.26763373715</v>
      </c>
      <c r="DK141" s="48" t="n">
        <f aca="false">DK139+DK93+DK101+$E98*DK14</f>
        <v>2094.22922134031</v>
      </c>
      <c r="DL141" s="48" t="n">
        <f aca="false">DL139+DL93+DL101+$E98*DL14</f>
        <v>2117.49843491076</v>
      </c>
      <c r="DM141" s="48" t="n">
        <f aca="false">DM139+DM93+DM101+$E98*DM14</f>
        <v>2140.76764848121</v>
      </c>
      <c r="DN141" s="48" t="n">
        <f aca="false">DN139+DN93+DN101+$E98*DN14</f>
        <v>2132.52923118543</v>
      </c>
      <c r="DO141" s="48" t="n">
        <f aca="false">DO139+DO93+DO101+$E98*DO14</f>
        <v>2095.17525809415</v>
      </c>
      <c r="DP141" s="48" t="n">
        <f aca="false">DP139+DP93+DP101+$E98*DP14</f>
        <v>2118.45498318409</v>
      </c>
      <c r="DQ141" s="48" t="n">
        <f aca="false">DQ139+DQ93+DQ101+$E98*DQ14</f>
        <v>2141.73470827402</v>
      </c>
      <c r="DR141" s="48" t="n">
        <f aca="false">DR139+DR93+DR101+$E98*DR14</f>
        <v>2133.4479869401</v>
      </c>
      <c r="DS141" s="48" t="n">
        <f aca="false">DS139+DS93+DS101+$E98*DS14</f>
        <v>2095.77535956</v>
      </c>
      <c r="DT141" s="48" t="n">
        <f aca="false">DT139+DT93+DT101+$E98*DT14</f>
        <v>2119.061752444</v>
      </c>
      <c r="DU141" s="48" t="n">
        <f aca="false">DU139+DU93+DU101+$E98*DU14</f>
        <v>2142.348145328</v>
      </c>
      <c r="DV141" s="48" t="n">
        <f aca="false">DV139+DV93+DV101+$E98*DV14</f>
        <v>2134.01304575269</v>
      </c>
      <c r="DW141" s="48" t="n">
        <f aca="false">DW139+DW93+DW101+$E98*DW14</f>
        <v>2119.30772157993</v>
      </c>
      <c r="DX141" s="48" t="n">
        <f aca="false">DX139+DX93+DX101+$E98*DX14</f>
        <v>2119.30772157993</v>
      </c>
      <c r="DY141" s="48" t="n">
        <f aca="false">DY139+DY93+DY101+$E98*DY14</f>
        <v>2142.59681742147</v>
      </c>
      <c r="DZ141" s="48" t="n">
        <f aca="false">DZ139+DZ93+DZ101+$E98*DZ14</f>
        <v>2134.2132704514</v>
      </c>
      <c r="EA141" s="48" t="n">
        <f aca="false">EA139+EA93+EA101+$E98*EA14</f>
        <v>2095.89387383467</v>
      </c>
      <c r="EB141" s="48" t="n">
        <f aca="false">EB139+EB93+EB101+$E98*EB14</f>
        <v>2119.18158354395</v>
      </c>
      <c r="EC141" s="48" t="n">
        <f aca="false">EC139+EC93+EC101+$E98*EC14</f>
        <v>2142.46929325322</v>
      </c>
      <c r="ED141" s="48" t="n">
        <f aca="false">ED139+ED93+ED101+$E98*ED14</f>
        <v>2134.03723494271</v>
      </c>
      <c r="EE141" s="48" t="n">
        <f aca="false">EE139+EE93+EE101+$E98*EE14</f>
        <v>2095.38963124086</v>
      </c>
      <c r="EF141" s="48" t="n">
        <f aca="false">EF139+EF93+EF101+$E98*EF14</f>
        <v>2118.67173825464</v>
      </c>
      <c r="EG141" s="48" t="n">
        <f aca="false">EG139+EG93+EG101+$E98*EG14</f>
        <v>2141.95384526843</v>
      </c>
      <c r="EH141" s="48" t="n">
        <f aca="false">EH139+EH93+EH101+$E98*EH14</f>
        <v>2133.47321704111</v>
      </c>
      <c r="EI141" s="48" t="n">
        <f aca="false">EI139+EI93+EI101+$E98*EI14</f>
        <v>2094.49412834513</v>
      </c>
      <c r="EJ141" s="48" t="n">
        <f aca="false">EJ139+EJ93+EJ101+$E98*EJ14</f>
        <v>2117.76628532674</v>
      </c>
      <c r="EK141" s="48" t="n">
        <f aca="false">EK139+EK93+EK101+$E98*EK14</f>
        <v>2141.03844230835</v>
      </c>
      <c r="EL141" s="48" t="n">
        <f aca="false">EL139+EL93+EL101+$E98*EL14</f>
        <v>2132.50919112262</v>
      </c>
      <c r="EM141" s="48" t="n">
        <f aca="false">EM139+EM93+EM101+$E98*EM14</f>
        <v>2116.45301662203</v>
      </c>
      <c r="EN141" s="48" t="n">
        <f aca="false">EN139+EN93+EN101+$E98*EN14</f>
        <v>2116.45301662203</v>
      </c>
      <c r="EO141" s="48" t="n">
        <f aca="false">EO139+EO93+EO101+$E98*EO14</f>
        <v>2139.71074207941</v>
      </c>
    </row>
    <row r="142" customFormat="false" ht="15" hidden="false" customHeight="false" outlineLevel="0" collapsed="false">
      <c r="C142" s="25" t="s">
        <v>502</v>
      </c>
      <c r="D142" s="11" t="s">
        <v>27</v>
      </c>
      <c r="E142" s="33" t="n">
        <f aca="false">XIRR(INDEX($J141:$EO141,$E15):$EO141,INDEX($J$4:$EO$4,$E15):$EO$4)</f>
        <v>0.0587523414589974</v>
      </c>
    </row>
    <row r="144" customFormat="false" ht="15" hidden="false" customHeight="false" outlineLevel="0" collapsed="false">
      <c r="A144" s="9" t="s">
        <v>13</v>
      </c>
      <c r="B144" s="9"/>
      <c r="C144" s="9" t="s">
        <v>503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</row>
    <row r="145" customFormat="false" ht="15" hidden="false" customHeight="false" outlineLevel="0" collapsed="false">
      <c r="C145" s="0" t="s">
        <v>504</v>
      </c>
      <c r="D145" s="11" t="s">
        <v>33</v>
      </c>
      <c r="I145" s="48" t="n">
        <f aca="false">SUM(J145:EO145)</f>
        <v>163373.567036165</v>
      </c>
      <c r="J145" s="48" t="n">
        <f aca="false">J62+J69+J82+J61+J112</f>
        <v>-4662.80993807469</v>
      </c>
      <c r="K145" s="48" t="n">
        <f aca="false">K62+K69+K82+K61+K112</f>
        <v>-706.535577057768</v>
      </c>
      <c r="L145" s="48" t="n">
        <f aca="false">L62+L69+L82+L61+L112</f>
        <v>-104.360496659404</v>
      </c>
      <c r="M145" s="48" t="n">
        <f aca="false">M62+M69+M82+M61+M112</f>
        <v>-105.507315304013</v>
      </c>
      <c r="N145" s="48" t="n">
        <f aca="false">N62+N69+N82+N61+N112</f>
        <v>-105.507315304013</v>
      </c>
      <c r="O145" s="48" t="n">
        <f aca="false">O62+O69+O82+O61+O112</f>
        <v>-104.360496659404</v>
      </c>
      <c r="P145" s="48" t="n">
        <f aca="false">P62+P69+P82+P61+P112</f>
        <v>-104.360496659404</v>
      </c>
      <c r="Q145" s="48" t="n">
        <f aca="false">Q62+Q69+Q82+Q61+Q112</f>
        <v>-105.507315304013</v>
      </c>
      <c r="R145" s="48" t="n">
        <f aca="false">R62+R69+R82+R61+R112</f>
        <v>-11665.0361901012</v>
      </c>
      <c r="S145" s="48" t="n">
        <f aca="false">S62+S69+S82+S61+S112</f>
        <v>-19567.2881157404</v>
      </c>
      <c r="T145" s="48" t="n">
        <f aca="false">T62+T69+T82+T61+T112</f>
        <v>-11539.2701313338</v>
      </c>
      <c r="U145" s="48" t="n">
        <f aca="false">U62+U69+U82+U61+U112</f>
        <v>-11666.0752976122</v>
      </c>
      <c r="V145" s="48" t="n">
        <f aca="false">V62+V69+V82+V61+V112</f>
        <v>-11666.0752976122</v>
      </c>
      <c r="W145" s="48" t="n">
        <f aca="false">W62+W69+W82+W61+W112</f>
        <v>-11413.5068962282</v>
      </c>
      <c r="X145" s="48" t="n">
        <f aca="false">X62+X69+X82+X61+X112</f>
        <v>-11540.3236395196</v>
      </c>
      <c r="Y145" s="48" t="n">
        <f aca="false">Y62+Y69+Y82+Y61+Y112</f>
        <v>-14167.140382811</v>
      </c>
      <c r="Z145" s="48" t="n">
        <f aca="false">Z62+Z69+Z82+Z61+Z112</f>
        <v>2344.40831738351</v>
      </c>
      <c r="AA145" s="48" t="n">
        <f aca="false">AA62+AA69+AA82+AA61+AA112</f>
        <v>2308.81150885312</v>
      </c>
      <c r="AB145" s="48" t="n">
        <f aca="false">AB62+AB69+AB82+AB61+AB112</f>
        <v>2333.39081316203</v>
      </c>
      <c r="AC145" s="48" t="n">
        <f aca="false">AC62+AC69+AC82+AC61+AC112</f>
        <v>2357.95206699645</v>
      </c>
      <c r="AD145" s="48" t="n">
        <f aca="false">AD62+AD69+AD82+AD61+AD112</f>
        <v>2349.61295731616</v>
      </c>
      <c r="AE145" s="48" t="n">
        <f aca="false">AE62+AE69+AE82+AE61+AE112</f>
        <v>2338.82920996354</v>
      </c>
      <c r="AF145" s="48" t="n">
        <f aca="false">AF62+AF69+AF82+AF61+AF112</f>
        <v>2338.32559406147</v>
      </c>
      <c r="AG145" s="48" t="n">
        <f aca="false">AG62+AG69+AG82+AG61+AG112</f>
        <v>2362.93561169908</v>
      </c>
      <c r="AH145" s="48" t="n">
        <f aca="false">AH62+AH69+AH82+AH61+AH112</f>
        <v>2354.51911128773</v>
      </c>
      <c r="AI145" s="48" t="n">
        <f aca="false">AI62+AI69+AI82+AI61+AI112</f>
        <v>2318.30520851514</v>
      </c>
      <c r="AJ145" s="48" t="n">
        <f aca="false">AJ62+AJ69+AJ82+AJ61+AJ112</f>
        <v>2373.64850881668</v>
      </c>
      <c r="AK145" s="48" t="n">
        <f aca="false">AK62+AK69+AK82+AK61+AK112</f>
        <v>2398.62593545102</v>
      </c>
      <c r="AL145" s="48" t="n">
        <f aca="false">AL62+AL69+AL82+AL61+AL112</f>
        <v>2362.8811089252</v>
      </c>
      <c r="AM145" s="48" t="n">
        <f aca="false">AM62+AM69+AM82+AM61+AM112</f>
        <v>2325.62163944067</v>
      </c>
      <c r="AN145" s="48" t="n">
        <f aca="false">AN62+AN69+AN82+AN61+AN112</f>
        <v>2349.27950983828</v>
      </c>
      <c r="AO145" s="48" t="n">
        <f aca="false">AO62+AO69+AO82+AO61+AO112</f>
        <v>2372.90004135592</v>
      </c>
      <c r="AP145" s="48" t="n">
        <f aca="false">AP62+AP69+AP82+AP61+AP112</f>
        <v>2364.38345309831</v>
      </c>
      <c r="AQ145" s="48" t="n">
        <f aca="false">AQ62+AQ69+AQ82+AQ61+AQ112</f>
        <v>2326.80148372089</v>
      </c>
      <c r="AR145" s="48" t="n">
        <f aca="false">AR62+AR69+AR82+AR61+AR112</f>
        <v>2350.46490161815</v>
      </c>
      <c r="AS145" s="48" t="n">
        <f aca="false">AS62+AS69+AS82+AS61+AS112</f>
        <v>2374.09024196968</v>
      </c>
      <c r="AT145" s="48" t="n">
        <f aca="false">AT62+AT69+AT82+AT61+AT112</f>
        <v>2365.46739734607</v>
      </c>
      <c r="AU145" s="48" t="n">
        <f aca="false">AU62+AU69+AU82+AU61+AU112</f>
        <v>2352.4432859618</v>
      </c>
      <c r="AV145" s="48" t="n">
        <f aca="false">AV62+AV69+AV82+AV61+AV112</f>
        <v>2351.19755696676</v>
      </c>
      <c r="AW145" s="48" t="n">
        <f aca="false">AW62+AW69+AW82+AW61+AW112</f>
        <v>2374.82277977574</v>
      </c>
      <c r="AX145" s="48" t="n">
        <f aca="false">AX62+AX69+AX82+AX61+AX112</f>
        <v>2366.09062519699</v>
      </c>
      <c r="AY145" s="48" t="n">
        <f aca="false">AY62+AY69+AY82+AY61+AY112</f>
        <v>2327.84844830153</v>
      </c>
      <c r="AZ145" s="48" t="n">
        <f aca="false">AZ62+AZ69+AZ82+AZ61+AZ112</f>
        <v>2351.50863773808</v>
      </c>
      <c r="BA145" s="48" t="n">
        <f aca="false">BA62+BA69+BA82+BA61+BA112</f>
        <v>2375.12918527091</v>
      </c>
      <c r="BB145" s="48" t="n">
        <f aca="false">BB62+BB69+BB82+BB61+BB112</f>
        <v>2366.28511761287</v>
      </c>
      <c r="BC145" s="48" t="n">
        <f aca="false">BC62+BC69+BC82+BC61+BC112</f>
        <v>2327.70521874593</v>
      </c>
      <c r="BD145" s="48" t="n">
        <f aca="false">BD62+BD69+BD82+BD61+BD112</f>
        <v>2351.35653190564</v>
      </c>
      <c r="BE145" s="48" t="n">
        <f aca="false">BE62+BE69+BE82+BE61+BE112</f>
        <v>2374.9673781897</v>
      </c>
      <c r="BF145" s="48" t="n">
        <f aca="false">BF62+BF69+BF82+BF61+BF112</f>
        <v>2366.00840037826</v>
      </c>
      <c r="BG145" s="48" t="n">
        <f aca="false">BG62+BG69+BG82+BG61+BG112</f>
        <v>2327.08540722865</v>
      </c>
      <c r="BH145" s="48" t="n">
        <f aca="false">BH62+BH69+BH82+BH61+BH112</f>
        <v>2350.7226463122</v>
      </c>
      <c r="BI145" s="48" t="n">
        <f aca="false">BI62+BI69+BI82+BI61+BI112</f>
        <v>2374.31856221047</v>
      </c>
      <c r="BJ145" s="48" t="n">
        <f aca="false">BJ62+BJ69+BJ82+BJ61+BJ112</f>
        <v>2365.24155349178</v>
      </c>
      <c r="BK145" s="48" t="n">
        <f aca="false">BK62+BK69+BK82+BK61+BK112</f>
        <v>2351.08182022562</v>
      </c>
      <c r="BL145" s="48" t="n">
        <f aca="false">BL62+BL69+BL82+BL61+BL112</f>
        <v>2349.5626657571</v>
      </c>
      <c r="BM145" s="48" t="n">
        <f aca="false">BM62+BM69+BM82+BM61+BM112</f>
        <v>2373.1379233597</v>
      </c>
      <c r="BN145" s="48" t="n">
        <f aca="false">BN62+BN69+BN82+BN61+BN112</f>
        <v>2363.93934249105</v>
      </c>
      <c r="BO145" s="48" t="n">
        <f aca="false">BO62+BO69+BO82+BO61+BO112</f>
        <v>2324.31309828673</v>
      </c>
      <c r="BP145" s="48" t="n">
        <f aca="false">BP62+BP69+BP82+BP61+BP112</f>
        <v>2347.90545193889</v>
      </c>
      <c r="BQ145" s="48" t="n">
        <f aca="false">BQ62+BQ69+BQ82+BQ61+BQ112</f>
        <v>2371.45466664353</v>
      </c>
      <c r="BR145" s="48" t="n">
        <f aca="false">BR62+BR69+BR82+BR61+BR112</f>
        <v>2362.13140591533</v>
      </c>
      <c r="BS145" s="48" t="n">
        <f aca="false">BS62+BS69+BS82+BS61+BS112</f>
        <v>2322.14494386146</v>
      </c>
      <c r="BT145" s="48" t="n">
        <f aca="false">BT62+BT69+BT82+BT61+BT112</f>
        <v>2345.70632686136</v>
      </c>
      <c r="BU145" s="48" t="n">
        <f aca="false">BU62+BU69+BU82+BU61+BU112</f>
        <v>2369.22361170994</v>
      </c>
      <c r="BV145" s="48" t="n">
        <f aca="false">BV62+BV69+BV82+BV61+BV112</f>
        <v>2359.77214386515</v>
      </c>
      <c r="BW145" s="48" t="n">
        <f aca="false">BW62+BW69+BW82+BW61+BW112</f>
        <v>2319.41940679227</v>
      </c>
      <c r="BX145" s="48" t="n">
        <f aca="false">BX62+BX69+BX82+BX61+BX112</f>
        <v>2342.94373349096</v>
      </c>
      <c r="BY145" s="48" t="n">
        <f aca="false">BY62+BY69+BY82+BY61+BY112</f>
        <v>2366.42296544742</v>
      </c>
      <c r="BZ145" s="48" t="n">
        <f aca="false">BZ62+BZ69+BZ82+BZ61+BZ112</f>
        <v>2356.83961539089</v>
      </c>
      <c r="CA145" s="48" t="n">
        <f aca="false">CA62+CA69+CA82+CA61+CA112</f>
        <v>2341.41378949069</v>
      </c>
      <c r="CB145" s="48" t="n">
        <f aca="false">CB62+CB69+CB82+CB61+CB112</f>
        <v>2339.57008741485</v>
      </c>
      <c r="CC145" s="48" t="n">
        <f aca="false">CC62+CC69+CC82+CC61+CC112</f>
        <v>2363.00460827368</v>
      </c>
      <c r="CD145" s="48" t="n">
        <f aca="false">CD62+CD69+CD82+CD61+CD112</f>
        <v>2353.28525296758</v>
      </c>
      <c r="CE145" s="48" t="n">
        <f aca="false">CE62+CE69+CE82+CE61+CE112</f>
        <v>2312.18073576832</v>
      </c>
      <c r="CF145" s="48" t="n">
        <f aca="false">CF62+CF69+CF82+CF61+CF112</f>
        <v>2335.61140957063</v>
      </c>
      <c r="CG145" s="48" t="n">
        <f aca="false">CG62+CG69+CG82+CG61+CG112</f>
        <v>2358.99487299624</v>
      </c>
      <c r="CH145" s="48" t="n">
        <f aca="false">CH62+CH69+CH82+CH61+CH112</f>
        <v>2349.13580073106</v>
      </c>
      <c r="CI145" s="48" t="n">
        <f aca="false">CI62+CI69+CI82+CI61+CI112</f>
        <v>2307.645660975</v>
      </c>
      <c r="CJ145" s="48" t="n">
        <f aca="false">CJ62+CJ69+CJ82+CJ61+CJ112</f>
        <v>2331.01950888343</v>
      </c>
      <c r="CK145" s="48" t="n">
        <f aca="false">CK62+CK69+CK82+CK61+CK112</f>
        <v>2354.34502704363</v>
      </c>
      <c r="CL145" s="48" t="n">
        <f aca="false">CL62+CL69+CL82+CL61+CL112</f>
        <v>2344.3420768048</v>
      </c>
      <c r="CM145" s="48" t="n">
        <f aca="false">CM62+CM69+CM82+CM61+CM112</f>
        <v>2302.45945541085</v>
      </c>
      <c r="CN145" s="48" t="n">
        <f aca="false">CN62+CN69+CN82+CN61+CN112</f>
        <v>2325.76935955624</v>
      </c>
      <c r="CO145" s="48" t="n">
        <f aca="false">CO62+CO69+CO82+CO61+CO112</f>
        <v>2349.02976994152</v>
      </c>
      <c r="CP145" s="48" t="n">
        <f aca="false">CP62+CP69+CP82+CP61+CP112</f>
        <v>2338.87860391116</v>
      </c>
      <c r="CQ145" s="48" t="n">
        <f aca="false">CQ62+CQ69+CQ82+CQ61+CQ112</f>
        <v>2322.0387159751</v>
      </c>
      <c r="CR145" s="48" t="n">
        <f aca="false">CR62+CR69+CR82+CR61+CR112</f>
        <v>2319.80962609582</v>
      </c>
      <c r="CS145" s="48" t="n">
        <f aca="false">CS62+CS69+CS82+CS61+CS112</f>
        <v>2342.99718921276</v>
      </c>
      <c r="CT145" s="48" t="n">
        <f aca="false">CT62+CT69+CT82+CT61+CT112</f>
        <v>2332.6929896636</v>
      </c>
      <c r="CU145" s="48" t="n">
        <f aca="false">CU62+CU69+CU82+CU61+CU112</f>
        <v>2292.32821604218</v>
      </c>
      <c r="CV145" s="48" t="n">
        <f aca="false">CV62+CV69+CV82+CV61+CV112</f>
        <v>2317.79852955376</v>
      </c>
      <c r="CW145" s="48" t="n">
        <f aca="false">CW62+CW69+CW82+CW61+CW112</f>
        <v>2343.26884306534</v>
      </c>
      <c r="CX145" s="48" t="n">
        <f aca="false">CX62+CX69+CX82+CX61+CX112</f>
        <v>2335.22280421056</v>
      </c>
      <c r="CY145" s="48" t="n">
        <f aca="false">CY62+CY69+CY82+CY61+CY112</f>
        <v>2294.55441353347</v>
      </c>
      <c r="CZ145" s="48" t="n">
        <f aca="false">CZ62+CZ69+CZ82+CZ61+CZ112</f>
        <v>2320.04946257273</v>
      </c>
      <c r="DA145" s="48" t="n">
        <f aca="false">DA62+DA69+DA82+DA61+DA112</f>
        <v>2345.54451161199</v>
      </c>
      <c r="DB145" s="48" t="n">
        <f aca="false">DB62+DB69+DB82+DB61+DB112</f>
        <v>2127.75796595667</v>
      </c>
      <c r="DC145" s="48" t="n">
        <f aca="false">DC62+DC69+DC82+DC61+DC112</f>
        <v>2091.34156892558</v>
      </c>
      <c r="DD145" s="48" t="n">
        <f aca="false">DD62+DD69+DD82+DD61+DD112</f>
        <v>2114.5786974692</v>
      </c>
      <c r="DE145" s="48" t="n">
        <f aca="false">DE62+DE69+DE82+DE61+DE112</f>
        <v>2137.81582601281</v>
      </c>
      <c r="DF145" s="48" t="n">
        <f aca="false">DF62+DF69+DF82+DF61+DF112</f>
        <v>2129.67377475099</v>
      </c>
      <c r="DG145" s="48" t="n">
        <f aca="false">DG62+DG69+DG82+DG61+DG112</f>
        <v>2116.20284972323</v>
      </c>
      <c r="DH145" s="48" t="n">
        <f aca="false">DH62+DH69+DH82+DH61+DH112</f>
        <v>2116.20284972323</v>
      </c>
      <c r="DI145" s="48" t="n">
        <f aca="false">DI62+DI69+DI82+DI61+DI112</f>
        <v>2139.45782609381</v>
      </c>
      <c r="DJ145" s="48" t="n">
        <f aca="false">DJ62+DJ69+DJ82+DJ61+DJ112</f>
        <v>2131.26763373715</v>
      </c>
      <c r="DK145" s="48" t="n">
        <f aca="false">DK62+DK69+DK82+DK61+DK112</f>
        <v>2094.22922134031</v>
      </c>
      <c r="DL145" s="48" t="n">
        <f aca="false">DL62+DL69+DL82+DL61+DL112</f>
        <v>2117.49843491076</v>
      </c>
      <c r="DM145" s="48" t="n">
        <f aca="false">DM62+DM69+DM82+DM61+DM112</f>
        <v>2140.76764848121</v>
      </c>
      <c r="DN145" s="48" t="n">
        <f aca="false">DN62+DN69+DN82+DN61+DN112</f>
        <v>2132.52923118543</v>
      </c>
      <c r="DO145" s="48" t="n">
        <f aca="false">DO62+DO69+DO82+DO61+DO112</f>
        <v>2095.17525809415</v>
      </c>
      <c r="DP145" s="48" t="n">
        <f aca="false">DP62+DP69+DP82+DP61+DP112</f>
        <v>2118.45498318409</v>
      </c>
      <c r="DQ145" s="48" t="n">
        <f aca="false">DQ62+DQ69+DQ82+DQ61+DQ112</f>
        <v>2141.73470827402</v>
      </c>
      <c r="DR145" s="48" t="n">
        <f aca="false">DR62+DR69+DR82+DR61+DR112</f>
        <v>2133.4479869401</v>
      </c>
      <c r="DS145" s="48" t="n">
        <f aca="false">DS62+DS69+DS82+DS61+DS112</f>
        <v>2095.77535956</v>
      </c>
      <c r="DT145" s="48" t="n">
        <f aca="false">DT62+DT69+DT82+DT61+DT112</f>
        <v>2119.061752444</v>
      </c>
      <c r="DU145" s="48" t="n">
        <f aca="false">DU62+DU69+DU82+DU61+DU112</f>
        <v>2142.348145328</v>
      </c>
      <c r="DV145" s="48" t="n">
        <f aca="false">DV62+DV69+DV82+DV61+DV112</f>
        <v>2134.01304575269</v>
      </c>
      <c r="DW145" s="48" t="n">
        <f aca="false">DW62+DW69+DW82+DW61+DW112</f>
        <v>2119.30772157993</v>
      </c>
      <c r="DX145" s="48" t="n">
        <f aca="false">DX62+DX69+DX82+DX61+DX112</f>
        <v>2119.30772157993</v>
      </c>
      <c r="DY145" s="48" t="n">
        <f aca="false">DY62+DY69+DY82+DY61+DY112</f>
        <v>2142.59681742147</v>
      </c>
      <c r="DZ145" s="48" t="n">
        <f aca="false">DZ62+DZ69+DZ82+DZ61+DZ112</f>
        <v>2134.2132704514</v>
      </c>
      <c r="EA145" s="48" t="n">
        <f aca="false">EA62+EA69+EA82+EA61+EA112</f>
        <v>2095.89387383467</v>
      </c>
      <c r="EB145" s="48" t="n">
        <f aca="false">EB62+EB69+EB82+EB61+EB112</f>
        <v>2119.18158354395</v>
      </c>
      <c r="EC145" s="48" t="n">
        <f aca="false">EC62+EC69+EC82+EC61+EC112</f>
        <v>2142.46929325322</v>
      </c>
      <c r="ED145" s="48" t="n">
        <f aca="false">ED62+ED69+ED82+ED61+ED112</f>
        <v>2134.03723494271</v>
      </c>
      <c r="EE145" s="48" t="n">
        <f aca="false">EE62+EE69+EE82+EE61+EE112</f>
        <v>2095.38963124086</v>
      </c>
      <c r="EF145" s="48" t="n">
        <f aca="false">EF62+EF69+EF82+EF61+EF112</f>
        <v>2118.67173825464</v>
      </c>
      <c r="EG145" s="48" t="n">
        <f aca="false">EG62+EG69+EG82+EG61+EG112</f>
        <v>2141.95384526843</v>
      </c>
      <c r="EH145" s="48" t="n">
        <f aca="false">EH62+EH69+EH82+EH61+EH112</f>
        <v>2133.47321704111</v>
      </c>
      <c r="EI145" s="48" t="n">
        <f aca="false">EI62+EI69+EI82+EI61+EI112</f>
        <v>2094.49412834513</v>
      </c>
      <c r="EJ145" s="48" t="n">
        <f aca="false">EJ62+EJ69+EJ82+EJ61+EJ112</f>
        <v>2117.76628532674</v>
      </c>
      <c r="EK145" s="48" t="n">
        <f aca="false">EK62+EK69+EK82+EK61+EK112</f>
        <v>2141.03844230835</v>
      </c>
      <c r="EL145" s="48" t="n">
        <f aca="false">EL62+EL69+EL82+EL61+EL112</f>
        <v>2132.50919112262</v>
      </c>
      <c r="EM145" s="48" t="n">
        <f aca="false">EM62+EM69+EM82+EM61+EM112</f>
        <v>2116.45301662203</v>
      </c>
      <c r="EN145" s="48" t="n">
        <f aca="false">EN62+EN69+EN82+EN61+EN112</f>
        <v>2116.45301662203</v>
      </c>
      <c r="EO145" s="48" t="n">
        <f aca="false">EO62+EO69+EO82+EO61+EO112</f>
        <v>2139.71074207941</v>
      </c>
    </row>
    <row r="146" customFormat="false" ht="15" hidden="false" customHeight="false" outlineLevel="0" collapsed="false">
      <c r="C146" s="25" t="s">
        <v>94</v>
      </c>
      <c r="D146" s="11" t="s">
        <v>27</v>
      </c>
      <c r="E146" s="33" t="n">
        <f aca="false">XIRR($J145:$EO145,$J$4:$EO$4)</f>
        <v>0.0703014521926973</v>
      </c>
    </row>
    <row r="147" customFormat="false" ht="15" hidden="false" customHeight="false" outlineLevel="0" collapsed="false">
      <c r="C147" s="25" t="s">
        <v>505</v>
      </c>
      <c r="D147" s="11" t="s">
        <v>33</v>
      </c>
      <c r="I147" s="57" t="n">
        <f aca="false">SUM(J147:EO147)</f>
        <v>128354.805752678</v>
      </c>
      <c r="J147" s="57" t="n">
        <f aca="false">J62+J69+J95+J99+J100+J82+J93+J101+J61+J112</f>
        <v>-4662.80993807469</v>
      </c>
      <c r="K147" s="57" t="n">
        <f aca="false">K62+K69+K95+K99+K100+K82+K93+K101+K61+K112</f>
        <v>-706.535577057768</v>
      </c>
      <c r="L147" s="57" t="n">
        <f aca="false">L62+L69+L95+L99+L100+L82+L93+L101+L61+L112</f>
        <v>-104.360496659404</v>
      </c>
      <c r="M147" s="57" t="n">
        <f aca="false">M62+M69+M95+M99+M100+M82+M93+M101+M61+M112</f>
        <v>-105.507315304013</v>
      </c>
      <c r="N147" s="57" t="n">
        <f aca="false">N62+N69+N95+N99+N100+N82+N93+N101+N61+N112</f>
        <v>-105.507315304013</v>
      </c>
      <c r="O147" s="57" t="n">
        <f aca="false">O62+O69+O95+O99+O100+O82+O93+O101+O61+O112</f>
        <v>-104.360496659404</v>
      </c>
      <c r="P147" s="57" t="n">
        <f aca="false">P62+P69+P95+P99+P100+P82+P93+P101+P61+P112</f>
        <v>-104.360496659404</v>
      </c>
      <c r="Q147" s="57" t="n">
        <f aca="false">Q62+Q69+Q95+Q99+Q100+Q82+Q93+Q101+Q61+Q112</f>
        <v>-105.507315304013</v>
      </c>
      <c r="R147" s="57" t="n">
        <f aca="false">R62+R69+R95+R99+R100+R82+R93+R101+R61+R112</f>
        <v>-6452.06801054133</v>
      </c>
      <c r="S147" s="57" t="n">
        <f aca="false">S62+S69+S95+S99+S100+S82+S93+S101+S61+S112</f>
        <v>-8957.34206285879</v>
      </c>
      <c r="T147" s="57" t="n">
        <f aca="false">T62+T69+T95+T99+T100+T82+T93+T101+T61+T112</f>
        <v>-5322.36727647646</v>
      </c>
      <c r="U147" s="57" t="n">
        <f aca="false">U62+U69+U95+U99+U100+U82+U93+U101+U61+U112</f>
        <v>-5366.55155799786</v>
      </c>
      <c r="V147" s="57" t="n">
        <f aca="false">V62+V69+V95+V99+V100+V82+V93+V101+V61+V112</f>
        <v>-5352.09110822868</v>
      </c>
      <c r="W147" s="57" t="n">
        <f aca="false">W62+W69+W95+W99+W100+W82+W93+W101+W61+W112</f>
        <v>-5222.63714053528</v>
      </c>
      <c r="X147" s="57" t="n">
        <f aca="false">X62+X69+X95+X99+X100+X82+X93+X101+X61+X112</f>
        <v>-5266.67411180264</v>
      </c>
      <c r="Y147" s="57" t="n">
        <f aca="false">Y62+Y69+Y95+Y99+Y100+Y82+Y93+Y101+Y61+Y112</f>
        <v>-7681.24891275803</v>
      </c>
      <c r="Z147" s="57" t="n">
        <f aca="false">Z62+Z69+Z95+Z99+Z100+Z82+Z93+Z101+Z61+Z112</f>
        <v>1098.40578515091</v>
      </c>
      <c r="AA147" s="57" t="n">
        <f aca="false">AA62+AA69+AA95+AA99+AA100+AA82+AA93+AA101+AA61+AA112</f>
        <v>1081.7279137525</v>
      </c>
      <c r="AB147" s="57" t="n">
        <f aca="false">AB62+AB69+AB95+AB99+AB100+AB82+AB93+AB101+AB61+AB112</f>
        <v>1093.24384715357</v>
      </c>
      <c r="AC147" s="57" t="n">
        <f aca="false">AC62+AC69+AC95+AC99+AC100+AC82+AC93+AC101+AC61+AC112</f>
        <v>1104.75132351861</v>
      </c>
      <c r="AD147" s="57" t="n">
        <f aca="false">AD62+AD69+AD95+AD99+AD100+AD82+AD93+AD101+AD61+AD112</f>
        <v>1100.8442710449</v>
      </c>
      <c r="AE147" s="57" t="n">
        <f aca="false">AE62+AE69+AE95+AE99+AE100+AE82+AE93+AE101+AE61+AE112</f>
        <v>1095.79185317473</v>
      </c>
      <c r="AF147" s="57" t="n">
        <f aca="false">AF62+AF69+AF95+AF99+AF100+AF82+AF93+AF101+AF61+AF112</f>
        <v>1095.5558982789</v>
      </c>
      <c r="AG147" s="57" t="n">
        <f aca="false">AG62+AG69+AG95+AG99+AG100+AG82+AG93+AG101+AG61+AG112</f>
        <v>1107.0862215359</v>
      </c>
      <c r="AH147" s="57" t="n">
        <f aca="false">AH62+AH69+AH95+AH99+AH100+AH82+AH93+AH101+AH61+AH112</f>
        <v>1103.14290983802</v>
      </c>
      <c r="AI147" s="57" t="n">
        <f aca="false">AI62+AI69+AI95+AI99+AI100+AI82+AI93+AI101+AI61+AI112</f>
        <v>1086.17591649759</v>
      </c>
      <c r="AJ147" s="57" t="n">
        <f aca="false">AJ62+AJ69+AJ95+AJ99+AJ100+AJ82+AJ93+AJ101+AJ61+AJ112</f>
        <v>1112.10544454517</v>
      </c>
      <c r="AK147" s="57" t="n">
        <f aca="false">AK62+AK69+AK95+AK99+AK100+AK82+AK93+AK101+AK61+AK112</f>
        <v>1123.80790682954</v>
      </c>
      <c r="AL147" s="57" t="n">
        <f aca="false">AL62+AL69+AL95+AL99+AL100+AL82+AL93+AL101+AL61+AL112</f>
        <v>1107.06068581268</v>
      </c>
      <c r="AM147" s="57" t="n">
        <f aca="false">AM62+AM69+AM95+AM99+AM100+AM82+AM93+AM101+AM61+AM112</f>
        <v>1089.60382195071</v>
      </c>
      <c r="AN147" s="57" t="n">
        <f aca="false">AN62+AN69+AN95+AN99+AN100+AN82+AN93+AN101+AN61+AN112</f>
        <v>1100.68804372062</v>
      </c>
      <c r="AO147" s="57" t="n">
        <f aca="false">AO62+AO69+AO95+AO99+AO100+AO82+AO93+AO101+AO61+AO112</f>
        <v>1111.75477142116</v>
      </c>
      <c r="AP147" s="57" t="n">
        <f aca="false">AP62+AP69+AP95+AP99+AP100+AP82+AP93+AP101+AP61+AP112</f>
        <v>1107.76456641186</v>
      </c>
      <c r="AQ147" s="57" t="n">
        <f aca="false">AQ62+AQ69+AQ95+AQ99+AQ100+AQ82+AQ93+AQ101+AQ61+AQ112</f>
        <v>1090.15660440481</v>
      </c>
      <c r="AR147" s="57" t="n">
        <f aca="false">AR62+AR69+AR95+AR99+AR100+AR82+AR93+AR101+AR61+AR112</f>
        <v>1101.24342529778</v>
      </c>
      <c r="AS147" s="57" t="n">
        <f aca="false">AS62+AS69+AS95+AS99+AS100+AS82+AS93+AS101+AS61+AS112</f>
        <v>1112.31240604055</v>
      </c>
      <c r="AT147" s="57" t="n">
        <f aca="false">AT62+AT69+AT95+AT99+AT100+AT82+AT93+AT101+AT61+AT112</f>
        <v>1108.27241763546</v>
      </c>
      <c r="AU147" s="57" t="n">
        <f aca="false">AU62+AU69+AU95+AU99+AU100+AU82+AU93+AU101+AU61+AU112</f>
        <v>1102.17034096868</v>
      </c>
      <c r="AV147" s="57" t="n">
        <f aca="false">AV62+AV69+AV95+AV99+AV100+AV82+AV93+AV101+AV61+AV112</f>
        <v>1101.58669010688</v>
      </c>
      <c r="AW147" s="57" t="n">
        <f aca="false">AW62+AW69+AW95+AW99+AW100+AW82+AW93+AW101+AW61+AW112</f>
        <v>1112.65561577843</v>
      </c>
      <c r="AX147" s="57" t="n">
        <f aca="false">AX62+AX69+AX95+AX99+AX100+AX82+AX93+AX101+AX61+AX112</f>
        <v>1108.56441330529</v>
      </c>
      <c r="AY147" s="57" t="n">
        <f aca="false">AY62+AY69+AY95+AY99+AY100+AY82+AY93+AY101+AY61+AY112</f>
        <v>1090.64712985801</v>
      </c>
      <c r="AZ147" s="57" t="n">
        <f aca="false">AZ62+AZ69+AZ95+AZ99+AZ100+AZ82+AZ93+AZ101+AZ61+AZ112</f>
        <v>1101.7324381476</v>
      </c>
      <c r="BA147" s="57" t="n">
        <f aca="false">BA62+BA69+BA95+BA99+BA100+BA82+BA93+BA101+BA61+BA112</f>
        <v>1112.79917335158</v>
      </c>
      <c r="BB147" s="57" t="n">
        <f aca="false">BB62+BB69+BB95+BB99+BB100+BB82+BB93+BB101+BB61+BB112</f>
        <v>1108.65553719067</v>
      </c>
      <c r="BC147" s="57" t="n">
        <f aca="false">BC62+BC69+BC95+BC99+BC100+BC82+BC93+BC101+BC61+BC112</f>
        <v>1090.58002372666</v>
      </c>
      <c r="BD147" s="57" t="n">
        <f aca="false">BD62+BD69+BD95+BD99+BD100+BD82+BD93+BD101+BD61+BD112</f>
        <v>1101.66117328939</v>
      </c>
      <c r="BE147" s="57" t="n">
        <f aca="false">BE62+BE69+BE95+BE99+BE100+BE82+BE93+BE101+BE61+BE112</f>
        <v>1112.7233632494</v>
      </c>
      <c r="BF147" s="57" t="n">
        <f aca="false">BF62+BF69+BF95+BF99+BF100+BF82+BF93+BF101+BF61+BF112</f>
        <v>1108.52588920694</v>
      </c>
      <c r="BG147" s="57" t="n">
        <f aca="false">BG62+BG69+BG95+BG99+BG100+BG82+BG93+BG101+BG61+BG112</f>
        <v>1090.28962868273</v>
      </c>
      <c r="BH147" s="57" t="n">
        <f aca="false">BH62+BH69+BH95+BH99+BH100+BH82+BH93+BH101+BH61+BH112</f>
        <v>1101.36418423768</v>
      </c>
      <c r="BI147" s="57" t="n">
        <f aca="false">BI62+BI69+BI95+BI99+BI100+BI82+BI93+BI101+BI61+BI112</f>
        <v>1112.4193789904</v>
      </c>
      <c r="BJ147" s="57" t="n">
        <f aca="false">BJ62+BJ69+BJ95+BJ99+BJ100+BJ82+BJ93+BJ101+BJ61+BJ112</f>
        <v>1108.16660492602</v>
      </c>
      <c r="BK147" s="57" t="n">
        <f aca="false">BK62+BK69+BK95+BK99+BK100+BK82+BK93+BK101+BK61+BK112</f>
        <v>1101.53246495115</v>
      </c>
      <c r="BL147" s="57" t="n">
        <f aca="false">BL62+BL69+BL95+BL99+BL100+BL82+BL93+BL101+BL61+BL112</f>
        <v>1100.8207083666</v>
      </c>
      <c r="BM147" s="57" t="n">
        <f aca="false">BM62+BM69+BM95+BM99+BM100+BM82+BM93+BM101+BM61+BM112</f>
        <v>1111.8662242629</v>
      </c>
      <c r="BN147" s="57" t="n">
        <f aca="false">BN62+BN69+BN95+BN99+BN100+BN82+BN93+BN101+BN61+BN112</f>
        <v>1107.55649102812</v>
      </c>
      <c r="BO147" s="57" t="n">
        <f aca="false">BO62+BO69+BO95+BO99+BO100+BO82+BO93+BO101+BO61+BO112</f>
        <v>1088.99074223977</v>
      </c>
      <c r="BP147" s="57" t="n">
        <f aca="false">BP62+BP69+BP95+BP99+BP100+BP82+BP93+BP101+BP61+BP112</f>
        <v>1100.04426800347</v>
      </c>
      <c r="BQ147" s="57" t="n">
        <f aca="false">BQ62+BQ69+BQ95+BQ99+BQ100+BQ82+BQ93+BQ101+BQ61+BQ112</f>
        <v>1111.07758224123</v>
      </c>
      <c r="BR147" s="57" t="n">
        <f aca="false">BR62+BR69+BR95+BR99+BR100+BR82+BR93+BR101+BR61+BR112</f>
        <v>1106.70943380718</v>
      </c>
      <c r="BS147" s="57" t="n">
        <f aca="false">BS62+BS69+BS95+BS99+BS100+BS82+BS93+BS101+BS61+BS112</f>
        <v>1087.97491519878</v>
      </c>
      <c r="BT147" s="57" t="n">
        <f aca="false">BT62+BT69+BT95+BT99+BT100+BT82+BT93+BT101+BT61+BT112</f>
        <v>1099.01393054492</v>
      </c>
      <c r="BU147" s="57" t="n">
        <f aca="false">BU62+BU69+BU95+BU99+BU100+BU82+BU93+BU101+BU61+BU112</f>
        <v>1110.03228495748</v>
      </c>
      <c r="BV147" s="57" t="n">
        <f aca="false">BV62+BV69+BV95+BV99+BV100+BV82+BV93+BV101+BV61+BV112</f>
        <v>1105.60406872828</v>
      </c>
      <c r="BW147" s="57" t="n">
        <f aca="false">BW62+BW69+BW95+BW99+BW100+BW82+BW93+BW101+BW61+BW112</f>
        <v>1086.69794238548</v>
      </c>
      <c r="BX147" s="57" t="n">
        <f aca="false">BX62+BX69+BX95+BX99+BX100+BX82+BX93+BX101+BX61+BX112</f>
        <v>1097.71959605648</v>
      </c>
      <c r="BY147" s="57" t="n">
        <f aca="false">BY62+BY69+BY95+BY99+BY100+BY82+BY93+BY101+BY61+BY112</f>
        <v>1108.72012186958</v>
      </c>
      <c r="BZ147" s="57" t="n">
        <f aca="false">BZ62+BZ69+BZ95+BZ99+BZ100+BZ82+BZ93+BZ101+BZ61+BZ112</f>
        <v>1104.23011598401</v>
      </c>
      <c r="CA147" s="57" t="n">
        <f aca="false">CA62+CA69+CA95+CA99+CA100+CA82+CA93+CA101+CA61+CA112</f>
        <v>1097.00278434391</v>
      </c>
      <c r="CB147" s="57" t="n">
        <f aca="false">CB62+CB69+CB95+CB99+CB100+CB82+CB93+CB101+CB61+CB112</f>
        <v>1096.13897021597</v>
      </c>
      <c r="CC147" s="57" t="n">
        <f aca="false">CC62+CC69+CC95+CC99+CC100+CC82+CC93+CC101+CC61+CC112</f>
        <v>1107.11854791696</v>
      </c>
      <c r="CD147" s="57" t="n">
        <f aca="false">CD62+CD69+CD95+CD99+CD100+CD82+CD93+CD101+CD61+CD112</f>
        <v>1102.564820643</v>
      </c>
      <c r="CE147" s="57" t="n">
        <f aca="false">CE62+CE69+CE95+CE99+CE100+CE82+CE93+CE101+CE61+CE112</f>
        <v>1083.30646912089</v>
      </c>
      <c r="CF147" s="57" t="n">
        <f aca="false">CF62+CF69+CF95+CF99+CF100+CF82+CF93+CF101+CF61+CF112</f>
        <v>1094.28424439305</v>
      </c>
      <c r="CG147" s="57" t="n">
        <f aca="false">CG62+CG69+CG95+CG99+CG100+CG82+CG93+CG101+CG61+CG112</f>
        <v>1105.23990058702</v>
      </c>
      <c r="CH147" s="57" t="n">
        <f aca="false">CH62+CH69+CH95+CH99+CH100+CH82+CH93+CH101+CH61+CH112</f>
        <v>1100.62071290883</v>
      </c>
      <c r="CI147" s="57" t="n">
        <f aca="false">CI62+CI69+CI95+CI99+CI100+CI82+CI93+CI101+CI61+CI112</f>
        <v>1081.18168891422</v>
      </c>
      <c r="CJ147" s="57" t="n">
        <f aca="false">CJ62+CJ69+CJ95+CJ99+CJ100+CJ82+CJ93+CJ101+CJ61+CJ112</f>
        <v>1092.13284003132</v>
      </c>
      <c r="CK147" s="57" t="n">
        <f aca="false">CK62+CK69+CK95+CK99+CK100+CK82+CK93+CK101+CK61+CK112</f>
        <v>1103.06134762056</v>
      </c>
      <c r="CL147" s="57" t="n">
        <f aca="false">CL62+CL69+CL95+CL99+CL100+CL82+CL93+CL101+CL61+CL112</f>
        <v>1098.37475001321</v>
      </c>
      <c r="CM147" s="57" t="n">
        <f aca="false">CM62+CM69+CM95+CM99+CM100+CM82+CM93+CM101+CM61+CM112</f>
        <v>1078.75183991889</v>
      </c>
      <c r="CN147" s="57" t="n">
        <f aca="false">CN62+CN69+CN95+CN99+CN100+CN82+CN93+CN101+CN61+CN112</f>
        <v>1089.67303200593</v>
      </c>
      <c r="CO147" s="57" t="n">
        <f aca="false">CO62+CO69+CO95+CO99+CO100+CO82+CO93+CO101+CO61+CO112</f>
        <v>1100.57103520048</v>
      </c>
      <c r="CP147" s="57" t="n">
        <f aca="false">CP62+CP69+CP95+CP99+CP100+CP82+CP93+CP101+CP61+CP112</f>
        <v>1095.81499530287</v>
      </c>
      <c r="CQ147" s="57" t="n">
        <f aca="false">CQ62+CQ69+CQ95+CQ99+CQ100+CQ82+CQ93+CQ101+CQ61+CQ112</f>
        <v>1087.92514514619</v>
      </c>
      <c r="CR147" s="57" t="n">
        <f aca="false">CR62+CR69+CR95+CR99+CR100+CR82+CR93+CR101+CR61+CR112</f>
        <v>1086.88076853275</v>
      </c>
      <c r="CS147" s="57" t="n">
        <f aca="false">CS62+CS69+CS95+CS99+CS100+CS82+CS93+CS101+CS61+CS112</f>
        <v>2343.74717344589</v>
      </c>
      <c r="CT147" s="57" t="n">
        <f aca="false">CT62+CT69+CT95+CT99+CT100+CT82+CT93+CT101+CT61+CT112</f>
        <v>2332.6929896636</v>
      </c>
      <c r="CU147" s="57" t="n">
        <f aca="false">CU62+CU69+CU95+CU99+CU100+CU82+CU93+CU101+CU61+CU112</f>
        <v>2292.32821604218</v>
      </c>
      <c r="CV147" s="57" t="n">
        <f aca="false">CV62+CV69+CV95+CV99+CV100+CV82+CV93+CV101+CV61+CV112</f>
        <v>2317.79852955376</v>
      </c>
      <c r="CW147" s="57" t="n">
        <f aca="false">CW62+CW69+CW95+CW99+CW100+CW82+CW93+CW101+CW61+CW112</f>
        <v>2343.26884306534</v>
      </c>
      <c r="CX147" s="57" t="n">
        <f aca="false">CX62+CX69+CX95+CX99+CX100+CX82+CX93+CX101+CX61+CX112</f>
        <v>2335.22280421056</v>
      </c>
      <c r="CY147" s="57" t="n">
        <f aca="false">CY62+CY69+CY95+CY99+CY100+CY82+CY93+CY101+CY61+CY112</f>
        <v>2294.55441353347</v>
      </c>
      <c r="CZ147" s="57" t="n">
        <f aca="false">CZ62+CZ69+CZ95+CZ99+CZ100+CZ82+CZ93+CZ101+CZ61+CZ112</f>
        <v>2320.04946257273</v>
      </c>
      <c r="DA147" s="57" t="n">
        <f aca="false">DA62+DA69+DA95+DA99+DA100+DA82+DA93+DA101+DA61+DA112</f>
        <v>2345.54451161199</v>
      </c>
      <c r="DB147" s="57" t="n">
        <f aca="false">DB62+DB69+DB95+DB99+DB100+DB82+DB93+DB101+DB61+DB112</f>
        <v>2127.75796595667</v>
      </c>
      <c r="DC147" s="57" t="n">
        <f aca="false">DC62+DC69+DC95+DC99+DC100+DC82+DC93+DC101+DC61+DC112</f>
        <v>2091.34156892558</v>
      </c>
      <c r="DD147" s="57" t="n">
        <f aca="false">DD62+DD69+DD95+DD99+DD100+DD82+DD93+DD101+DD61+DD112</f>
        <v>2114.5786974692</v>
      </c>
      <c r="DE147" s="57" t="n">
        <f aca="false">DE62+DE69+DE95+DE99+DE100+DE82+DE93+DE101+DE61+DE112</f>
        <v>2137.81582601281</v>
      </c>
      <c r="DF147" s="57" t="n">
        <f aca="false">DF62+DF69+DF95+DF99+DF100+DF82+DF93+DF101+DF61+DF112</f>
        <v>2129.67377475099</v>
      </c>
      <c r="DG147" s="57" t="n">
        <f aca="false">DG62+DG69+DG95+DG99+DG100+DG82+DG93+DG101+DG61+DG112</f>
        <v>2116.20284972323</v>
      </c>
      <c r="DH147" s="57" t="n">
        <f aca="false">DH62+DH69+DH95+DH99+DH100+DH82+DH93+DH101+DH61+DH112</f>
        <v>2116.20284972323</v>
      </c>
      <c r="DI147" s="57" t="n">
        <f aca="false">DI62+DI69+DI95+DI99+DI100+DI82+DI93+DI101+DI61+DI112</f>
        <v>2139.45782609381</v>
      </c>
      <c r="DJ147" s="57" t="n">
        <f aca="false">DJ62+DJ69+DJ95+DJ99+DJ100+DJ82+DJ93+DJ101+DJ61+DJ112</f>
        <v>2131.26763373715</v>
      </c>
      <c r="DK147" s="57" t="n">
        <f aca="false">DK62+DK69+DK95+DK99+DK100+DK82+DK93+DK101+DK61+DK112</f>
        <v>2094.22922134031</v>
      </c>
      <c r="DL147" s="57" t="n">
        <f aca="false">DL62+DL69+DL95+DL99+DL100+DL82+DL93+DL101+DL61+DL112</f>
        <v>2117.49843491076</v>
      </c>
      <c r="DM147" s="57" t="n">
        <f aca="false">DM62+DM69+DM95+DM99+DM100+DM82+DM93+DM101+DM61+DM112</f>
        <v>2140.76764848121</v>
      </c>
      <c r="DN147" s="57" t="n">
        <f aca="false">DN62+DN69+DN95+DN99+DN100+DN82+DN93+DN101+DN61+DN112</f>
        <v>2132.52923118543</v>
      </c>
      <c r="DO147" s="57" t="n">
        <f aca="false">DO62+DO69+DO95+DO99+DO100+DO82+DO93+DO101+DO61+DO112</f>
        <v>2095.17525809415</v>
      </c>
      <c r="DP147" s="57" t="n">
        <f aca="false">DP62+DP69+DP95+DP99+DP100+DP82+DP93+DP101+DP61+DP112</f>
        <v>2118.45498318409</v>
      </c>
      <c r="DQ147" s="57" t="n">
        <f aca="false">DQ62+DQ69+DQ95+DQ99+DQ100+DQ82+DQ93+DQ101+DQ61+DQ112</f>
        <v>2141.73470827402</v>
      </c>
      <c r="DR147" s="57" t="n">
        <f aca="false">DR62+DR69+DR95+DR99+DR100+DR82+DR93+DR101+DR61+DR112</f>
        <v>2133.4479869401</v>
      </c>
      <c r="DS147" s="57" t="n">
        <f aca="false">DS62+DS69+DS95+DS99+DS100+DS82+DS93+DS101+DS61+DS112</f>
        <v>2095.77535956</v>
      </c>
      <c r="DT147" s="57" t="n">
        <f aca="false">DT62+DT69+DT95+DT99+DT100+DT82+DT93+DT101+DT61+DT112</f>
        <v>2119.061752444</v>
      </c>
      <c r="DU147" s="57" t="n">
        <f aca="false">DU62+DU69+DU95+DU99+DU100+DU82+DU93+DU101+DU61+DU112</f>
        <v>2142.348145328</v>
      </c>
      <c r="DV147" s="57" t="n">
        <f aca="false">DV62+DV69+DV95+DV99+DV100+DV82+DV93+DV101+DV61+DV112</f>
        <v>2134.01304575269</v>
      </c>
      <c r="DW147" s="57" t="n">
        <f aca="false">DW62+DW69+DW95+DW99+DW100+DW82+DW93+DW101+DW61+DW112</f>
        <v>2119.30772157993</v>
      </c>
      <c r="DX147" s="57" t="n">
        <f aca="false">DX62+DX69+DX95+DX99+DX100+DX82+DX93+DX101+DX61+DX112</f>
        <v>2119.30772157993</v>
      </c>
      <c r="DY147" s="57" t="n">
        <f aca="false">DY62+DY69+DY95+DY99+DY100+DY82+DY93+DY101+DY61+DY112</f>
        <v>2142.59681742147</v>
      </c>
      <c r="DZ147" s="57" t="n">
        <f aca="false">DZ62+DZ69+DZ95+DZ99+DZ100+DZ82+DZ93+DZ101+DZ61+DZ112</f>
        <v>2134.2132704514</v>
      </c>
      <c r="EA147" s="57" t="n">
        <f aca="false">EA62+EA69+EA95+EA99+EA100+EA82+EA93+EA101+EA61+EA112</f>
        <v>2095.89387383467</v>
      </c>
      <c r="EB147" s="57" t="n">
        <f aca="false">EB62+EB69+EB95+EB99+EB100+EB82+EB93+EB101+EB61+EB112</f>
        <v>2119.18158354395</v>
      </c>
      <c r="EC147" s="57" t="n">
        <f aca="false">EC62+EC69+EC95+EC99+EC100+EC82+EC93+EC101+EC61+EC112</f>
        <v>2142.46929325322</v>
      </c>
      <c r="ED147" s="57" t="n">
        <f aca="false">ED62+ED69+ED95+ED99+ED100+ED82+ED93+ED101+ED61+ED112</f>
        <v>2134.03723494271</v>
      </c>
      <c r="EE147" s="57" t="n">
        <f aca="false">EE62+EE69+EE95+EE99+EE100+EE82+EE93+EE101+EE61+EE112</f>
        <v>2095.38963124086</v>
      </c>
      <c r="EF147" s="57" t="n">
        <f aca="false">EF62+EF69+EF95+EF99+EF100+EF82+EF93+EF101+EF61+EF112</f>
        <v>2118.67173825464</v>
      </c>
      <c r="EG147" s="57" t="n">
        <f aca="false">EG62+EG69+EG95+EG99+EG100+EG82+EG93+EG101+EG61+EG112</f>
        <v>2141.95384526843</v>
      </c>
      <c r="EH147" s="57" t="n">
        <f aca="false">EH62+EH69+EH95+EH99+EH100+EH82+EH93+EH101+EH61+EH112</f>
        <v>2133.47321704111</v>
      </c>
      <c r="EI147" s="57" t="n">
        <f aca="false">EI62+EI69+EI95+EI99+EI100+EI82+EI93+EI101+EI61+EI112</f>
        <v>2094.49412834513</v>
      </c>
      <c r="EJ147" s="57" t="n">
        <f aca="false">EJ62+EJ69+EJ95+EJ99+EJ100+EJ82+EJ93+EJ101+EJ61+EJ112</f>
        <v>2117.76628532674</v>
      </c>
      <c r="EK147" s="57" t="n">
        <f aca="false">EK62+EK69+EK95+EK99+EK100+EK82+EK93+EK101+EK61+EK112</f>
        <v>2141.03844230835</v>
      </c>
      <c r="EL147" s="57" t="n">
        <f aca="false">EL62+EL69+EL95+EL99+EL100+EL82+EL93+EL101+EL61+EL112</f>
        <v>2132.50919112262</v>
      </c>
      <c r="EM147" s="57" t="n">
        <f aca="false">EM62+EM69+EM95+EM99+EM100+EM82+EM93+EM101+EM61+EM112</f>
        <v>2116.45301662203</v>
      </c>
      <c r="EN147" s="57" t="n">
        <f aca="false">EN62+EN69+EN95+EN99+EN100+EN82+EN93+EN101+EN61+EN112</f>
        <v>2116.45301662203</v>
      </c>
      <c r="EO147" s="57" t="n">
        <f aca="false">EO62+EO69+EO95+EO99+EO100+EO82+EO93+EO101+EO61+EO112</f>
        <v>2139.71074207941</v>
      </c>
    </row>
    <row r="148" customFormat="false" ht="15" hidden="false" customHeight="false" outlineLevel="0" collapsed="false">
      <c r="C148" s="25" t="s">
        <v>91</v>
      </c>
      <c r="D148" s="11" t="s">
        <v>27</v>
      </c>
      <c r="E148" s="33" t="n">
        <f aca="false">XIRR($J147:$EO147,$J$4:$EO$4)</f>
        <v>0.0778882731983792</v>
      </c>
    </row>
    <row r="149" customFormat="false" ht="15" hidden="false" customHeight="false" outlineLevel="0" collapsed="false">
      <c r="C149" s="25" t="s">
        <v>92</v>
      </c>
      <c r="D149" s="11" t="s">
        <v>13</v>
      </c>
      <c r="E149" s="60" t="n">
        <f aca="false">SUMIF($J147:$EO147,"&gt;0")/-SUMIF($J147:$EO147,"&lt;0")</f>
        <v>3.30771250081149</v>
      </c>
    </row>
    <row r="150" customFormat="false" ht="15" hidden="false" customHeight="false" outlineLevel="0" collapsed="false">
      <c r="C150" s="25" t="s">
        <v>93</v>
      </c>
      <c r="D150" s="11" t="s">
        <v>33</v>
      </c>
      <c r="E150" s="57" t="n">
        <f aca="false">XNPV(In_Discount_Rate,$J147:$EO147,$J$4:$EO$4)</f>
        <v>-1154.79514410967</v>
      </c>
    </row>
    <row r="152" customFormat="false" ht="15" hidden="false" customHeight="false" outlineLevel="0" collapsed="false">
      <c r="C152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2</v>
      </c>
      <c r="C1" s="13" t="s">
        <v>396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397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398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399</v>
      </c>
      <c r="D5" s="11" t="s">
        <v>204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400</v>
      </c>
      <c r="D6" s="11" t="s">
        <v>401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402</v>
      </c>
      <c r="D7" s="11" t="s">
        <v>403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404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405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406</v>
      </c>
      <c r="D12" s="11" t="s">
        <v>401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407</v>
      </c>
      <c r="D13" s="11" t="s">
        <v>401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408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325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409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410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54331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1</v>
      </c>
      <c r="CI18" s="55" t="n">
        <f aca="false">MAX(0,(MIN($F18,CI$4)-MAX($E18,CI$3)+1)/CI$5)</f>
        <v>1</v>
      </c>
      <c r="CJ18" s="55" t="n">
        <f aca="false">MAX(0,(MIN($F18,CJ$4)-MAX($E18,CJ$3)+1)/CJ$5)</f>
        <v>1</v>
      </c>
      <c r="CK18" s="55" t="n">
        <f aca="false">MAX(0,(MIN($F18,CK$4)-MAX($E18,CK$3)+1)/CK$5)</f>
        <v>1</v>
      </c>
      <c r="CL18" s="55" t="n">
        <f aca="false">MAX(0,(MIN($F18,CL$4)-MAX($E18,CL$3)+1)/CL$5)</f>
        <v>1</v>
      </c>
      <c r="CM18" s="55" t="n">
        <f aca="false">MAX(0,(MIN($F18,CM$4)-MAX($E18,CM$3)+1)/CM$5)</f>
        <v>1</v>
      </c>
      <c r="CN18" s="55" t="n">
        <f aca="false">MAX(0,(MIN($F18,CN$4)-MAX($E18,CN$3)+1)/CN$5)</f>
        <v>1</v>
      </c>
      <c r="CO18" s="55" t="n">
        <f aca="false">MAX(0,(MIN($F18,CO$4)-MAX($E18,CO$3)+1)/CO$5)</f>
        <v>1</v>
      </c>
      <c r="CP18" s="55" t="n">
        <f aca="false">MAX(0,(MIN($F18,CP$4)-MAX($E18,CP$3)+1)/CP$5)</f>
        <v>1</v>
      </c>
      <c r="CQ18" s="55" t="n">
        <f aca="false">MAX(0,(MIN($F18,CQ$4)-MAX($E18,CQ$3)+1)/CQ$5)</f>
        <v>1</v>
      </c>
      <c r="CR18" s="55" t="n">
        <f aca="false">MAX(0,(MIN($F18,CR$4)-MAX($E18,CR$3)+1)/CR$5)</f>
        <v>1</v>
      </c>
      <c r="CS18" s="55" t="n">
        <f aca="false">MAX(0,(MIN($F18,CS$4)-MAX($E18,CS$3)+1)/CS$5)</f>
        <v>1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411</v>
      </c>
      <c r="D19" s="11" t="s">
        <v>43</v>
      </c>
      <c r="E19" s="46" t="n">
        <f aca="false">EDATE(In_COD,In_Debt_Tenor*Months_In_Year)</f>
        <v>54331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0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1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412</v>
      </c>
      <c r="D20" s="11" t="s">
        <v>401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413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414</v>
      </c>
      <c r="D22" s="11" t="s">
        <v>401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415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416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417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418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419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420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421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422</v>
      </c>
      <c r="D31" s="11" t="s">
        <v>77</v>
      </c>
      <c r="E31" s="36" t="n">
        <f aca="false">($E30&gt;In_Tolerance_Cap)*$E30*In_MVA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423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424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425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426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427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428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429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430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431</v>
      </c>
      <c r="D41" s="11" t="s">
        <v>43</v>
      </c>
      <c r="E41" s="50" t="n">
        <f aca="false">INDEX(Dash_EU_Turbine,1,$A$1)</f>
        <v>0</v>
      </c>
      <c r="F41" s="32" t="n">
        <f aca="false">$E41*Osz9a_Pts*Osz9_W</f>
        <v>0</v>
      </c>
    </row>
    <row r="42" customFormat="false" ht="15" hidden="false" customHeight="false" outlineLevel="0" collapsed="false">
      <c r="C42" s="0" t="s">
        <v>432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47.5</v>
      </c>
    </row>
    <row r="44" customFormat="false" ht="15" hidden="false" customHeight="false" outlineLevel="0" collapsed="false">
      <c r="C44" s="0" t="s">
        <v>433</v>
      </c>
      <c r="D44" s="11" t="s">
        <v>150</v>
      </c>
      <c r="E44" s="44" t="n">
        <f aca="false">($E34&lt;&gt;0)*($E34&lt;Osz1_Min)+($E34&gt;Osz1_Max)+($E35&lt;&gt;0)*($E35&lt;Osz2_Min)+($E35&gt;Osz2_Max)</f>
        <v>0</v>
      </c>
      <c r="F44" s="44" t="n">
        <f aca="false">N($E39&lt;1)+N($E27&gt;$E25)+N($E28&lt;$E27*In_Min_Hours)</f>
        <v>0</v>
      </c>
    </row>
    <row r="46" customFormat="false" ht="15" hidden="false" customHeight="false" outlineLevel="0" collapsed="false">
      <c r="A46" s="9" t="s">
        <v>13</v>
      </c>
      <c r="B46" s="9"/>
      <c r="C46" s="9" t="s">
        <v>434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</row>
    <row r="47" customFormat="false" ht="15" hidden="false" customHeight="false" outlineLevel="0" collapsed="false">
      <c r="C47" s="0" t="s">
        <v>32</v>
      </c>
      <c r="D47" s="11" t="s">
        <v>33</v>
      </c>
      <c r="E47" s="18" t="n">
        <f aca="false">In_Purchase_Price</f>
        <v>4500</v>
      </c>
      <c r="F47" s="20" t="n">
        <f aca="false">In_Closing</f>
        <v>46387</v>
      </c>
      <c r="I47" s="48" t="n">
        <f aca="false">SUM(J47:EO47)</f>
        <v>-4500</v>
      </c>
      <c r="J47" s="48" t="n">
        <f aca="false">-$E47*N(AND(J$3&lt;=$F47,J$4&gt;=$F47))</f>
        <v>-4500</v>
      </c>
      <c r="K47" s="48" t="n">
        <f aca="false">-$E47*N(AND(K$3&lt;=$F47,K$4&gt;=$F47))</f>
        <v>-0</v>
      </c>
      <c r="L47" s="48" t="n">
        <f aca="false">-$E47*N(AND(L$3&lt;=$F47,L$4&gt;=$F47))</f>
        <v>-0</v>
      </c>
      <c r="M47" s="48" t="n">
        <f aca="false">-$E47*N(AND(M$3&lt;=$F47,M$4&gt;=$F47))</f>
        <v>-0</v>
      </c>
      <c r="N47" s="48" t="n">
        <f aca="false">-$E47*N(AND(N$3&lt;=$F47,N$4&gt;=$F47))</f>
        <v>-0</v>
      </c>
      <c r="O47" s="48" t="n">
        <f aca="false">-$E47*N(AND(O$3&lt;=$F47,O$4&gt;=$F47))</f>
        <v>-0</v>
      </c>
      <c r="P47" s="48" t="n">
        <f aca="false">-$E47*N(AND(P$3&lt;=$F47,P$4&gt;=$F47))</f>
        <v>-0</v>
      </c>
      <c r="Q47" s="48" t="n">
        <f aca="false">-$E47*N(AND(Q$3&lt;=$F47,Q$4&gt;=$F47))</f>
        <v>-0</v>
      </c>
      <c r="R47" s="48" t="n">
        <f aca="false">-$E47*N(AND(R$3&lt;=$F47,R$4&gt;=$F47))</f>
        <v>-0</v>
      </c>
      <c r="S47" s="48" t="n">
        <f aca="false">-$E47*N(AND(S$3&lt;=$F47,S$4&gt;=$F47))</f>
        <v>-0</v>
      </c>
      <c r="T47" s="48" t="n">
        <f aca="false">-$E47*N(AND(T$3&lt;=$F47,T$4&gt;=$F47))</f>
        <v>-0</v>
      </c>
      <c r="U47" s="48" t="n">
        <f aca="false">-$E47*N(AND(U$3&lt;=$F47,U$4&gt;=$F47))</f>
        <v>-0</v>
      </c>
      <c r="V47" s="48" t="n">
        <f aca="false">-$E47*N(AND(V$3&lt;=$F47,V$4&gt;=$F47))</f>
        <v>-0</v>
      </c>
      <c r="W47" s="48" t="n">
        <f aca="false">-$E47*N(AND(W$3&lt;=$F47,W$4&gt;=$F47))</f>
        <v>-0</v>
      </c>
      <c r="X47" s="48" t="n">
        <f aca="false">-$E47*N(AND(X$3&lt;=$F47,X$4&gt;=$F47))</f>
        <v>-0</v>
      </c>
      <c r="Y47" s="48" t="n">
        <f aca="false">-$E47*N(AND(Y$3&lt;=$F47,Y$4&gt;=$F47))</f>
        <v>-0</v>
      </c>
      <c r="Z47" s="48" t="n">
        <f aca="false">-$E47*N(AND(Z$3&lt;=$F47,Z$4&gt;=$F47))</f>
        <v>-0</v>
      </c>
      <c r="AA47" s="48" t="n">
        <f aca="false">-$E47*N(AND(AA$3&lt;=$F47,AA$4&gt;=$F47))</f>
        <v>-0</v>
      </c>
      <c r="AB47" s="48" t="n">
        <f aca="false">-$E47*N(AND(AB$3&lt;=$F47,AB$4&gt;=$F47))</f>
        <v>-0</v>
      </c>
      <c r="AC47" s="48" t="n">
        <f aca="false">-$E47*N(AND(AC$3&lt;=$F47,AC$4&gt;=$F47))</f>
        <v>-0</v>
      </c>
      <c r="AD47" s="48" t="n">
        <f aca="false">-$E47*N(AND(AD$3&lt;=$F47,AD$4&gt;=$F47))</f>
        <v>-0</v>
      </c>
      <c r="AE47" s="48" t="n">
        <f aca="false">-$E47*N(AND(AE$3&lt;=$F47,AE$4&gt;=$F47))</f>
        <v>-0</v>
      </c>
      <c r="AF47" s="48" t="n">
        <f aca="false">-$E47*N(AND(AF$3&lt;=$F47,AF$4&gt;=$F47))</f>
        <v>-0</v>
      </c>
      <c r="AG47" s="48" t="n">
        <f aca="false">-$E47*N(AND(AG$3&lt;=$F47,AG$4&gt;=$F47))</f>
        <v>-0</v>
      </c>
      <c r="AH47" s="48" t="n">
        <f aca="false">-$E47*N(AND(AH$3&lt;=$F47,AH$4&gt;=$F47))</f>
        <v>-0</v>
      </c>
      <c r="AI47" s="48" t="n">
        <f aca="false">-$E47*N(AND(AI$3&lt;=$F47,AI$4&gt;=$F47))</f>
        <v>-0</v>
      </c>
      <c r="AJ47" s="48" t="n">
        <f aca="false">-$E47*N(AND(AJ$3&lt;=$F47,AJ$4&gt;=$F47))</f>
        <v>-0</v>
      </c>
      <c r="AK47" s="48" t="n">
        <f aca="false">-$E47*N(AND(AK$3&lt;=$F47,AK$4&gt;=$F47))</f>
        <v>-0</v>
      </c>
      <c r="AL47" s="48" t="n">
        <f aca="false">-$E47*N(AND(AL$3&lt;=$F47,AL$4&gt;=$F47))</f>
        <v>-0</v>
      </c>
      <c r="AM47" s="48" t="n">
        <f aca="false">-$E47*N(AND(AM$3&lt;=$F47,AM$4&gt;=$F47))</f>
        <v>-0</v>
      </c>
      <c r="AN47" s="48" t="n">
        <f aca="false">-$E47*N(AND(AN$3&lt;=$F47,AN$4&gt;=$F47))</f>
        <v>-0</v>
      </c>
      <c r="AO47" s="48" t="n">
        <f aca="false">-$E47*N(AND(AO$3&lt;=$F47,AO$4&gt;=$F47))</f>
        <v>-0</v>
      </c>
      <c r="AP47" s="48" t="n">
        <f aca="false">-$E47*N(AND(AP$3&lt;=$F47,AP$4&gt;=$F47))</f>
        <v>-0</v>
      </c>
      <c r="AQ47" s="48" t="n">
        <f aca="false">-$E47*N(AND(AQ$3&lt;=$F47,AQ$4&gt;=$F47))</f>
        <v>-0</v>
      </c>
      <c r="AR47" s="48" t="n">
        <f aca="false">-$E47*N(AND(AR$3&lt;=$F47,AR$4&gt;=$F47))</f>
        <v>-0</v>
      </c>
      <c r="AS47" s="48" t="n">
        <f aca="false">-$E47*N(AND(AS$3&lt;=$F47,AS$4&gt;=$F47))</f>
        <v>-0</v>
      </c>
      <c r="AT47" s="48" t="n">
        <f aca="false">-$E47*N(AND(AT$3&lt;=$F47,AT$4&gt;=$F47))</f>
        <v>-0</v>
      </c>
      <c r="AU47" s="48" t="n">
        <f aca="false">-$E47*N(AND(AU$3&lt;=$F47,AU$4&gt;=$F47))</f>
        <v>-0</v>
      </c>
      <c r="AV47" s="48" t="n">
        <f aca="false">-$E47*N(AND(AV$3&lt;=$F47,AV$4&gt;=$F47))</f>
        <v>-0</v>
      </c>
      <c r="AW47" s="48" t="n">
        <f aca="false">-$E47*N(AND(AW$3&lt;=$F47,AW$4&gt;=$F47))</f>
        <v>-0</v>
      </c>
      <c r="AX47" s="48" t="n">
        <f aca="false">-$E47*N(AND(AX$3&lt;=$F47,AX$4&gt;=$F47))</f>
        <v>-0</v>
      </c>
      <c r="AY47" s="48" t="n">
        <f aca="false">-$E47*N(AND(AY$3&lt;=$F47,AY$4&gt;=$F47))</f>
        <v>-0</v>
      </c>
      <c r="AZ47" s="48" t="n">
        <f aca="false">-$E47*N(AND(AZ$3&lt;=$F47,AZ$4&gt;=$F47))</f>
        <v>-0</v>
      </c>
      <c r="BA47" s="48" t="n">
        <f aca="false">-$E47*N(AND(BA$3&lt;=$F47,BA$4&gt;=$F47))</f>
        <v>-0</v>
      </c>
      <c r="BB47" s="48" t="n">
        <f aca="false">-$E47*N(AND(BB$3&lt;=$F47,BB$4&gt;=$F47))</f>
        <v>-0</v>
      </c>
      <c r="BC47" s="48" t="n">
        <f aca="false">-$E47*N(AND(BC$3&lt;=$F47,BC$4&gt;=$F47))</f>
        <v>-0</v>
      </c>
      <c r="BD47" s="48" t="n">
        <f aca="false">-$E47*N(AND(BD$3&lt;=$F47,BD$4&gt;=$F47))</f>
        <v>-0</v>
      </c>
      <c r="BE47" s="48" t="n">
        <f aca="false">-$E47*N(AND(BE$3&lt;=$F47,BE$4&gt;=$F47))</f>
        <v>-0</v>
      </c>
      <c r="BF47" s="48" t="n">
        <f aca="false">-$E47*N(AND(BF$3&lt;=$F47,BF$4&gt;=$F47))</f>
        <v>-0</v>
      </c>
      <c r="BG47" s="48" t="n">
        <f aca="false">-$E47*N(AND(BG$3&lt;=$F47,BG$4&gt;=$F47))</f>
        <v>-0</v>
      </c>
      <c r="BH47" s="48" t="n">
        <f aca="false">-$E47*N(AND(BH$3&lt;=$F47,BH$4&gt;=$F47))</f>
        <v>-0</v>
      </c>
      <c r="BI47" s="48" t="n">
        <f aca="false">-$E47*N(AND(BI$3&lt;=$F47,BI$4&gt;=$F47))</f>
        <v>-0</v>
      </c>
      <c r="BJ47" s="48" t="n">
        <f aca="false">-$E47*N(AND(BJ$3&lt;=$F47,BJ$4&gt;=$F47))</f>
        <v>-0</v>
      </c>
      <c r="BK47" s="48" t="n">
        <f aca="false">-$E47*N(AND(BK$3&lt;=$F47,BK$4&gt;=$F47))</f>
        <v>-0</v>
      </c>
      <c r="BL47" s="48" t="n">
        <f aca="false">-$E47*N(AND(BL$3&lt;=$F47,BL$4&gt;=$F47))</f>
        <v>-0</v>
      </c>
      <c r="BM47" s="48" t="n">
        <f aca="false">-$E47*N(AND(BM$3&lt;=$F47,BM$4&gt;=$F47))</f>
        <v>-0</v>
      </c>
      <c r="BN47" s="48" t="n">
        <f aca="false">-$E47*N(AND(BN$3&lt;=$F47,BN$4&gt;=$F47))</f>
        <v>-0</v>
      </c>
      <c r="BO47" s="48" t="n">
        <f aca="false">-$E47*N(AND(BO$3&lt;=$F47,BO$4&gt;=$F47))</f>
        <v>-0</v>
      </c>
      <c r="BP47" s="48" t="n">
        <f aca="false">-$E47*N(AND(BP$3&lt;=$F47,BP$4&gt;=$F47))</f>
        <v>-0</v>
      </c>
      <c r="BQ47" s="48" t="n">
        <f aca="false">-$E47*N(AND(BQ$3&lt;=$F47,BQ$4&gt;=$F47))</f>
        <v>-0</v>
      </c>
      <c r="BR47" s="48" t="n">
        <f aca="false">-$E47*N(AND(BR$3&lt;=$F47,BR$4&gt;=$F47))</f>
        <v>-0</v>
      </c>
      <c r="BS47" s="48" t="n">
        <f aca="false">-$E47*N(AND(BS$3&lt;=$F47,BS$4&gt;=$F47))</f>
        <v>-0</v>
      </c>
      <c r="BT47" s="48" t="n">
        <f aca="false">-$E47*N(AND(BT$3&lt;=$F47,BT$4&gt;=$F47))</f>
        <v>-0</v>
      </c>
      <c r="BU47" s="48" t="n">
        <f aca="false">-$E47*N(AND(BU$3&lt;=$F47,BU$4&gt;=$F47))</f>
        <v>-0</v>
      </c>
      <c r="BV47" s="48" t="n">
        <f aca="false">-$E47*N(AND(BV$3&lt;=$F47,BV$4&gt;=$F47))</f>
        <v>-0</v>
      </c>
      <c r="BW47" s="48" t="n">
        <f aca="false">-$E47*N(AND(BW$3&lt;=$F47,BW$4&gt;=$F47))</f>
        <v>-0</v>
      </c>
      <c r="BX47" s="48" t="n">
        <f aca="false">-$E47*N(AND(BX$3&lt;=$F47,BX$4&gt;=$F47))</f>
        <v>-0</v>
      </c>
      <c r="BY47" s="48" t="n">
        <f aca="false">-$E47*N(AND(BY$3&lt;=$F47,BY$4&gt;=$F47))</f>
        <v>-0</v>
      </c>
      <c r="BZ47" s="48" t="n">
        <f aca="false">-$E47*N(AND(BZ$3&lt;=$F47,BZ$4&gt;=$F47))</f>
        <v>-0</v>
      </c>
      <c r="CA47" s="48" t="n">
        <f aca="false">-$E47*N(AND(CA$3&lt;=$F47,CA$4&gt;=$F47))</f>
        <v>-0</v>
      </c>
      <c r="CB47" s="48" t="n">
        <f aca="false">-$E47*N(AND(CB$3&lt;=$F47,CB$4&gt;=$F47))</f>
        <v>-0</v>
      </c>
      <c r="CC47" s="48" t="n">
        <f aca="false">-$E47*N(AND(CC$3&lt;=$F47,CC$4&gt;=$F47))</f>
        <v>-0</v>
      </c>
      <c r="CD47" s="48" t="n">
        <f aca="false">-$E47*N(AND(CD$3&lt;=$F47,CD$4&gt;=$F47))</f>
        <v>-0</v>
      </c>
      <c r="CE47" s="48" t="n">
        <f aca="false">-$E47*N(AND(CE$3&lt;=$F47,CE$4&gt;=$F47))</f>
        <v>-0</v>
      </c>
      <c r="CF47" s="48" t="n">
        <f aca="false">-$E47*N(AND(CF$3&lt;=$F47,CF$4&gt;=$F47))</f>
        <v>-0</v>
      </c>
      <c r="CG47" s="48" t="n">
        <f aca="false">-$E47*N(AND(CG$3&lt;=$F47,CG$4&gt;=$F47))</f>
        <v>-0</v>
      </c>
      <c r="CH47" s="48" t="n">
        <f aca="false">-$E47*N(AND(CH$3&lt;=$F47,CH$4&gt;=$F47))</f>
        <v>-0</v>
      </c>
      <c r="CI47" s="48" t="n">
        <f aca="false">-$E47*N(AND(CI$3&lt;=$F47,CI$4&gt;=$F47))</f>
        <v>-0</v>
      </c>
      <c r="CJ47" s="48" t="n">
        <f aca="false">-$E47*N(AND(CJ$3&lt;=$F47,CJ$4&gt;=$F47))</f>
        <v>-0</v>
      </c>
      <c r="CK47" s="48" t="n">
        <f aca="false">-$E47*N(AND(CK$3&lt;=$F47,CK$4&gt;=$F47))</f>
        <v>-0</v>
      </c>
      <c r="CL47" s="48" t="n">
        <f aca="false">-$E47*N(AND(CL$3&lt;=$F47,CL$4&gt;=$F47))</f>
        <v>-0</v>
      </c>
      <c r="CM47" s="48" t="n">
        <f aca="false">-$E47*N(AND(CM$3&lt;=$F47,CM$4&gt;=$F47))</f>
        <v>-0</v>
      </c>
      <c r="CN47" s="48" t="n">
        <f aca="false">-$E47*N(AND(CN$3&lt;=$F47,CN$4&gt;=$F47))</f>
        <v>-0</v>
      </c>
      <c r="CO47" s="48" t="n">
        <f aca="false">-$E47*N(AND(CO$3&lt;=$F47,CO$4&gt;=$F47))</f>
        <v>-0</v>
      </c>
      <c r="CP47" s="48" t="n">
        <f aca="false">-$E47*N(AND(CP$3&lt;=$F47,CP$4&gt;=$F47))</f>
        <v>-0</v>
      </c>
      <c r="CQ47" s="48" t="n">
        <f aca="false">-$E47*N(AND(CQ$3&lt;=$F47,CQ$4&gt;=$F47))</f>
        <v>-0</v>
      </c>
      <c r="CR47" s="48" t="n">
        <f aca="false">-$E47*N(AND(CR$3&lt;=$F47,CR$4&gt;=$F47))</f>
        <v>-0</v>
      </c>
      <c r="CS47" s="48" t="n">
        <f aca="false">-$E47*N(AND(CS$3&lt;=$F47,CS$4&gt;=$F47))</f>
        <v>-0</v>
      </c>
      <c r="CT47" s="48" t="n">
        <f aca="false">-$E47*N(AND(CT$3&lt;=$F47,CT$4&gt;=$F47))</f>
        <v>-0</v>
      </c>
      <c r="CU47" s="48" t="n">
        <f aca="false">-$E47*N(AND(CU$3&lt;=$F47,CU$4&gt;=$F47))</f>
        <v>-0</v>
      </c>
      <c r="CV47" s="48" t="n">
        <f aca="false">-$E47*N(AND(CV$3&lt;=$F47,CV$4&gt;=$F47))</f>
        <v>-0</v>
      </c>
      <c r="CW47" s="48" t="n">
        <f aca="false">-$E47*N(AND(CW$3&lt;=$F47,CW$4&gt;=$F47))</f>
        <v>-0</v>
      </c>
      <c r="CX47" s="48" t="n">
        <f aca="false">-$E47*N(AND(CX$3&lt;=$F47,CX$4&gt;=$F47))</f>
        <v>-0</v>
      </c>
      <c r="CY47" s="48" t="n">
        <f aca="false">-$E47*N(AND(CY$3&lt;=$F47,CY$4&gt;=$F47))</f>
        <v>-0</v>
      </c>
      <c r="CZ47" s="48" t="n">
        <f aca="false">-$E47*N(AND(CZ$3&lt;=$F47,CZ$4&gt;=$F47))</f>
        <v>-0</v>
      </c>
      <c r="DA47" s="48" t="n">
        <f aca="false">-$E47*N(AND(DA$3&lt;=$F47,DA$4&gt;=$F47))</f>
        <v>-0</v>
      </c>
      <c r="DB47" s="48" t="n">
        <f aca="false">-$E47*N(AND(DB$3&lt;=$F47,DB$4&gt;=$F47))</f>
        <v>-0</v>
      </c>
      <c r="DC47" s="48" t="n">
        <f aca="false">-$E47*N(AND(DC$3&lt;=$F47,DC$4&gt;=$F47))</f>
        <v>-0</v>
      </c>
      <c r="DD47" s="48" t="n">
        <f aca="false">-$E47*N(AND(DD$3&lt;=$F47,DD$4&gt;=$F47))</f>
        <v>-0</v>
      </c>
      <c r="DE47" s="48" t="n">
        <f aca="false">-$E47*N(AND(DE$3&lt;=$F47,DE$4&gt;=$F47))</f>
        <v>-0</v>
      </c>
      <c r="DF47" s="48" t="n">
        <f aca="false">-$E47*N(AND(DF$3&lt;=$F47,DF$4&gt;=$F47))</f>
        <v>-0</v>
      </c>
      <c r="DG47" s="48" t="n">
        <f aca="false">-$E47*N(AND(DG$3&lt;=$F47,DG$4&gt;=$F47))</f>
        <v>-0</v>
      </c>
      <c r="DH47" s="48" t="n">
        <f aca="false">-$E47*N(AND(DH$3&lt;=$F47,DH$4&gt;=$F47))</f>
        <v>-0</v>
      </c>
      <c r="DI47" s="48" t="n">
        <f aca="false">-$E47*N(AND(DI$3&lt;=$F47,DI$4&gt;=$F47))</f>
        <v>-0</v>
      </c>
      <c r="DJ47" s="48" t="n">
        <f aca="false">-$E47*N(AND(DJ$3&lt;=$F47,DJ$4&gt;=$F47))</f>
        <v>-0</v>
      </c>
      <c r="DK47" s="48" t="n">
        <f aca="false">-$E47*N(AND(DK$3&lt;=$F47,DK$4&gt;=$F47))</f>
        <v>-0</v>
      </c>
      <c r="DL47" s="48" t="n">
        <f aca="false">-$E47*N(AND(DL$3&lt;=$F47,DL$4&gt;=$F47))</f>
        <v>-0</v>
      </c>
      <c r="DM47" s="48" t="n">
        <f aca="false">-$E47*N(AND(DM$3&lt;=$F47,DM$4&gt;=$F47))</f>
        <v>-0</v>
      </c>
      <c r="DN47" s="48" t="n">
        <f aca="false">-$E47*N(AND(DN$3&lt;=$F47,DN$4&gt;=$F47))</f>
        <v>-0</v>
      </c>
      <c r="DO47" s="48" t="n">
        <f aca="false">-$E47*N(AND(DO$3&lt;=$F47,DO$4&gt;=$F47))</f>
        <v>-0</v>
      </c>
      <c r="DP47" s="48" t="n">
        <f aca="false">-$E47*N(AND(DP$3&lt;=$F47,DP$4&gt;=$F47))</f>
        <v>-0</v>
      </c>
      <c r="DQ47" s="48" t="n">
        <f aca="false">-$E47*N(AND(DQ$3&lt;=$F47,DQ$4&gt;=$F47))</f>
        <v>-0</v>
      </c>
      <c r="DR47" s="48" t="n">
        <f aca="false">-$E47*N(AND(DR$3&lt;=$F47,DR$4&gt;=$F47))</f>
        <v>-0</v>
      </c>
      <c r="DS47" s="48" t="n">
        <f aca="false">-$E47*N(AND(DS$3&lt;=$F47,DS$4&gt;=$F47))</f>
        <v>-0</v>
      </c>
      <c r="DT47" s="48" t="n">
        <f aca="false">-$E47*N(AND(DT$3&lt;=$F47,DT$4&gt;=$F47))</f>
        <v>-0</v>
      </c>
      <c r="DU47" s="48" t="n">
        <f aca="false">-$E47*N(AND(DU$3&lt;=$F47,DU$4&gt;=$F47))</f>
        <v>-0</v>
      </c>
      <c r="DV47" s="48" t="n">
        <f aca="false">-$E47*N(AND(DV$3&lt;=$F47,DV$4&gt;=$F47))</f>
        <v>-0</v>
      </c>
      <c r="DW47" s="48" t="n">
        <f aca="false">-$E47*N(AND(DW$3&lt;=$F47,DW$4&gt;=$F47))</f>
        <v>-0</v>
      </c>
      <c r="DX47" s="48" t="n">
        <f aca="false">-$E47*N(AND(DX$3&lt;=$F47,DX$4&gt;=$F47))</f>
        <v>-0</v>
      </c>
      <c r="DY47" s="48" t="n">
        <f aca="false">-$E47*N(AND(DY$3&lt;=$F47,DY$4&gt;=$F47))</f>
        <v>-0</v>
      </c>
      <c r="DZ47" s="48" t="n">
        <f aca="false">-$E47*N(AND(DZ$3&lt;=$F47,DZ$4&gt;=$F47))</f>
        <v>-0</v>
      </c>
      <c r="EA47" s="48" t="n">
        <f aca="false">-$E47*N(AND(EA$3&lt;=$F47,EA$4&gt;=$F47))</f>
        <v>-0</v>
      </c>
      <c r="EB47" s="48" t="n">
        <f aca="false">-$E47*N(AND(EB$3&lt;=$F47,EB$4&gt;=$F47))</f>
        <v>-0</v>
      </c>
      <c r="EC47" s="48" t="n">
        <f aca="false">-$E47*N(AND(EC$3&lt;=$F47,EC$4&gt;=$F47))</f>
        <v>-0</v>
      </c>
      <c r="ED47" s="48" t="n">
        <f aca="false">-$E47*N(AND(ED$3&lt;=$F47,ED$4&gt;=$F47))</f>
        <v>-0</v>
      </c>
      <c r="EE47" s="48" t="n">
        <f aca="false">-$E47*N(AND(EE$3&lt;=$F47,EE$4&gt;=$F47))</f>
        <v>-0</v>
      </c>
      <c r="EF47" s="48" t="n">
        <f aca="false">-$E47*N(AND(EF$3&lt;=$F47,EF$4&gt;=$F47))</f>
        <v>-0</v>
      </c>
      <c r="EG47" s="48" t="n">
        <f aca="false">-$E47*N(AND(EG$3&lt;=$F47,EG$4&gt;=$F47))</f>
        <v>-0</v>
      </c>
      <c r="EH47" s="48" t="n">
        <f aca="false">-$E47*N(AND(EH$3&lt;=$F47,EH$4&gt;=$F47))</f>
        <v>-0</v>
      </c>
      <c r="EI47" s="48" t="n">
        <f aca="false">-$E47*N(AND(EI$3&lt;=$F47,EI$4&gt;=$F47))</f>
        <v>-0</v>
      </c>
      <c r="EJ47" s="48" t="n">
        <f aca="false">-$E47*N(AND(EJ$3&lt;=$F47,EJ$4&gt;=$F47))</f>
        <v>-0</v>
      </c>
      <c r="EK47" s="48" t="n">
        <f aca="false">-$E47*N(AND(EK$3&lt;=$F47,EK$4&gt;=$F47))</f>
        <v>-0</v>
      </c>
      <c r="EL47" s="48" t="n">
        <f aca="false">-$E47*N(AND(EL$3&lt;=$F47,EL$4&gt;=$F47))</f>
        <v>-0</v>
      </c>
      <c r="EM47" s="48" t="n">
        <f aca="false">-$E47*N(AND(EM$3&lt;=$F47,EM$4&gt;=$F47))</f>
        <v>-0</v>
      </c>
      <c r="EN47" s="48" t="n">
        <f aca="false">-$E47*N(AND(EN$3&lt;=$F47,EN$4&gt;=$F47))</f>
        <v>-0</v>
      </c>
      <c r="EO47" s="48" t="n">
        <f aca="false">-$E47*N(AND(EO$3&lt;=$F47,EO$4&gt;=$F47))</f>
        <v>-0</v>
      </c>
    </row>
    <row r="48" customFormat="false" ht="15" hidden="false" customHeight="false" outlineLevel="0" collapsed="false">
      <c r="C48" s="0" t="s">
        <v>242</v>
      </c>
      <c r="D48" s="11" t="s">
        <v>33</v>
      </c>
      <c r="E48" s="18" t="n">
        <f aca="false">In_DD</f>
        <v>150</v>
      </c>
      <c r="F48" s="20" t="n">
        <f aca="false">In_Bid_Date</f>
        <v>46325</v>
      </c>
      <c r="I48" s="48" t="n">
        <f aca="false">SUM(J48:EO48)</f>
        <v>-150</v>
      </c>
      <c r="J48" s="48" t="n">
        <f aca="false">-$E48*N(AND(J$3&lt;=$F48,J$4&gt;=$F48))</f>
        <v>-150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435</v>
      </c>
      <c r="D49" s="11" t="s">
        <v>33</v>
      </c>
      <c r="I49" s="48" t="n">
        <f aca="false">SUM(J49:EO49)</f>
        <v>-500</v>
      </c>
      <c r="J49" s="48" t="n">
        <f aca="false">-In_Devex*J13</f>
        <v>-0</v>
      </c>
      <c r="K49" s="48" t="n">
        <f aca="false">-In_Devex*K13</f>
        <v>-70.4225352112676</v>
      </c>
      <c r="L49" s="48" t="n">
        <f aca="false">-In_Devex*L13</f>
        <v>-71.2050078247261</v>
      </c>
      <c r="M49" s="48" t="n">
        <f aca="false">-In_Devex*M13</f>
        <v>-71.9874804381847</v>
      </c>
      <c r="N49" s="48" t="n">
        <f aca="false">-In_Devex*N13</f>
        <v>-71.9874804381847</v>
      </c>
      <c r="O49" s="48" t="n">
        <f aca="false">-In_Devex*O13</f>
        <v>-71.2050078247261</v>
      </c>
      <c r="P49" s="48" t="n">
        <f aca="false">-In_Devex*P13</f>
        <v>-71.2050078247261</v>
      </c>
      <c r="Q49" s="48" t="n">
        <f aca="false">-In_Devex*Q13</f>
        <v>-71.9874804381847</v>
      </c>
      <c r="R49" s="48" t="n">
        <f aca="false">-In_Devex*R13</f>
        <v>-0</v>
      </c>
      <c r="S49" s="48" t="n">
        <f aca="false">-In_Devex*S13</f>
        <v>-0</v>
      </c>
      <c r="T49" s="48" t="n">
        <f aca="false">-In_Devex*T13</f>
        <v>-0</v>
      </c>
      <c r="U49" s="48" t="n">
        <f aca="false">-In_Devex*U13</f>
        <v>-0</v>
      </c>
      <c r="V49" s="48" t="n">
        <f aca="false">-In_Devex*V13</f>
        <v>-0</v>
      </c>
      <c r="W49" s="48" t="n">
        <f aca="false">-In_Devex*W13</f>
        <v>-0</v>
      </c>
      <c r="X49" s="48" t="n">
        <f aca="false">-In_Devex*X13</f>
        <v>-0</v>
      </c>
      <c r="Y49" s="48" t="n">
        <f aca="false">-In_Devex*Y13</f>
        <v>-0</v>
      </c>
      <c r="Z49" s="48" t="n">
        <f aca="false">-In_Devex*Z13</f>
        <v>-0</v>
      </c>
      <c r="AA49" s="48" t="n">
        <f aca="false">-In_Devex*AA13</f>
        <v>-0</v>
      </c>
      <c r="AB49" s="48" t="n">
        <f aca="false">-In_Devex*AB13</f>
        <v>-0</v>
      </c>
      <c r="AC49" s="48" t="n">
        <f aca="false">-In_Devex*AC13</f>
        <v>-0</v>
      </c>
      <c r="AD49" s="48" t="n">
        <f aca="false">-In_Devex*AD13</f>
        <v>-0</v>
      </c>
      <c r="AE49" s="48" t="n">
        <f aca="false">-In_Devex*AE13</f>
        <v>-0</v>
      </c>
      <c r="AF49" s="48" t="n">
        <f aca="false">-In_Devex*AF13</f>
        <v>-0</v>
      </c>
      <c r="AG49" s="48" t="n">
        <f aca="false">-In_Devex*AG13</f>
        <v>-0</v>
      </c>
      <c r="AH49" s="48" t="n">
        <f aca="false">-In_Devex*AH13</f>
        <v>-0</v>
      </c>
      <c r="AI49" s="48" t="n">
        <f aca="false">-In_Devex*AI13</f>
        <v>-0</v>
      </c>
      <c r="AJ49" s="48" t="n">
        <f aca="false">-In_Devex*AJ13</f>
        <v>-0</v>
      </c>
      <c r="AK49" s="48" t="n">
        <f aca="false">-In_Devex*AK13</f>
        <v>-0</v>
      </c>
      <c r="AL49" s="48" t="n">
        <f aca="false">-In_Devex*AL13</f>
        <v>-0</v>
      </c>
      <c r="AM49" s="48" t="n">
        <f aca="false">-In_Devex*AM13</f>
        <v>-0</v>
      </c>
      <c r="AN49" s="48" t="n">
        <f aca="false">-In_Devex*AN13</f>
        <v>-0</v>
      </c>
      <c r="AO49" s="48" t="n">
        <f aca="false">-In_Devex*AO13</f>
        <v>-0</v>
      </c>
      <c r="AP49" s="48" t="n">
        <f aca="false">-In_Devex*AP13</f>
        <v>-0</v>
      </c>
      <c r="AQ49" s="48" t="n">
        <f aca="false">-In_Devex*AQ13</f>
        <v>-0</v>
      </c>
      <c r="AR49" s="48" t="n">
        <f aca="false">-In_Devex*AR13</f>
        <v>-0</v>
      </c>
      <c r="AS49" s="48" t="n">
        <f aca="false">-In_Devex*AS13</f>
        <v>-0</v>
      </c>
      <c r="AT49" s="48" t="n">
        <f aca="false">-In_Devex*AT13</f>
        <v>-0</v>
      </c>
      <c r="AU49" s="48" t="n">
        <f aca="false">-In_Devex*AU13</f>
        <v>-0</v>
      </c>
      <c r="AV49" s="48" t="n">
        <f aca="false">-In_Devex*AV13</f>
        <v>-0</v>
      </c>
      <c r="AW49" s="48" t="n">
        <f aca="false">-In_Devex*AW13</f>
        <v>-0</v>
      </c>
      <c r="AX49" s="48" t="n">
        <f aca="false">-In_Devex*AX13</f>
        <v>-0</v>
      </c>
      <c r="AY49" s="48" t="n">
        <f aca="false">-In_Devex*AY13</f>
        <v>-0</v>
      </c>
      <c r="AZ49" s="48" t="n">
        <f aca="false">-In_Devex*AZ13</f>
        <v>-0</v>
      </c>
      <c r="BA49" s="48" t="n">
        <f aca="false">-In_Devex*BA13</f>
        <v>-0</v>
      </c>
      <c r="BB49" s="48" t="n">
        <f aca="false">-In_Devex*BB13</f>
        <v>-0</v>
      </c>
      <c r="BC49" s="48" t="n">
        <f aca="false">-In_Devex*BC13</f>
        <v>-0</v>
      </c>
      <c r="BD49" s="48" t="n">
        <f aca="false">-In_Devex*BD13</f>
        <v>-0</v>
      </c>
      <c r="BE49" s="48" t="n">
        <f aca="false">-In_Devex*BE13</f>
        <v>-0</v>
      </c>
      <c r="BF49" s="48" t="n">
        <f aca="false">-In_Devex*BF13</f>
        <v>-0</v>
      </c>
      <c r="BG49" s="48" t="n">
        <f aca="false">-In_Devex*BG13</f>
        <v>-0</v>
      </c>
      <c r="BH49" s="48" t="n">
        <f aca="false">-In_Devex*BH13</f>
        <v>-0</v>
      </c>
      <c r="BI49" s="48" t="n">
        <f aca="false">-In_Devex*BI13</f>
        <v>-0</v>
      </c>
      <c r="BJ49" s="48" t="n">
        <f aca="false">-In_Devex*BJ13</f>
        <v>-0</v>
      </c>
      <c r="BK49" s="48" t="n">
        <f aca="false">-In_Devex*BK13</f>
        <v>-0</v>
      </c>
      <c r="BL49" s="48" t="n">
        <f aca="false">-In_Devex*BL13</f>
        <v>-0</v>
      </c>
      <c r="BM49" s="48" t="n">
        <f aca="false">-In_Devex*BM13</f>
        <v>-0</v>
      </c>
      <c r="BN49" s="48" t="n">
        <f aca="false">-In_Devex*BN13</f>
        <v>-0</v>
      </c>
      <c r="BO49" s="48" t="n">
        <f aca="false">-In_Devex*BO13</f>
        <v>-0</v>
      </c>
      <c r="BP49" s="48" t="n">
        <f aca="false">-In_Devex*BP13</f>
        <v>-0</v>
      </c>
      <c r="BQ49" s="48" t="n">
        <f aca="false">-In_Devex*BQ13</f>
        <v>-0</v>
      </c>
      <c r="BR49" s="48" t="n">
        <f aca="false">-In_Devex*BR13</f>
        <v>-0</v>
      </c>
      <c r="BS49" s="48" t="n">
        <f aca="false">-In_Devex*BS13</f>
        <v>-0</v>
      </c>
      <c r="BT49" s="48" t="n">
        <f aca="false">-In_Devex*BT13</f>
        <v>-0</v>
      </c>
      <c r="BU49" s="48" t="n">
        <f aca="false">-In_Devex*BU13</f>
        <v>-0</v>
      </c>
      <c r="BV49" s="48" t="n">
        <f aca="false">-In_Devex*BV13</f>
        <v>-0</v>
      </c>
      <c r="BW49" s="48" t="n">
        <f aca="false">-In_Devex*BW13</f>
        <v>-0</v>
      </c>
      <c r="BX49" s="48" t="n">
        <f aca="false">-In_Devex*BX13</f>
        <v>-0</v>
      </c>
      <c r="BY49" s="48" t="n">
        <f aca="false">-In_Devex*BY13</f>
        <v>-0</v>
      </c>
      <c r="BZ49" s="48" t="n">
        <f aca="false">-In_Devex*BZ13</f>
        <v>-0</v>
      </c>
      <c r="CA49" s="48" t="n">
        <f aca="false">-In_Devex*CA13</f>
        <v>-0</v>
      </c>
      <c r="CB49" s="48" t="n">
        <f aca="false">-In_Devex*CB13</f>
        <v>-0</v>
      </c>
      <c r="CC49" s="48" t="n">
        <f aca="false">-In_Devex*CC13</f>
        <v>-0</v>
      </c>
      <c r="CD49" s="48" t="n">
        <f aca="false">-In_Devex*CD13</f>
        <v>-0</v>
      </c>
      <c r="CE49" s="48" t="n">
        <f aca="false">-In_Devex*CE13</f>
        <v>-0</v>
      </c>
      <c r="CF49" s="48" t="n">
        <f aca="false">-In_Devex*CF13</f>
        <v>-0</v>
      </c>
      <c r="CG49" s="48" t="n">
        <f aca="false">-In_Devex*CG13</f>
        <v>-0</v>
      </c>
      <c r="CH49" s="48" t="n">
        <f aca="false">-In_Devex*CH13</f>
        <v>-0</v>
      </c>
      <c r="CI49" s="48" t="n">
        <f aca="false">-In_Devex*CI13</f>
        <v>-0</v>
      </c>
      <c r="CJ49" s="48" t="n">
        <f aca="false">-In_Devex*CJ13</f>
        <v>-0</v>
      </c>
      <c r="CK49" s="48" t="n">
        <f aca="false">-In_Devex*CK13</f>
        <v>-0</v>
      </c>
      <c r="CL49" s="48" t="n">
        <f aca="false">-In_Devex*CL13</f>
        <v>-0</v>
      </c>
      <c r="CM49" s="48" t="n">
        <f aca="false">-In_Devex*CM13</f>
        <v>-0</v>
      </c>
      <c r="CN49" s="48" t="n">
        <f aca="false">-In_Devex*CN13</f>
        <v>-0</v>
      </c>
      <c r="CO49" s="48" t="n">
        <f aca="false">-In_Devex*CO13</f>
        <v>-0</v>
      </c>
      <c r="CP49" s="48" t="n">
        <f aca="false">-In_Devex*CP13</f>
        <v>-0</v>
      </c>
      <c r="CQ49" s="48" t="n">
        <f aca="false">-In_Devex*CQ13</f>
        <v>-0</v>
      </c>
      <c r="CR49" s="48" t="n">
        <f aca="false">-In_Devex*CR13</f>
        <v>-0</v>
      </c>
      <c r="CS49" s="48" t="n">
        <f aca="false">-In_Devex*CS13</f>
        <v>-0</v>
      </c>
      <c r="CT49" s="48" t="n">
        <f aca="false">-In_Devex*CT13</f>
        <v>-0</v>
      </c>
      <c r="CU49" s="48" t="n">
        <f aca="false">-In_Devex*CU13</f>
        <v>-0</v>
      </c>
      <c r="CV49" s="48" t="n">
        <f aca="false">-In_Devex*CV13</f>
        <v>-0</v>
      </c>
      <c r="CW49" s="48" t="n">
        <f aca="false">-In_Devex*CW13</f>
        <v>-0</v>
      </c>
      <c r="CX49" s="48" t="n">
        <f aca="false">-In_Devex*CX13</f>
        <v>-0</v>
      </c>
      <c r="CY49" s="48" t="n">
        <f aca="false">-In_Devex*CY13</f>
        <v>-0</v>
      </c>
      <c r="CZ49" s="48" t="n">
        <f aca="false">-In_Devex*CZ13</f>
        <v>-0</v>
      </c>
      <c r="DA49" s="48" t="n">
        <f aca="false">-In_Devex*DA13</f>
        <v>-0</v>
      </c>
      <c r="DB49" s="48" t="n">
        <f aca="false">-In_Devex*DB13</f>
        <v>-0</v>
      </c>
      <c r="DC49" s="48" t="n">
        <f aca="false">-In_Devex*DC13</f>
        <v>-0</v>
      </c>
      <c r="DD49" s="48" t="n">
        <f aca="false">-In_Devex*DD13</f>
        <v>-0</v>
      </c>
      <c r="DE49" s="48" t="n">
        <f aca="false">-In_Devex*DE13</f>
        <v>-0</v>
      </c>
      <c r="DF49" s="48" t="n">
        <f aca="false">-In_Devex*DF13</f>
        <v>-0</v>
      </c>
      <c r="DG49" s="48" t="n">
        <f aca="false">-In_Devex*DG13</f>
        <v>-0</v>
      </c>
      <c r="DH49" s="48" t="n">
        <f aca="false">-In_Devex*DH13</f>
        <v>-0</v>
      </c>
      <c r="DI49" s="48" t="n">
        <f aca="false">-In_Devex*DI13</f>
        <v>-0</v>
      </c>
      <c r="DJ49" s="48" t="n">
        <f aca="false">-In_Devex*DJ13</f>
        <v>-0</v>
      </c>
      <c r="DK49" s="48" t="n">
        <f aca="false">-In_Devex*DK13</f>
        <v>-0</v>
      </c>
      <c r="DL49" s="48" t="n">
        <f aca="false">-In_Devex*DL13</f>
        <v>-0</v>
      </c>
      <c r="DM49" s="48" t="n">
        <f aca="false">-In_Devex*DM13</f>
        <v>-0</v>
      </c>
      <c r="DN49" s="48" t="n">
        <f aca="false">-In_Devex*DN13</f>
        <v>-0</v>
      </c>
      <c r="DO49" s="48" t="n">
        <f aca="false">-In_Devex*DO13</f>
        <v>-0</v>
      </c>
      <c r="DP49" s="48" t="n">
        <f aca="false">-In_Devex*DP13</f>
        <v>-0</v>
      </c>
      <c r="DQ49" s="48" t="n">
        <f aca="false">-In_Devex*DQ13</f>
        <v>-0</v>
      </c>
      <c r="DR49" s="48" t="n">
        <f aca="false">-In_Devex*DR13</f>
        <v>-0</v>
      </c>
      <c r="DS49" s="48" t="n">
        <f aca="false">-In_Devex*DS13</f>
        <v>-0</v>
      </c>
      <c r="DT49" s="48" t="n">
        <f aca="false">-In_Devex*DT13</f>
        <v>-0</v>
      </c>
      <c r="DU49" s="48" t="n">
        <f aca="false">-In_Devex*DU13</f>
        <v>-0</v>
      </c>
      <c r="DV49" s="48" t="n">
        <f aca="false">-In_Devex*DV13</f>
        <v>-0</v>
      </c>
      <c r="DW49" s="48" t="n">
        <f aca="false">-In_Devex*DW13</f>
        <v>-0</v>
      </c>
      <c r="DX49" s="48" t="n">
        <f aca="false">-In_Devex*DX13</f>
        <v>-0</v>
      </c>
      <c r="DY49" s="48" t="n">
        <f aca="false">-In_Devex*DY13</f>
        <v>-0</v>
      </c>
      <c r="DZ49" s="48" t="n">
        <f aca="false">-In_Devex*DZ13</f>
        <v>-0</v>
      </c>
      <c r="EA49" s="48" t="n">
        <f aca="false">-In_Devex*EA13</f>
        <v>-0</v>
      </c>
      <c r="EB49" s="48" t="n">
        <f aca="false">-In_Devex*EB13</f>
        <v>-0</v>
      </c>
      <c r="EC49" s="48" t="n">
        <f aca="false">-In_Devex*EC13</f>
        <v>-0</v>
      </c>
      <c r="ED49" s="48" t="n">
        <f aca="false">-In_Devex*ED13</f>
        <v>-0</v>
      </c>
      <c r="EE49" s="48" t="n">
        <f aca="false">-In_Devex*EE13</f>
        <v>-0</v>
      </c>
      <c r="EF49" s="48" t="n">
        <f aca="false">-In_Devex*EF13</f>
        <v>-0</v>
      </c>
      <c r="EG49" s="48" t="n">
        <f aca="false">-In_Devex*EG13</f>
        <v>-0</v>
      </c>
      <c r="EH49" s="48" t="n">
        <f aca="false">-In_Devex*EH13</f>
        <v>-0</v>
      </c>
      <c r="EI49" s="48" t="n">
        <f aca="false">-In_Devex*EI13</f>
        <v>-0</v>
      </c>
      <c r="EJ49" s="48" t="n">
        <f aca="false">-In_Devex*EJ13</f>
        <v>-0</v>
      </c>
      <c r="EK49" s="48" t="n">
        <f aca="false">-In_Devex*EK13</f>
        <v>-0</v>
      </c>
      <c r="EL49" s="48" t="n">
        <f aca="false">-In_Devex*EL13</f>
        <v>-0</v>
      </c>
      <c r="EM49" s="48" t="n">
        <f aca="false">-In_Devex*EM13</f>
        <v>-0</v>
      </c>
      <c r="EN49" s="48" t="n">
        <f aca="false">-In_Devex*EN13</f>
        <v>-0</v>
      </c>
      <c r="EO49" s="48" t="n">
        <f aca="false">-In_Devex*EO13</f>
        <v>-0</v>
      </c>
    </row>
    <row r="50" customFormat="false" ht="15" hidden="false" customHeight="false" outlineLevel="0" collapsed="false">
      <c r="C50" s="0" t="s">
        <v>436</v>
      </c>
      <c r="D50" s="11" t="s">
        <v>294</v>
      </c>
      <c r="E50" s="48" t="n">
        <f aca="false">$E25*In_Bench_Wind+$E28*In_Bench_BESS</f>
        <v>32360</v>
      </c>
    </row>
    <row r="51" customFormat="false" ht="15" hidden="false" customHeight="false" outlineLevel="0" collapsed="false">
      <c r="C51" s="0" t="s">
        <v>437</v>
      </c>
      <c r="D51" s="11" t="s">
        <v>33</v>
      </c>
      <c r="E51" s="48" t="n">
        <f aca="false">In_Part_Fee*Thousand/In_FX</f>
        <v>8.21917808219178</v>
      </c>
      <c r="F51" s="20" t="n">
        <f aca="false">In_Bid_Date</f>
        <v>46325</v>
      </c>
      <c r="I51" s="48" t="n">
        <f aca="false">SUM(J51:EO51)</f>
        <v>-8.21917808219178</v>
      </c>
      <c r="J51" s="48" t="n">
        <f aca="false">-$E51*N(AND(J$3&lt;=$F51,J$4&gt;=$F51))</f>
        <v>-8.21917808219178</v>
      </c>
      <c r="K51" s="48" t="n">
        <f aca="false">-$E51*N(AND(K$3&lt;=$F51,K$4&gt;=$F51))</f>
        <v>-0</v>
      </c>
      <c r="L51" s="48" t="n">
        <f aca="false">-$E51*N(AND(L$3&lt;=$F51,L$4&gt;=$F51))</f>
        <v>-0</v>
      </c>
      <c r="M51" s="48" t="n">
        <f aca="false">-$E51*N(AND(M$3&lt;=$F51,M$4&gt;=$F51))</f>
        <v>-0</v>
      </c>
      <c r="N51" s="48" t="n">
        <f aca="false">-$E51*N(AND(N$3&lt;=$F51,N$4&gt;=$F51))</f>
        <v>-0</v>
      </c>
      <c r="O51" s="48" t="n">
        <f aca="false">-$E51*N(AND(O$3&lt;=$F51,O$4&gt;=$F51))</f>
        <v>-0</v>
      </c>
      <c r="P51" s="48" t="n">
        <f aca="false">-$E51*N(AND(P$3&lt;=$F51,P$4&gt;=$F51))</f>
        <v>-0</v>
      </c>
      <c r="Q51" s="48" t="n">
        <f aca="false">-$E51*N(AND(Q$3&lt;=$F51,Q$4&gt;=$F51))</f>
        <v>-0</v>
      </c>
      <c r="R51" s="48" t="n">
        <f aca="false">-$E51*N(AND(R$3&lt;=$F51,R$4&gt;=$F51))</f>
        <v>-0</v>
      </c>
      <c r="S51" s="48" t="n">
        <f aca="false">-$E51*N(AND(S$3&lt;=$F51,S$4&gt;=$F51))</f>
        <v>-0</v>
      </c>
      <c r="T51" s="48" t="n">
        <f aca="false">-$E51*N(AND(T$3&lt;=$F51,T$4&gt;=$F51))</f>
        <v>-0</v>
      </c>
      <c r="U51" s="48" t="n">
        <f aca="false">-$E51*N(AND(U$3&lt;=$F51,U$4&gt;=$F51))</f>
        <v>-0</v>
      </c>
      <c r="V51" s="48" t="n">
        <f aca="false">-$E51*N(AND(V$3&lt;=$F51,V$4&gt;=$F51))</f>
        <v>-0</v>
      </c>
      <c r="W51" s="48" t="n">
        <f aca="false">-$E51*N(AND(W$3&lt;=$F51,W$4&gt;=$F51))</f>
        <v>-0</v>
      </c>
      <c r="X51" s="48" t="n">
        <f aca="false">-$E51*N(AND(X$3&lt;=$F51,X$4&gt;=$F51))</f>
        <v>-0</v>
      </c>
      <c r="Y51" s="48" t="n">
        <f aca="false">-$E51*N(AND(Y$3&lt;=$F51,Y$4&gt;=$F51))</f>
        <v>-0</v>
      </c>
      <c r="Z51" s="48" t="n">
        <f aca="false">-$E51*N(AND(Z$3&lt;=$F51,Z$4&gt;=$F51))</f>
        <v>-0</v>
      </c>
      <c r="AA51" s="48" t="n">
        <f aca="false">-$E51*N(AND(AA$3&lt;=$F51,AA$4&gt;=$F51))</f>
        <v>-0</v>
      </c>
      <c r="AB51" s="48" t="n">
        <f aca="false">-$E51*N(AND(AB$3&lt;=$F51,AB$4&gt;=$F51))</f>
        <v>-0</v>
      </c>
      <c r="AC51" s="48" t="n">
        <f aca="false">-$E51*N(AND(AC$3&lt;=$F51,AC$4&gt;=$F51))</f>
        <v>-0</v>
      </c>
      <c r="AD51" s="48" t="n">
        <f aca="false">-$E51*N(AND(AD$3&lt;=$F51,AD$4&gt;=$F51))</f>
        <v>-0</v>
      </c>
      <c r="AE51" s="48" t="n">
        <f aca="false">-$E51*N(AND(AE$3&lt;=$F51,AE$4&gt;=$F51))</f>
        <v>-0</v>
      </c>
      <c r="AF51" s="48" t="n">
        <f aca="false">-$E51*N(AND(AF$3&lt;=$F51,AF$4&gt;=$F51))</f>
        <v>-0</v>
      </c>
      <c r="AG51" s="48" t="n">
        <f aca="false">-$E51*N(AND(AG$3&lt;=$F51,AG$4&gt;=$F51))</f>
        <v>-0</v>
      </c>
      <c r="AH51" s="48" t="n">
        <f aca="false">-$E51*N(AND(AH$3&lt;=$F51,AH$4&gt;=$F51))</f>
        <v>-0</v>
      </c>
      <c r="AI51" s="48" t="n">
        <f aca="false">-$E51*N(AND(AI$3&lt;=$F51,AI$4&gt;=$F51))</f>
        <v>-0</v>
      </c>
      <c r="AJ51" s="48" t="n">
        <f aca="false">-$E51*N(AND(AJ$3&lt;=$F51,AJ$4&gt;=$F51))</f>
        <v>-0</v>
      </c>
      <c r="AK51" s="48" t="n">
        <f aca="false">-$E51*N(AND(AK$3&lt;=$F51,AK$4&gt;=$F51))</f>
        <v>-0</v>
      </c>
      <c r="AL51" s="48" t="n">
        <f aca="false">-$E51*N(AND(AL$3&lt;=$F51,AL$4&gt;=$F51))</f>
        <v>-0</v>
      </c>
      <c r="AM51" s="48" t="n">
        <f aca="false">-$E51*N(AND(AM$3&lt;=$F51,AM$4&gt;=$F51))</f>
        <v>-0</v>
      </c>
      <c r="AN51" s="48" t="n">
        <f aca="false">-$E51*N(AND(AN$3&lt;=$F51,AN$4&gt;=$F51))</f>
        <v>-0</v>
      </c>
      <c r="AO51" s="48" t="n">
        <f aca="false">-$E51*N(AND(AO$3&lt;=$F51,AO$4&gt;=$F51))</f>
        <v>-0</v>
      </c>
      <c r="AP51" s="48" t="n">
        <f aca="false">-$E51*N(AND(AP$3&lt;=$F51,AP$4&gt;=$F51))</f>
        <v>-0</v>
      </c>
      <c r="AQ51" s="48" t="n">
        <f aca="false">-$E51*N(AND(AQ$3&lt;=$F51,AQ$4&gt;=$F51))</f>
        <v>-0</v>
      </c>
      <c r="AR51" s="48" t="n">
        <f aca="false">-$E51*N(AND(AR$3&lt;=$F51,AR$4&gt;=$F51))</f>
        <v>-0</v>
      </c>
      <c r="AS51" s="48" t="n">
        <f aca="false">-$E51*N(AND(AS$3&lt;=$F51,AS$4&gt;=$F51))</f>
        <v>-0</v>
      </c>
      <c r="AT51" s="48" t="n">
        <f aca="false">-$E51*N(AND(AT$3&lt;=$F51,AT$4&gt;=$F51))</f>
        <v>-0</v>
      </c>
      <c r="AU51" s="48" t="n">
        <f aca="false">-$E51*N(AND(AU$3&lt;=$F51,AU$4&gt;=$F51))</f>
        <v>-0</v>
      </c>
      <c r="AV51" s="48" t="n">
        <f aca="false">-$E51*N(AND(AV$3&lt;=$F51,AV$4&gt;=$F51))</f>
        <v>-0</v>
      </c>
      <c r="AW51" s="48" t="n">
        <f aca="false">-$E51*N(AND(AW$3&lt;=$F51,AW$4&gt;=$F51))</f>
        <v>-0</v>
      </c>
      <c r="AX51" s="48" t="n">
        <f aca="false">-$E51*N(AND(AX$3&lt;=$F51,AX$4&gt;=$F51))</f>
        <v>-0</v>
      </c>
      <c r="AY51" s="48" t="n">
        <f aca="false">-$E51*N(AND(AY$3&lt;=$F51,AY$4&gt;=$F51))</f>
        <v>-0</v>
      </c>
      <c r="AZ51" s="48" t="n">
        <f aca="false">-$E51*N(AND(AZ$3&lt;=$F51,AZ$4&gt;=$F51))</f>
        <v>-0</v>
      </c>
      <c r="BA51" s="48" t="n">
        <f aca="false">-$E51*N(AND(BA$3&lt;=$F51,BA$4&gt;=$F51))</f>
        <v>-0</v>
      </c>
      <c r="BB51" s="48" t="n">
        <f aca="false">-$E51*N(AND(BB$3&lt;=$F51,BB$4&gt;=$F51))</f>
        <v>-0</v>
      </c>
      <c r="BC51" s="48" t="n">
        <f aca="false">-$E51*N(AND(BC$3&lt;=$F51,BC$4&gt;=$F51))</f>
        <v>-0</v>
      </c>
      <c r="BD51" s="48" t="n">
        <f aca="false">-$E51*N(AND(BD$3&lt;=$F51,BD$4&gt;=$F51))</f>
        <v>-0</v>
      </c>
      <c r="BE51" s="48" t="n">
        <f aca="false">-$E51*N(AND(BE$3&lt;=$F51,BE$4&gt;=$F51))</f>
        <v>-0</v>
      </c>
      <c r="BF51" s="48" t="n">
        <f aca="false">-$E51*N(AND(BF$3&lt;=$F51,BF$4&gt;=$F51))</f>
        <v>-0</v>
      </c>
      <c r="BG51" s="48" t="n">
        <f aca="false">-$E51*N(AND(BG$3&lt;=$F51,BG$4&gt;=$F51))</f>
        <v>-0</v>
      </c>
      <c r="BH51" s="48" t="n">
        <f aca="false">-$E51*N(AND(BH$3&lt;=$F51,BH$4&gt;=$F51))</f>
        <v>-0</v>
      </c>
      <c r="BI51" s="48" t="n">
        <f aca="false">-$E51*N(AND(BI$3&lt;=$F51,BI$4&gt;=$F51))</f>
        <v>-0</v>
      </c>
      <c r="BJ51" s="48" t="n">
        <f aca="false">-$E51*N(AND(BJ$3&lt;=$F51,BJ$4&gt;=$F51))</f>
        <v>-0</v>
      </c>
      <c r="BK51" s="48" t="n">
        <f aca="false">-$E51*N(AND(BK$3&lt;=$F51,BK$4&gt;=$F51))</f>
        <v>-0</v>
      </c>
      <c r="BL51" s="48" t="n">
        <f aca="false">-$E51*N(AND(BL$3&lt;=$F51,BL$4&gt;=$F51))</f>
        <v>-0</v>
      </c>
      <c r="BM51" s="48" t="n">
        <f aca="false">-$E51*N(AND(BM$3&lt;=$F51,BM$4&gt;=$F51))</f>
        <v>-0</v>
      </c>
      <c r="BN51" s="48" t="n">
        <f aca="false">-$E51*N(AND(BN$3&lt;=$F51,BN$4&gt;=$F51))</f>
        <v>-0</v>
      </c>
      <c r="BO51" s="48" t="n">
        <f aca="false">-$E51*N(AND(BO$3&lt;=$F51,BO$4&gt;=$F51))</f>
        <v>-0</v>
      </c>
      <c r="BP51" s="48" t="n">
        <f aca="false">-$E51*N(AND(BP$3&lt;=$F51,BP$4&gt;=$F51))</f>
        <v>-0</v>
      </c>
      <c r="BQ51" s="48" t="n">
        <f aca="false">-$E51*N(AND(BQ$3&lt;=$F51,BQ$4&gt;=$F51))</f>
        <v>-0</v>
      </c>
      <c r="BR51" s="48" t="n">
        <f aca="false">-$E51*N(AND(BR$3&lt;=$F51,BR$4&gt;=$F51))</f>
        <v>-0</v>
      </c>
      <c r="BS51" s="48" t="n">
        <f aca="false">-$E51*N(AND(BS$3&lt;=$F51,BS$4&gt;=$F51))</f>
        <v>-0</v>
      </c>
      <c r="BT51" s="48" t="n">
        <f aca="false">-$E51*N(AND(BT$3&lt;=$F51,BT$4&gt;=$F51))</f>
        <v>-0</v>
      </c>
      <c r="BU51" s="48" t="n">
        <f aca="false">-$E51*N(AND(BU$3&lt;=$F51,BU$4&gt;=$F51))</f>
        <v>-0</v>
      </c>
      <c r="BV51" s="48" t="n">
        <f aca="false">-$E51*N(AND(BV$3&lt;=$F51,BV$4&gt;=$F51))</f>
        <v>-0</v>
      </c>
      <c r="BW51" s="48" t="n">
        <f aca="false">-$E51*N(AND(BW$3&lt;=$F51,BW$4&gt;=$F51))</f>
        <v>-0</v>
      </c>
      <c r="BX51" s="48" t="n">
        <f aca="false">-$E51*N(AND(BX$3&lt;=$F51,BX$4&gt;=$F51))</f>
        <v>-0</v>
      </c>
      <c r="BY51" s="48" t="n">
        <f aca="false">-$E51*N(AND(BY$3&lt;=$F51,BY$4&gt;=$F51))</f>
        <v>-0</v>
      </c>
      <c r="BZ51" s="48" t="n">
        <f aca="false">-$E51*N(AND(BZ$3&lt;=$F51,BZ$4&gt;=$F51))</f>
        <v>-0</v>
      </c>
      <c r="CA51" s="48" t="n">
        <f aca="false">-$E51*N(AND(CA$3&lt;=$F51,CA$4&gt;=$F51))</f>
        <v>-0</v>
      </c>
      <c r="CB51" s="48" t="n">
        <f aca="false">-$E51*N(AND(CB$3&lt;=$F51,CB$4&gt;=$F51))</f>
        <v>-0</v>
      </c>
      <c r="CC51" s="48" t="n">
        <f aca="false">-$E51*N(AND(CC$3&lt;=$F51,CC$4&gt;=$F51))</f>
        <v>-0</v>
      </c>
      <c r="CD51" s="48" t="n">
        <f aca="false">-$E51*N(AND(CD$3&lt;=$F51,CD$4&gt;=$F51))</f>
        <v>-0</v>
      </c>
      <c r="CE51" s="48" t="n">
        <f aca="false">-$E51*N(AND(CE$3&lt;=$F51,CE$4&gt;=$F51))</f>
        <v>-0</v>
      </c>
      <c r="CF51" s="48" t="n">
        <f aca="false">-$E51*N(AND(CF$3&lt;=$F51,CF$4&gt;=$F51))</f>
        <v>-0</v>
      </c>
      <c r="CG51" s="48" t="n">
        <f aca="false">-$E51*N(AND(CG$3&lt;=$F51,CG$4&gt;=$F51))</f>
        <v>-0</v>
      </c>
      <c r="CH51" s="48" t="n">
        <f aca="false">-$E51*N(AND(CH$3&lt;=$F51,CH$4&gt;=$F51))</f>
        <v>-0</v>
      </c>
      <c r="CI51" s="48" t="n">
        <f aca="false">-$E51*N(AND(CI$3&lt;=$F51,CI$4&gt;=$F51))</f>
        <v>-0</v>
      </c>
      <c r="CJ51" s="48" t="n">
        <f aca="false">-$E51*N(AND(CJ$3&lt;=$F51,CJ$4&gt;=$F51))</f>
        <v>-0</v>
      </c>
      <c r="CK51" s="48" t="n">
        <f aca="false">-$E51*N(AND(CK$3&lt;=$F51,CK$4&gt;=$F51))</f>
        <v>-0</v>
      </c>
      <c r="CL51" s="48" t="n">
        <f aca="false">-$E51*N(AND(CL$3&lt;=$F51,CL$4&gt;=$F51))</f>
        <v>-0</v>
      </c>
      <c r="CM51" s="48" t="n">
        <f aca="false">-$E51*N(AND(CM$3&lt;=$F51,CM$4&gt;=$F51))</f>
        <v>-0</v>
      </c>
      <c r="CN51" s="48" t="n">
        <f aca="false">-$E51*N(AND(CN$3&lt;=$F51,CN$4&gt;=$F51))</f>
        <v>-0</v>
      </c>
      <c r="CO51" s="48" t="n">
        <f aca="false">-$E51*N(AND(CO$3&lt;=$F51,CO$4&gt;=$F51))</f>
        <v>-0</v>
      </c>
      <c r="CP51" s="48" t="n">
        <f aca="false">-$E51*N(AND(CP$3&lt;=$F51,CP$4&gt;=$F51))</f>
        <v>-0</v>
      </c>
      <c r="CQ51" s="48" t="n">
        <f aca="false">-$E51*N(AND(CQ$3&lt;=$F51,CQ$4&gt;=$F51))</f>
        <v>-0</v>
      </c>
      <c r="CR51" s="48" t="n">
        <f aca="false">-$E51*N(AND(CR$3&lt;=$F51,CR$4&gt;=$F51))</f>
        <v>-0</v>
      </c>
      <c r="CS51" s="48" t="n">
        <f aca="false">-$E51*N(AND(CS$3&lt;=$F51,CS$4&gt;=$F51))</f>
        <v>-0</v>
      </c>
      <c r="CT51" s="48" t="n">
        <f aca="false">-$E51*N(AND(CT$3&lt;=$F51,CT$4&gt;=$F51))</f>
        <v>-0</v>
      </c>
      <c r="CU51" s="48" t="n">
        <f aca="false">-$E51*N(AND(CU$3&lt;=$F51,CU$4&gt;=$F51))</f>
        <v>-0</v>
      </c>
      <c r="CV51" s="48" t="n">
        <f aca="false">-$E51*N(AND(CV$3&lt;=$F51,CV$4&gt;=$F51))</f>
        <v>-0</v>
      </c>
      <c r="CW51" s="48" t="n">
        <f aca="false">-$E51*N(AND(CW$3&lt;=$F51,CW$4&gt;=$F51))</f>
        <v>-0</v>
      </c>
      <c r="CX51" s="48" t="n">
        <f aca="false">-$E51*N(AND(CX$3&lt;=$F51,CX$4&gt;=$F51))</f>
        <v>-0</v>
      </c>
      <c r="CY51" s="48" t="n">
        <f aca="false">-$E51*N(AND(CY$3&lt;=$F51,CY$4&gt;=$F51))</f>
        <v>-0</v>
      </c>
      <c r="CZ51" s="48" t="n">
        <f aca="false">-$E51*N(AND(CZ$3&lt;=$F51,CZ$4&gt;=$F51))</f>
        <v>-0</v>
      </c>
      <c r="DA51" s="48" t="n">
        <f aca="false">-$E51*N(AND(DA$3&lt;=$F51,DA$4&gt;=$F51))</f>
        <v>-0</v>
      </c>
      <c r="DB51" s="48" t="n">
        <f aca="false">-$E51*N(AND(DB$3&lt;=$F51,DB$4&gt;=$F51))</f>
        <v>-0</v>
      </c>
      <c r="DC51" s="48" t="n">
        <f aca="false">-$E51*N(AND(DC$3&lt;=$F51,DC$4&gt;=$F51))</f>
        <v>-0</v>
      </c>
      <c r="DD51" s="48" t="n">
        <f aca="false">-$E51*N(AND(DD$3&lt;=$F51,DD$4&gt;=$F51))</f>
        <v>-0</v>
      </c>
      <c r="DE51" s="48" t="n">
        <f aca="false">-$E51*N(AND(DE$3&lt;=$F51,DE$4&gt;=$F51))</f>
        <v>-0</v>
      </c>
      <c r="DF51" s="48" t="n">
        <f aca="false">-$E51*N(AND(DF$3&lt;=$F51,DF$4&gt;=$F51))</f>
        <v>-0</v>
      </c>
      <c r="DG51" s="48" t="n">
        <f aca="false">-$E51*N(AND(DG$3&lt;=$F51,DG$4&gt;=$F51))</f>
        <v>-0</v>
      </c>
      <c r="DH51" s="48" t="n">
        <f aca="false">-$E51*N(AND(DH$3&lt;=$F51,DH$4&gt;=$F51))</f>
        <v>-0</v>
      </c>
      <c r="DI51" s="48" t="n">
        <f aca="false">-$E51*N(AND(DI$3&lt;=$F51,DI$4&gt;=$F51))</f>
        <v>-0</v>
      </c>
      <c r="DJ51" s="48" t="n">
        <f aca="false">-$E51*N(AND(DJ$3&lt;=$F51,DJ$4&gt;=$F51))</f>
        <v>-0</v>
      </c>
      <c r="DK51" s="48" t="n">
        <f aca="false">-$E51*N(AND(DK$3&lt;=$F51,DK$4&gt;=$F51))</f>
        <v>-0</v>
      </c>
      <c r="DL51" s="48" t="n">
        <f aca="false">-$E51*N(AND(DL$3&lt;=$F51,DL$4&gt;=$F51))</f>
        <v>-0</v>
      </c>
      <c r="DM51" s="48" t="n">
        <f aca="false">-$E51*N(AND(DM$3&lt;=$F51,DM$4&gt;=$F51))</f>
        <v>-0</v>
      </c>
      <c r="DN51" s="48" t="n">
        <f aca="false">-$E51*N(AND(DN$3&lt;=$F51,DN$4&gt;=$F51))</f>
        <v>-0</v>
      </c>
      <c r="DO51" s="48" t="n">
        <f aca="false">-$E51*N(AND(DO$3&lt;=$F51,DO$4&gt;=$F51))</f>
        <v>-0</v>
      </c>
      <c r="DP51" s="48" t="n">
        <f aca="false">-$E51*N(AND(DP$3&lt;=$F51,DP$4&gt;=$F51))</f>
        <v>-0</v>
      </c>
      <c r="DQ51" s="48" t="n">
        <f aca="false">-$E51*N(AND(DQ$3&lt;=$F51,DQ$4&gt;=$F51))</f>
        <v>-0</v>
      </c>
      <c r="DR51" s="48" t="n">
        <f aca="false">-$E51*N(AND(DR$3&lt;=$F51,DR$4&gt;=$F51))</f>
        <v>-0</v>
      </c>
      <c r="DS51" s="48" t="n">
        <f aca="false">-$E51*N(AND(DS$3&lt;=$F51,DS$4&gt;=$F51))</f>
        <v>-0</v>
      </c>
      <c r="DT51" s="48" t="n">
        <f aca="false">-$E51*N(AND(DT$3&lt;=$F51,DT$4&gt;=$F51))</f>
        <v>-0</v>
      </c>
      <c r="DU51" s="48" t="n">
        <f aca="false">-$E51*N(AND(DU$3&lt;=$F51,DU$4&gt;=$F51))</f>
        <v>-0</v>
      </c>
      <c r="DV51" s="48" t="n">
        <f aca="false">-$E51*N(AND(DV$3&lt;=$F51,DV$4&gt;=$F51))</f>
        <v>-0</v>
      </c>
      <c r="DW51" s="48" t="n">
        <f aca="false">-$E51*N(AND(DW$3&lt;=$F51,DW$4&gt;=$F51))</f>
        <v>-0</v>
      </c>
      <c r="DX51" s="48" t="n">
        <f aca="false">-$E51*N(AND(DX$3&lt;=$F51,DX$4&gt;=$F51))</f>
        <v>-0</v>
      </c>
      <c r="DY51" s="48" t="n">
        <f aca="false">-$E51*N(AND(DY$3&lt;=$F51,DY$4&gt;=$F51))</f>
        <v>-0</v>
      </c>
      <c r="DZ51" s="48" t="n">
        <f aca="false">-$E51*N(AND(DZ$3&lt;=$F51,DZ$4&gt;=$F51))</f>
        <v>-0</v>
      </c>
      <c r="EA51" s="48" t="n">
        <f aca="false">-$E51*N(AND(EA$3&lt;=$F51,EA$4&gt;=$F51))</f>
        <v>-0</v>
      </c>
      <c r="EB51" s="48" t="n">
        <f aca="false">-$E51*N(AND(EB$3&lt;=$F51,EB$4&gt;=$F51))</f>
        <v>-0</v>
      </c>
      <c r="EC51" s="48" t="n">
        <f aca="false">-$E51*N(AND(EC$3&lt;=$F51,EC$4&gt;=$F51))</f>
        <v>-0</v>
      </c>
      <c r="ED51" s="48" t="n">
        <f aca="false">-$E51*N(AND(ED$3&lt;=$F51,ED$4&gt;=$F51))</f>
        <v>-0</v>
      </c>
      <c r="EE51" s="48" t="n">
        <f aca="false">-$E51*N(AND(EE$3&lt;=$F51,EE$4&gt;=$F51))</f>
        <v>-0</v>
      </c>
      <c r="EF51" s="48" t="n">
        <f aca="false">-$E51*N(AND(EF$3&lt;=$F51,EF$4&gt;=$F51))</f>
        <v>-0</v>
      </c>
      <c r="EG51" s="48" t="n">
        <f aca="false">-$E51*N(AND(EG$3&lt;=$F51,EG$4&gt;=$F51))</f>
        <v>-0</v>
      </c>
      <c r="EH51" s="48" t="n">
        <f aca="false">-$E51*N(AND(EH$3&lt;=$F51,EH$4&gt;=$F51))</f>
        <v>-0</v>
      </c>
      <c r="EI51" s="48" t="n">
        <f aca="false">-$E51*N(AND(EI$3&lt;=$F51,EI$4&gt;=$F51))</f>
        <v>-0</v>
      </c>
      <c r="EJ51" s="48" t="n">
        <f aca="false">-$E51*N(AND(EJ$3&lt;=$F51,EJ$4&gt;=$F51))</f>
        <v>-0</v>
      </c>
      <c r="EK51" s="48" t="n">
        <f aca="false">-$E51*N(AND(EK$3&lt;=$F51,EK$4&gt;=$F51))</f>
        <v>-0</v>
      </c>
      <c r="EL51" s="48" t="n">
        <f aca="false">-$E51*N(AND(EL$3&lt;=$F51,EL$4&gt;=$F51))</f>
        <v>-0</v>
      </c>
      <c r="EM51" s="48" t="n">
        <f aca="false">-$E51*N(AND(EM$3&lt;=$F51,EM$4&gt;=$F51))</f>
        <v>-0</v>
      </c>
      <c r="EN51" s="48" t="n">
        <f aca="false">-$E51*N(AND(EN$3&lt;=$F51,EN$4&gt;=$F51))</f>
        <v>-0</v>
      </c>
      <c r="EO51" s="48" t="n">
        <f aca="false">-$E51*N(AND(EO$3&lt;=$F51,EO$4&gt;=$F51))</f>
        <v>-0</v>
      </c>
    </row>
    <row r="52" customFormat="false" ht="15" hidden="false" customHeight="false" outlineLevel="0" collapsed="false">
      <c r="C52" s="0" t="s">
        <v>438</v>
      </c>
      <c r="D52" s="11" t="s">
        <v>33</v>
      </c>
      <c r="E52" s="48" t="n">
        <f aca="false">In_Bid_Rate*$E50*Thousand/In_FX</f>
        <v>443.287671232877</v>
      </c>
      <c r="F52" s="20" t="n">
        <f aca="false">In_Bid_Date</f>
        <v>46325</v>
      </c>
      <c r="J52" s="48" t="n">
        <f aca="false">$E52*MAX(0,(MIN(In_Decision_Date+In_PB_Days-1,J$4)-MAX($F52,J$3)+1)/J$5)</f>
        <v>303.55568790947</v>
      </c>
      <c r="K52" s="48" t="n">
        <f aca="false">$E52*MAX(0,(MIN(In_Decision_Date+In_PB_Days-1,K$4)-MAX($F52,K$3)+1)/K$5)</f>
        <v>221.643835616438</v>
      </c>
      <c r="L52" s="48" t="n">
        <f aca="false">$E52*MAX(0,(MIN(In_Decision_Date+In_PB_Days-1,L$4)-MAX($F52,L$3)+1)/L$5)</f>
        <v>0</v>
      </c>
      <c r="M52" s="48" t="n">
        <f aca="false">$E52*MAX(0,(MIN(In_Decision_Date+In_PB_Days-1,M$4)-MAX($F52,M$3)+1)/M$5)</f>
        <v>0</v>
      </c>
      <c r="N52" s="48" t="n">
        <f aca="false">$E52*MAX(0,(MIN(In_Decision_Date+In_PB_Days-1,N$4)-MAX($F52,N$3)+1)/N$5)</f>
        <v>0</v>
      </c>
      <c r="O52" s="48" t="n">
        <f aca="false">$E52*MAX(0,(MIN(In_Decision_Date+In_PB_Days-1,O$4)-MAX($F52,O$3)+1)/O$5)</f>
        <v>0</v>
      </c>
      <c r="P52" s="48" t="n">
        <f aca="false">$E52*MAX(0,(MIN(In_Decision_Date+In_PB_Days-1,P$4)-MAX($F52,P$3)+1)/P$5)</f>
        <v>0</v>
      </c>
      <c r="Q52" s="48" t="n">
        <f aca="false">$E52*MAX(0,(MIN(In_Decision_Date+In_PB_Days-1,Q$4)-MAX($F52,Q$3)+1)/Q$5)</f>
        <v>0</v>
      </c>
      <c r="R52" s="48" t="n">
        <f aca="false">$E52*MAX(0,(MIN(In_Decision_Date+In_PB_Days-1,R$4)-MAX($F52,R$3)+1)/R$5)</f>
        <v>0</v>
      </c>
      <c r="S52" s="48" t="n">
        <f aca="false">$E52*MAX(0,(MIN(In_Decision_Date+In_PB_Days-1,S$4)-MAX($F52,S$3)+1)/S$5)</f>
        <v>0</v>
      </c>
      <c r="T52" s="48" t="n">
        <f aca="false">$E52*MAX(0,(MIN(In_Decision_Date+In_PB_Days-1,T$4)-MAX($F52,T$3)+1)/T$5)</f>
        <v>0</v>
      </c>
      <c r="U52" s="48" t="n">
        <f aca="false">$E52*MAX(0,(MIN(In_Decision_Date+In_PB_Days-1,U$4)-MAX($F52,U$3)+1)/U$5)</f>
        <v>0</v>
      </c>
      <c r="V52" s="48" t="n">
        <f aca="false">$E52*MAX(0,(MIN(In_Decision_Date+In_PB_Days-1,V$4)-MAX($F52,V$3)+1)/V$5)</f>
        <v>0</v>
      </c>
      <c r="W52" s="48" t="n">
        <f aca="false">$E52*MAX(0,(MIN(In_Decision_Date+In_PB_Days-1,W$4)-MAX($F52,W$3)+1)/W$5)</f>
        <v>0</v>
      </c>
      <c r="X52" s="48" t="n">
        <f aca="false">$E52*MAX(0,(MIN(In_Decision_Date+In_PB_Days-1,X$4)-MAX($F52,X$3)+1)/X$5)</f>
        <v>0</v>
      </c>
      <c r="Y52" s="48" t="n">
        <f aca="false">$E52*MAX(0,(MIN(In_Decision_Date+In_PB_Days-1,Y$4)-MAX($F52,Y$3)+1)/Y$5)</f>
        <v>0</v>
      </c>
      <c r="Z52" s="48" t="n">
        <f aca="false">$E52*MAX(0,(MIN(In_Decision_Date+In_PB_Days-1,Z$4)-MAX($F52,Z$3)+1)/Z$5)</f>
        <v>0</v>
      </c>
      <c r="AA52" s="48" t="n">
        <f aca="false">$E52*MAX(0,(MIN(In_Decision_Date+In_PB_Days-1,AA$4)-MAX($F52,AA$3)+1)/AA$5)</f>
        <v>0</v>
      </c>
      <c r="AB52" s="48" t="n">
        <f aca="false">$E52*MAX(0,(MIN(In_Decision_Date+In_PB_Days-1,AB$4)-MAX($F52,AB$3)+1)/AB$5)</f>
        <v>0</v>
      </c>
      <c r="AC52" s="48" t="n">
        <f aca="false">$E52*MAX(0,(MIN(In_Decision_Date+In_PB_Days-1,AC$4)-MAX($F52,AC$3)+1)/AC$5)</f>
        <v>0</v>
      </c>
      <c r="AD52" s="48" t="n">
        <f aca="false">$E52*MAX(0,(MIN(In_Decision_Date+In_PB_Days-1,AD$4)-MAX($F52,AD$3)+1)/AD$5)</f>
        <v>0</v>
      </c>
      <c r="AE52" s="48" t="n">
        <f aca="false">$E52*MAX(0,(MIN(In_Decision_Date+In_PB_Days-1,AE$4)-MAX($F52,AE$3)+1)/AE$5)</f>
        <v>0</v>
      </c>
      <c r="AF52" s="48" t="n">
        <f aca="false">$E52*MAX(0,(MIN(In_Decision_Date+In_PB_Days-1,AF$4)-MAX($F52,AF$3)+1)/AF$5)</f>
        <v>0</v>
      </c>
      <c r="AG52" s="48" t="n">
        <f aca="false">$E52*MAX(0,(MIN(In_Decision_Date+In_PB_Days-1,AG$4)-MAX($F52,AG$3)+1)/AG$5)</f>
        <v>0</v>
      </c>
      <c r="AH52" s="48" t="n">
        <f aca="false">$E52*MAX(0,(MIN(In_Decision_Date+In_PB_Days-1,AH$4)-MAX($F52,AH$3)+1)/AH$5)</f>
        <v>0</v>
      </c>
      <c r="AI52" s="48" t="n">
        <f aca="false">$E52*MAX(0,(MIN(In_Decision_Date+In_PB_Days-1,AI$4)-MAX($F52,AI$3)+1)/AI$5)</f>
        <v>0</v>
      </c>
      <c r="AJ52" s="48" t="n">
        <f aca="false">$E52*MAX(0,(MIN(In_Decision_Date+In_PB_Days-1,AJ$4)-MAX($F52,AJ$3)+1)/AJ$5)</f>
        <v>0</v>
      </c>
      <c r="AK52" s="48" t="n">
        <f aca="false">$E52*MAX(0,(MIN(In_Decision_Date+In_PB_Days-1,AK$4)-MAX($F52,AK$3)+1)/AK$5)</f>
        <v>0</v>
      </c>
      <c r="AL52" s="48" t="n">
        <f aca="false">$E52*MAX(0,(MIN(In_Decision_Date+In_PB_Days-1,AL$4)-MAX($F52,AL$3)+1)/AL$5)</f>
        <v>0</v>
      </c>
      <c r="AM52" s="48" t="n">
        <f aca="false">$E52*MAX(0,(MIN(In_Decision_Date+In_PB_Days-1,AM$4)-MAX($F52,AM$3)+1)/AM$5)</f>
        <v>0</v>
      </c>
      <c r="AN52" s="48" t="n">
        <f aca="false">$E52*MAX(0,(MIN(In_Decision_Date+In_PB_Days-1,AN$4)-MAX($F52,AN$3)+1)/AN$5)</f>
        <v>0</v>
      </c>
      <c r="AO52" s="48" t="n">
        <f aca="false">$E52*MAX(0,(MIN(In_Decision_Date+In_PB_Days-1,AO$4)-MAX($F52,AO$3)+1)/AO$5)</f>
        <v>0</v>
      </c>
      <c r="AP52" s="48" t="n">
        <f aca="false">$E52*MAX(0,(MIN(In_Decision_Date+In_PB_Days-1,AP$4)-MAX($F52,AP$3)+1)/AP$5)</f>
        <v>0</v>
      </c>
      <c r="AQ52" s="48" t="n">
        <f aca="false">$E52*MAX(0,(MIN(In_Decision_Date+In_PB_Days-1,AQ$4)-MAX($F52,AQ$3)+1)/AQ$5)</f>
        <v>0</v>
      </c>
      <c r="AR52" s="48" t="n">
        <f aca="false">$E52*MAX(0,(MIN(In_Decision_Date+In_PB_Days-1,AR$4)-MAX($F52,AR$3)+1)/AR$5)</f>
        <v>0</v>
      </c>
      <c r="AS52" s="48" t="n">
        <f aca="false">$E52*MAX(0,(MIN(In_Decision_Date+In_PB_Days-1,AS$4)-MAX($F52,AS$3)+1)/AS$5)</f>
        <v>0</v>
      </c>
      <c r="AT52" s="48" t="n">
        <f aca="false">$E52*MAX(0,(MIN(In_Decision_Date+In_PB_Days-1,AT$4)-MAX($F52,AT$3)+1)/AT$5)</f>
        <v>0</v>
      </c>
      <c r="AU52" s="48" t="n">
        <f aca="false">$E52*MAX(0,(MIN(In_Decision_Date+In_PB_Days-1,AU$4)-MAX($F52,AU$3)+1)/AU$5)</f>
        <v>0</v>
      </c>
      <c r="AV52" s="48" t="n">
        <f aca="false">$E52*MAX(0,(MIN(In_Decision_Date+In_PB_Days-1,AV$4)-MAX($F52,AV$3)+1)/AV$5)</f>
        <v>0</v>
      </c>
      <c r="AW52" s="48" t="n">
        <f aca="false">$E52*MAX(0,(MIN(In_Decision_Date+In_PB_Days-1,AW$4)-MAX($F52,AW$3)+1)/AW$5)</f>
        <v>0</v>
      </c>
      <c r="AX52" s="48" t="n">
        <f aca="false">$E52*MAX(0,(MIN(In_Decision_Date+In_PB_Days-1,AX$4)-MAX($F52,AX$3)+1)/AX$5)</f>
        <v>0</v>
      </c>
      <c r="AY52" s="48" t="n">
        <f aca="false">$E52*MAX(0,(MIN(In_Decision_Date+In_PB_Days-1,AY$4)-MAX($F52,AY$3)+1)/AY$5)</f>
        <v>0</v>
      </c>
      <c r="AZ52" s="48" t="n">
        <f aca="false">$E52*MAX(0,(MIN(In_Decision_Date+In_PB_Days-1,AZ$4)-MAX($F52,AZ$3)+1)/AZ$5)</f>
        <v>0</v>
      </c>
      <c r="BA52" s="48" t="n">
        <f aca="false">$E52*MAX(0,(MIN(In_Decision_Date+In_PB_Days-1,BA$4)-MAX($F52,BA$3)+1)/BA$5)</f>
        <v>0</v>
      </c>
      <c r="BB52" s="48" t="n">
        <f aca="false">$E52*MAX(0,(MIN(In_Decision_Date+In_PB_Days-1,BB$4)-MAX($F52,BB$3)+1)/BB$5)</f>
        <v>0</v>
      </c>
      <c r="BC52" s="48" t="n">
        <f aca="false">$E52*MAX(0,(MIN(In_Decision_Date+In_PB_Days-1,BC$4)-MAX($F52,BC$3)+1)/BC$5)</f>
        <v>0</v>
      </c>
      <c r="BD52" s="48" t="n">
        <f aca="false">$E52*MAX(0,(MIN(In_Decision_Date+In_PB_Days-1,BD$4)-MAX($F52,BD$3)+1)/BD$5)</f>
        <v>0</v>
      </c>
      <c r="BE52" s="48" t="n">
        <f aca="false">$E52*MAX(0,(MIN(In_Decision_Date+In_PB_Days-1,BE$4)-MAX($F52,BE$3)+1)/BE$5)</f>
        <v>0</v>
      </c>
      <c r="BF52" s="48" t="n">
        <f aca="false">$E52*MAX(0,(MIN(In_Decision_Date+In_PB_Days-1,BF$4)-MAX($F52,BF$3)+1)/BF$5)</f>
        <v>0</v>
      </c>
      <c r="BG52" s="48" t="n">
        <f aca="false">$E52*MAX(0,(MIN(In_Decision_Date+In_PB_Days-1,BG$4)-MAX($F52,BG$3)+1)/BG$5)</f>
        <v>0</v>
      </c>
      <c r="BH52" s="48" t="n">
        <f aca="false">$E52*MAX(0,(MIN(In_Decision_Date+In_PB_Days-1,BH$4)-MAX($F52,BH$3)+1)/BH$5)</f>
        <v>0</v>
      </c>
      <c r="BI52" s="48" t="n">
        <f aca="false">$E52*MAX(0,(MIN(In_Decision_Date+In_PB_Days-1,BI$4)-MAX($F52,BI$3)+1)/BI$5)</f>
        <v>0</v>
      </c>
      <c r="BJ52" s="48" t="n">
        <f aca="false">$E52*MAX(0,(MIN(In_Decision_Date+In_PB_Days-1,BJ$4)-MAX($F52,BJ$3)+1)/BJ$5)</f>
        <v>0</v>
      </c>
      <c r="BK52" s="48" t="n">
        <f aca="false">$E52*MAX(0,(MIN(In_Decision_Date+In_PB_Days-1,BK$4)-MAX($F52,BK$3)+1)/BK$5)</f>
        <v>0</v>
      </c>
      <c r="BL52" s="48" t="n">
        <f aca="false">$E52*MAX(0,(MIN(In_Decision_Date+In_PB_Days-1,BL$4)-MAX($F52,BL$3)+1)/BL$5)</f>
        <v>0</v>
      </c>
      <c r="BM52" s="48" t="n">
        <f aca="false">$E52*MAX(0,(MIN(In_Decision_Date+In_PB_Days-1,BM$4)-MAX($F52,BM$3)+1)/BM$5)</f>
        <v>0</v>
      </c>
      <c r="BN52" s="48" t="n">
        <f aca="false">$E52*MAX(0,(MIN(In_Decision_Date+In_PB_Days-1,BN$4)-MAX($F52,BN$3)+1)/BN$5)</f>
        <v>0</v>
      </c>
      <c r="BO52" s="48" t="n">
        <f aca="false">$E52*MAX(0,(MIN(In_Decision_Date+In_PB_Days-1,BO$4)-MAX($F52,BO$3)+1)/BO$5)</f>
        <v>0</v>
      </c>
      <c r="BP52" s="48" t="n">
        <f aca="false">$E52*MAX(0,(MIN(In_Decision_Date+In_PB_Days-1,BP$4)-MAX($F52,BP$3)+1)/BP$5)</f>
        <v>0</v>
      </c>
      <c r="BQ52" s="48" t="n">
        <f aca="false">$E52*MAX(0,(MIN(In_Decision_Date+In_PB_Days-1,BQ$4)-MAX($F52,BQ$3)+1)/BQ$5)</f>
        <v>0</v>
      </c>
      <c r="BR52" s="48" t="n">
        <f aca="false">$E52*MAX(0,(MIN(In_Decision_Date+In_PB_Days-1,BR$4)-MAX($F52,BR$3)+1)/BR$5)</f>
        <v>0</v>
      </c>
      <c r="BS52" s="48" t="n">
        <f aca="false">$E52*MAX(0,(MIN(In_Decision_Date+In_PB_Days-1,BS$4)-MAX($F52,BS$3)+1)/BS$5)</f>
        <v>0</v>
      </c>
      <c r="BT52" s="48" t="n">
        <f aca="false">$E52*MAX(0,(MIN(In_Decision_Date+In_PB_Days-1,BT$4)-MAX($F52,BT$3)+1)/BT$5)</f>
        <v>0</v>
      </c>
      <c r="BU52" s="48" t="n">
        <f aca="false">$E52*MAX(0,(MIN(In_Decision_Date+In_PB_Days-1,BU$4)-MAX($F52,BU$3)+1)/BU$5)</f>
        <v>0</v>
      </c>
      <c r="BV52" s="48" t="n">
        <f aca="false">$E52*MAX(0,(MIN(In_Decision_Date+In_PB_Days-1,BV$4)-MAX($F52,BV$3)+1)/BV$5)</f>
        <v>0</v>
      </c>
      <c r="BW52" s="48" t="n">
        <f aca="false">$E52*MAX(0,(MIN(In_Decision_Date+In_PB_Days-1,BW$4)-MAX($F52,BW$3)+1)/BW$5)</f>
        <v>0</v>
      </c>
      <c r="BX52" s="48" t="n">
        <f aca="false">$E52*MAX(0,(MIN(In_Decision_Date+In_PB_Days-1,BX$4)-MAX($F52,BX$3)+1)/BX$5)</f>
        <v>0</v>
      </c>
      <c r="BY52" s="48" t="n">
        <f aca="false">$E52*MAX(0,(MIN(In_Decision_Date+In_PB_Days-1,BY$4)-MAX($F52,BY$3)+1)/BY$5)</f>
        <v>0</v>
      </c>
      <c r="BZ52" s="48" t="n">
        <f aca="false">$E52*MAX(0,(MIN(In_Decision_Date+In_PB_Days-1,BZ$4)-MAX($F52,BZ$3)+1)/BZ$5)</f>
        <v>0</v>
      </c>
      <c r="CA52" s="48" t="n">
        <f aca="false">$E52*MAX(0,(MIN(In_Decision_Date+In_PB_Days-1,CA$4)-MAX($F52,CA$3)+1)/CA$5)</f>
        <v>0</v>
      </c>
      <c r="CB52" s="48" t="n">
        <f aca="false">$E52*MAX(0,(MIN(In_Decision_Date+In_PB_Days-1,CB$4)-MAX($F52,CB$3)+1)/CB$5)</f>
        <v>0</v>
      </c>
      <c r="CC52" s="48" t="n">
        <f aca="false">$E52*MAX(0,(MIN(In_Decision_Date+In_PB_Days-1,CC$4)-MAX($F52,CC$3)+1)/CC$5)</f>
        <v>0</v>
      </c>
      <c r="CD52" s="48" t="n">
        <f aca="false">$E52*MAX(0,(MIN(In_Decision_Date+In_PB_Days-1,CD$4)-MAX($F52,CD$3)+1)/CD$5)</f>
        <v>0</v>
      </c>
      <c r="CE52" s="48" t="n">
        <f aca="false">$E52*MAX(0,(MIN(In_Decision_Date+In_PB_Days-1,CE$4)-MAX($F52,CE$3)+1)/CE$5)</f>
        <v>0</v>
      </c>
      <c r="CF52" s="48" t="n">
        <f aca="false">$E52*MAX(0,(MIN(In_Decision_Date+In_PB_Days-1,CF$4)-MAX($F52,CF$3)+1)/CF$5)</f>
        <v>0</v>
      </c>
      <c r="CG52" s="48" t="n">
        <f aca="false">$E52*MAX(0,(MIN(In_Decision_Date+In_PB_Days-1,CG$4)-MAX($F52,CG$3)+1)/CG$5)</f>
        <v>0</v>
      </c>
      <c r="CH52" s="48" t="n">
        <f aca="false">$E52*MAX(0,(MIN(In_Decision_Date+In_PB_Days-1,CH$4)-MAX($F52,CH$3)+1)/CH$5)</f>
        <v>0</v>
      </c>
      <c r="CI52" s="48" t="n">
        <f aca="false">$E52*MAX(0,(MIN(In_Decision_Date+In_PB_Days-1,CI$4)-MAX($F52,CI$3)+1)/CI$5)</f>
        <v>0</v>
      </c>
      <c r="CJ52" s="48" t="n">
        <f aca="false">$E52*MAX(0,(MIN(In_Decision_Date+In_PB_Days-1,CJ$4)-MAX($F52,CJ$3)+1)/CJ$5)</f>
        <v>0</v>
      </c>
      <c r="CK52" s="48" t="n">
        <f aca="false">$E52*MAX(0,(MIN(In_Decision_Date+In_PB_Days-1,CK$4)-MAX($F52,CK$3)+1)/CK$5)</f>
        <v>0</v>
      </c>
      <c r="CL52" s="48" t="n">
        <f aca="false">$E52*MAX(0,(MIN(In_Decision_Date+In_PB_Days-1,CL$4)-MAX($F52,CL$3)+1)/CL$5)</f>
        <v>0</v>
      </c>
      <c r="CM52" s="48" t="n">
        <f aca="false">$E52*MAX(0,(MIN(In_Decision_Date+In_PB_Days-1,CM$4)-MAX($F52,CM$3)+1)/CM$5)</f>
        <v>0</v>
      </c>
      <c r="CN52" s="48" t="n">
        <f aca="false">$E52*MAX(0,(MIN(In_Decision_Date+In_PB_Days-1,CN$4)-MAX($F52,CN$3)+1)/CN$5)</f>
        <v>0</v>
      </c>
      <c r="CO52" s="48" t="n">
        <f aca="false">$E52*MAX(0,(MIN(In_Decision_Date+In_PB_Days-1,CO$4)-MAX($F52,CO$3)+1)/CO$5)</f>
        <v>0</v>
      </c>
      <c r="CP52" s="48" t="n">
        <f aca="false">$E52*MAX(0,(MIN(In_Decision_Date+In_PB_Days-1,CP$4)-MAX($F52,CP$3)+1)/CP$5)</f>
        <v>0</v>
      </c>
      <c r="CQ52" s="48" t="n">
        <f aca="false">$E52*MAX(0,(MIN(In_Decision_Date+In_PB_Days-1,CQ$4)-MAX($F52,CQ$3)+1)/CQ$5)</f>
        <v>0</v>
      </c>
      <c r="CR52" s="48" t="n">
        <f aca="false">$E52*MAX(0,(MIN(In_Decision_Date+In_PB_Days-1,CR$4)-MAX($F52,CR$3)+1)/CR$5)</f>
        <v>0</v>
      </c>
      <c r="CS52" s="48" t="n">
        <f aca="false">$E52*MAX(0,(MIN(In_Decision_Date+In_PB_Days-1,CS$4)-MAX($F52,CS$3)+1)/CS$5)</f>
        <v>0</v>
      </c>
      <c r="CT52" s="48" t="n">
        <f aca="false">$E52*MAX(0,(MIN(In_Decision_Date+In_PB_Days-1,CT$4)-MAX($F52,CT$3)+1)/CT$5)</f>
        <v>0</v>
      </c>
      <c r="CU52" s="48" t="n">
        <f aca="false">$E52*MAX(0,(MIN(In_Decision_Date+In_PB_Days-1,CU$4)-MAX($F52,CU$3)+1)/CU$5)</f>
        <v>0</v>
      </c>
      <c r="CV52" s="48" t="n">
        <f aca="false">$E52*MAX(0,(MIN(In_Decision_Date+In_PB_Days-1,CV$4)-MAX($F52,CV$3)+1)/CV$5)</f>
        <v>0</v>
      </c>
      <c r="CW52" s="48" t="n">
        <f aca="false">$E52*MAX(0,(MIN(In_Decision_Date+In_PB_Days-1,CW$4)-MAX($F52,CW$3)+1)/CW$5)</f>
        <v>0</v>
      </c>
      <c r="CX52" s="48" t="n">
        <f aca="false">$E52*MAX(0,(MIN(In_Decision_Date+In_PB_Days-1,CX$4)-MAX($F52,CX$3)+1)/CX$5)</f>
        <v>0</v>
      </c>
      <c r="CY52" s="48" t="n">
        <f aca="false">$E52*MAX(0,(MIN(In_Decision_Date+In_PB_Days-1,CY$4)-MAX($F52,CY$3)+1)/CY$5)</f>
        <v>0</v>
      </c>
      <c r="CZ52" s="48" t="n">
        <f aca="false">$E52*MAX(0,(MIN(In_Decision_Date+In_PB_Days-1,CZ$4)-MAX($F52,CZ$3)+1)/CZ$5)</f>
        <v>0</v>
      </c>
      <c r="DA52" s="48" t="n">
        <f aca="false">$E52*MAX(0,(MIN(In_Decision_Date+In_PB_Days-1,DA$4)-MAX($F52,DA$3)+1)/DA$5)</f>
        <v>0</v>
      </c>
      <c r="DB52" s="48" t="n">
        <f aca="false">$E52*MAX(0,(MIN(In_Decision_Date+In_PB_Days-1,DB$4)-MAX($F52,DB$3)+1)/DB$5)</f>
        <v>0</v>
      </c>
      <c r="DC52" s="48" t="n">
        <f aca="false">$E52*MAX(0,(MIN(In_Decision_Date+In_PB_Days-1,DC$4)-MAX($F52,DC$3)+1)/DC$5)</f>
        <v>0</v>
      </c>
      <c r="DD52" s="48" t="n">
        <f aca="false">$E52*MAX(0,(MIN(In_Decision_Date+In_PB_Days-1,DD$4)-MAX($F52,DD$3)+1)/DD$5)</f>
        <v>0</v>
      </c>
      <c r="DE52" s="48" t="n">
        <f aca="false">$E52*MAX(0,(MIN(In_Decision_Date+In_PB_Days-1,DE$4)-MAX($F52,DE$3)+1)/DE$5)</f>
        <v>0</v>
      </c>
      <c r="DF52" s="48" t="n">
        <f aca="false">$E52*MAX(0,(MIN(In_Decision_Date+In_PB_Days-1,DF$4)-MAX($F52,DF$3)+1)/DF$5)</f>
        <v>0</v>
      </c>
      <c r="DG52" s="48" t="n">
        <f aca="false">$E52*MAX(0,(MIN(In_Decision_Date+In_PB_Days-1,DG$4)-MAX($F52,DG$3)+1)/DG$5)</f>
        <v>0</v>
      </c>
      <c r="DH52" s="48" t="n">
        <f aca="false">$E52*MAX(0,(MIN(In_Decision_Date+In_PB_Days-1,DH$4)-MAX($F52,DH$3)+1)/DH$5)</f>
        <v>0</v>
      </c>
      <c r="DI52" s="48" t="n">
        <f aca="false">$E52*MAX(0,(MIN(In_Decision_Date+In_PB_Days-1,DI$4)-MAX($F52,DI$3)+1)/DI$5)</f>
        <v>0</v>
      </c>
      <c r="DJ52" s="48" t="n">
        <f aca="false">$E52*MAX(0,(MIN(In_Decision_Date+In_PB_Days-1,DJ$4)-MAX($F52,DJ$3)+1)/DJ$5)</f>
        <v>0</v>
      </c>
      <c r="DK52" s="48" t="n">
        <f aca="false">$E52*MAX(0,(MIN(In_Decision_Date+In_PB_Days-1,DK$4)-MAX($F52,DK$3)+1)/DK$5)</f>
        <v>0</v>
      </c>
      <c r="DL52" s="48" t="n">
        <f aca="false">$E52*MAX(0,(MIN(In_Decision_Date+In_PB_Days-1,DL$4)-MAX($F52,DL$3)+1)/DL$5)</f>
        <v>0</v>
      </c>
      <c r="DM52" s="48" t="n">
        <f aca="false">$E52*MAX(0,(MIN(In_Decision_Date+In_PB_Days-1,DM$4)-MAX($F52,DM$3)+1)/DM$5)</f>
        <v>0</v>
      </c>
      <c r="DN52" s="48" t="n">
        <f aca="false">$E52*MAX(0,(MIN(In_Decision_Date+In_PB_Days-1,DN$4)-MAX($F52,DN$3)+1)/DN$5)</f>
        <v>0</v>
      </c>
      <c r="DO52" s="48" t="n">
        <f aca="false">$E52*MAX(0,(MIN(In_Decision_Date+In_PB_Days-1,DO$4)-MAX($F52,DO$3)+1)/DO$5)</f>
        <v>0</v>
      </c>
      <c r="DP52" s="48" t="n">
        <f aca="false">$E52*MAX(0,(MIN(In_Decision_Date+In_PB_Days-1,DP$4)-MAX($F52,DP$3)+1)/DP$5)</f>
        <v>0</v>
      </c>
      <c r="DQ52" s="48" t="n">
        <f aca="false">$E52*MAX(0,(MIN(In_Decision_Date+In_PB_Days-1,DQ$4)-MAX($F52,DQ$3)+1)/DQ$5)</f>
        <v>0</v>
      </c>
      <c r="DR52" s="48" t="n">
        <f aca="false">$E52*MAX(0,(MIN(In_Decision_Date+In_PB_Days-1,DR$4)-MAX($F52,DR$3)+1)/DR$5)</f>
        <v>0</v>
      </c>
      <c r="DS52" s="48" t="n">
        <f aca="false">$E52*MAX(0,(MIN(In_Decision_Date+In_PB_Days-1,DS$4)-MAX($F52,DS$3)+1)/DS$5)</f>
        <v>0</v>
      </c>
      <c r="DT52" s="48" t="n">
        <f aca="false">$E52*MAX(0,(MIN(In_Decision_Date+In_PB_Days-1,DT$4)-MAX($F52,DT$3)+1)/DT$5)</f>
        <v>0</v>
      </c>
      <c r="DU52" s="48" t="n">
        <f aca="false">$E52*MAX(0,(MIN(In_Decision_Date+In_PB_Days-1,DU$4)-MAX($F52,DU$3)+1)/DU$5)</f>
        <v>0</v>
      </c>
      <c r="DV52" s="48" t="n">
        <f aca="false">$E52*MAX(0,(MIN(In_Decision_Date+In_PB_Days-1,DV$4)-MAX($F52,DV$3)+1)/DV$5)</f>
        <v>0</v>
      </c>
      <c r="DW52" s="48" t="n">
        <f aca="false">$E52*MAX(0,(MIN(In_Decision_Date+In_PB_Days-1,DW$4)-MAX($F52,DW$3)+1)/DW$5)</f>
        <v>0</v>
      </c>
      <c r="DX52" s="48" t="n">
        <f aca="false">$E52*MAX(0,(MIN(In_Decision_Date+In_PB_Days-1,DX$4)-MAX($F52,DX$3)+1)/DX$5)</f>
        <v>0</v>
      </c>
      <c r="DY52" s="48" t="n">
        <f aca="false">$E52*MAX(0,(MIN(In_Decision_Date+In_PB_Days-1,DY$4)-MAX($F52,DY$3)+1)/DY$5)</f>
        <v>0</v>
      </c>
      <c r="DZ52" s="48" t="n">
        <f aca="false">$E52*MAX(0,(MIN(In_Decision_Date+In_PB_Days-1,DZ$4)-MAX($F52,DZ$3)+1)/DZ$5)</f>
        <v>0</v>
      </c>
      <c r="EA52" s="48" t="n">
        <f aca="false">$E52*MAX(0,(MIN(In_Decision_Date+In_PB_Days-1,EA$4)-MAX($F52,EA$3)+1)/EA$5)</f>
        <v>0</v>
      </c>
      <c r="EB52" s="48" t="n">
        <f aca="false">$E52*MAX(0,(MIN(In_Decision_Date+In_PB_Days-1,EB$4)-MAX($F52,EB$3)+1)/EB$5)</f>
        <v>0</v>
      </c>
      <c r="EC52" s="48" t="n">
        <f aca="false">$E52*MAX(0,(MIN(In_Decision_Date+In_PB_Days-1,EC$4)-MAX($F52,EC$3)+1)/EC$5)</f>
        <v>0</v>
      </c>
      <c r="ED52" s="48" t="n">
        <f aca="false">$E52*MAX(0,(MIN(In_Decision_Date+In_PB_Days-1,ED$4)-MAX($F52,ED$3)+1)/ED$5)</f>
        <v>0</v>
      </c>
      <c r="EE52" s="48" t="n">
        <f aca="false">$E52*MAX(0,(MIN(In_Decision_Date+In_PB_Days-1,EE$4)-MAX($F52,EE$3)+1)/EE$5)</f>
        <v>0</v>
      </c>
      <c r="EF52" s="48" t="n">
        <f aca="false">$E52*MAX(0,(MIN(In_Decision_Date+In_PB_Days-1,EF$4)-MAX($F52,EF$3)+1)/EF$5)</f>
        <v>0</v>
      </c>
      <c r="EG52" s="48" t="n">
        <f aca="false">$E52*MAX(0,(MIN(In_Decision_Date+In_PB_Days-1,EG$4)-MAX($F52,EG$3)+1)/EG$5)</f>
        <v>0</v>
      </c>
      <c r="EH52" s="48" t="n">
        <f aca="false">$E52*MAX(0,(MIN(In_Decision_Date+In_PB_Days-1,EH$4)-MAX($F52,EH$3)+1)/EH$5)</f>
        <v>0</v>
      </c>
      <c r="EI52" s="48" t="n">
        <f aca="false">$E52*MAX(0,(MIN(In_Decision_Date+In_PB_Days-1,EI$4)-MAX($F52,EI$3)+1)/EI$5)</f>
        <v>0</v>
      </c>
      <c r="EJ52" s="48" t="n">
        <f aca="false">$E52*MAX(0,(MIN(In_Decision_Date+In_PB_Days-1,EJ$4)-MAX($F52,EJ$3)+1)/EJ$5)</f>
        <v>0</v>
      </c>
      <c r="EK52" s="48" t="n">
        <f aca="false">$E52*MAX(0,(MIN(In_Decision_Date+In_PB_Days-1,EK$4)-MAX($F52,EK$3)+1)/EK$5)</f>
        <v>0</v>
      </c>
      <c r="EL52" s="48" t="n">
        <f aca="false">$E52*MAX(0,(MIN(In_Decision_Date+In_PB_Days-1,EL$4)-MAX($F52,EL$3)+1)/EL$5)</f>
        <v>0</v>
      </c>
      <c r="EM52" s="48" t="n">
        <f aca="false">$E52*MAX(0,(MIN(In_Decision_Date+In_PB_Days-1,EM$4)-MAX($F52,EM$3)+1)/EM$5)</f>
        <v>0</v>
      </c>
      <c r="EN52" s="48" t="n">
        <f aca="false">$E52*MAX(0,(MIN(In_Decision_Date+In_PB_Days-1,EN$4)-MAX($F52,EN$3)+1)/EN$5)</f>
        <v>0</v>
      </c>
      <c r="EO52" s="48" t="n">
        <f aca="false">$E52*MAX(0,(MIN(In_Decision_Date+In_PB_Days-1,EO$4)-MAX($F52,EO$3)+1)/EO$5)</f>
        <v>0</v>
      </c>
    </row>
    <row r="53" customFormat="false" ht="15" hidden="false" customHeight="false" outlineLevel="0" collapsed="false">
      <c r="C53" s="0" t="s">
        <v>439</v>
      </c>
      <c r="D53" s="11" t="s">
        <v>33</v>
      </c>
      <c r="E53" s="48" t="n">
        <f aca="false">In_PB_Rate*$E39*$E50*Thousand/In_FX</f>
        <v>2216.43835616438</v>
      </c>
      <c r="F53" s="46" t="n">
        <f aca="false">In_Decision_Date+In_PB_Days</f>
        <v>46433</v>
      </c>
      <c r="J53" s="48" t="n">
        <f aca="false">$E53*MAX(0,(MIN(In_PB_Release,J$4)-MAX($F53,J$3)+1)/J$5)</f>
        <v>0</v>
      </c>
      <c r="K53" s="48" t="n">
        <f aca="false">$E53*MAX(0,(MIN(In_PB_Release,K$4)-MAX($F53,K$3)+1)/K$5)</f>
        <v>1108.21917808219</v>
      </c>
      <c r="L53" s="48" t="n">
        <f aca="false">$E53*MAX(0,(MIN(In_PB_Release,L$4)-MAX($F53,L$3)+1)/L$5)</f>
        <v>2216.43835616438</v>
      </c>
      <c r="M53" s="48" t="n">
        <f aca="false">$E53*MAX(0,(MIN(In_PB_Release,M$4)-MAX($F53,M$3)+1)/M$5)</f>
        <v>2216.43835616438</v>
      </c>
      <c r="N53" s="48" t="n">
        <f aca="false">$E53*MAX(0,(MIN(In_PB_Release,N$4)-MAX($F53,N$3)+1)/N$5)</f>
        <v>2216.43835616438</v>
      </c>
      <c r="O53" s="48" t="n">
        <f aca="false">$E53*MAX(0,(MIN(In_PB_Release,O$4)-MAX($F53,O$3)+1)/O$5)</f>
        <v>2216.43835616438</v>
      </c>
      <c r="P53" s="48" t="n">
        <f aca="false">$E53*MAX(0,(MIN(In_PB_Release,P$4)-MAX($F53,P$3)+1)/P$5)</f>
        <v>2216.43835616438</v>
      </c>
      <c r="Q53" s="48" t="n">
        <f aca="false">$E53*MAX(0,(MIN(In_PB_Release,Q$4)-MAX($F53,Q$3)+1)/Q$5)</f>
        <v>2216.43835616438</v>
      </c>
      <c r="R53" s="48" t="n">
        <f aca="false">$E53*MAX(0,(MIN(In_PB_Release,R$4)-MAX($F53,R$3)+1)/R$5)</f>
        <v>2216.43835616438</v>
      </c>
      <c r="S53" s="48" t="n">
        <f aca="false">$E53*MAX(0,(MIN(In_PB_Release,S$4)-MAX($F53,S$3)+1)/S$5)</f>
        <v>2216.43835616438</v>
      </c>
      <c r="T53" s="48" t="n">
        <f aca="false">$E53*MAX(0,(MIN(In_PB_Release,T$4)-MAX($F53,T$3)+1)/T$5)</f>
        <v>2216.43835616438</v>
      </c>
      <c r="U53" s="48" t="n">
        <f aca="false">$E53*MAX(0,(MIN(In_PB_Release,U$4)-MAX($F53,U$3)+1)/U$5)</f>
        <v>2216.43835616438</v>
      </c>
      <c r="V53" s="48" t="n">
        <f aca="false">$E53*MAX(0,(MIN(In_PB_Release,V$4)-MAX($F53,V$3)+1)/V$5)</f>
        <v>2216.43835616438</v>
      </c>
      <c r="W53" s="48" t="n">
        <f aca="false">$E53*MAX(0,(MIN(In_PB_Release,W$4)-MAX($F53,W$3)+1)/W$5)</f>
        <v>2216.43835616438</v>
      </c>
      <c r="X53" s="48" t="n">
        <f aca="false">$E53*MAX(0,(MIN(In_PB_Release,X$4)-MAX($F53,X$3)+1)/X$5)</f>
        <v>2216.43835616438</v>
      </c>
      <c r="Y53" s="48" t="n">
        <f aca="false">$E53*MAX(0,(MIN(In_PB_Release,Y$4)-MAX($F53,Y$3)+1)/Y$5)</f>
        <v>2216.43835616438</v>
      </c>
      <c r="Z53" s="48" t="n">
        <f aca="false">$E53*MAX(0,(MIN(In_PB_Release,Z$4)-MAX($F53,Z$3)+1)/Z$5)</f>
        <v>2216.43835616438</v>
      </c>
      <c r="AA53" s="48" t="n">
        <f aca="false">$E53*MAX(0,(MIN(In_PB_Release,AA$4)-MAX($F53,AA$3)+1)/AA$5)</f>
        <v>2216.43835616438</v>
      </c>
      <c r="AB53" s="48" t="n">
        <f aca="false">$E53*MAX(0,(MIN(In_PB_Release,AB$4)-MAX($F53,AB$3)+1)/AB$5)</f>
        <v>2216.43835616438</v>
      </c>
      <c r="AC53" s="48" t="n">
        <f aca="false">$E53*MAX(0,(MIN(In_PB_Release,AC$4)-MAX($F53,AC$3)+1)/AC$5)</f>
        <v>2216.43835616438</v>
      </c>
      <c r="AD53" s="48" t="n">
        <f aca="false">$E53*MAX(0,(MIN(In_PB_Release,AD$4)-MAX($F53,AD$3)+1)/AD$5)</f>
        <v>2216.43835616438</v>
      </c>
      <c r="AE53" s="48" t="n">
        <f aca="false">$E53*MAX(0,(MIN(In_PB_Release,AE$4)-MAX($F53,AE$3)+1)/AE$5)</f>
        <v>2216.43835616438</v>
      </c>
      <c r="AF53" s="48" t="n">
        <f aca="false">$E53*MAX(0,(MIN(In_PB_Release,AF$4)-MAX($F53,AF$3)+1)/AF$5)</f>
        <v>2216.43835616438</v>
      </c>
      <c r="AG53" s="48" t="n">
        <f aca="false">$E53*MAX(0,(MIN(In_PB_Release,AG$4)-MAX($F53,AG$3)+1)/AG$5)</f>
        <v>2216.43835616438</v>
      </c>
      <c r="AH53" s="48" t="n">
        <f aca="false">$E53*MAX(0,(MIN(In_PB_Release,AH$4)-MAX($F53,AH$3)+1)/AH$5)</f>
        <v>2216.43835616438</v>
      </c>
      <c r="AI53" s="48" t="n">
        <f aca="false">$E53*MAX(0,(MIN(In_PB_Release,AI$4)-MAX($F53,AI$3)+1)/AI$5)</f>
        <v>2216.43835616438</v>
      </c>
      <c r="AJ53" s="48" t="n">
        <f aca="false">$E53*MAX(0,(MIN(In_PB_Release,AJ$4)-MAX($F53,AJ$3)+1)/AJ$5)</f>
        <v>0</v>
      </c>
      <c r="AK53" s="48" t="n">
        <f aca="false">$E53*MAX(0,(MIN(In_PB_Release,AK$4)-MAX($F53,AK$3)+1)/AK$5)</f>
        <v>0</v>
      </c>
      <c r="AL53" s="48" t="n">
        <f aca="false">$E53*MAX(0,(MIN(In_PB_Release,AL$4)-MAX($F53,AL$3)+1)/AL$5)</f>
        <v>0</v>
      </c>
      <c r="AM53" s="48" t="n">
        <f aca="false">$E53*MAX(0,(MIN(In_PB_Release,AM$4)-MAX($F53,AM$3)+1)/AM$5)</f>
        <v>0</v>
      </c>
      <c r="AN53" s="48" t="n">
        <f aca="false">$E53*MAX(0,(MIN(In_PB_Release,AN$4)-MAX($F53,AN$3)+1)/AN$5)</f>
        <v>0</v>
      </c>
      <c r="AO53" s="48" t="n">
        <f aca="false">$E53*MAX(0,(MIN(In_PB_Release,AO$4)-MAX($F53,AO$3)+1)/AO$5)</f>
        <v>0</v>
      </c>
      <c r="AP53" s="48" t="n">
        <f aca="false">$E53*MAX(0,(MIN(In_PB_Release,AP$4)-MAX($F53,AP$3)+1)/AP$5)</f>
        <v>0</v>
      </c>
      <c r="AQ53" s="48" t="n">
        <f aca="false">$E53*MAX(0,(MIN(In_PB_Release,AQ$4)-MAX($F53,AQ$3)+1)/AQ$5)</f>
        <v>0</v>
      </c>
      <c r="AR53" s="48" t="n">
        <f aca="false">$E53*MAX(0,(MIN(In_PB_Release,AR$4)-MAX($F53,AR$3)+1)/AR$5)</f>
        <v>0</v>
      </c>
      <c r="AS53" s="48" t="n">
        <f aca="false">$E53*MAX(0,(MIN(In_PB_Release,AS$4)-MAX($F53,AS$3)+1)/AS$5)</f>
        <v>0</v>
      </c>
      <c r="AT53" s="48" t="n">
        <f aca="false">$E53*MAX(0,(MIN(In_PB_Release,AT$4)-MAX($F53,AT$3)+1)/AT$5)</f>
        <v>0</v>
      </c>
      <c r="AU53" s="48" t="n">
        <f aca="false">$E53*MAX(0,(MIN(In_PB_Release,AU$4)-MAX($F53,AU$3)+1)/AU$5)</f>
        <v>0</v>
      </c>
      <c r="AV53" s="48" t="n">
        <f aca="false">$E53*MAX(0,(MIN(In_PB_Release,AV$4)-MAX($F53,AV$3)+1)/AV$5)</f>
        <v>0</v>
      </c>
      <c r="AW53" s="48" t="n">
        <f aca="false">$E53*MAX(0,(MIN(In_PB_Release,AW$4)-MAX($F53,AW$3)+1)/AW$5)</f>
        <v>0</v>
      </c>
      <c r="AX53" s="48" t="n">
        <f aca="false">$E53*MAX(0,(MIN(In_PB_Release,AX$4)-MAX($F53,AX$3)+1)/AX$5)</f>
        <v>0</v>
      </c>
      <c r="AY53" s="48" t="n">
        <f aca="false">$E53*MAX(0,(MIN(In_PB_Release,AY$4)-MAX($F53,AY$3)+1)/AY$5)</f>
        <v>0</v>
      </c>
      <c r="AZ53" s="48" t="n">
        <f aca="false">$E53*MAX(0,(MIN(In_PB_Release,AZ$4)-MAX($F53,AZ$3)+1)/AZ$5)</f>
        <v>0</v>
      </c>
      <c r="BA53" s="48" t="n">
        <f aca="false">$E53*MAX(0,(MIN(In_PB_Release,BA$4)-MAX($F53,BA$3)+1)/BA$5)</f>
        <v>0</v>
      </c>
      <c r="BB53" s="48" t="n">
        <f aca="false">$E53*MAX(0,(MIN(In_PB_Release,BB$4)-MAX($F53,BB$3)+1)/BB$5)</f>
        <v>0</v>
      </c>
      <c r="BC53" s="48" t="n">
        <f aca="false">$E53*MAX(0,(MIN(In_PB_Release,BC$4)-MAX($F53,BC$3)+1)/BC$5)</f>
        <v>0</v>
      </c>
      <c r="BD53" s="48" t="n">
        <f aca="false">$E53*MAX(0,(MIN(In_PB_Release,BD$4)-MAX($F53,BD$3)+1)/BD$5)</f>
        <v>0</v>
      </c>
      <c r="BE53" s="48" t="n">
        <f aca="false">$E53*MAX(0,(MIN(In_PB_Release,BE$4)-MAX($F53,BE$3)+1)/BE$5)</f>
        <v>0</v>
      </c>
      <c r="BF53" s="48" t="n">
        <f aca="false">$E53*MAX(0,(MIN(In_PB_Release,BF$4)-MAX($F53,BF$3)+1)/BF$5)</f>
        <v>0</v>
      </c>
      <c r="BG53" s="48" t="n">
        <f aca="false">$E53*MAX(0,(MIN(In_PB_Release,BG$4)-MAX($F53,BG$3)+1)/BG$5)</f>
        <v>0</v>
      </c>
      <c r="BH53" s="48" t="n">
        <f aca="false">$E53*MAX(0,(MIN(In_PB_Release,BH$4)-MAX($F53,BH$3)+1)/BH$5)</f>
        <v>0</v>
      </c>
      <c r="BI53" s="48" t="n">
        <f aca="false">$E53*MAX(0,(MIN(In_PB_Release,BI$4)-MAX($F53,BI$3)+1)/BI$5)</f>
        <v>0</v>
      </c>
      <c r="BJ53" s="48" t="n">
        <f aca="false">$E53*MAX(0,(MIN(In_PB_Release,BJ$4)-MAX($F53,BJ$3)+1)/BJ$5)</f>
        <v>0</v>
      </c>
      <c r="BK53" s="48" t="n">
        <f aca="false">$E53*MAX(0,(MIN(In_PB_Release,BK$4)-MAX($F53,BK$3)+1)/BK$5)</f>
        <v>0</v>
      </c>
      <c r="BL53" s="48" t="n">
        <f aca="false">$E53*MAX(0,(MIN(In_PB_Release,BL$4)-MAX($F53,BL$3)+1)/BL$5)</f>
        <v>0</v>
      </c>
      <c r="BM53" s="48" t="n">
        <f aca="false">$E53*MAX(0,(MIN(In_PB_Release,BM$4)-MAX($F53,BM$3)+1)/BM$5)</f>
        <v>0</v>
      </c>
      <c r="BN53" s="48" t="n">
        <f aca="false">$E53*MAX(0,(MIN(In_PB_Release,BN$4)-MAX($F53,BN$3)+1)/BN$5)</f>
        <v>0</v>
      </c>
      <c r="BO53" s="48" t="n">
        <f aca="false">$E53*MAX(0,(MIN(In_PB_Release,BO$4)-MAX($F53,BO$3)+1)/BO$5)</f>
        <v>0</v>
      </c>
      <c r="BP53" s="48" t="n">
        <f aca="false">$E53*MAX(0,(MIN(In_PB_Release,BP$4)-MAX($F53,BP$3)+1)/BP$5)</f>
        <v>0</v>
      </c>
      <c r="BQ53" s="48" t="n">
        <f aca="false">$E53*MAX(0,(MIN(In_PB_Release,BQ$4)-MAX($F53,BQ$3)+1)/BQ$5)</f>
        <v>0</v>
      </c>
      <c r="BR53" s="48" t="n">
        <f aca="false">$E53*MAX(0,(MIN(In_PB_Release,BR$4)-MAX($F53,BR$3)+1)/BR$5)</f>
        <v>0</v>
      </c>
      <c r="BS53" s="48" t="n">
        <f aca="false">$E53*MAX(0,(MIN(In_PB_Release,BS$4)-MAX($F53,BS$3)+1)/BS$5)</f>
        <v>0</v>
      </c>
      <c r="BT53" s="48" t="n">
        <f aca="false">$E53*MAX(0,(MIN(In_PB_Release,BT$4)-MAX($F53,BT$3)+1)/BT$5)</f>
        <v>0</v>
      </c>
      <c r="BU53" s="48" t="n">
        <f aca="false">$E53*MAX(0,(MIN(In_PB_Release,BU$4)-MAX($F53,BU$3)+1)/BU$5)</f>
        <v>0</v>
      </c>
      <c r="BV53" s="48" t="n">
        <f aca="false">$E53*MAX(0,(MIN(In_PB_Release,BV$4)-MAX($F53,BV$3)+1)/BV$5)</f>
        <v>0</v>
      </c>
      <c r="BW53" s="48" t="n">
        <f aca="false">$E53*MAX(0,(MIN(In_PB_Release,BW$4)-MAX($F53,BW$3)+1)/BW$5)</f>
        <v>0</v>
      </c>
      <c r="BX53" s="48" t="n">
        <f aca="false">$E53*MAX(0,(MIN(In_PB_Release,BX$4)-MAX($F53,BX$3)+1)/BX$5)</f>
        <v>0</v>
      </c>
      <c r="BY53" s="48" t="n">
        <f aca="false">$E53*MAX(0,(MIN(In_PB_Release,BY$4)-MAX($F53,BY$3)+1)/BY$5)</f>
        <v>0</v>
      </c>
      <c r="BZ53" s="48" t="n">
        <f aca="false">$E53*MAX(0,(MIN(In_PB_Release,BZ$4)-MAX($F53,BZ$3)+1)/BZ$5)</f>
        <v>0</v>
      </c>
      <c r="CA53" s="48" t="n">
        <f aca="false">$E53*MAX(0,(MIN(In_PB_Release,CA$4)-MAX($F53,CA$3)+1)/CA$5)</f>
        <v>0</v>
      </c>
      <c r="CB53" s="48" t="n">
        <f aca="false">$E53*MAX(0,(MIN(In_PB_Release,CB$4)-MAX($F53,CB$3)+1)/CB$5)</f>
        <v>0</v>
      </c>
      <c r="CC53" s="48" t="n">
        <f aca="false">$E53*MAX(0,(MIN(In_PB_Release,CC$4)-MAX($F53,CC$3)+1)/CC$5)</f>
        <v>0</v>
      </c>
      <c r="CD53" s="48" t="n">
        <f aca="false">$E53*MAX(0,(MIN(In_PB_Release,CD$4)-MAX($F53,CD$3)+1)/CD$5)</f>
        <v>0</v>
      </c>
      <c r="CE53" s="48" t="n">
        <f aca="false">$E53*MAX(0,(MIN(In_PB_Release,CE$4)-MAX($F53,CE$3)+1)/CE$5)</f>
        <v>0</v>
      </c>
      <c r="CF53" s="48" t="n">
        <f aca="false">$E53*MAX(0,(MIN(In_PB_Release,CF$4)-MAX($F53,CF$3)+1)/CF$5)</f>
        <v>0</v>
      </c>
      <c r="CG53" s="48" t="n">
        <f aca="false">$E53*MAX(0,(MIN(In_PB_Release,CG$4)-MAX($F53,CG$3)+1)/CG$5)</f>
        <v>0</v>
      </c>
      <c r="CH53" s="48" t="n">
        <f aca="false">$E53*MAX(0,(MIN(In_PB_Release,CH$4)-MAX($F53,CH$3)+1)/CH$5)</f>
        <v>0</v>
      </c>
      <c r="CI53" s="48" t="n">
        <f aca="false">$E53*MAX(0,(MIN(In_PB_Release,CI$4)-MAX($F53,CI$3)+1)/CI$5)</f>
        <v>0</v>
      </c>
      <c r="CJ53" s="48" t="n">
        <f aca="false">$E53*MAX(0,(MIN(In_PB_Release,CJ$4)-MAX($F53,CJ$3)+1)/CJ$5)</f>
        <v>0</v>
      </c>
      <c r="CK53" s="48" t="n">
        <f aca="false">$E53*MAX(0,(MIN(In_PB_Release,CK$4)-MAX($F53,CK$3)+1)/CK$5)</f>
        <v>0</v>
      </c>
      <c r="CL53" s="48" t="n">
        <f aca="false">$E53*MAX(0,(MIN(In_PB_Release,CL$4)-MAX($F53,CL$3)+1)/CL$5)</f>
        <v>0</v>
      </c>
      <c r="CM53" s="48" t="n">
        <f aca="false">$E53*MAX(0,(MIN(In_PB_Release,CM$4)-MAX($F53,CM$3)+1)/CM$5)</f>
        <v>0</v>
      </c>
      <c r="CN53" s="48" t="n">
        <f aca="false">$E53*MAX(0,(MIN(In_PB_Release,CN$4)-MAX($F53,CN$3)+1)/CN$5)</f>
        <v>0</v>
      </c>
      <c r="CO53" s="48" t="n">
        <f aca="false">$E53*MAX(0,(MIN(In_PB_Release,CO$4)-MAX($F53,CO$3)+1)/CO$5)</f>
        <v>0</v>
      </c>
      <c r="CP53" s="48" t="n">
        <f aca="false">$E53*MAX(0,(MIN(In_PB_Release,CP$4)-MAX($F53,CP$3)+1)/CP$5)</f>
        <v>0</v>
      </c>
      <c r="CQ53" s="48" t="n">
        <f aca="false">$E53*MAX(0,(MIN(In_PB_Release,CQ$4)-MAX($F53,CQ$3)+1)/CQ$5)</f>
        <v>0</v>
      </c>
      <c r="CR53" s="48" t="n">
        <f aca="false">$E53*MAX(0,(MIN(In_PB_Release,CR$4)-MAX($F53,CR$3)+1)/CR$5)</f>
        <v>0</v>
      </c>
      <c r="CS53" s="48" t="n">
        <f aca="false">$E53*MAX(0,(MIN(In_PB_Release,CS$4)-MAX($F53,CS$3)+1)/CS$5)</f>
        <v>0</v>
      </c>
      <c r="CT53" s="48" t="n">
        <f aca="false">$E53*MAX(0,(MIN(In_PB_Release,CT$4)-MAX($F53,CT$3)+1)/CT$5)</f>
        <v>0</v>
      </c>
      <c r="CU53" s="48" t="n">
        <f aca="false">$E53*MAX(0,(MIN(In_PB_Release,CU$4)-MAX($F53,CU$3)+1)/CU$5)</f>
        <v>0</v>
      </c>
      <c r="CV53" s="48" t="n">
        <f aca="false">$E53*MAX(0,(MIN(In_PB_Release,CV$4)-MAX($F53,CV$3)+1)/CV$5)</f>
        <v>0</v>
      </c>
      <c r="CW53" s="48" t="n">
        <f aca="false">$E53*MAX(0,(MIN(In_PB_Release,CW$4)-MAX($F53,CW$3)+1)/CW$5)</f>
        <v>0</v>
      </c>
      <c r="CX53" s="48" t="n">
        <f aca="false">$E53*MAX(0,(MIN(In_PB_Release,CX$4)-MAX($F53,CX$3)+1)/CX$5)</f>
        <v>0</v>
      </c>
      <c r="CY53" s="48" t="n">
        <f aca="false">$E53*MAX(0,(MIN(In_PB_Release,CY$4)-MAX($F53,CY$3)+1)/CY$5)</f>
        <v>0</v>
      </c>
      <c r="CZ53" s="48" t="n">
        <f aca="false">$E53*MAX(0,(MIN(In_PB_Release,CZ$4)-MAX($F53,CZ$3)+1)/CZ$5)</f>
        <v>0</v>
      </c>
      <c r="DA53" s="48" t="n">
        <f aca="false">$E53*MAX(0,(MIN(In_PB_Release,DA$4)-MAX($F53,DA$3)+1)/DA$5)</f>
        <v>0</v>
      </c>
      <c r="DB53" s="48" t="n">
        <f aca="false">$E53*MAX(0,(MIN(In_PB_Release,DB$4)-MAX($F53,DB$3)+1)/DB$5)</f>
        <v>0</v>
      </c>
      <c r="DC53" s="48" t="n">
        <f aca="false">$E53*MAX(0,(MIN(In_PB_Release,DC$4)-MAX($F53,DC$3)+1)/DC$5)</f>
        <v>0</v>
      </c>
      <c r="DD53" s="48" t="n">
        <f aca="false">$E53*MAX(0,(MIN(In_PB_Release,DD$4)-MAX($F53,DD$3)+1)/DD$5)</f>
        <v>0</v>
      </c>
      <c r="DE53" s="48" t="n">
        <f aca="false">$E53*MAX(0,(MIN(In_PB_Release,DE$4)-MAX($F53,DE$3)+1)/DE$5)</f>
        <v>0</v>
      </c>
      <c r="DF53" s="48" t="n">
        <f aca="false">$E53*MAX(0,(MIN(In_PB_Release,DF$4)-MAX($F53,DF$3)+1)/DF$5)</f>
        <v>0</v>
      </c>
      <c r="DG53" s="48" t="n">
        <f aca="false">$E53*MAX(0,(MIN(In_PB_Release,DG$4)-MAX($F53,DG$3)+1)/DG$5)</f>
        <v>0</v>
      </c>
      <c r="DH53" s="48" t="n">
        <f aca="false">$E53*MAX(0,(MIN(In_PB_Release,DH$4)-MAX($F53,DH$3)+1)/DH$5)</f>
        <v>0</v>
      </c>
      <c r="DI53" s="48" t="n">
        <f aca="false">$E53*MAX(0,(MIN(In_PB_Release,DI$4)-MAX($F53,DI$3)+1)/DI$5)</f>
        <v>0</v>
      </c>
      <c r="DJ53" s="48" t="n">
        <f aca="false">$E53*MAX(0,(MIN(In_PB_Release,DJ$4)-MAX($F53,DJ$3)+1)/DJ$5)</f>
        <v>0</v>
      </c>
      <c r="DK53" s="48" t="n">
        <f aca="false">$E53*MAX(0,(MIN(In_PB_Release,DK$4)-MAX($F53,DK$3)+1)/DK$5)</f>
        <v>0</v>
      </c>
      <c r="DL53" s="48" t="n">
        <f aca="false">$E53*MAX(0,(MIN(In_PB_Release,DL$4)-MAX($F53,DL$3)+1)/DL$5)</f>
        <v>0</v>
      </c>
      <c r="DM53" s="48" t="n">
        <f aca="false">$E53*MAX(0,(MIN(In_PB_Release,DM$4)-MAX($F53,DM$3)+1)/DM$5)</f>
        <v>0</v>
      </c>
      <c r="DN53" s="48" t="n">
        <f aca="false">$E53*MAX(0,(MIN(In_PB_Release,DN$4)-MAX($F53,DN$3)+1)/DN$5)</f>
        <v>0</v>
      </c>
      <c r="DO53" s="48" t="n">
        <f aca="false">$E53*MAX(0,(MIN(In_PB_Release,DO$4)-MAX($F53,DO$3)+1)/DO$5)</f>
        <v>0</v>
      </c>
      <c r="DP53" s="48" t="n">
        <f aca="false">$E53*MAX(0,(MIN(In_PB_Release,DP$4)-MAX($F53,DP$3)+1)/DP$5)</f>
        <v>0</v>
      </c>
      <c r="DQ53" s="48" t="n">
        <f aca="false">$E53*MAX(0,(MIN(In_PB_Release,DQ$4)-MAX($F53,DQ$3)+1)/DQ$5)</f>
        <v>0</v>
      </c>
      <c r="DR53" s="48" t="n">
        <f aca="false">$E53*MAX(0,(MIN(In_PB_Release,DR$4)-MAX($F53,DR$3)+1)/DR$5)</f>
        <v>0</v>
      </c>
      <c r="DS53" s="48" t="n">
        <f aca="false">$E53*MAX(0,(MIN(In_PB_Release,DS$4)-MAX($F53,DS$3)+1)/DS$5)</f>
        <v>0</v>
      </c>
      <c r="DT53" s="48" t="n">
        <f aca="false">$E53*MAX(0,(MIN(In_PB_Release,DT$4)-MAX($F53,DT$3)+1)/DT$5)</f>
        <v>0</v>
      </c>
      <c r="DU53" s="48" t="n">
        <f aca="false">$E53*MAX(0,(MIN(In_PB_Release,DU$4)-MAX($F53,DU$3)+1)/DU$5)</f>
        <v>0</v>
      </c>
      <c r="DV53" s="48" t="n">
        <f aca="false">$E53*MAX(0,(MIN(In_PB_Release,DV$4)-MAX($F53,DV$3)+1)/DV$5)</f>
        <v>0</v>
      </c>
      <c r="DW53" s="48" t="n">
        <f aca="false">$E53*MAX(0,(MIN(In_PB_Release,DW$4)-MAX($F53,DW$3)+1)/DW$5)</f>
        <v>0</v>
      </c>
      <c r="DX53" s="48" t="n">
        <f aca="false">$E53*MAX(0,(MIN(In_PB_Release,DX$4)-MAX($F53,DX$3)+1)/DX$5)</f>
        <v>0</v>
      </c>
      <c r="DY53" s="48" t="n">
        <f aca="false">$E53*MAX(0,(MIN(In_PB_Release,DY$4)-MAX($F53,DY$3)+1)/DY$5)</f>
        <v>0</v>
      </c>
      <c r="DZ53" s="48" t="n">
        <f aca="false">$E53*MAX(0,(MIN(In_PB_Release,DZ$4)-MAX($F53,DZ$3)+1)/DZ$5)</f>
        <v>0</v>
      </c>
      <c r="EA53" s="48" t="n">
        <f aca="false">$E53*MAX(0,(MIN(In_PB_Release,EA$4)-MAX($F53,EA$3)+1)/EA$5)</f>
        <v>0</v>
      </c>
      <c r="EB53" s="48" t="n">
        <f aca="false">$E53*MAX(0,(MIN(In_PB_Release,EB$4)-MAX($F53,EB$3)+1)/EB$5)</f>
        <v>0</v>
      </c>
      <c r="EC53" s="48" t="n">
        <f aca="false">$E53*MAX(0,(MIN(In_PB_Release,EC$4)-MAX($F53,EC$3)+1)/EC$5)</f>
        <v>0</v>
      </c>
      <c r="ED53" s="48" t="n">
        <f aca="false">$E53*MAX(0,(MIN(In_PB_Release,ED$4)-MAX($F53,ED$3)+1)/ED$5)</f>
        <v>0</v>
      </c>
      <c r="EE53" s="48" t="n">
        <f aca="false">$E53*MAX(0,(MIN(In_PB_Release,EE$4)-MAX($F53,EE$3)+1)/EE$5)</f>
        <v>0</v>
      </c>
      <c r="EF53" s="48" t="n">
        <f aca="false">$E53*MAX(0,(MIN(In_PB_Release,EF$4)-MAX($F53,EF$3)+1)/EF$5)</f>
        <v>0</v>
      </c>
      <c r="EG53" s="48" t="n">
        <f aca="false">$E53*MAX(0,(MIN(In_PB_Release,EG$4)-MAX($F53,EG$3)+1)/EG$5)</f>
        <v>0</v>
      </c>
      <c r="EH53" s="48" t="n">
        <f aca="false">$E53*MAX(0,(MIN(In_PB_Release,EH$4)-MAX($F53,EH$3)+1)/EH$5)</f>
        <v>0</v>
      </c>
      <c r="EI53" s="48" t="n">
        <f aca="false">$E53*MAX(0,(MIN(In_PB_Release,EI$4)-MAX($F53,EI$3)+1)/EI$5)</f>
        <v>0</v>
      </c>
      <c r="EJ53" s="48" t="n">
        <f aca="false">$E53*MAX(0,(MIN(In_PB_Release,EJ$4)-MAX($F53,EJ$3)+1)/EJ$5)</f>
        <v>0</v>
      </c>
      <c r="EK53" s="48" t="n">
        <f aca="false">$E53*MAX(0,(MIN(In_PB_Release,EK$4)-MAX($F53,EK$3)+1)/EK$5)</f>
        <v>0</v>
      </c>
      <c r="EL53" s="48" t="n">
        <f aca="false">$E53*MAX(0,(MIN(In_PB_Release,EL$4)-MAX($F53,EL$3)+1)/EL$5)</f>
        <v>0</v>
      </c>
      <c r="EM53" s="48" t="n">
        <f aca="false">$E53*MAX(0,(MIN(In_PB_Release,EM$4)-MAX($F53,EM$3)+1)/EM$5)</f>
        <v>0</v>
      </c>
      <c r="EN53" s="48" t="n">
        <f aca="false">$E53*MAX(0,(MIN(In_PB_Release,EN$4)-MAX($F53,EN$3)+1)/EN$5)</f>
        <v>0</v>
      </c>
      <c r="EO53" s="48" t="n">
        <f aca="false">$E53*MAX(0,(MIN(In_PB_Release,EO$4)-MAX($F53,EO$3)+1)/EO$5)</f>
        <v>0</v>
      </c>
    </row>
    <row r="54" customFormat="false" ht="15" hidden="false" customHeight="false" outlineLevel="0" collapsed="false">
      <c r="C54" s="0" t="s">
        <v>440</v>
      </c>
      <c r="D54" s="11" t="s">
        <v>33</v>
      </c>
      <c r="E54" s="48" t="n">
        <f aca="false">In_TSO_Security*In_MVA*Thousand/In_FX</f>
        <v>616.438356164384</v>
      </c>
      <c r="F54" s="46" t="n">
        <f aca="false">In_Decision_Date+In_PB_Days</f>
        <v>46433</v>
      </c>
      <c r="I54" s="48" t="n">
        <f aca="false">SUM(J54:EO54)</f>
        <v>-616.438356164384</v>
      </c>
      <c r="J54" s="48" t="n">
        <f aca="false">-$E54*N(AND(J$3&lt;=$F54,J$4&gt;=$F54))</f>
        <v>-0</v>
      </c>
      <c r="K54" s="48" t="n">
        <f aca="false">-$E54*N(AND(K$3&lt;=$F54,K$4&gt;=$F54))</f>
        <v>-616.438356164384</v>
      </c>
      <c r="L54" s="48" t="n">
        <f aca="false">-$E54*N(AND(L$3&lt;=$F54,L$4&gt;=$F54))</f>
        <v>-0</v>
      </c>
      <c r="M54" s="48" t="n">
        <f aca="false">-$E54*N(AND(M$3&lt;=$F54,M$4&gt;=$F54))</f>
        <v>-0</v>
      </c>
      <c r="N54" s="48" t="n">
        <f aca="false">-$E54*N(AND(N$3&lt;=$F54,N$4&gt;=$F54))</f>
        <v>-0</v>
      </c>
      <c r="O54" s="48" t="n">
        <f aca="false">-$E54*N(AND(O$3&lt;=$F54,O$4&gt;=$F54))</f>
        <v>-0</v>
      </c>
      <c r="P54" s="48" t="n">
        <f aca="false">-$E54*N(AND(P$3&lt;=$F54,P$4&gt;=$F54))</f>
        <v>-0</v>
      </c>
      <c r="Q54" s="48" t="n">
        <f aca="false">-$E54*N(AND(Q$3&lt;=$F54,Q$4&gt;=$F54))</f>
        <v>-0</v>
      </c>
      <c r="R54" s="48" t="n">
        <f aca="false">-$E54*N(AND(R$3&lt;=$F54,R$4&gt;=$F54))</f>
        <v>-0</v>
      </c>
      <c r="S54" s="48" t="n">
        <f aca="false">-$E54*N(AND(S$3&lt;=$F54,S$4&gt;=$F54))</f>
        <v>-0</v>
      </c>
      <c r="T54" s="48" t="n">
        <f aca="false">-$E54*N(AND(T$3&lt;=$F54,T$4&gt;=$F54))</f>
        <v>-0</v>
      </c>
      <c r="U54" s="48" t="n">
        <f aca="false">-$E54*N(AND(U$3&lt;=$F54,U$4&gt;=$F54))</f>
        <v>-0</v>
      </c>
      <c r="V54" s="48" t="n">
        <f aca="false">-$E54*N(AND(V$3&lt;=$F54,V$4&gt;=$F54))</f>
        <v>-0</v>
      </c>
      <c r="W54" s="48" t="n">
        <f aca="false">-$E54*N(AND(W$3&lt;=$F54,W$4&gt;=$F54))</f>
        <v>-0</v>
      </c>
      <c r="X54" s="48" t="n">
        <f aca="false">-$E54*N(AND(X$3&lt;=$F54,X$4&gt;=$F54))</f>
        <v>-0</v>
      </c>
      <c r="Y54" s="48" t="n">
        <f aca="false">-$E54*N(AND(Y$3&lt;=$F54,Y$4&gt;=$F54))</f>
        <v>-0</v>
      </c>
      <c r="Z54" s="48" t="n">
        <f aca="false">-$E54*N(AND(Z$3&lt;=$F54,Z$4&gt;=$F54))</f>
        <v>-0</v>
      </c>
      <c r="AA54" s="48" t="n">
        <f aca="false">-$E54*N(AND(AA$3&lt;=$F54,AA$4&gt;=$F54))</f>
        <v>-0</v>
      </c>
      <c r="AB54" s="48" t="n">
        <f aca="false">-$E54*N(AND(AB$3&lt;=$F54,AB$4&gt;=$F54))</f>
        <v>-0</v>
      </c>
      <c r="AC54" s="48" t="n">
        <f aca="false">-$E54*N(AND(AC$3&lt;=$F54,AC$4&gt;=$F54))</f>
        <v>-0</v>
      </c>
      <c r="AD54" s="48" t="n">
        <f aca="false">-$E54*N(AND(AD$3&lt;=$F54,AD$4&gt;=$F54))</f>
        <v>-0</v>
      </c>
      <c r="AE54" s="48" t="n">
        <f aca="false">-$E54*N(AND(AE$3&lt;=$F54,AE$4&gt;=$F54))</f>
        <v>-0</v>
      </c>
      <c r="AF54" s="48" t="n">
        <f aca="false">-$E54*N(AND(AF$3&lt;=$F54,AF$4&gt;=$F54))</f>
        <v>-0</v>
      </c>
      <c r="AG54" s="48" t="n">
        <f aca="false">-$E54*N(AND(AG$3&lt;=$F54,AG$4&gt;=$F54))</f>
        <v>-0</v>
      </c>
      <c r="AH54" s="48" t="n">
        <f aca="false">-$E54*N(AND(AH$3&lt;=$F54,AH$4&gt;=$F54))</f>
        <v>-0</v>
      </c>
      <c r="AI54" s="48" t="n">
        <f aca="false">-$E54*N(AND(AI$3&lt;=$F54,AI$4&gt;=$F54))</f>
        <v>-0</v>
      </c>
      <c r="AJ54" s="48" t="n">
        <f aca="false">-$E54*N(AND(AJ$3&lt;=$F54,AJ$4&gt;=$F54))</f>
        <v>-0</v>
      </c>
      <c r="AK54" s="48" t="n">
        <f aca="false">-$E54*N(AND(AK$3&lt;=$F54,AK$4&gt;=$F54))</f>
        <v>-0</v>
      </c>
      <c r="AL54" s="48" t="n">
        <f aca="false">-$E54*N(AND(AL$3&lt;=$F54,AL$4&gt;=$F54))</f>
        <v>-0</v>
      </c>
      <c r="AM54" s="48" t="n">
        <f aca="false">-$E54*N(AND(AM$3&lt;=$F54,AM$4&gt;=$F54))</f>
        <v>-0</v>
      </c>
      <c r="AN54" s="48" t="n">
        <f aca="false">-$E54*N(AND(AN$3&lt;=$F54,AN$4&gt;=$F54))</f>
        <v>-0</v>
      </c>
      <c r="AO54" s="48" t="n">
        <f aca="false">-$E54*N(AND(AO$3&lt;=$F54,AO$4&gt;=$F54))</f>
        <v>-0</v>
      </c>
      <c r="AP54" s="48" t="n">
        <f aca="false">-$E54*N(AND(AP$3&lt;=$F54,AP$4&gt;=$F54))</f>
        <v>-0</v>
      </c>
      <c r="AQ54" s="48" t="n">
        <f aca="false">-$E54*N(AND(AQ$3&lt;=$F54,AQ$4&gt;=$F54))</f>
        <v>-0</v>
      </c>
      <c r="AR54" s="48" t="n">
        <f aca="false">-$E54*N(AND(AR$3&lt;=$F54,AR$4&gt;=$F54))</f>
        <v>-0</v>
      </c>
      <c r="AS54" s="48" t="n">
        <f aca="false">-$E54*N(AND(AS$3&lt;=$F54,AS$4&gt;=$F54))</f>
        <v>-0</v>
      </c>
      <c r="AT54" s="48" t="n">
        <f aca="false">-$E54*N(AND(AT$3&lt;=$F54,AT$4&gt;=$F54))</f>
        <v>-0</v>
      </c>
      <c r="AU54" s="48" t="n">
        <f aca="false">-$E54*N(AND(AU$3&lt;=$F54,AU$4&gt;=$F54))</f>
        <v>-0</v>
      </c>
      <c r="AV54" s="48" t="n">
        <f aca="false">-$E54*N(AND(AV$3&lt;=$F54,AV$4&gt;=$F54))</f>
        <v>-0</v>
      </c>
      <c r="AW54" s="48" t="n">
        <f aca="false">-$E54*N(AND(AW$3&lt;=$F54,AW$4&gt;=$F54))</f>
        <v>-0</v>
      </c>
      <c r="AX54" s="48" t="n">
        <f aca="false">-$E54*N(AND(AX$3&lt;=$F54,AX$4&gt;=$F54))</f>
        <v>-0</v>
      </c>
      <c r="AY54" s="48" t="n">
        <f aca="false">-$E54*N(AND(AY$3&lt;=$F54,AY$4&gt;=$F54))</f>
        <v>-0</v>
      </c>
      <c r="AZ54" s="48" t="n">
        <f aca="false">-$E54*N(AND(AZ$3&lt;=$F54,AZ$4&gt;=$F54))</f>
        <v>-0</v>
      </c>
      <c r="BA54" s="48" t="n">
        <f aca="false">-$E54*N(AND(BA$3&lt;=$F54,BA$4&gt;=$F54))</f>
        <v>-0</v>
      </c>
      <c r="BB54" s="48" t="n">
        <f aca="false">-$E54*N(AND(BB$3&lt;=$F54,BB$4&gt;=$F54))</f>
        <v>-0</v>
      </c>
      <c r="BC54" s="48" t="n">
        <f aca="false">-$E54*N(AND(BC$3&lt;=$F54,BC$4&gt;=$F54))</f>
        <v>-0</v>
      </c>
      <c r="BD54" s="48" t="n">
        <f aca="false">-$E54*N(AND(BD$3&lt;=$F54,BD$4&gt;=$F54))</f>
        <v>-0</v>
      </c>
      <c r="BE54" s="48" t="n">
        <f aca="false">-$E54*N(AND(BE$3&lt;=$F54,BE$4&gt;=$F54))</f>
        <v>-0</v>
      </c>
      <c r="BF54" s="48" t="n">
        <f aca="false">-$E54*N(AND(BF$3&lt;=$F54,BF$4&gt;=$F54))</f>
        <v>-0</v>
      </c>
      <c r="BG54" s="48" t="n">
        <f aca="false">-$E54*N(AND(BG$3&lt;=$F54,BG$4&gt;=$F54))</f>
        <v>-0</v>
      </c>
      <c r="BH54" s="48" t="n">
        <f aca="false">-$E54*N(AND(BH$3&lt;=$F54,BH$4&gt;=$F54))</f>
        <v>-0</v>
      </c>
      <c r="BI54" s="48" t="n">
        <f aca="false">-$E54*N(AND(BI$3&lt;=$F54,BI$4&gt;=$F54))</f>
        <v>-0</v>
      </c>
      <c r="BJ54" s="48" t="n">
        <f aca="false">-$E54*N(AND(BJ$3&lt;=$F54,BJ$4&gt;=$F54))</f>
        <v>-0</v>
      </c>
      <c r="BK54" s="48" t="n">
        <f aca="false">-$E54*N(AND(BK$3&lt;=$F54,BK$4&gt;=$F54))</f>
        <v>-0</v>
      </c>
      <c r="BL54" s="48" t="n">
        <f aca="false">-$E54*N(AND(BL$3&lt;=$F54,BL$4&gt;=$F54))</f>
        <v>-0</v>
      </c>
      <c r="BM54" s="48" t="n">
        <f aca="false">-$E54*N(AND(BM$3&lt;=$F54,BM$4&gt;=$F54))</f>
        <v>-0</v>
      </c>
      <c r="BN54" s="48" t="n">
        <f aca="false">-$E54*N(AND(BN$3&lt;=$F54,BN$4&gt;=$F54))</f>
        <v>-0</v>
      </c>
      <c r="BO54" s="48" t="n">
        <f aca="false">-$E54*N(AND(BO$3&lt;=$F54,BO$4&gt;=$F54))</f>
        <v>-0</v>
      </c>
      <c r="BP54" s="48" t="n">
        <f aca="false">-$E54*N(AND(BP$3&lt;=$F54,BP$4&gt;=$F54))</f>
        <v>-0</v>
      </c>
      <c r="BQ54" s="48" t="n">
        <f aca="false">-$E54*N(AND(BQ$3&lt;=$F54,BQ$4&gt;=$F54))</f>
        <v>-0</v>
      </c>
      <c r="BR54" s="48" t="n">
        <f aca="false">-$E54*N(AND(BR$3&lt;=$F54,BR$4&gt;=$F54))</f>
        <v>-0</v>
      </c>
      <c r="BS54" s="48" t="n">
        <f aca="false">-$E54*N(AND(BS$3&lt;=$F54,BS$4&gt;=$F54))</f>
        <v>-0</v>
      </c>
      <c r="BT54" s="48" t="n">
        <f aca="false">-$E54*N(AND(BT$3&lt;=$F54,BT$4&gt;=$F54))</f>
        <v>-0</v>
      </c>
      <c r="BU54" s="48" t="n">
        <f aca="false">-$E54*N(AND(BU$3&lt;=$F54,BU$4&gt;=$F54))</f>
        <v>-0</v>
      </c>
      <c r="BV54" s="48" t="n">
        <f aca="false">-$E54*N(AND(BV$3&lt;=$F54,BV$4&gt;=$F54))</f>
        <v>-0</v>
      </c>
      <c r="BW54" s="48" t="n">
        <f aca="false">-$E54*N(AND(BW$3&lt;=$F54,BW$4&gt;=$F54))</f>
        <v>-0</v>
      </c>
      <c r="BX54" s="48" t="n">
        <f aca="false">-$E54*N(AND(BX$3&lt;=$F54,BX$4&gt;=$F54))</f>
        <v>-0</v>
      </c>
      <c r="BY54" s="48" t="n">
        <f aca="false">-$E54*N(AND(BY$3&lt;=$F54,BY$4&gt;=$F54))</f>
        <v>-0</v>
      </c>
      <c r="BZ54" s="48" t="n">
        <f aca="false">-$E54*N(AND(BZ$3&lt;=$F54,BZ$4&gt;=$F54))</f>
        <v>-0</v>
      </c>
      <c r="CA54" s="48" t="n">
        <f aca="false">-$E54*N(AND(CA$3&lt;=$F54,CA$4&gt;=$F54))</f>
        <v>-0</v>
      </c>
      <c r="CB54" s="48" t="n">
        <f aca="false">-$E54*N(AND(CB$3&lt;=$F54,CB$4&gt;=$F54))</f>
        <v>-0</v>
      </c>
      <c r="CC54" s="48" t="n">
        <f aca="false">-$E54*N(AND(CC$3&lt;=$F54,CC$4&gt;=$F54))</f>
        <v>-0</v>
      </c>
      <c r="CD54" s="48" t="n">
        <f aca="false">-$E54*N(AND(CD$3&lt;=$F54,CD$4&gt;=$F54))</f>
        <v>-0</v>
      </c>
      <c r="CE54" s="48" t="n">
        <f aca="false">-$E54*N(AND(CE$3&lt;=$F54,CE$4&gt;=$F54))</f>
        <v>-0</v>
      </c>
      <c r="CF54" s="48" t="n">
        <f aca="false">-$E54*N(AND(CF$3&lt;=$F54,CF$4&gt;=$F54))</f>
        <v>-0</v>
      </c>
      <c r="CG54" s="48" t="n">
        <f aca="false">-$E54*N(AND(CG$3&lt;=$F54,CG$4&gt;=$F54))</f>
        <v>-0</v>
      </c>
      <c r="CH54" s="48" t="n">
        <f aca="false">-$E54*N(AND(CH$3&lt;=$F54,CH$4&gt;=$F54))</f>
        <v>-0</v>
      </c>
      <c r="CI54" s="48" t="n">
        <f aca="false">-$E54*N(AND(CI$3&lt;=$F54,CI$4&gt;=$F54))</f>
        <v>-0</v>
      </c>
      <c r="CJ54" s="48" t="n">
        <f aca="false">-$E54*N(AND(CJ$3&lt;=$F54,CJ$4&gt;=$F54))</f>
        <v>-0</v>
      </c>
      <c r="CK54" s="48" t="n">
        <f aca="false">-$E54*N(AND(CK$3&lt;=$F54,CK$4&gt;=$F54))</f>
        <v>-0</v>
      </c>
      <c r="CL54" s="48" t="n">
        <f aca="false">-$E54*N(AND(CL$3&lt;=$F54,CL$4&gt;=$F54))</f>
        <v>-0</v>
      </c>
      <c r="CM54" s="48" t="n">
        <f aca="false">-$E54*N(AND(CM$3&lt;=$F54,CM$4&gt;=$F54))</f>
        <v>-0</v>
      </c>
      <c r="CN54" s="48" t="n">
        <f aca="false">-$E54*N(AND(CN$3&lt;=$F54,CN$4&gt;=$F54))</f>
        <v>-0</v>
      </c>
      <c r="CO54" s="48" t="n">
        <f aca="false">-$E54*N(AND(CO$3&lt;=$F54,CO$4&gt;=$F54))</f>
        <v>-0</v>
      </c>
      <c r="CP54" s="48" t="n">
        <f aca="false">-$E54*N(AND(CP$3&lt;=$F54,CP$4&gt;=$F54))</f>
        <v>-0</v>
      </c>
      <c r="CQ54" s="48" t="n">
        <f aca="false">-$E54*N(AND(CQ$3&lt;=$F54,CQ$4&gt;=$F54))</f>
        <v>-0</v>
      </c>
      <c r="CR54" s="48" t="n">
        <f aca="false">-$E54*N(AND(CR$3&lt;=$F54,CR$4&gt;=$F54))</f>
        <v>-0</v>
      </c>
      <c r="CS54" s="48" t="n">
        <f aca="false">-$E54*N(AND(CS$3&lt;=$F54,CS$4&gt;=$F54))</f>
        <v>-0</v>
      </c>
      <c r="CT54" s="48" t="n">
        <f aca="false">-$E54*N(AND(CT$3&lt;=$F54,CT$4&gt;=$F54))</f>
        <v>-0</v>
      </c>
      <c r="CU54" s="48" t="n">
        <f aca="false">-$E54*N(AND(CU$3&lt;=$F54,CU$4&gt;=$F54))</f>
        <v>-0</v>
      </c>
      <c r="CV54" s="48" t="n">
        <f aca="false">-$E54*N(AND(CV$3&lt;=$F54,CV$4&gt;=$F54))</f>
        <v>-0</v>
      </c>
      <c r="CW54" s="48" t="n">
        <f aca="false">-$E54*N(AND(CW$3&lt;=$F54,CW$4&gt;=$F54))</f>
        <v>-0</v>
      </c>
      <c r="CX54" s="48" t="n">
        <f aca="false">-$E54*N(AND(CX$3&lt;=$F54,CX$4&gt;=$F54))</f>
        <v>-0</v>
      </c>
      <c r="CY54" s="48" t="n">
        <f aca="false">-$E54*N(AND(CY$3&lt;=$F54,CY$4&gt;=$F54))</f>
        <v>-0</v>
      </c>
      <c r="CZ54" s="48" t="n">
        <f aca="false">-$E54*N(AND(CZ$3&lt;=$F54,CZ$4&gt;=$F54))</f>
        <v>-0</v>
      </c>
      <c r="DA54" s="48" t="n">
        <f aca="false">-$E54*N(AND(DA$3&lt;=$F54,DA$4&gt;=$F54))</f>
        <v>-0</v>
      </c>
      <c r="DB54" s="48" t="n">
        <f aca="false">-$E54*N(AND(DB$3&lt;=$F54,DB$4&gt;=$F54))</f>
        <v>-0</v>
      </c>
      <c r="DC54" s="48" t="n">
        <f aca="false">-$E54*N(AND(DC$3&lt;=$F54,DC$4&gt;=$F54))</f>
        <v>-0</v>
      </c>
      <c r="DD54" s="48" t="n">
        <f aca="false">-$E54*N(AND(DD$3&lt;=$F54,DD$4&gt;=$F54))</f>
        <v>-0</v>
      </c>
      <c r="DE54" s="48" t="n">
        <f aca="false">-$E54*N(AND(DE$3&lt;=$F54,DE$4&gt;=$F54))</f>
        <v>-0</v>
      </c>
      <c r="DF54" s="48" t="n">
        <f aca="false">-$E54*N(AND(DF$3&lt;=$F54,DF$4&gt;=$F54))</f>
        <v>-0</v>
      </c>
      <c r="DG54" s="48" t="n">
        <f aca="false">-$E54*N(AND(DG$3&lt;=$F54,DG$4&gt;=$F54))</f>
        <v>-0</v>
      </c>
      <c r="DH54" s="48" t="n">
        <f aca="false">-$E54*N(AND(DH$3&lt;=$F54,DH$4&gt;=$F54))</f>
        <v>-0</v>
      </c>
      <c r="DI54" s="48" t="n">
        <f aca="false">-$E54*N(AND(DI$3&lt;=$F54,DI$4&gt;=$F54))</f>
        <v>-0</v>
      </c>
      <c r="DJ54" s="48" t="n">
        <f aca="false">-$E54*N(AND(DJ$3&lt;=$F54,DJ$4&gt;=$F54))</f>
        <v>-0</v>
      </c>
      <c r="DK54" s="48" t="n">
        <f aca="false">-$E54*N(AND(DK$3&lt;=$F54,DK$4&gt;=$F54))</f>
        <v>-0</v>
      </c>
      <c r="DL54" s="48" t="n">
        <f aca="false">-$E54*N(AND(DL$3&lt;=$F54,DL$4&gt;=$F54))</f>
        <v>-0</v>
      </c>
      <c r="DM54" s="48" t="n">
        <f aca="false">-$E54*N(AND(DM$3&lt;=$F54,DM$4&gt;=$F54))</f>
        <v>-0</v>
      </c>
      <c r="DN54" s="48" t="n">
        <f aca="false">-$E54*N(AND(DN$3&lt;=$F54,DN$4&gt;=$F54))</f>
        <v>-0</v>
      </c>
      <c r="DO54" s="48" t="n">
        <f aca="false">-$E54*N(AND(DO$3&lt;=$F54,DO$4&gt;=$F54))</f>
        <v>-0</v>
      </c>
      <c r="DP54" s="48" t="n">
        <f aca="false">-$E54*N(AND(DP$3&lt;=$F54,DP$4&gt;=$F54))</f>
        <v>-0</v>
      </c>
      <c r="DQ54" s="48" t="n">
        <f aca="false">-$E54*N(AND(DQ$3&lt;=$F54,DQ$4&gt;=$F54))</f>
        <v>-0</v>
      </c>
      <c r="DR54" s="48" t="n">
        <f aca="false">-$E54*N(AND(DR$3&lt;=$F54,DR$4&gt;=$F54))</f>
        <v>-0</v>
      </c>
      <c r="DS54" s="48" t="n">
        <f aca="false">-$E54*N(AND(DS$3&lt;=$F54,DS$4&gt;=$F54))</f>
        <v>-0</v>
      </c>
      <c r="DT54" s="48" t="n">
        <f aca="false">-$E54*N(AND(DT$3&lt;=$F54,DT$4&gt;=$F54))</f>
        <v>-0</v>
      </c>
      <c r="DU54" s="48" t="n">
        <f aca="false">-$E54*N(AND(DU$3&lt;=$F54,DU$4&gt;=$F54))</f>
        <v>-0</v>
      </c>
      <c r="DV54" s="48" t="n">
        <f aca="false">-$E54*N(AND(DV$3&lt;=$F54,DV$4&gt;=$F54))</f>
        <v>-0</v>
      </c>
      <c r="DW54" s="48" t="n">
        <f aca="false">-$E54*N(AND(DW$3&lt;=$F54,DW$4&gt;=$F54))</f>
        <v>-0</v>
      </c>
      <c r="DX54" s="48" t="n">
        <f aca="false">-$E54*N(AND(DX$3&lt;=$F54,DX$4&gt;=$F54))</f>
        <v>-0</v>
      </c>
      <c r="DY54" s="48" t="n">
        <f aca="false">-$E54*N(AND(DY$3&lt;=$F54,DY$4&gt;=$F54))</f>
        <v>-0</v>
      </c>
      <c r="DZ54" s="48" t="n">
        <f aca="false">-$E54*N(AND(DZ$3&lt;=$F54,DZ$4&gt;=$F54))</f>
        <v>-0</v>
      </c>
      <c r="EA54" s="48" t="n">
        <f aca="false">-$E54*N(AND(EA$3&lt;=$F54,EA$4&gt;=$F54))</f>
        <v>-0</v>
      </c>
      <c r="EB54" s="48" t="n">
        <f aca="false">-$E54*N(AND(EB$3&lt;=$F54,EB$4&gt;=$F54))</f>
        <v>-0</v>
      </c>
      <c r="EC54" s="48" t="n">
        <f aca="false">-$E54*N(AND(EC$3&lt;=$F54,EC$4&gt;=$F54))</f>
        <v>-0</v>
      </c>
      <c r="ED54" s="48" t="n">
        <f aca="false">-$E54*N(AND(ED$3&lt;=$F54,ED$4&gt;=$F54))</f>
        <v>-0</v>
      </c>
      <c r="EE54" s="48" t="n">
        <f aca="false">-$E54*N(AND(EE$3&lt;=$F54,EE$4&gt;=$F54))</f>
        <v>-0</v>
      </c>
      <c r="EF54" s="48" t="n">
        <f aca="false">-$E54*N(AND(EF$3&lt;=$F54,EF$4&gt;=$F54))</f>
        <v>-0</v>
      </c>
      <c r="EG54" s="48" t="n">
        <f aca="false">-$E54*N(AND(EG$3&lt;=$F54,EG$4&gt;=$F54))</f>
        <v>-0</v>
      </c>
      <c r="EH54" s="48" t="n">
        <f aca="false">-$E54*N(AND(EH$3&lt;=$F54,EH$4&gt;=$F54))</f>
        <v>-0</v>
      </c>
      <c r="EI54" s="48" t="n">
        <f aca="false">-$E54*N(AND(EI$3&lt;=$F54,EI$4&gt;=$F54))</f>
        <v>-0</v>
      </c>
      <c r="EJ54" s="48" t="n">
        <f aca="false">-$E54*N(AND(EJ$3&lt;=$F54,EJ$4&gt;=$F54))</f>
        <v>-0</v>
      </c>
      <c r="EK54" s="48" t="n">
        <f aca="false">-$E54*N(AND(EK$3&lt;=$F54,EK$4&gt;=$F54))</f>
        <v>-0</v>
      </c>
      <c r="EL54" s="48" t="n">
        <f aca="false">-$E54*N(AND(EL$3&lt;=$F54,EL$4&gt;=$F54))</f>
        <v>-0</v>
      </c>
      <c r="EM54" s="48" t="n">
        <f aca="false">-$E54*N(AND(EM$3&lt;=$F54,EM$4&gt;=$F54))</f>
        <v>-0</v>
      </c>
      <c r="EN54" s="48" t="n">
        <f aca="false">-$E54*N(AND(EN$3&lt;=$F54,EN$4&gt;=$F54))</f>
        <v>-0</v>
      </c>
      <c r="EO54" s="48" t="n">
        <f aca="false">-$E54*N(AND(EO$3&lt;=$F54,EO$4&gt;=$F54))</f>
        <v>-0</v>
      </c>
    </row>
    <row r="55" customFormat="false" ht="15" hidden="false" customHeight="false" outlineLevel="0" collapsed="false">
      <c r="C55" s="0" t="s">
        <v>441</v>
      </c>
      <c r="D55" s="11" t="s">
        <v>33</v>
      </c>
      <c r="E55" s="48" t="n">
        <f aca="false">In_Direct_Fee*Thousand/In_FX</f>
        <v>1260.27397260274</v>
      </c>
      <c r="F55" s="20" t="n">
        <f aca="false">In_HCSSZ_Date</f>
        <v>47126</v>
      </c>
      <c r="I55" s="48" t="n">
        <f aca="false">SUM(J55:EO55)</f>
        <v>-1260.27397260274</v>
      </c>
      <c r="J55" s="48" t="n">
        <f aca="false">-$E55*N(AND(J$3&lt;=$F55,J$4&gt;=$F55))</f>
        <v>-0</v>
      </c>
      <c r="K55" s="48" t="n">
        <f aca="false">-$E55*N(AND(K$3&lt;=$F55,K$4&gt;=$F55))</f>
        <v>-0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-1260.27397260274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442</v>
      </c>
      <c r="D56" s="11" t="s">
        <v>33</v>
      </c>
      <c r="E56" s="48" t="n">
        <f aca="false">(In_Indirect_Fee-In_TSO_Security)*In_MVA*Thousand/In_FX</f>
        <v>6894.54917808219</v>
      </c>
      <c r="F56" s="20" t="n">
        <f aca="false">In_HCSSZ_Date</f>
        <v>47126</v>
      </c>
      <c r="I56" s="48" t="n">
        <f aca="false">SUM(J56:EO56)</f>
        <v>-6894.54917808219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-6894.54917808219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443</v>
      </c>
      <c r="D57" s="11" t="s">
        <v>33</v>
      </c>
      <c r="I57" s="48" t="n">
        <f aca="false">SUM(J57:EO57)</f>
        <v>-8154.82315068493</v>
      </c>
      <c r="J57" s="48" t="n">
        <f aca="false">J55+J56</f>
        <v>-0</v>
      </c>
      <c r="K57" s="48" t="n">
        <f aca="false">K55+K56</f>
        <v>-0</v>
      </c>
      <c r="L57" s="48" t="n">
        <f aca="false">L55+L56</f>
        <v>-0</v>
      </c>
      <c r="M57" s="48" t="n">
        <f aca="false">M55+M56</f>
        <v>-0</v>
      </c>
      <c r="N57" s="48" t="n">
        <f aca="false">N55+N56</f>
        <v>-0</v>
      </c>
      <c r="O57" s="48" t="n">
        <f aca="false">O55+O56</f>
        <v>-0</v>
      </c>
      <c r="P57" s="48" t="n">
        <f aca="false">P55+P56</f>
        <v>-0</v>
      </c>
      <c r="Q57" s="48" t="n">
        <f aca="false">Q55+Q56</f>
        <v>-0</v>
      </c>
      <c r="R57" s="48" t="n">
        <f aca="false">R55+R56</f>
        <v>-0</v>
      </c>
      <c r="S57" s="48" t="n">
        <f aca="false">S55+S56</f>
        <v>-8154.82315068493</v>
      </c>
      <c r="T57" s="48" t="n">
        <f aca="false">T55+T56</f>
        <v>-0</v>
      </c>
      <c r="U57" s="48" t="n">
        <f aca="false">U55+U56</f>
        <v>-0</v>
      </c>
      <c r="V57" s="48" t="n">
        <f aca="false">V55+V56</f>
        <v>-0</v>
      </c>
      <c r="W57" s="48" t="n">
        <f aca="false">W55+W56</f>
        <v>-0</v>
      </c>
      <c r="X57" s="48" t="n">
        <f aca="false">X55+X56</f>
        <v>-0</v>
      </c>
      <c r="Y57" s="48" t="n">
        <f aca="false">Y55+Y56</f>
        <v>-0</v>
      </c>
      <c r="Z57" s="48" t="n">
        <f aca="false">Z55+Z56</f>
        <v>-0</v>
      </c>
      <c r="AA57" s="48" t="n">
        <f aca="false">AA55+AA56</f>
        <v>-0</v>
      </c>
      <c r="AB57" s="48" t="n">
        <f aca="false">AB55+AB56</f>
        <v>-0</v>
      </c>
      <c r="AC57" s="48" t="n">
        <f aca="false">AC55+AC56</f>
        <v>-0</v>
      </c>
      <c r="AD57" s="48" t="n">
        <f aca="false">AD55+AD56</f>
        <v>-0</v>
      </c>
      <c r="AE57" s="48" t="n">
        <f aca="false">AE55+AE56</f>
        <v>-0</v>
      </c>
      <c r="AF57" s="48" t="n">
        <f aca="false">AF55+AF56</f>
        <v>-0</v>
      </c>
      <c r="AG57" s="48" t="n">
        <f aca="false">AG55+AG56</f>
        <v>-0</v>
      </c>
      <c r="AH57" s="48" t="n">
        <f aca="false">AH55+AH56</f>
        <v>-0</v>
      </c>
      <c r="AI57" s="48" t="n">
        <f aca="false">AI55+AI56</f>
        <v>-0</v>
      </c>
      <c r="AJ57" s="48" t="n">
        <f aca="false">AJ55+AJ56</f>
        <v>-0</v>
      </c>
      <c r="AK57" s="48" t="n">
        <f aca="false">AK55+AK56</f>
        <v>-0</v>
      </c>
      <c r="AL57" s="48" t="n">
        <f aca="false">AL55+AL56</f>
        <v>-0</v>
      </c>
      <c r="AM57" s="48" t="n">
        <f aca="false">AM55+AM56</f>
        <v>-0</v>
      </c>
      <c r="AN57" s="48" t="n">
        <f aca="false">AN55+AN56</f>
        <v>-0</v>
      </c>
      <c r="AO57" s="48" t="n">
        <f aca="false">AO55+AO56</f>
        <v>-0</v>
      </c>
      <c r="AP57" s="48" t="n">
        <f aca="false">AP55+AP56</f>
        <v>-0</v>
      </c>
      <c r="AQ57" s="48" t="n">
        <f aca="false">AQ55+AQ56</f>
        <v>-0</v>
      </c>
      <c r="AR57" s="48" t="n">
        <f aca="false">AR55+AR56</f>
        <v>-0</v>
      </c>
      <c r="AS57" s="48" t="n">
        <f aca="false">AS55+AS56</f>
        <v>-0</v>
      </c>
      <c r="AT57" s="48" t="n">
        <f aca="false">AT55+AT56</f>
        <v>-0</v>
      </c>
      <c r="AU57" s="48" t="n">
        <f aca="false">AU55+AU56</f>
        <v>-0</v>
      </c>
      <c r="AV57" s="48" t="n">
        <f aca="false">AV55+AV56</f>
        <v>-0</v>
      </c>
      <c r="AW57" s="48" t="n">
        <f aca="false">AW55+AW56</f>
        <v>-0</v>
      </c>
      <c r="AX57" s="48" t="n">
        <f aca="false">AX55+AX56</f>
        <v>-0</v>
      </c>
      <c r="AY57" s="48" t="n">
        <f aca="false">AY55+AY56</f>
        <v>-0</v>
      </c>
      <c r="AZ57" s="48" t="n">
        <f aca="false">AZ55+AZ56</f>
        <v>-0</v>
      </c>
      <c r="BA57" s="48" t="n">
        <f aca="false">BA55+BA56</f>
        <v>-0</v>
      </c>
      <c r="BB57" s="48" t="n">
        <f aca="false">BB55+BB56</f>
        <v>-0</v>
      </c>
      <c r="BC57" s="48" t="n">
        <f aca="false">BC55+BC56</f>
        <v>-0</v>
      </c>
      <c r="BD57" s="48" t="n">
        <f aca="false">BD55+BD56</f>
        <v>-0</v>
      </c>
      <c r="BE57" s="48" t="n">
        <f aca="false">BE55+BE56</f>
        <v>-0</v>
      </c>
      <c r="BF57" s="48" t="n">
        <f aca="false">BF55+BF56</f>
        <v>-0</v>
      </c>
      <c r="BG57" s="48" t="n">
        <f aca="false">BG55+BG56</f>
        <v>-0</v>
      </c>
      <c r="BH57" s="48" t="n">
        <f aca="false">BH55+BH56</f>
        <v>-0</v>
      </c>
      <c r="BI57" s="48" t="n">
        <f aca="false">BI55+BI56</f>
        <v>-0</v>
      </c>
      <c r="BJ57" s="48" t="n">
        <f aca="false">BJ55+BJ56</f>
        <v>-0</v>
      </c>
      <c r="BK57" s="48" t="n">
        <f aca="false">BK55+BK56</f>
        <v>-0</v>
      </c>
      <c r="BL57" s="48" t="n">
        <f aca="false">BL55+BL56</f>
        <v>-0</v>
      </c>
      <c r="BM57" s="48" t="n">
        <f aca="false">BM55+BM56</f>
        <v>-0</v>
      </c>
      <c r="BN57" s="48" t="n">
        <f aca="false">BN55+BN56</f>
        <v>-0</v>
      </c>
      <c r="BO57" s="48" t="n">
        <f aca="false">BO55+BO56</f>
        <v>-0</v>
      </c>
      <c r="BP57" s="48" t="n">
        <f aca="false">BP55+BP56</f>
        <v>-0</v>
      </c>
      <c r="BQ57" s="48" t="n">
        <f aca="false">BQ55+BQ56</f>
        <v>-0</v>
      </c>
      <c r="BR57" s="48" t="n">
        <f aca="false">BR55+BR56</f>
        <v>-0</v>
      </c>
      <c r="BS57" s="48" t="n">
        <f aca="false">BS55+BS56</f>
        <v>-0</v>
      </c>
      <c r="BT57" s="48" t="n">
        <f aca="false">BT55+BT56</f>
        <v>-0</v>
      </c>
      <c r="BU57" s="48" t="n">
        <f aca="false">BU55+BU56</f>
        <v>-0</v>
      </c>
      <c r="BV57" s="48" t="n">
        <f aca="false">BV55+BV56</f>
        <v>-0</v>
      </c>
      <c r="BW57" s="48" t="n">
        <f aca="false">BW55+BW56</f>
        <v>-0</v>
      </c>
      <c r="BX57" s="48" t="n">
        <f aca="false">BX55+BX56</f>
        <v>-0</v>
      </c>
      <c r="BY57" s="48" t="n">
        <f aca="false">BY55+BY56</f>
        <v>-0</v>
      </c>
      <c r="BZ57" s="48" t="n">
        <f aca="false">BZ55+BZ56</f>
        <v>-0</v>
      </c>
      <c r="CA57" s="48" t="n">
        <f aca="false">CA55+CA56</f>
        <v>-0</v>
      </c>
      <c r="CB57" s="48" t="n">
        <f aca="false">CB55+CB56</f>
        <v>-0</v>
      </c>
      <c r="CC57" s="48" t="n">
        <f aca="false">CC55+CC56</f>
        <v>-0</v>
      </c>
      <c r="CD57" s="48" t="n">
        <f aca="false">CD55+CD56</f>
        <v>-0</v>
      </c>
      <c r="CE57" s="48" t="n">
        <f aca="false">CE55+CE56</f>
        <v>-0</v>
      </c>
      <c r="CF57" s="48" t="n">
        <f aca="false">CF55+CF56</f>
        <v>-0</v>
      </c>
      <c r="CG57" s="48" t="n">
        <f aca="false">CG55+CG56</f>
        <v>-0</v>
      </c>
      <c r="CH57" s="48" t="n">
        <f aca="false">CH55+CH56</f>
        <v>-0</v>
      </c>
      <c r="CI57" s="48" t="n">
        <f aca="false">CI55+CI56</f>
        <v>-0</v>
      </c>
      <c r="CJ57" s="48" t="n">
        <f aca="false">CJ55+CJ56</f>
        <v>-0</v>
      </c>
      <c r="CK57" s="48" t="n">
        <f aca="false">CK55+CK56</f>
        <v>-0</v>
      </c>
      <c r="CL57" s="48" t="n">
        <f aca="false">CL55+CL56</f>
        <v>-0</v>
      </c>
      <c r="CM57" s="48" t="n">
        <f aca="false">CM55+CM56</f>
        <v>-0</v>
      </c>
      <c r="CN57" s="48" t="n">
        <f aca="false">CN55+CN56</f>
        <v>-0</v>
      </c>
      <c r="CO57" s="48" t="n">
        <f aca="false">CO55+CO56</f>
        <v>-0</v>
      </c>
      <c r="CP57" s="48" t="n">
        <f aca="false">CP55+CP56</f>
        <v>-0</v>
      </c>
      <c r="CQ57" s="48" t="n">
        <f aca="false">CQ55+CQ56</f>
        <v>-0</v>
      </c>
      <c r="CR57" s="48" t="n">
        <f aca="false">CR55+CR56</f>
        <v>-0</v>
      </c>
      <c r="CS57" s="48" t="n">
        <f aca="false">CS55+CS56</f>
        <v>-0</v>
      </c>
      <c r="CT57" s="48" t="n">
        <f aca="false">CT55+CT56</f>
        <v>-0</v>
      </c>
      <c r="CU57" s="48" t="n">
        <f aca="false">CU55+CU56</f>
        <v>-0</v>
      </c>
      <c r="CV57" s="48" t="n">
        <f aca="false">CV55+CV56</f>
        <v>-0</v>
      </c>
      <c r="CW57" s="48" t="n">
        <f aca="false">CW55+CW56</f>
        <v>-0</v>
      </c>
      <c r="CX57" s="48" t="n">
        <f aca="false">CX55+CX56</f>
        <v>-0</v>
      </c>
      <c r="CY57" s="48" t="n">
        <f aca="false">CY55+CY56</f>
        <v>-0</v>
      </c>
      <c r="CZ57" s="48" t="n">
        <f aca="false">CZ55+CZ56</f>
        <v>-0</v>
      </c>
      <c r="DA57" s="48" t="n">
        <f aca="false">DA55+DA56</f>
        <v>-0</v>
      </c>
      <c r="DB57" s="48" t="n">
        <f aca="false">DB55+DB56</f>
        <v>-0</v>
      </c>
      <c r="DC57" s="48" t="n">
        <f aca="false">DC55+DC56</f>
        <v>-0</v>
      </c>
      <c r="DD57" s="48" t="n">
        <f aca="false">DD55+DD56</f>
        <v>-0</v>
      </c>
      <c r="DE57" s="48" t="n">
        <f aca="false">DE55+DE56</f>
        <v>-0</v>
      </c>
      <c r="DF57" s="48" t="n">
        <f aca="false">DF55+DF56</f>
        <v>-0</v>
      </c>
      <c r="DG57" s="48" t="n">
        <f aca="false">DG55+DG56</f>
        <v>-0</v>
      </c>
      <c r="DH57" s="48" t="n">
        <f aca="false">DH55+DH56</f>
        <v>-0</v>
      </c>
      <c r="DI57" s="48" t="n">
        <f aca="false">DI55+DI56</f>
        <v>-0</v>
      </c>
      <c r="DJ57" s="48" t="n">
        <f aca="false">DJ55+DJ56</f>
        <v>-0</v>
      </c>
      <c r="DK57" s="48" t="n">
        <f aca="false">DK55+DK56</f>
        <v>-0</v>
      </c>
      <c r="DL57" s="48" t="n">
        <f aca="false">DL55+DL56</f>
        <v>-0</v>
      </c>
      <c r="DM57" s="48" t="n">
        <f aca="false">DM55+DM56</f>
        <v>-0</v>
      </c>
      <c r="DN57" s="48" t="n">
        <f aca="false">DN55+DN56</f>
        <v>-0</v>
      </c>
      <c r="DO57" s="48" t="n">
        <f aca="false">DO55+DO56</f>
        <v>-0</v>
      </c>
      <c r="DP57" s="48" t="n">
        <f aca="false">DP55+DP56</f>
        <v>-0</v>
      </c>
      <c r="DQ57" s="48" t="n">
        <f aca="false">DQ55+DQ56</f>
        <v>-0</v>
      </c>
      <c r="DR57" s="48" t="n">
        <f aca="false">DR55+DR56</f>
        <v>-0</v>
      </c>
      <c r="DS57" s="48" t="n">
        <f aca="false">DS55+DS56</f>
        <v>-0</v>
      </c>
      <c r="DT57" s="48" t="n">
        <f aca="false">DT55+DT56</f>
        <v>-0</v>
      </c>
      <c r="DU57" s="48" t="n">
        <f aca="false">DU55+DU56</f>
        <v>-0</v>
      </c>
      <c r="DV57" s="48" t="n">
        <f aca="false">DV55+DV56</f>
        <v>-0</v>
      </c>
      <c r="DW57" s="48" t="n">
        <f aca="false">DW55+DW56</f>
        <v>-0</v>
      </c>
      <c r="DX57" s="48" t="n">
        <f aca="false">DX55+DX56</f>
        <v>-0</v>
      </c>
      <c r="DY57" s="48" t="n">
        <f aca="false">DY55+DY56</f>
        <v>-0</v>
      </c>
      <c r="DZ57" s="48" t="n">
        <f aca="false">DZ55+DZ56</f>
        <v>-0</v>
      </c>
      <c r="EA57" s="48" t="n">
        <f aca="false">EA55+EA56</f>
        <v>-0</v>
      </c>
      <c r="EB57" s="48" t="n">
        <f aca="false">EB55+EB56</f>
        <v>-0</v>
      </c>
      <c r="EC57" s="48" t="n">
        <f aca="false">EC55+EC56</f>
        <v>-0</v>
      </c>
      <c r="ED57" s="48" t="n">
        <f aca="false">ED55+ED56</f>
        <v>-0</v>
      </c>
      <c r="EE57" s="48" t="n">
        <f aca="false">EE55+EE56</f>
        <v>-0</v>
      </c>
      <c r="EF57" s="48" t="n">
        <f aca="false">EF55+EF56</f>
        <v>-0</v>
      </c>
      <c r="EG57" s="48" t="n">
        <f aca="false">EG55+EG56</f>
        <v>-0</v>
      </c>
      <c r="EH57" s="48" t="n">
        <f aca="false">EH55+EH56</f>
        <v>-0</v>
      </c>
      <c r="EI57" s="48" t="n">
        <f aca="false">EI55+EI56</f>
        <v>-0</v>
      </c>
      <c r="EJ57" s="48" t="n">
        <f aca="false">EJ55+EJ56</f>
        <v>-0</v>
      </c>
      <c r="EK57" s="48" t="n">
        <f aca="false">EK55+EK56</f>
        <v>-0</v>
      </c>
      <c r="EL57" s="48" t="n">
        <f aca="false">EL55+EL56</f>
        <v>-0</v>
      </c>
      <c r="EM57" s="48" t="n">
        <f aca="false">EM55+EM56</f>
        <v>-0</v>
      </c>
      <c r="EN57" s="48" t="n">
        <f aca="false">EN55+EN56</f>
        <v>-0</v>
      </c>
      <c r="EO57" s="48" t="n">
        <f aca="false">EO55+EO56</f>
        <v>-0</v>
      </c>
    </row>
    <row r="58" customFormat="false" ht="15" hidden="false" customHeight="false" outlineLevel="0" collapsed="false">
      <c r="C58" s="0" t="s">
        <v>444</v>
      </c>
      <c r="D58" s="11" t="s">
        <v>33</v>
      </c>
      <c r="E58" s="48" t="n">
        <f aca="false">SUMIF($J$4:$EO$4,"&lt;="&amp;In_COD,$J58:$EO58)</f>
        <v>-490.264019515857</v>
      </c>
      <c r="I58" s="48" t="n">
        <f aca="false">SUM(J58:EO58)</f>
        <v>-822.911945956089</v>
      </c>
      <c r="J58" s="48" t="n">
        <f aca="false">-(J52+J53)*In_Guarantee_Fee*J$5/Days_In_Year</f>
        <v>-4.5907599924939</v>
      </c>
      <c r="K58" s="48" t="n">
        <f aca="false">-(K52+K53)*In_Guarantee_Fee*K$5/Days_In_Year</f>
        <v>-19.6746856821167</v>
      </c>
      <c r="L58" s="48" t="n">
        <f aca="false">-(L52+L53)*In_Guarantee_Fee*L$5/Days_In_Year</f>
        <v>-33.1554888346782</v>
      </c>
      <c r="M58" s="48" t="n">
        <f aca="false">-(M52+M53)*In_Guarantee_Fee*M$5/Days_In_Year</f>
        <v>-33.5198348658285</v>
      </c>
      <c r="N58" s="48" t="n">
        <f aca="false">-(N52+N53)*In_Guarantee_Fee*N$5/Days_In_Year</f>
        <v>-33.5198348658285</v>
      </c>
      <c r="O58" s="48" t="n">
        <f aca="false">-(O52+O53)*In_Guarantee_Fee*O$5/Days_In_Year</f>
        <v>-33.1554888346782</v>
      </c>
      <c r="P58" s="48" t="n">
        <f aca="false">-(P52+P53)*In_Guarantee_Fee*P$5/Days_In_Year</f>
        <v>-33.1554888346782</v>
      </c>
      <c r="Q58" s="48" t="n">
        <f aca="false">-(Q52+Q53)*In_Guarantee_Fee*Q$5/Days_In_Year</f>
        <v>-33.5198348658285</v>
      </c>
      <c r="R58" s="48" t="n">
        <f aca="false">-(R52+R53)*In_Guarantee_Fee*R$5/Days_In_Year</f>
        <v>-33.5198348658285</v>
      </c>
      <c r="S58" s="48" t="n">
        <f aca="false">-(S52+S53)*In_Guarantee_Fee*S$5/Days_In_Year</f>
        <v>-32.7911428035279</v>
      </c>
      <c r="T58" s="48" t="n">
        <f aca="false">-(T52+T53)*In_Guarantee_Fee*T$5/Days_In_Year</f>
        <v>-33.1554888346782</v>
      </c>
      <c r="U58" s="48" t="n">
        <f aca="false">-(U52+U53)*In_Guarantee_Fee*U$5/Days_In_Year</f>
        <v>-33.5198348658285</v>
      </c>
      <c r="V58" s="48" t="n">
        <f aca="false">-(V52+V53)*In_Guarantee_Fee*V$5/Days_In_Year</f>
        <v>-33.5198348658285</v>
      </c>
      <c r="W58" s="48" t="n">
        <f aca="false">-(W52+W53)*In_Guarantee_Fee*W$5/Days_In_Year</f>
        <v>-32.7911428035279</v>
      </c>
      <c r="X58" s="48" t="n">
        <f aca="false">-(X52+X53)*In_Guarantee_Fee*X$5/Days_In_Year</f>
        <v>-33.1554888346782</v>
      </c>
      <c r="Y58" s="48" t="n">
        <f aca="false">-(Y52+Y53)*In_Guarantee_Fee*Y$5/Days_In_Year</f>
        <v>-33.5198348658285</v>
      </c>
      <c r="Z58" s="48" t="n">
        <f aca="false">-(Z52+Z53)*In_Guarantee_Fee*Z$5/Days_In_Year</f>
        <v>-33.5198348658285</v>
      </c>
      <c r="AA58" s="48" t="n">
        <f aca="false">-(AA52+AA53)*In_Guarantee_Fee*AA$5/Days_In_Year</f>
        <v>-32.7911428035279</v>
      </c>
      <c r="AB58" s="48" t="n">
        <f aca="false">-(AB52+AB53)*In_Guarantee_Fee*AB$5/Days_In_Year</f>
        <v>-33.1554888346782</v>
      </c>
      <c r="AC58" s="48" t="n">
        <f aca="false">-(AC52+AC53)*In_Guarantee_Fee*AC$5/Days_In_Year</f>
        <v>-33.5198348658285</v>
      </c>
      <c r="AD58" s="48" t="n">
        <f aca="false">-(AD52+AD53)*In_Guarantee_Fee*AD$5/Days_In_Year</f>
        <v>-33.5198348658285</v>
      </c>
      <c r="AE58" s="48" t="n">
        <f aca="false">-(AE52+AE53)*In_Guarantee_Fee*AE$5/Days_In_Year</f>
        <v>-33.1554888346782</v>
      </c>
      <c r="AF58" s="48" t="n">
        <f aca="false">-(AF52+AF53)*In_Guarantee_Fee*AF$5/Days_In_Year</f>
        <v>-33.1554888346782</v>
      </c>
      <c r="AG58" s="48" t="n">
        <f aca="false">-(AG52+AG53)*In_Guarantee_Fee*AG$5/Days_In_Year</f>
        <v>-33.5198348658285</v>
      </c>
      <c r="AH58" s="48" t="n">
        <f aca="false">-(AH52+AH53)*In_Guarantee_Fee*AH$5/Days_In_Year</f>
        <v>-33.5198348658285</v>
      </c>
      <c r="AI58" s="48" t="n">
        <f aca="false">-(AI52+AI53)*In_Guarantee_Fee*AI$5/Days_In_Year</f>
        <v>-32.7911428035279</v>
      </c>
      <c r="AJ58" s="48" t="n">
        <f aca="false">-(AJ52+AJ53)*In_Guarantee_Fee*AJ$5/Days_In_Year</f>
        <v>-0</v>
      </c>
      <c r="AK58" s="48" t="n">
        <f aca="false">-(AK52+AK53)*In_Guarantee_Fee*AK$5/Days_In_Year</f>
        <v>-0</v>
      </c>
      <c r="AL58" s="48" t="n">
        <f aca="false">-(AL52+AL53)*In_Guarantee_Fee*AL$5/Days_In_Year</f>
        <v>-0</v>
      </c>
      <c r="AM58" s="48" t="n">
        <f aca="false">-(AM52+AM53)*In_Guarantee_Fee*AM$5/Days_In_Year</f>
        <v>-0</v>
      </c>
      <c r="AN58" s="48" t="n">
        <f aca="false">-(AN52+AN53)*In_Guarantee_Fee*AN$5/Days_In_Year</f>
        <v>-0</v>
      </c>
      <c r="AO58" s="48" t="n">
        <f aca="false">-(AO52+AO53)*In_Guarantee_Fee*AO$5/Days_In_Year</f>
        <v>-0</v>
      </c>
      <c r="AP58" s="48" t="n">
        <f aca="false">-(AP52+AP53)*In_Guarantee_Fee*AP$5/Days_In_Year</f>
        <v>-0</v>
      </c>
      <c r="AQ58" s="48" t="n">
        <f aca="false">-(AQ52+AQ53)*In_Guarantee_Fee*AQ$5/Days_In_Year</f>
        <v>-0</v>
      </c>
      <c r="AR58" s="48" t="n">
        <f aca="false">-(AR52+AR53)*In_Guarantee_Fee*AR$5/Days_In_Year</f>
        <v>-0</v>
      </c>
      <c r="AS58" s="48" t="n">
        <f aca="false">-(AS52+AS53)*In_Guarantee_Fee*AS$5/Days_In_Year</f>
        <v>-0</v>
      </c>
      <c r="AT58" s="48" t="n">
        <f aca="false">-(AT52+AT53)*In_Guarantee_Fee*AT$5/Days_In_Year</f>
        <v>-0</v>
      </c>
      <c r="AU58" s="48" t="n">
        <f aca="false">-(AU52+AU53)*In_Guarantee_Fee*AU$5/Days_In_Year</f>
        <v>-0</v>
      </c>
      <c r="AV58" s="48" t="n">
        <f aca="false">-(AV52+AV53)*In_Guarantee_Fee*AV$5/Days_In_Year</f>
        <v>-0</v>
      </c>
      <c r="AW58" s="48" t="n">
        <f aca="false">-(AW52+AW53)*In_Guarantee_Fee*AW$5/Days_In_Year</f>
        <v>-0</v>
      </c>
      <c r="AX58" s="48" t="n">
        <f aca="false">-(AX52+AX53)*In_Guarantee_Fee*AX$5/Days_In_Year</f>
        <v>-0</v>
      </c>
      <c r="AY58" s="48" t="n">
        <f aca="false">-(AY52+AY53)*In_Guarantee_Fee*AY$5/Days_In_Year</f>
        <v>-0</v>
      </c>
      <c r="AZ58" s="48" t="n">
        <f aca="false">-(AZ52+AZ53)*In_Guarantee_Fee*AZ$5/Days_In_Year</f>
        <v>-0</v>
      </c>
      <c r="BA58" s="48" t="n">
        <f aca="false">-(BA52+BA53)*In_Guarantee_Fee*BA$5/Days_In_Year</f>
        <v>-0</v>
      </c>
      <c r="BB58" s="48" t="n">
        <f aca="false">-(BB52+BB53)*In_Guarantee_Fee*BB$5/Days_In_Year</f>
        <v>-0</v>
      </c>
      <c r="BC58" s="48" t="n">
        <f aca="false">-(BC52+BC53)*In_Guarantee_Fee*BC$5/Days_In_Year</f>
        <v>-0</v>
      </c>
      <c r="BD58" s="48" t="n">
        <f aca="false">-(BD52+BD53)*In_Guarantee_Fee*BD$5/Days_In_Year</f>
        <v>-0</v>
      </c>
      <c r="BE58" s="48" t="n">
        <f aca="false">-(BE52+BE53)*In_Guarantee_Fee*BE$5/Days_In_Year</f>
        <v>-0</v>
      </c>
      <c r="BF58" s="48" t="n">
        <f aca="false">-(BF52+BF53)*In_Guarantee_Fee*BF$5/Days_In_Year</f>
        <v>-0</v>
      </c>
      <c r="BG58" s="48" t="n">
        <f aca="false">-(BG52+BG53)*In_Guarantee_Fee*BG$5/Days_In_Year</f>
        <v>-0</v>
      </c>
      <c r="BH58" s="48" t="n">
        <f aca="false">-(BH52+BH53)*In_Guarantee_Fee*BH$5/Days_In_Year</f>
        <v>-0</v>
      </c>
      <c r="BI58" s="48" t="n">
        <f aca="false">-(BI52+BI53)*In_Guarantee_Fee*BI$5/Days_In_Year</f>
        <v>-0</v>
      </c>
      <c r="BJ58" s="48" t="n">
        <f aca="false">-(BJ52+BJ53)*In_Guarantee_Fee*BJ$5/Days_In_Year</f>
        <v>-0</v>
      </c>
      <c r="BK58" s="48" t="n">
        <f aca="false">-(BK52+BK53)*In_Guarantee_Fee*BK$5/Days_In_Year</f>
        <v>-0</v>
      </c>
      <c r="BL58" s="48" t="n">
        <f aca="false">-(BL52+BL53)*In_Guarantee_Fee*BL$5/Days_In_Year</f>
        <v>-0</v>
      </c>
      <c r="BM58" s="48" t="n">
        <f aca="false">-(BM52+BM53)*In_Guarantee_Fee*BM$5/Days_In_Year</f>
        <v>-0</v>
      </c>
      <c r="BN58" s="48" t="n">
        <f aca="false">-(BN52+BN53)*In_Guarantee_Fee*BN$5/Days_In_Year</f>
        <v>-0</v>
      </c>
      <c r="BO58" s="48" t="n">
        <f aca="false">-(BO52+BO53)*In_Guarantee_Fee*BO$5/Days_In_Year</f>
        <v>-0</v>
      </c>
      <c r="BP58" s="48" t="n">
        <f aca="false">-(BP52+BP53)*In_Guarantee_Fee*BP$5/Days_In_Year</f>
        <v>-0</v>
      </c>
      <c r="BQ58" s="48" t="n">
        <f aca="false">-(BQ52+BQ53)*In_Guarantee_Fee*BQ$5/Days_In_Year</f>
        <v>-0</v>
      </c>
      <c r="BR58" s="48" t="n">
        <f aca="false">-(BR52+BR53)*In_Guarantee_Fee*BR$5/Days_In_Year</f>
        <v>-0</v>
      </c>
      <c r="BS58" s="48" t="n">
        <f aca="false">-(BS52+BS53)*In_Guarantee_Fee*BS$5/Days_In_Year</f>
        <v>-0</v>
      </c>
      <c r="BT58" s="48" t="n">
        <f aca="false">-(BT52+BT53)*In_Guarantee_Fee*BT$5/Days_In_Year</f>
        <v>-0</v>
      </c>
      <c r="BU58" s="48" t="n">
        <f aca="false">-(BU52+BU53)*In_Guarantee_Fee*BU$5/Days_In_Year</f>
        <v>-0</v>
      </c>
      <c r="BV58" s="48" t="n">
        <f aca="false">-(BV52+BV53)*In_Guarantee_Fee*BV$5/Days_In_Year</f>
        <v>-0</v>
      </c>
      <c r="BW58" s="48" t="n">
        <f aca="false">-(BW52+BW53)*In_Guarantee_Fee*BW$5/Days_In_Year</f>
        <v>-0</v>
      </c>
      <c r="BX58" s="48" t="n">
        <f aca="false">-(BX52+BX53)*In_Guarantee_Fee*BX$5/Days_In_Year</f>
        <v>-0</v>
      </c>
      <c r="BY58" s="48" t="n">
        <f aca="false">-(BY52+BY53)*In_Guarantee_Fee*BY$5/Days_In_Year</f>
        <v>-0</v>
      </c>
      <c r="BZ58" s="48" t="n">
        <f aca="false">-(BZ52+BZ53)*In_Guarantee_Fee*BZ$5/Days_In_Year</f>
        <v>-0</v>
      </c>
      <c r="CA58" s="48" t="n">
        <f aca="false">-(CA52+CA53)*In_Guarantee_Fee*CA$5/Days_In_Year</f>
        <v>-0</v>
      </c>
      <c r="CB58" s="48" t="n">
        <f aca="false">-(CB52+CB53)*In_Guarantee_Fee*CB$5/Days_In_Year</f>
        <v>-0</v>
      </c>
      <c r="CC58" s="48" t="n">
        <f aca="false">-(CC52+CC53)*In_Guarantee_Fee*CC$5/Days_In_Year</f>
        <v>-0</v>
      </c>
      <c r="CD58" s="48" t="n">
        <f aca="false">-(CD52+CD53)*In_Guarantee_Fee*CD$5/Days_In_Year</f>
        <v>-0</v>
      </c>
      <c r="CE58" s="48" t="n">
        <f aca="false">-(CE52+CE53)*In_Guarantee_Fee*CE$5/Days_In_Year</f>
        <v>-0</v>
      </c>
      <c r="CF58" s="48" t="n">
        <f aca="false">-(CF52+CF53)*In_Guarantee_Fee*CF$5/Days_In_Year</f>
        <v>-0</v>
      </c>
      <c r="CG58" s="48" t="n">
        <f aca="false">-(CG52+CG53)*In_Guarantee_Fee*CG$5/Days_In_Year</f>
        <v>-0</v>
      </c>
      <c r="CH58" s="48" t="n">
        <f aca="false">-(CH52+CH53)*In_Guarantee_Fee*CH$5/Days_In_Year</f>
        <v>-0</v>
      </c>
      <c r="CI58" s="48" t="n">
        <f aca="false">-(CI52+CI53)*In_Guarantee_Fee*CI$5/Days_In_Year</f>
        <v>-0</v>
      </c>
      <c r="CJ58" s="48" t="n">
        <f aca="false">-(CJ52+CJ53)*In_Guarantee_Fee*CJ$5/Days_In_Year</f>
        <v>-0</v>
      </c>
      <c r="CK58" s="48" t="n">
        <f aca="false">-(CK52+CK53)*In_Guarantee_Fee*CK$5/Days_In_Year</f>
        <v>-0</v>
      </c>
      <c r="CL58" s="48" t="n">
        <f aca="false">-(CL52+CL53)*In_Guarantee_Fee*CL$5/Days_In_Year</f>
        <v>-0</v>
      </c>
      <c r="CM58" s="48" t="n">
        <f aca="false">-(CM52+CM53)*In_Guarantee_Fee*CM$5/Days_In_Year</f>
        <v>-0</v>
      </c>
      <c r="CN58" s="48" t="n">
        <f aca="false">-(CN52+CN53)*In_Guarantee_Fee*CN$5/Days_In_Year</f>
        <v>-0</v>
      </c>
      <c r="CO58" s="48" t="n">
        <f aca="false">-(CO52+CO53)*In_Guarantee_Fee*CO$5/Days_In_Year</f>
        <v>-0</v>
      </c>
      <c r="CP58" s="48" t="n">
        <f aca="false">-(CP52+CP53)*In_Guarantee_Fee*CP$5/Days_In_Year</f>
        <v>-0</v>
      </c>
      <c r="CQ58" s="48" t="n">
        <f aca="false">-(CQ52+CQ53)*In_Guarantee_Fee*CQ$5/Days_In_Year</f>
        <v>-0</v>
      </c>
      <c r="CR58" s="48" t="n">
        <f aca="false">-(CR52+CR53)*In_Guarantee_Fee*CR$5/Days_In_Year</f>
        <v>-0</v>
      </c>
      <c r="CS58" s="48" t="n">
        <f aca="false">-(CS52+CS53)*In_Guarantee_Fee*CS$5/Days_In_Year</f>
        <v>-0</v>
      </c>
      <c r="CT58" s="48" t="n">
        <f aca="false">-(CT52+CT53)*In_Guarantee_Fee*CT$5/Days_In_Year</f>
        <v>-0</v>
      </c>
      <c r="CU58" s="48" t="n">
        <f aca="false">-(CU52+CU53)*In_Guarantee_Fee*CU$5/Days_In_Year</f>
        <v>-0</v>
      </c>
      <c r="CV58" s="48" t="n">
        <f aca="false">-(CV52+CV53)*In_Guarantee_Fee*CV$5/Days_In_Year</f>
        <v>-0</v>
      </c>
      <c r="CW58" s="48" t="n">
        <f aca="false">-(CW52+CW53)*In_Guarantee_Fee*CW$5/Days_In_Year</f>
        <v>-0</v>
      </c>
      <c r="CX58" s="48" t="n">
        <f aca="false">-(CX52+CX53)*In_Guarantee_Fee*CX$5/Days_In_Year</f>
        <v>-0</v>
      </c>
      <c r="CY58" s="48" t="n">
        <f aca="false">-(CY52+CY53)*In_Guarantee_Fee*CY$5/Days_In_Year</f>
        <v>-0</v>
      </c>
      <c r="CZ58" s="48" t="n">
        <f aca="false">-(CZ52+CZ53)*In_Guarantee_Fee*CZ$5/Days_In_Year</f>
        <v>-0</v>
      </c>
      <c r="DA58" s="48" t="n">
        <f aca="false">-(DA52+DA53)*In_Guarantee_Fee*DA$5/Days_In_Year</f>
        <v>-0</v>
      </c>
      <c r="DB58" s="48" t="n">
        <f aca="false">-(DB52+DB53)*In_Guarantee_Fee*DB$5/Days_In_Year</f>
        <v>-0</v>
      </c>
      <c r="DC58" s="48" t="n">
        <f aca="false">-(DC52+DC53)*In_Guarantee_Fee*DC$5/Days_In_Year</f>
        <v>-0</v>
      </c>
      <c r="DD58" s="48" t="n">
        <f aca="false">-(DD52+DD53)*In_Guarantee_Fee*DD$5/Days_In_Year</f>
        <v>-0</v>
      </c>
      <c r="DE58" s="48" t="n">
        <f aca="false">-(DE52+DE53)*In_Guarantee_Fee*DE$5/Days_In_Year</f>
        <v>-0</v>
      </c>
      <c r="DF58" s="48" t="n">
        <f aca="false">-(DF52+DF53)*In_Guarantee_Fee*DF$5/Days_In_Year</f>
        <v>-0</v>
      </c>
      <c r="DG58" s="48" t="n">
        <f aca="false">-(DG52+DG53)*In_Guarantee_Fee*DG$5/Days_In_Year</f>
        <v>-0</v>
      </c>
      <c r="DH58" s="48" t="n">
        <f aca="false">-(DH52+DH53)*In_Guarantee_Fee*DH$5/Days_In_Year</f>
        <v>-0</v>
      </c>
      <c r="DI58" s="48" t="n">
        <f aca="false">-(DI52+DI53)*In_Guarantee_Fee*DI$5/Days_In_Year</f>
        <v>-0</v>
      </c>
      <c r="DJ58" s="48" t="n">
        <f aca="false">-(DJ52+DJ53)*In_Guarantee_Fee*DJ$5/Days_In_Year</f>
        <v>-0</v>
      </c>
      <c r="DK58" s="48" t="n">
        <f aca="false">-(DK52+DK53)*In_Guarantee_Fee*DK$5/Days_In_Year</f>
        <v>-0</v>
      </c>
      <c r="DL58" s="48" t="n">
        <f aca="false">-(DL52+DL53)*In_Guarantee_Fee*DL$5/Days_In_Year</f>
        <v>-0</v>
      </c>
      <c r="DM58" s="48" t="n">
        <f aca="false">-(DM52+DM53)*In_Guarantee_Fee*DM$5/Days_In_Year</f>
        <v>-0</v>
      </c>
      <c r="DN58" s="48" t="n">
        <f aca="false">-(DN52+DN53)*In_Guarantee_Fee*DN$5/Days_In_Year</f>
        <v>-0</v>
      </c>
      <c r="DO58" s="48" t="n">
        <f aca="false">-(DO52+DO53)*In_Guarantee_Fee*DO$5/Days_In_Year</f>
        <v>-0</v>
      </c>
      <c r="DP58" s="48" t="n">
        <f aca="false">-(DP52+DP53)*In_Guarantee_Fee*DP$5/Days_In_Year</f>
        <v>-0</v>
      </c>
      <c r="DQ58" s="48" t="n">
        <f aca="false">-(DQ52+DQ53)*In_Guarantee_Fee*DQ$5/Days_In_Year</f>
        <v>-0</v>
      </c>
      <c r="DR58" s="48" t="n">
        <f aca="false">-(DR52+DR53)*In_Guarantee_Fee*DR$5/Days_In_Year</f>
        <v>-0</v>
      </c>
      <c r="DS58" s="48" t="n">
        <f aca="false">-(DS52+DS53)*In_Guarantee_Fee*DS$5/Days_In_Year</f>
        <v>-0</v>
      </c>
      <c r="DT58" s="48" t="n">
        <f aca="false">-(DT52+DT53)*In_Guarantee_Fee*DT$5/Days_In_Year</f>
        <v>-0</v>
      </c>
      <c r="DU58" s="48" t="n">
        <f aca="false">-(DU52+DU53)*In_Guarantee_Fee*DU$5/Days_In_Year</f>
        <v>-0</v>
      </c>
      <c r="DV58" s="48" t="n">
        <f aca="false">-(DV52+DV53)*In_Guarantee_Fee*DV$5/Days_In_Year</f>
        <v>-0</v>
      </c>
      <c r="DW58" s="48" t="n">
        <f aca="false">-(DW52+DW53)*In_Guarantee_Fee*DW$5/Days_In_Year</f>
        <v>-0</v>
      </c>
      <c r="DX58" s="48" t="n">
        <f aca="false">-(DX52+DX53)*In_Guarantee_Fee*DX$5/Days_In_Year</f>
        <v>-0</v>
      </c>
      <c r="DY58" s="48" t="n">
        <f aca="false">-(DY52+DY53)*In_Guarantee_Fee*DY$5/Days_In_Year</f>
        <v>-0</v>
      </c>
      <c r="DZ58" s="48" t="n">
        <f aca="false">-(DZ52+DZ53)*In_Guarantee_Fee*DZ$5/Days_In_Year</f>
        <v>-0</v>
      </c>
      <c r="EA58" s="48" t="n">
        <f aca="false">-(EA52+EA53)*In_Guarantee_Fee*EA$5/Days_In_Year</f>
        <v>-0</v>
      </c>
      <c r="EB58" s="48" t="n">
        <f aca="false">-(EB52+EB53)*In_Guarantee_Fee*EB$5/Days_In_Year</f>
        <v>-0</v>
      </c>
      <c r="EC58" s="48" t="n">
        <f aca="false">-(EC52+EC53)*In_Guarantee_Fee*EC$5/Days_In_Year</f>
        <v>-0</v>
      </c>
      <c r="ED58" s="48" t="n">
        <f aca="false">-(ED52+ED53)*In_Guarantee_Fee*ED$5/Days_In_Year</f>
        <v>-0</v>
      </c>
      <c r="EE58" s="48" t="n">
        <f aca="false">-(EE52+EE53)*In_Guarantee_Fee*EE$5/Days_In_Year</f>
        <v>-0</v>
      </c>
      <c r="EF58" s="48" t="n">
        <f aca="false">-(EF52+EF53)*In_Guarantee_Fee*EF$5/Days_In_Year</f>
        <v>-0</v>
      </c>
      <c r="EG58" s="48" t="n">
        <f aca="false">-(EG52+EG53)*In_Guarantee_Fee*EG$5/Days_In_Year</f>
        <v>-0</v>
      </c>
      <c r="EH58" s="48" t="n">
        <f aca="false">-(EH52+EH53)*In_Guarantee_Fee*EH$5/Days_In_Year</f>
        <v>-0</v>
      </c>
      <c r="EI58" s="48" t="n">
        <f aca="false">-(EI52+EI53)*In_Guarantee_Fee*EI$5/Days_In_Year</f>
        <v>-0</v>
      </c>
      <c r="EJ58" s="48" t="n">
        <f aca="false">-(EJ52+EJ53)*In_Guarantee_Fee*EJ$5/Days_In_Year</f>
        <v>-0</v>
      </c>
      <c r="EK58" s="48" t="n">
        <f aca="false">-(EK52+EK53)*In_Guarantee_Fee*EK$5/Days_In_Year</f>
        <v>-0</v>
      </c>
      <c r="EL58" s="48" t="n">
        <f aca="false">-(EL52+EL53)*In_Guarantee_Fee*EL$5/Days_In_Year</f>
        <v>-0</v>
      </c>
      <c r="EM58" s="48" t="n">
        <f aca="false">-(EM52+EM53)*In_Guarantee_Fee*EM$5/Days_In_Year</f>
        <v>-0</v>
      </c>
      <c r="EN58" s="48" t="n">
        <f aca="false">-(EN52+EN53)*In_Guarantee_Fee*EN$5/Days_In_Year</f>
        <v>-0</v>
      </c>
      <c r="EO58" s="48" t="n">
        <f aca="false">-(EO52+EO53)*In_Guarantee_Fee*EO$5/Days_In_Year</f>
        <v>-0</v>
      </c>
    </row>
    <row r="59" customFormat="false" ht="15" hidden="false" customHeight="false" outlineLevel="0" collapsed="false">
      <c r="C59" s="0" t="s">
        <v>445</v>
      </c>
      <c r="D59" s="11" t="s">
        <v>33</v>
      </c>
      <c r="E59" s="48" t="n">
        <f aca="false">$E53*$E25*In_Bench_Wind/$E50</f>
        <v>1668.49315068493</v>
      </c>
      <c r="F59" s="48" t="n">
        <f aca="false">$E53-$E59</f>
        <v>547.945205479452</v>
      </c>
    </row>
    <row r="60" customFormat="false" ht="15" hidden="false" customHeight="false" outlineLevel="0" collapsed="false">
      <c r="C60" s="0" t="s">
        <v>446</v>
      </c>
      <c r="D60" s="11" t="s">
        <v>33</v>
      </c>
      <c r="E60" s="48" t="n">
        <f aca="false">($E30&gt;In_Tolerance_Cap)*$E30*$E59+($F30&gt;In_Tolerance_Cap)*$F30*$F59</f>
        <v>0</v>
      </c>
      <c r="F60" s="48" t="n">
        <f aca="false">($E30+$F30&gt;0)*$E53</f>
        <v>2216.43835616438</v>
      </c>
    </row>
    <row r="61" customFormat="false" ht="15" hidden="false" customHeight="false" outlineLevel="0" collapsed="false">
      <c r="C61" s="0" t="s">
        <v>447</v>
      </c>
      <c r="D61" s="11" t="s">
        <v>33</v>
      </c>
      <c r="E61" s="46" t="n">
        <f aca="false">EDATE(In_COD,In_Sanction_Lag)</f>
        <v>47937</v>
      </c>
      <c r="I61" s="48" t="n">
        <f aca="false">SUM(J61:EO61)</f>
        <v>0</v>
      </c>
      <c r="J61" s="48" t="n">
        <f aca="false">-CHOOSE(In_Sanction_Regime,$E60,$F60)*N(AND(J$3&lt;=$E61,J$4&gt;=$E61))</f>
        <v>-0</v>
      </c>
      <c r="K61" s="48" t="n">
        <f aca="false">-CHOOSE(In_Sanction_Regime,$E60,$F60)*N(AND(K$3&lt;=$E61,K$4&gt;=$E61))</f>
        <v>-0</v>
      </c>
      <c r="L61" s="48" t="n">
        <f aca="false">-CHOOSE(In_Sanction_Regime,$E60,$F60)*N(AND(L$3&lt;=$E61,L$4&gt;=$E61))</f>
        <v>-0</v>
      </c>
      <c r="M61" s="48" t="n">
        <f aca="false">-CHOOSE(In_Sanction_Regime,$E60,$F60)*N(AND(M$3&lt;=$E61,M$4&gt;=$E61))</f>
        <v>-0</v>
      </c>
      <c r="N61" s="48" t="n">
        <f aca="false">-CHOOSE(In_Sanction_Regime,$E60,$F60)*N(AND(N$3&lt;=$E61,N$4&gt;=$E61))</f>
        <v>-0</v>
      </c>
      <c r="O61" s="48" t="n">
        <f aca="false">-CHOOSE(In_Sanction_Regime,$E60,$F60)*N(AND(O$3&lt;=$E61,O$4&gt;=$E61))</f>
        <v>-0</v>
      </c>
      <c r="P61" s="48" t="n">
        <f aca="false">-CHOOSE(In_Sanction_Regime,$E60,$F60)*N(AND(P$3&lt;=$E61,P$4&gt;=$E61))</f>
        <v>-0</v>
      </c>
      <c r="Q61" s="48" t="n">
        <f aca="false">-CHOOSE(In_Sanction_Regime,$E60,$F60)*N(AND(Q$3&lt;=$E61,Q$4&gt;=$E61))</f>
        <v>-0</v>
      </c>
      <c r="R61" s="48" t="n">
        <f aca="false">-CHOOSE(In_Sanction_Regime,$E60,$F60)*N(AND(R$3&lt;=$E61,R$4&gt;=$E61))</f>
        <v>-0</v>
      </c>
      <c r="S61" s="48" t="n">
        <f aca="false">-CHOOSE(In_Sanction_Regime,$E60,$F60)*N(AND(S$3&lt;=$E61,S$4&gt;=$E61))</f>
        <v>-0</v>
      </c>
      <c r="T61" s="48" t="n">
        <f aca="false">-CHOOSE(In_Sanction_Regime,$E60,$F60)*N(AND(T$3&lt;=$E61,T$4&gt;=$E61))</f>
        <v>-0</v>
      </c>
      <c r="U61" s="48" t="n">
        <f aca="false">-CHOOSE(In_Sanction_Regime,$E60,$F60)*N(AND(U$3&lt;=$E61,U$4&gt;=$E61))</f>
        <v>-0</v>
      </c>
      <c r="V61" s="48" t="n">
        <f aca="false">-CHOOSE(In_Sanction_Regime,$E60,$F60)*N(AND(V$3&lt;=$E61,V$4&gt;=$E61))</f>
        <v>-0</v>
      </c>
      <c r="W61" s="48" t="n">
        <f aca="false">-CHOOSE(In_Sanction_Regime,$E60,$F60)*N(AND(W$3&lt;=$E61,W$4&gt;=$E61))</f>
        <v>-0</v>
      </c>
      <c r="X61" s="48" t="n">
        <f aca="false">-CHOOSE(In_Sanction_Regime,$E60,$F60)*N(AND(X$3&lt;=$E61,X$4&gt;=$E61))</f>
        <v>-0</v>
      </c>
      <c r="Y61" s="48" t="n">
        <f aca="false">-CHOOSE(In_Sanction_Regime,$E60,$F60)*N(AND(Y$3&lt;=$E61,Y$4&gt;=$E61))</f>
        <v>-0</v>
      </c>
      <c r="Z61" s="48" t="n">
        <f aca="false">-CHOOSE(In_Sanction_Regime,$E60,$F60)*N(AND(Z$3&lt;=$E61,Z$4&gt;=$E61))</f>
        <v>-0</v>
      </c>
      <c r="AA61" s="48" t="n">
        <f aca="false">-CHOOSE(In_Sanction_Regime,$E60,$F60)*N(AND(AA$3&lt;=$E61,AA$4&gt;=$E61))</f>
        <v>-0</v>
      </c>
      <c r="AB61" s="48" t="n">
        <f aca="false">-CHOOSE(In_Sanction_Regime,$E60,$F60)*N(AND(AB$3&lt;=$E61,AB$4&gt;=$E61))</f>
        <v>-0</v>
      </c>
      <c r="AC61" s="48" t="n">
        <f aca="false">-CHOOSE(In_Sanction_Regime,$E60,$F60)*N(AND(AC$3&lt;=$E61,AC$4&gt;=$E61))</f>
        <v>-0</v>
      </c>
      <c r="AD61" s="48" t="n">
        <f aca="false">-CHOOSE(In_Sanction_Regime,$E60,$F60)*N(AND(AD$3&lt;=$E61,AD$4&gt;=$E61))</f>
        <v>-0</v>
      </c>
      <c r="AE61" s="48" t="n">
        <f aca="false">-CHOOSE(In_Sanction_Regime,$E60,$F60)*N(AND(AE$3&lt;=$E61,AE$4&gt;=$E61))</f>
        <v>-0</v>
      </c>
      <c r="AF61" s="48" t="n">
        <f aca="false">-CHOOSE(In_Sanction_Regime,$E60,$F60)*N(AND(AF$3&lt;=$E61,AF$4&gt;=$E61))</f>
        <v>-0</v>
      </c>
      <c r="AG61" s="48" t="n">
        <f aca="false">-CHOOSE(In_Sanction_Regime,$E60,$F60)*N(AND(AG$3&lt;=$E61,AG$4&gt;=$E61))</f>
        <v>-0</v>
      </c>
      <c r="AH61" s="48" t="n">
        <f aca="false">-CHOOSE(In_Sanction_Regime,$E60,$F60)*N(AND(AH$3&lt;=$E61,AH$4&gt;=$E61))</f>
        <v>-0</v>
      </c>
      <c r="AI61" s="48" t="n">
        <f aca="false">-CHOOSE(In_Sanction_Regime,$E60,$F60)*N(AND(AI$3&lt;=$E61,AI$4&gt;=$E61))</f>
        <v>-0</v>
      </c>
      <c r="AJ61" s="48" t="n">
        <f aca="false">-CHOOSE(In_Sanction_Regime,$E60,$F60)*N(AND(AJ$3&lt;=$E61,AJ$4&gt;=$E61))</f>
        <v>-0</v>
      </c>
      <c r="AK61" s="48" t="n">
        <f aca="false">-CHOOSE(In_Sanction_Regime,$E60,$F60)*N(AND(AK$3&lt;=$E61,AK$4&gt;=$E61))</f>
        <v>-0</v>
      </c>
      <c r="AL61" s="48" t="n">
        <f aca="false">-CHOOSE(In_Sanction_Regime,$E60,$F60)*N(AND(AL$3&lt;=$E61,AL$4&gt;=$E61))</f>
        <v>-0</v>
      </c>
      <c r="AM61" s="48" t="n">
        <f aca="false">-CHOOSE(In_Sanction_Regime,$E60,$F60)*N(AND(AM$3&lt;=$E61,AM$4&gt;=$E61))</f>
        <v>-0</v>
      </c>
      <c r="AN61" s="48" t="n">
        <f aca="false">-CHOOSE(In_Sanction_Regime,$E60,$F60)*N(AND(AN$3&lt;=$E61,AN$4&gt;=$E61))</f>
        <v>-0</v>
      </c>
      <c r="AO61" s="48" t="n">
        <f aca="false">-CHOOSE(In_Sanction_Regime,$E60,$F60)*N(AND(AO$3&lt;=$E61,AO$4&gt;=$E61))</f>
        <v>-0</v>
      </c>
      <c r="AP61" s="48" t="n">
        <f aca="false">-CHOOSE(In_Sanction_Regime,$E60,$F60)*N(AND(AP$3&lt;=$E61,AP$4&gt;=$E61))</f>
        <v>-0</v>
      </c>
      <c r="AQ61" s="48" t="n">
        <f aca="false">-CHOOSE(In_Sanction_Regime,$E60,$F60)*N(AND(AQ$3&lt;=$E61,AQ$4&gt;=$E61))</f>
        <v>-0</v>
      </c>
      <c r="AR61" s="48" t="n">
        <f aca="false">-CHOOSE(In_Sanction_Regime,$E60,$F60)*N(AND(AR$3&lt;=$E61,AR$4&gt;=$E61))</f>
        <v>-0</v>
      </c>
      <c r="AS61" s="48" t="n">
        <f aca="false">-CHOOSE(In_Sanction_Regime,$E60,$F60)*N(AND(AS$3&lt;=$E61,AS$4&gt;=$E61))</f>
        <v>-0</v>
      </c>
      <c r="AT61" s="48" t="n">
        <f aca="false">-CHOOSE(In_Sanction_Regime,$E60,$F60)*N(AND(AT$3&lt;=$E61,AT$4&gt;=$E61))</f>
        <v>-0</v>
      </c>
      <c r="AU61" s="48" t="n">
        <f aca="false">-CHOOSE(In_Sanction_Regime,$E60,$F60)*N(AND(AU$3&lt;=$E61,AU$4&gt;=$E61))</f>
        <v>-0</v>
      </c>
      <c r="AV61" s="48" t="n">
        <f aca="false">-CHOOSE(In_Sanction_Regime,$E60,$F60)*N(AND(AV$3&lt;=$E61,AV$4&gt;=$E61))</f>
        <v>-0</v>
      </c>
      <c r="AW61" s="48" t="n">
        <f aca="false">-CHOOSE(In_Sanction_Regime,$E60,$F60)*N(AND(AW$3&lt;=$E61,AW$4&gt;=$E61))</f>
        <v>-0</v>
      </c>
      <c r="AX61" s="48" t="n">
        <f aca="false">-CHOOSE(In_Sanction_Regime,$E60,$F60)*N(AND(AX$3&lt;=$E61,AX$4&gt;=$E61))</f>
        <v>-0</v>
      </c>
      <c r="AY61" s="48" t="n">
        <f aca="false">-CHOOSE(In_Sanction_Regime,$E60,$F60)*N(AND(AY$3&lt;=$E61,AY$4&gt;=$E61))</f>
        <v>-0</v>
      </c>
      <c r="AZ61" s="48" t="n">
        <f aca="false">-CHOOSE(In_Sanction_Regime,$E60,$F60)*N(AND(AZ$3&lt;=$E61,AZ$4&gt;=$E61))</f>
        <v>-0</v>
      </c>
      <c r="BA61" s="48" t="n">
        <f aca="false">-CHOOSE(In_Sanction_Regime,$E60,$F60)*N(AND(BA$3&lt;=$E61,BA$4&gt;=$E61))</f>
        <v>-0</v>
      </c>
      <c r="BB61" s="48" t="n">
        <f aca="false">-CHOOSE(In_Sanction_Regime,$E60,$F60)*N(AND(BB$3&lt;=$E61,BB$4&gt;=$E61))</f>
        <v>-0</v>
      </c>
      <c r="BC61" s="48" t="n">
        <f aca="false">-CHOOSE(In_Sanction_Regime,$E60,$F60)*N(AND(BC$3&lt;=$E61,BC$4&gt;=$E61))</f>
        <v>-0</v>
      </c>
      <c r="BD61" s="48" t="n">
        <f aca="false">-CHOOSE(In_Sanction_Regime,$E60,$F60)*N(AND(BD$3&lt;=$E61,BD$4&gt;=$E61))</f>
        <v>-0</v>
      </c>
      <c r="BE61" s="48" t="n">
        <f aca="false">-CHOOSE(In_Sanction_Regime,$E60,$F60)*N(AND(BE$3&lt;=$E61,BE$4&gt;=$E61))</f>
        <v>-0</v>
      </c>
      <c r="BF61" s="48" t="n">
        <f aca="false">-CHOOSE(In_Sanction_Regime,$E60,$F60)*N(AND(BF$3&lt;=$E61,BF$4&gt;=$E61))</f>
        <v>-0</v>
      </c>
      <c r="BG61" s="48" t="n">
        <f aca="false">-CHOOSE(In_Sanction_Regime,$E60,$F60)*N(AND(BG$3&lt;=$E61,BG$4&gt;=$E61))</f>
        <v>-0</v>
      </c>
      <c r="BH61" s="48" t="n">
        <f aca="false">-CHOOSE(In_Sanction_Regime,$E60,$F60)*N(AND(BH$3&lt;=$E61,BH$4&gt;=$E61))</f>
        <v>-0</v>
      </c>
      <c r="BI61" s="48" t="n">
        <f aca="false">-CHOOSE(In_Sanction_Regime,$E60,$F60)*N(AND(BI$3&lt;=$E61,BI$4&gt;=$E61))</f>
        <v>-0</v>
      </c>
      <c r="BJ61" s="48" t="n">
        <f aca="false">-CHOOSE(In_Sanction_Regime,$E60,$F60)*N(AND(BJ$3&lt;=$E61,BJ$4&gt;=$E61))</f>
        <v>-0</v>
      </c>
      <c r="BK61" s="48" t="n">
        <f aca="false">-CHOOSE(In_Sanction_Regime,$E60,$F60)*N(AND(BK$3&lt;=$E61,BK$4&gt;=$E61))</f>
        <v>-0</v>
      </c>
      <c r="BL61" s="48" t="n">
        <f aca="false">-CHOOSE(In_Sanction_Regime,$E60,$F60)*N(AND(BL$3&lt;=$E61,BL$4&gt;=$E61))</f>
        <v>-0</v>
      </c>
      <c r="BM61" s="48" t="n">
        <f aca="false">-CHOOSE(In_Sanction_Regime,$E60,$F60)*N(AND(BM$3&lt;=$E61,BM$4&gt;=$E61))</f>
        <v>-0</v>
      </c>
      <c r="BN61" s="48" t="n">
        <f aca="false">-CHOOSE(In_Sanction_Regime,$E60,$F60)*N(AND(BN$3&lt;=$E61,BN$4&gt;=$E61))</f>
        <v>-0</v>
      </c>
      <c r="BO61" s="48" t="n">
        <f aca="false">-CHOOSE(In_Sanction_Regime,$E60,$F60)*N(AND(BO$3&lt;=$E61,BO$4&gt;=$E61))</f>
        <v>-0</v>
      </c>
      <c r="BP61" s="48" t="n">
        <f aca="false">-CHOOSE(In_Sanction_Regime,$E60,$F60)*N(AND(BP$3&lt;=$E61,BP$4&gt;=$E61))</f>
        <v>-0</v>
      </c>
      <c r="BQ61" s="48" t="n">
        <f aca="false">-CHOOSE(In_Sanction_Regime,$E60,$F60)*N(AND(BQ$3&lt;=$E61,BQ$4&gt;=$E61))</f>
        <v>-0</v>
      </c>
      <c r="BR61" s="48" t="n">
        <f aca="false">-CHOOSE(In_Sanction_Regime,$E60,$F60)*N(AND(BR$3&lt;=$E61,BR$4&gt;=$E61))</f>
        <v>-0</v>
      </c>
      <c r="BS61" s="48" t="n">
        <f aca="false">-CHOOSE(In_Sanction_Regime,$E60,$F60)*N(AND(BS$3&lt;=$E61,BS$4&gt;=$E61))</f>
        <v>-0</v>
      </c>
      <c r="BT61" s="48" t="n">
        <f aca="false">-CHOOSE(In_Sanction_Regime,$E60,$F60)*N(AND(BT$3&lt;=$E61,BT$4&gt;=$E61))</f>
        <v>-0</v>
      </c>
      <c r="BU61" s="48" t="n">
        <f aca="false">-CHOOSE(In_Sanction_Regime,$E60,$F60)*N(AND(BU$3&lt;=$E61,BU$4&gt;=$E61))</f>
        <v>-0</v>
      </c>
      <c r="BV61" s="48" t="n">
        <f aca="false">-CHOOSE(In_Sanction_Regime,$E60,$F60)*N(AND(BV$3&lt;=$E61,BV$4&gt;=$E61))</f>
        <v>-0</v>
      </c>
      <c r="BW61" s="48" t="n">
        <f aca="false">-CHOOSE(In_Sanction_Regime,$E60,$F60)*N(AND(BW$3&lt;=$E61,BW$4&gt;=$E61))</f>
        <v>-0</v>
      </c>
      <c r="BX61" s="48" t="n">
        <f aca="false">-CHOOSE(In_Sanction_Regime,$E60,$F60)*N(AND(BX$3&lt;=$E61,BX$4&gt;=$E61))</f>
        <v>-0</v>
      </c>
      <c r="BY61" s="48" t="n">
        <f aca="false">-CHOOSE(In_Sanction_Regime,$E60,$F60)*N(AND(BY$3&lt;=$E61,BY$4&gt;=$E61))</f>
        <v>-0</v>
      </c>
      <c r="BZ61" s="48" t="n">
        <f aca="false">-CHOOSE(In_Sanction_Regime,$E60,$F60)*N(AND(BZ$3&lt;=$E61,BZ$4&gt;=$E61))</f>
        <v>-0</v>
      </c>
      <c r="CA61" s="48" t="n">
        <f aca="false">-CHOOSE(In_Sanction_Regime,$E60,$F60)*N(AND(CA$3&lt;=$E61,CA$4&gt;=$E61))</f>
        <v>-0</v>
      </c>
      <c r="CB61" s="48" t="n">
        <f aca="false">-CHOOSE(In_Sanction_Regime,$E60,$F60)*N(AND(CB$3&lt;=$E61,CB$4&gt;=$E61))</f>
        <v>-0</v>
      </c>
      <c r="CC61" s="48" t="n">
        <f aca="false">-CHOOSE(In_Sanction_Regime,$E60,$F60)*N(AND(CC$3&lt;=$E61,CC$4&gt;=$E61))</f>
        <v>-0</v>
      </c>
      <c r="CD61" s="48" t="n">
        <f aca="false">-CHOOSE(In_Sanction_Regime,$E60,$F60)*N(AND(CD$3&lt;=$E61,CD$4&gt;=$E61))</f>
        <v>-0</v>
      </c>
      <c r="CE61" s="48" t="n">
        <f aca="false">-CHOOSE(In_Sanction_Regime,$E60,$F60)*N(AND(CE$3&lt;=$E61,CE$4&gt;=$E61))</f>
        <v>-0</v>
      </c>
      <c r="CF61" s="48" t="n">
        <f aca="false">-CHOOSE(In_Sanction_Regime,$E60,$F60)*N(AND(CF$3&lt;=$E61,CF$4&gt;=$E61))</f>
        <v>-0</v>
      </c>
      <c r="CG61" s="48" t="n">
        <f aca="false">-CHOOSE(In_Sanction_Regime,$E60,$F60)*N(AND(CG$3&lt;=$E61,CG$4&gt;=$E61))</f>
        <v>-0</v>
      </c>
      <c r="CH61" s="48" t="n">
        <f aca="false">-CHOOSE(In_Sanction_Regime,$E60,$F60)*N(AND(CH$3&lt;=$E61,CH$4&gt;=$E61))</f>
        <v>-0</v>
      </c>
      <c r="CI61" s="48" t="n">
        <f aca="false">-CHOOSE(In_Sanction_Regime,$E60,$F60)*N(AND(CI$3&lt;=$E61,CI$4&gt;=$E61))</f>
        <v>-0</v>
      </c>
      <c r="CJ61" s="48" t="n">
        <f aca="false">-CHOOSE(In_Sanction_Regime,$E60,$F60)*N(AND(CJ$3&lt;=$E61,CJ$4&gt;=$E61))</f>
        <v>-0</v>
      </c>
      <c r="CK61" s="48" t="n">
        <f aca="false">-CHOOSE(In_Sanction_Regime,$E60,$F60)*N(AND(CK$3&lt;=$E61,CK$4&gt;=$E61))</f>
        <v>-0</v>
      </c>
      <c r="CL61" s="48" t="n">
        <f aca="false">-CHOOSE(In_Sanction_Regime,$E60,$F60)*N(AND(CL$3&lt;=$E61,CL$4&gt;=$E61))</f>
        <v>-0</v>
      </c>
      <c r="CM61" s="48" t="n">
        <f aca="false">-CHOOSE(In_Sanction_Regime,$E60,$F60)*N(AND(CM$3&lt;=$E61,CM$4&gt;=$E61))</f>
        <v>-0</v>
      </c>
      <c r="CN61" s="48" t="n">
        <f aca="false">-CHOOSE(In_Sanction_Regime,$E60,$F60)*N(AND(CN$3&lt;=$E61,CN$4&gt;=$E61))</f>
        <v>-0</v>
      </c>
      <c r="CO61" s="48" t="n">
        <f aca="false">-CHOOSE(In_Sanction_Regime,$E60,$F60)*N(AND(CO$3&lt;=$E61,CO$4&gt;=$E61))</f>
        <v>-0</v>
      </c>
      <c r="CP61" s="48" t="n">
        <f aca="false">-CHOOSE(In_Sanction_Regime,$E60,$F60)*N(AND(CP$3&lt;=$E61,CP$4&gt;=$E61))</f>
        <v>-0</v>
      </c>
      <c r="CQ61" s="48" t="n">
        <f aca="false">-CHOOSE(In_Sanction_Regime,$E60,$F60)*N(AND(CQ$3&lt;=$E61,CQ$4&gt;=$E61))</f>
        <v>-0</v>
      </c>
      <c r="CR61" s="48" t="n">
        <f aca="false">-CHOOSE(In_Sanction_Regime,$E60,$F60)*N(AND(CR$3&lt;=$E61,CR$4&gt;=$E61))</f>
        <v>-0</v>
      </c>
      <c r="CS61" s="48" t="n">
        <f aca="false">-CHOOSE(In_Sanction_Regime,$E60,$F60)*N(AND(CS$3&lt;=$E61,CS$4&gt;=$E61))</f>
        <v>-0</v>
      </c>
      <c r="CT61" s="48" t="n">
        <f aca="false">-CHOOSE(In_Sanction_Regime,$E60,$F60)*N(AND(CT$3&lt;=$E61,CT$4&gt;=$E61))</f>
        <v>-0</v>
      </c>
      <c r="CU61" s="48" t="n">
        <f aca="false">-CHOOSE(In_Sanction_Regime,$E60,$F60)*N(AND(CU$3&lt;=$E61,CU$4&gt;=$E61))</f>
        <v>-0</v>
      </c>
      <c r="CV61" s="48" t="n">
        <f aca="false">-CHOOSE(In_Sanction_Regime,$E60,$F60)*N(AND(CV$3&lt;=$E61,CV$4&gt;=$E61))</f>
        <v>-0</v>
      </c>
      <c r="CW61" s="48" t="n">
        <f aca="false">-CHOOSE(In_Sanction_Regime,$E60,$F60)*N(AND(CW$3&lt;=$E61,CW$4&gt;=$E61))</f>
        <v>-0</v>
      </c>
      <c r="CX61" s="48" t="n">
        <f aca="false">-CHOOSE(In_Sanction_Regime,$E60,$F60)*N(AND(CX$3&lt;=$E61,CX$4&gt;=$E61))</f>
        <v>-0</v>
      </c>
      <c r="CY61" s="48" t="n">
        <f aca="false">-CHOOSE(In_Sanction_Regime,$E60,$F60)*N(AND(CY$3&lt;=$E61,CY$4&gt;=$E61))</f>
        <v>-0</v>
      </c>
      <c r="CZ61" s="48" t="n">
        <f aca="false">-CHOOSE(In_Sanction_Regime,$E60,$F60)*N(AND(CZ$3&lt;=$E61,CZ$4&gt;=$E61))</f>
        <v>-0</v>
      </c>
      <c r="DA61" s="48" t="n">
        <f aca="false">-CHOOSE(In_Sanction_Regime,$E60,$F60)*N(AND(DA$3&lt;=$E61,DA$4&gt;=$E61))</f>
        <v>-0</v>
      </c>
      <c r="DB61" s="48" t="n">
        <f aca="false">-CHOOSE(In_Sanction_Regime,$E60,$F60)*N(AND(DB$3&lt;=$E61,DB$4&gt;=$E61))</f>
        <v>-0</v>
      </c>
      <c r="DC61" s="48" t="n">
        <f aca="false">-CHOOSE(In_Sanction_Regime,$E60,$F60)*N(AND(DC$3&lt;=$E61,DC$4&gt;=$E61))</f>
        <v>-0</v>
      </c>
      <c r="DD61" s="48" t="n">
        <f aca="false">-CHOOSE(In_Sanction_Regime,$E60,$F60)*N(AND(DD$3&lt;=$E61,DD$4&gt;=$E61))</f>
        <v>-0</v>
      </c>
      <c r="DE61" s="48" t="n">
        <f aca="false">-CHOOSE(In_Sanction_Regime,$E60,$F60)*N(AND(DE$3&lt;=$E61,DE$4&gt;=$E61))</f>
        <v>-0</v>
      </c>
      <c r="DF61" s="48" t="n">
        <f aca="false">-CHOOSE(In_Sanction_Regime,$E60,$F60)*N(AND(DF$3&lt;=$E61,DF$4&gt;=$E61))</f>
        <v>-0</v>
      </c>
      <c r="DG61" s="48" t="n">
        <f aca="false">-CHOOSE(In_Sanction_Regime,$E60,$F60)*N(AND(DG$3&lt;=$E61,DG$4&gt;=$E61))</f>
        <v>-0</v>
      </c>
      <c r="DH61" s="48" t="n">
        <f aca="false">-CHOOSE(In_Sanction_Regime,$E60,$F60)*N(AND(DH$3&lt;=$E61,DH$4&gt;=$E61))</f>
        <v>-0</v>
      </c>
      <c r="DI61" s="48" t="n">
        <f aca="false">-CHOOSE(In_Sanction_Regime,$E60,$F60)*N(AND(DI$3&lt;=$E61,DI$4&gt;=$E61))</f>
        <v>-0</v>
      </c>
      <c r="DJ61" s="48" t="n">
        <f aca="false">-CHOOSE(In_Sanction_Regime,$E60,$F60)*N(AND(DJ$3&lt;=$E61,DJ$4&gt;=$E61))</f>
        <v>-0</v>
      </c>
      <c r="DK61" s="48" t="n">
        <f aca="false">-CHOOSE(In_Sanction_Regime,$E60,$F60)*N(AND(DK$3&lt;=$E61,DK$4&gt;=$E61))</f>
        <v>-0</v>
      </c>
      <c r="DL61" s="48" t="n">
        <f aca="false">-CHOOSE(In_Sanction_Regime,$E60,$F60)*N(AND(DL$3&lt;=$E61,DL$4&gt;=$E61))</f>
        <v>-0</v>
      </c>
      <c r="DM61" s="48" t="n">
        <f aca="false">-CHOOSE(In_Sanction_Regime,$E60,$F60)*N(AND(DM$3&lt;=$E61,DM$4&gt;=$E61))</f>
        <v>-0</v>
      </c>
      <c r="DN61" s="48" t="n">
        <f aca="false">-CHOOSE(In_Sanction_Regime,$E60,$F60)*N(AND(DN$3&lt;=$E61,DN$4&gt;=$E61))</f>
        <v>-0</v>
      </c>
      <c r="DO61" s="48" t="n">
        <f aca="false">-CHOOSE(In_Sanction_Regime,$E60,$F60)*N(AND(DO$3&lt;=$E61,DO$4&gt;=$E61))</f>
        <v>-0</v>
      </c>
      <c r="DP61" s="48" t="n">
        <f aca="false">-CHOOSE(In_Sanction_Regime,$E60,$F60)*N(AND(DP$3&lt;=$E61,DP$4&gt;=$E61))</f>
        <v>-0</v>
      </c>
      <c r="DQ61" s="48" t="n">
        <f aca="false">-CHOOSE(In_Sanction_Regime,$E60,$F60)*N(AND(DQ$3&lt;=$E61,DQ$4&gt;=$E61))</f>
        <v>-0</v>
      </c>
      <c r="DR61" s="48" t="n">
        <f aca="false">-CHOOSE(In_Sanction_Regime,$E60,$F60)*N(AND(DR$3&lt;=$E61,DR$4&gt;=$E61))</f>
        <v>-0</v>
      </c>
      <c r="DS61" s="48" t="n">
        <f aca="false">-CHOOSE(In_Sanction_Regime,$E60,$F60)*N(AND(DS$3&lt;=$E61,DS$4&gt;=$E61))</f>
        <v>-0</v>
      </c>
      <c r="DT61" s="48" t="n">
        <f aca="false">-CHOOSE(In_Sanction_Regime,$E60,$F60)*N(AND(DT$3&lt;=$E61,DT$4&gt;=$E61))</f>
        <v>-0</v>
      </c>
      <c r="DU61" s="48" t="n">
        <f aca="false">-CHOOSE(In_Sanction_Regime,$E60,$F60)*N(AND(DU$3&lt;=$E61,DU$4&gt;=$E61))</f>
        <v>-0</v>
      </c>
      <c r="DV61" s="48" t="n">
        <f aca="false">-CHOOSE(In_Sanction_Regime,$E60,$F60)*N(AND(DV$3&lt;=$E61,DV$4&gt;=$E61))</f>
        <v>-0</v>
      </c>
      <c r="DW61" s="48" t="n">
        <f aca="false">-CHOOSE(In_Sanction_Regime,$E60,$F60)*N(AND(DW$3&lt;=$E61,DW$4&gt;=$E61))</f>
        <v>-0</v>
      </c>
      <c r="DX61" s="48" t="n">
        <f aca="false">-CHOOSE(In_Sanction_Regime,$E60,$F60)*N(AND(DX$3&lt;=$E61,DX$4&gt;=$E61))</f>
        <v>-0</v>
      </c>
      <c r="DY61" s="48" t="n">
        <f aca="false">-CHOOSE(In_Sanction_Regime,$E60,$F60)*N(AND(DY$3&lt;=$E61,DY$4&gt;=$E61))</f>
        <v>-0</v>
      </c>
      <c r="DZ61" s="48" t="n">
        <f aca="false">-CHOOSE(In_Sanction_Regime,$E60,$F60)*N(AND(DZ$3&lt;=$E61,DZ$4&gt;=$E61))</f>
        <v>-0</v>
      </c>
      <c r="EA61" s="48" t="n">
        <f aca="false">-CHOOSE(In_Sanction_Regime,$E60,$F60)*N(AND(EA$3&lt;=$E61,EA$4&gt;=$E61))</f>
        <v>-0</v>
      </c>
      <c r="EB61" s="48" t="n">
        <f aca="false">-CHOOSE(In_Sanction_Regime,$E60,$F60)*N(AND(EB$3&lt;=$E61,EB$4&gt;=$E61))</f>
        <v>-0</v>
      </c>
      <c r="EC61" s="48" t="n">
        <f aca="false">-CHOOSE(In_Sanction_Regime,$E60,$F60)*N(AND(EC$3&lt;=$E61,EC$4&gt;=$E61))</f>
        <v>-0</v>
      </c>
      <c r="ED61" s="48" t="n">
        <f aca="false">-CHOOSE(In_Sanction_Regime,$E60,$F60)*N(AND(ED$3&lt;=$E61,ED$4&gt;=$E61))</f>
        <v>-0</v>
      </c>
      <c r="EE61" s="48" t="n">
        <f aca="false">-CHOOSE(In_Sanction_Regime,$E60,$F60)*N(AND(EE$3&lt;=$E61,EE$4&gt;=$E61))</f>
        <v>-0</v>
      </c>
      <c r="EF61" s="48" t="n">
        <f aca="false">-CHOOSE(In_Sanction_Regime,$E60,$F60)*N(AND(EF$3&lt;=$E61,EF$4&gt;=$E61))</f>
        <v>-0</v>
      </c>
      <c r="EG61" s="48" t="n">
        <f aca="false">-CHOOSE(In_Sanction_Regime,$E60,$F60)*N(AND(EG$3&lt;=$E61,EG$4&gt;=$E61))</f>
        <v>-0</v>
      </c>
      <c r="EH61" s="48" t="n">
        <f aca="false">-CHOOSE(In_Sanction_Regime,$E60,$F60)*N(AND(EH$3&lt;=$E61,EH$4&gt;=$E61))</f>
        <v>-0</v>
      </c>
      <c r="EI61" s="48" t="n">
        <f aca="false">-CHOOSE(In_Sanction_Regime,$E60,$F60)*N(AND(EI$3&lt;=$E61,EI$4&gt;=$E61))</f>
        <v>-0</v>
      </c>
      <c r="EJ61" s="48" t="n">
        <f aca="false">-CHOOSE(In_Sanction_Regime,$E60,$F60)*N(AND(EJ$3&lt;=$E61,EJ$4&gt;=$E61))</f>
        <v>-0</v>
      </c>
      <c r="EK61" s="48" t="n">
        <f aca="false">-CHOOSE(In_Sanction_Regime,$E60,$F60)*N(AND(EK$3&lt;=$E61,EK$4&gt;=$E61))</f>
        <v>-0</v>
      </c>
      <c r="EL61" s="48" t="n">
        <f aca="false">-CHOOSE(In_Sanction_Regime,$E60,$F60)*N(AND(EL$3&lt;=$E61,EL$4&gt;=$E61))</f>
        <v>-0</v>
      </c>
      <c r="EM61" s="48" t="n">
        <f aca="false">-CHOOSE(In_Sanction_Regime,$E60,$F60)*N(AND(EM$3&lt;=$E61,EM$4&gt;=$E61))</f>
        <v>-0</v>
      </c>
      <c r="EN61" s="48" t="n">
        <f aca="false">-CHOOSE(In_Sanction_Regime,$E60,$F60)*N(AND(EN$3&lt;=$E61,EN$4&gt;=$E61))</f>
        <v>-0</v>
      </c>
      <c r="EO61" s="48" t="n">
        <f aca="false">-CHOOSE(In_Sanction_Regime,$E60,$F60)*N(AND(EO$3&lt;=$E61,EO$4&gt;=$E61))</f>
        <v>-0</v>
      </c>
    </row>
    <row r="62" customFormat="false" ht="15" hidden="false" customHeight="false" outlineLevel="0" collapsed="false">
      <c r="C62" s="25" t="s">
        <v>448</v>
      </c>
      <c r="D62" s="11" t="s">
        <v>33</v>
      </c>
      <c r="I62" s="57" t="n">
        <f aca="false">SUM(J62:EO62)</f>
        <v>-6597.56948020267</v>
      </c>
      <c r="J62" s="57" t="n">
        <f aca="false">J47+J48+J49+J51+J54+J58</f>
        <v>-4662.80993807469</v>
      </c>
      <c r="K62" s="57" t="n">
        <f aca="false">K47+K48+K49+K51+K54+K58</f>
        <v>-706.535577057768</v>
      </c>
      <c r="L62" s="57" t="n">
        <f aca="false">L47+L48+L49+L51+L54+L58</f>
        <v>-104.360496659404</v>
      </c>
      <c r="M62" s="57" t="n">
        <f aca="false">M47+M48+M49+M51+M54+M58</f>
        <v>-105.507315304013</v>
      </c>
      <c r="N62" s="57" t="n">
        <f aca="false">N47+N48+N49+N51+N54+N58</f>
        <v>-105.507315304013</v>
      </c>
      <c r="O62" s="57" t="n">
        <f aca="false">O47+O48+O49+O51+O54+O58</f>
        <v>-104.360496659404</v>
      </c>
      <c r="P62" s="57" t="n">
        <f aca="false">P47+P48+P49+P51+P54+P58</f>
        <v>-104.360496659404</v>
      </c>
      <c r="Q62" s="57" t="n">
        <f aca="false">Q47+Q48+Q49+Q51+Q54+Q58</f>
        <v>-105.507315304013</v>
      </c>
      <c r="R62" s="57" t="n">
        <f aca="false">R47+R48+R49+R51+R54+R58</f>
        <v>-33.5198348658285</v>
      </c>
      <c r="S62" s="57" t="n">
        <f aca="false">S47+S48+S49+S51+S54+S58</f>
        <v>-32.7911428035279</v>
      </c>
      <c r="T62" s="57" t="n">
        <f aca="false">T47+T48+T49+T51+T54+T58</f>
        <v>-33.1554888346782</v>
      </c>
      <c r="U62" s="57" t="n">
        <f aca="false">U47+U48+U49+U51+U54+U58</f>
        <v>-33.5198348658285</v>
      </c>
      <c r="V62" s="57" t="n">
        <f aca="false">V47+V48+V49+V51+V54+V58</f>
        <v>-33.5198348658285</v>
      </c>
      <c r="W62" s="57" t="n">
        <f aca="false">W47+W48+W49+W51+W54+W58</f>
        <v>-32.7911428035279</v>
      </c>
      <c r="X62" s="57" t="n">
        <f aca="false">X47+X48+X49+X51+X54+X58</f>
        <v>-33.1554888346782</v>
      </c>
      <c r="Y62" s="57" t="n">
        <f aca="false">Y47+Y48+Y49+Y51+Y54+Y58</f>
        <v>-33.5198348658285</v>
      </c>
      <c r="Z62" s="57" t="n">
        <f aca="false">Z47+Z48+Z49+Z51+Z54+Z58</f>
        <v>-33.5198348658285</v>
      </c>
      <c r="AA62" s="57" t="n">
        <f aca="false">AA47+AA48+AA49+AA51+AA54+AA58</f>
        <v>-32.7911428035279</v>
      </c>
      <c r="AB62" s="57" t="n">
        <f aca="false">AB47+AB48+AB49+AB51+AB54+AB58</f>
        <v>-33.1554888346782</v>
      </c>
      <c r="AC62" s="57" t="n">
        <f aca="false">AC47+AC48+AC49+AC51+AC54+AC58</f>
        <v>-33.5198348658285</v>
      </c>
      <c r="AD62" s="57" t="n">
        <f aca="false">AD47+AD48+AD49+AD51+AD54+AD58</f>
        <v>-33.5198348658285</v>
      </c>
      <c r="AE62" s="57" t="n">
        <f aca="false">AE47+AE48+AE49+AE51+AE54+AE58</f>
        <v>-33.1554888346782</v>
      </c>
      <c r="AF62" s="57" t="n">
        <f aca="false">AF47+AF48+AF49+AF51+AF54+AF58</f>
        <v>-33.1554888346782</v>
      </c>
      <c r="AG62" s="57" t="n">
        <f aca="false">AG47+AG48+AG49+AG51+AG54+AG58</f>
        <v>-33.5198348658285</v>
      </c>
      <c r="AH62" s="57" t="n">
        <f aca="false">AH47+AH48+AH49+AH51+AH54+AH58</f>
        <v>-33.5198348658285</v>
      </c>
      <c r="AI62" s="57" t="n">
        <f aca="false">AI47+AI48+AI49+AI51+AI54+AI58</f>
        <v>-32.7911428035279</v>
      </c>
      <c r="AJ62" s="57" t="n">
        <f aca="false">AJ47+AJ48+AJ49+AJ51+AJ54+AJ58</f>
        <v>-0</v>
      </c>
      <c r="AK62" s="57" t="n">
        <f aca="false">AK47+AK48+AK49+AK51+AK54+AK58</f>
        <v>-0</v>
      </c>
      <c r="AL62" s="57" t="n">
        <f aca="false">AL47+AL48+AL49+AL51+AL54+AL58</f>
        <v>-0</v>
      </c>
      <c r="AM62" s="57" t="n">
        <f aca="false">AM47+AM48+AM49+AM51+AM54+AM58</f>
        <v>-0</v>
      </c>
      <c r="AN62" s="57" t="n">
        <f aca="false">AN47+AN48+AN49+AN51+AN54+AN58</f>
        <v>-0</v>
      </c>
      <c r="AO62" s="57" t="n">
        <f aca="false">AO47+AO48+AO49+AO51+AO54+AO58</f>
        <v>-0</v>
      </c>
      <c r="AP62" s="57" t="n">
        <f aca="false">AP47+AP48+AP49+AP51+AP54+AP58</f>
        <v>-0</v>
      </c>
      <c r="AQ62" s="57" t="n">
        <f aca="false">AQ47+AQ48+AQ49+AQ51+AQ54+AQ58</f>
        <v>-0</v>
      </c>
      <c r="AR62" s="57" t="n">
        <f aca="false">AR47+AR48+AR49+AR51+AR54+AR58</f>
        <v>-0</v>
      </c>
      <c r="AS62" s="57" t="n">
        <f aca="false">AS47+AS48+AS49+AS51+AS54+AS58</f>
        <v>-0</v>
      </c>
      <c r="AT62" s="57" t="n">
        <f aca="false">AT47+AT48+AT49+AT51+AT54+AT58</f>
        <v>-0</v>
      </c>
      <c r="AU62" s="57" t="n">
        <f aca="false">AU47+AU48+AU49+AU51+AU54+AU58</f>
        <v>-0</v>
      </c>
      <c r="AV62" s="57" t="n">
        <f aca="false">AV47+AV48+AV49+AV51+AV54+AV58</f>
        <v>-0</v>
      </c>
      <c r="AW62" s="57" t="n">
        <f aca="false">AW47+AW48+AW49+AW51+AW54+AW58</f>
        <v>-0</v>
      </c>
      <c r="AX62" s="57" t="n">
        <f aca="false">AX47+AX48+AX49+AX51+AX54+AX58</f>
        <v>-0</v>
      </c>
      <c r="AY62" s="57" t="n">
        <f aca="false">AY47+AY48+AY49+AY51+AY54+AY58</f>
        <v>-0</v>
      </c>
      <c r="AZ62" s="57" t="n">
        <f aca="false">AZ47+AZ48+AZ49+AZ51+AZ54+AZ58</f>
        <v>-0</v>
      </c>
      <c r="BA62" s="57" t="n">
        <f aca="false">BA47+BA48+BA49+BA51+BA54+BA58</f>
        <v>-0</v>
      </c>
      <c r="BB62" s="57" t="n">
        <f aca="false">BB47+BB48+BB49+BB51+BB54+BB58</f>
        <v>-0</v>
      </c>
      <c r="BC62" s="57" t="n">
        <f aca="false">BC47+BC48+BC49+BC51+BC54+BC58</f>
        <v>-0</v>
      </c>
      <c r="BD62" s="57" t="n">
        <f aca="false">BD47+BD48+BD49+BD51+BD54+BD58</f>
        <v>-0</v>
      </c>
      <c r="BE62" s="57" t="n">
        <f aca="false">BE47+BE48+BE49+BE51+BE54+BE58</f>
        <v>-0</v>
      </c>
      <c r="BF62" s="57" t="n">
        <f aca="false">BF47+BF48+BF49+BF51+BF54+BF58</f>
        <v>-0</v>
      </c>
      <c r="BG62" s="57" t="n">
        <f aca="false">BG47+BG48+BG49+BG51+BG54+BG58</f>
        <v>-0</v>
      </c>
      <c r="BH62" s="57" t="n">
        <f aca="false">BH47+BH48+BH49+BH51+BH54+BH58</f>
        <v>-0</v>
      </c>
      <c r="BI62" s="57" t="n">
        <f aca="false">BI47+BI48+BI49+BI51+BI54+BI58</f>
        <v>-0</v>
      </c>
      <c r="BJ62" s="57" t="n">
        <f aca="false">BJ47+BJ48+BJ49+BJ51+BJ54+BJ58</f>
        <v>-0</v>
      </c>
      <c r="BK62" s="57" t="n">
        <f aca="false">BK47+BK48+BK49+BK51+BK54+BK58</f>
        <v>-0</v>
      </c>
      <c r="BL62" s="57" t="n">
        <f aca="false">BL47+BL48+BL49+BL51+BL54+BL58</f>
        <v>-0</v>
      </c>
      <c r="BM62" s="57" t="n">
        <f aca="false">BM47+BM48+BM49+BM51+BM54+BM58</f>
        <v>-0</v>
      </c>
      <c r="BN62" s="57" t="n">
        <f aca="false">BN47+BN48+BN49+BN51+BN54+BN58</f>
        <v>-0</v>
      </c>
      <c r="BO62" s="57" t="n">
        <f aca="false">BO47+BO48+BO49+BO51+BO54+BO58</f>
        <v>-0</v>
      </c>
      <c r="BP62" s="57" t="n">
        <f aca="false">BP47+BP48+BP49+BP51+BP54+BP58</f>
        <v>-0</v>
      </c>
      <c r="BQ62" s="57" t="n">
        <f aca="false">BQ47+BQ48+BQ49+BQ51+BQ54+BQ58</f>
        <v>-0</v>
      </c>
      <c r="BR62" s="57" t="n">
        <f aca="false">BR47+BR48+BR49+BR51+BR54+BR58</f>
        <v>-0</v>
      </c>
      <c r="BS62" s="57" t="n">
        <f aca="false">BS47+BS48+BS49+BS51+BS54+BS58</f>
        <v>-0</v>
      </c>
      <c r="BT62" s="57" t="n">
        <f aca="false">BT47+BT48+BT49+BT51+BT54+BT58</f>
        <v>-0</v>
      </c>
      <c r="BU62" s="57" t="n">
        <f aca="false">BU47+BU48+BU49+BU51+BU54+BU58</f>
        <v>-0</v>
      </c>
      <c r="BV62" s="57" t="n">
        <f aca="false">BV47+BV48+BV49+BV51+BV54+BV58</f>
        <v>-0</v>
      </c>
      <c r="BW62" s="57" t="n">
        <f aca="false">BW47+BW48+BW49+BW51+BW54+BW58</f>
        <v>-0</v>
      </c>
      <c r="BX62" s="57" t="n">
        <f aca="false">BX47+BX48+BX49+BX51+BX54+BX58</f>
        <v>-0</v>
      </c>
      <c r="BY62" s="57" t="n">
        <f aca="false">BY47+BY48+BY49+BY51+BY54+BY58</f>
        <v>-0</v>
      </c>
      <c r="BZ62" s="57" t="n">
        <f aca="false">BZ47+BZ48+BZ49+BZ51+BZ54+BZ58</f>
        <v>-0</v>
      </c>
      <c r="CA62" s="57" t="n">
        <f aca="false">CA47+CA48+CA49+CA51+CA54+CA58</f>
        <v>-0</v>
      </c>
      <c r="CB62" s="57" t="n">
        <f aca="false">CB47+CB48+CB49+CB51+CB54+CB58</f>
        <v>-0</v>
      </c>
      <c r="CC62" s="57" t="n">
        <f aca="false">CC47+CC48+CC49+CC51+CC54+CC58</f>
        <v>-0</v>
      </c>
      <c r="CD62" s="57" t="n">
        <f aca="false">CD47+CD48+CD49+CD51+CD54+CD58</f>
        <v>-0</v>
      </c>
      <c r="CE62" s="57" t="n">
        <f aca="false">CE47+CE48+CE49+CE51+CE54+CE58</f>
        <v>-0</v>
      </c>
      <c r="CF62" s="57" t="n">
        <f aca="false">CF47+CF48+CF49+CF51+CF54+CF58</f>
        <v>-0</v>
      </c>
      <c r="CG62" s="57" t="n">
        <f aca="false">CG47+CG48+CG49+CG51+CG54+CG58</f>
        <v>-0</v>
      </c>
      <c r="CH62" s="57" t="n">
        <f aca="false">CH47+CH48+CH49+CH51+CH54+CH58</f>
        <v>-0</v>
      </c>
      <c r="CI62" s="57" t="n">
        <f aca="false">CI47+CI48+CI49+CI51+CI54+CI58</f>
        <v>-0</v>
      </c>
      <c r="CJ62" s="57" t="n">
        <f aca="false">CJ47+CJ48+CJ49+CJ51+CJ54+CJ58</f>
        <v>-0</v>
      </c>
      <c r="CK62" s="57" t="n">
        <f aca="false">CK47+CK48+CK49+CK51+CK54+CK58</f>
        <v>-0</v>
      </c>
      <c r="CL62" s="57" t="n">
        <f aca="false">CL47+CL48+CL49+CL51+CL54+CL58</f>
        <v>-0</v>
      </c>
      <c r="CM62" s="57" t="n">
        <f aca="false">CM47+CM48+CM49+CM51+CM54+CM58</f>
        <v>-0</v>
      </c>
      <c r="CN62" s="57" t="n">
        <f aca="false">CN47+CN48+CN49+CN51+CN54+CN58</f>
        <v>-0</v>
      </c>
      <c r="CO62" s="57" t="n">
        <f aca="false">CO47+CO48+CO49+CO51+CO54+CO58</f>
        <v>-0</v>
      </c>
      <c r="CP62" s="57" t="n">
        <f aca="false">CP47+CP48+CP49+CP51+CP54+CP58</f>
        <v>-0</v>
      </c>
      <c r="CQ62" s="57" t="n">
        <f aca="false">CQ47+CQ48+CQ49+CQ51+CQ54+CQ58</f>
        <v>-0</v>
      </c>
      <c r="CR62" s="57" t="n">
        <f aca="false">CR47+CR48+CR49+CR51+CR54+CR58</f>
        <v>-0</v>
      </c>
      <c r="CS62" s="57" t="n">
        <f aca="false">CS47+CS48+CS49+CS51+CS54+CS58</f>
        <v>-0</v>
      </c>
      <c r="CT62" s="57" t="n">
        <f aca="false">CT47+CT48+CT49+CT51+CT54+CT58</f>
        <v>-0</v>
      </c>
      <c r="CU62" s="57" t="n">
        <f aca="false">CU47+CU48+CU49+CU51+CU54+CU58</f>
        <v>-0</v>
      </c>
      <c r="CV62" s="57" t="n">
        <f aca="false">CV47+CV48+CV49+CV51+CV54+CV58</f>
        <v>-0</v>
      </c>
      <c r="CW62" s="57" t="n">
        <f aca="false">CW47+CW48+CW49+CW51+CW54+CW58</f>
        <v>-0</v>
      </c>
      <c r="CX62" s="57" t="n">
        <f aca="false">CX47+CX48+CX49+CX51+CX54+CX58</f>
        <v>-0</v>
      </c>
      <c r="CY62" s="57" t="n">
        <f aca="false">CY47+CY48+CY49+CY51+CY54+CY58</f>
        <v>-0</v>
      </c>
      <c r="CZ62" s="57" t="n">
        <f aca="false">CZ47+CZ48+CZ49+CZ51+CZ54+CZ58</f>
        <v>-0</v>
      </c>
      <c r="DA62" s="57" t="n">
        <f aca="false">DA47+DA48+DA49+DA51+DA54+DA58</f>
        <v>-0</v>
      </c>
      <c r="DB62" s="57" t="n">
        <f aca="false">DB47+DB48+DB49+DB51+DB54+DB58</f>
        <v>-0</v>
      </c>
      <c r="DC62" s="57" t="n">
        <f aca="false">DC47+DC48+DC49+DC51+DC54+DC58</f>
        <v>-0</v>
      </c>
      <c r="DD62" s="57" t="n">
        <f aca="false">DD47+DD48+DD49+DD51+DD54+DD58</f>
        <v>-0</v>
      </c>
      <c r="DE62" s="57" t="n">
        <f aca="false">DE47+DE48+DE49+DE51+DE54+DE58</f>
        <v>-0</v>
      </c>
      <c r="DF62" s="57" t="n">
        <f aca="false">DF47+DF48+DF49+DF51+DF54+DF58</f>
        <v>-0</v>
      </c>
      <c r="DG62" s="57" t="n">
        <f aca="false">DG47+DG48+DG49+DG51+DG54+DG58</f>
        <v>-0</v>
      </c>
      <c r="DH62" s="57" t="n">
        <f aca="false">DH47+DH48+DH49+DH51+DH54+DH58</f>
        <v>-0</v>
      </c>
      <c r="DI62" s="57" t="n">
        <f aca="false">DI47+DI48+DI49+DI51+DI54+DI58</f>
        <v>-0</v>
      </c>
      <c r="DJ62" s="57" t="n">
        <f aca="false">DJ47+DJ48+DJ49+DJ51+DJ54+DJ58</f>
        <v>-0</v>
      </c>
      <c r="DK62" s="57" t="n">
        <f aca="false">DK47+DK48+DK49+DK51+DK54+DK58</f>
        <v>-0</v>
      </c>
      <c r="DL62" s="57" t="n">
        <f aca="false">DL47+DL48+DL49+DL51+DL54+DL58</f>
        <v>-0</v>
      </c>
      <c r="DM62" s="57" t="n">
        <f aca="false">DM47+DM48+DM49+DM51+DM54+DM58</f>
        <v>-0</v>
      </c>
      <c r="DN62" s="57" t="n">
        <f aca="false">DN47+DN48+DN49+DN51+DN54+DN58</f>
        <v>-0</v>
      </c>
      <c r="DO62" s="57" t="n">
        <f aca="false">DO47+DO48+DO49+DO51+DO54+DO58</f>
        <v>-0</v>
      </c>
      <c r="DP62" s="57" t="n">
        <f aca="false">DP47+DP48+DP49+DP51+DP54+DP58</f>
        <v>-0</v>
      </c>
      <c r="DQ62" s="57" t="n">
        <f aca="false">DQ47+DQ48+DQ49+DQ51+DQ54+DQ58</f>
        <v>-0</v>
      </c>
      <c r="DR62" s="57" t="n">
        <f aca="false">DR47+DR48+DR49+DR51+DR54+DR58</f>
        <v>-0</v>
      </c>
      <c r="DS62" s="57" t="n">
        <f aca="false">DS47+DS48+DS49+DS51+DS54+DS58</f>
        <v>-0</v>
      </c>
      <c r="DT62" s="57" t="n">
        <f aca="false">DT47+DT48+DT49+DT51+DT54+DT58</f>
        <v>-0</v>
      </c>
      <c r="DU62" s="57" t="n">
        <f aca="false">DU47+DU48+DU49+DU51+DU54+DU58</f>
        <v>-0</v>
      </c>
      <c r="DV62" s="57" t="n">
        <f aca="false">DV47+DV48+DV49+DV51+DV54+DV58</f>
        <v>-0</v>
      </c>
      <c r="DW62" s="57" t="n">
        <f aca="false">DW47+DW48+DW49+DW51+DW54+DW58</f>
        <v>-0</v>
      </c>
      <c r="DX62" s="57" t="n">
        <f aca="false">DX47+DX48+DX49+DX51+DX54+DX58</f>
        <v>-0</v>
      </c>
      <c r="DY62" s="57" t="n">
        <f aca="false">DY47+DY48+DY49+DY51+DY54+DY58</f>
        <v>-0</v>
      </c>
      <c r="DZ62" s="57" t="n">
        <f aca="false">DZ47+DZ48+DZ49+DZ51+DZ54+DZ58</f>
        <v>-0</v>
      </c>
      <c r="EA62" s="57" t="n">
        <f aca="false">EA47+EA48+EA49+EA51+EA54+EA58</f>
        <v>-0</v>
      </c>
      <c r="EB62" s="57" t="n">
        <f aca="false">EB47+EB48+EB49+EB51+EB54+EB58</f>
        <v>-0</v>
      </c>
      <c r="EC62" s="57" t="n">
        <f aca="false">EC47+EC48+EC49+EC51+EC54+EC58</f>
        <v>-0</v>
      </c>
      <c r="ED62" s="57" t="n">
        <f aca="false">ED47+ED48+ED49+ED51+ED54+ED58</f>
        <v>-0</v>
      </c>
      <c r="EE62" s="57" t="n">
        <f aca="false">EE47+EE48+EE49+EE51+EE54+EE58</f>
        <v>-0</v>
      </c>
      <c r="EF62" s="57" t="n">
        <f aca="false">EF47+EF48+EF49+EF51+EF54+EF58</f>
        <v>-0</v>
      </c>
      <c r="EG62" s="57" t="n">
        <f aca="false">EG47+EG48+EG49+EG51+EG54+EG58</f>
        <v>-0</v>
      </c>
      <c r="EH62" s="57" t="n">
        <f aca="false">EH47+EH48+EH49+EH51+EH54+EH58</f>
        <v>-0</v>
      </c>
      <c r="EI62" s="57" t="n">
        <f aca="false">EI47+EI48+EI49+EI51+EI54+EI58</f>
        <v>-0</v>
      </c>
      <c r="EJ62" s="57" t="n">
        <f aca="false">EJ47+EJ48+EJ49+EJ51+EJ54+EJ58</f>
        <v>-0</v>
      </c>
      <c r="EK62" s="57" t="n">
        <f aca="false">EK47+EK48+EK49+EK51+EK54+EK58</f>
        <v>-0</v>
      </c>
      <c r="EL62" s="57" t="n">
        <f aca="false">EL47+EL48+EL49+EL51+EL54+EL58</f>
        <v>-0</v>
      </c>
      <c r="EM62" s="57" t="n">
        <f aca="false">EM47+EM48+EM49+EM51+EM54+EM58</f>
        <v>-0</v>
      </c>
      <c r="EN62" s="57" t="n">
        <f aca="false">EN47+EN48+EN49+EN51+EN54+EN58</f>
        <v>-0</v>
      </c>
      <c r="EO62" s="57" t="n">
        <f aca="false">EO47+EO48+EO49+EO51+EO54+EO58</f>
        <v>-0</v>
      </c>
    </row>
    <row r="64" customFormat="false" ht="15" hidden="false" customHeight="false" outlineLevel="0" collapsed="false">
      <c r="A64" s="9" t="s">
        <v>13</v>
      </c>
      <c r="B64" s="9"/>
      <c r="C64" s="9" t="s">
        <v>449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</row>
    <row r="65" customFormat="false" ht="15" hidden="false" customHeight="false" outlineLevel="0" collapsed="false">
      <c r="C65" s="0" t="s">
        <v>450</v>
      </c>
      <c r="D65" s="11" t="s">
        <v>19</v>
      </c>
      <c r="E65" s="48" t="n">
        <f aca="false">IF($E41=1,In_Turbine,In_Turbine_CN)</f>
        <v>500</v>
      </c>
    </row>
    <row r="66" customFormat="false" ht="15" hidden="false" customHeight="false" outlineLevel="0" collapsed="false">
      <c r="C66" s="0" t="s">
        <v>451</v>
      </c>
      <c r="D66" s="11" t="s">
        <v>33</v>
      </c>
      <c r="E66" s="48" t="n">
        <f aca="false">IF($E41=1,In_Substation,In_Substation_CN)</f>
        <v>10800</v>
      </c>
    </row>
    <row r="67" customFormat="false" ht="15" hidden="false" customHeight="false" outlineLevel="0" collapsed="false">
      <c r="C67" s="0" t="s">
        <v>452</v>
      </c>
      <c r="D67" s="11" t="s">
        <v>33</v>
      </c>
      <c r="E67" s="48" t="n">
        <f aca="false">(($E65+In_Other_Wind)*$F25+$E66)*(1+In_Capex_Contingency)+In_BESS_Capex*$E28*In_BESS_Built</f>
        <v>64716.25</v>
      </c>
      <c r="I67" s="48" t="n">
        <f aca="false">SUM(J67:EO67)</f>
        <v>-64716.25</v>
      </c>
      <c r="J67" s="48" t="n">
        <f aca="false">-$E67*J12</f>
        <v>-0</v>
      </c>
      <c r="K67" s="48" t="n">
        <f aca="false">-$E67*K12</f>
        <v>-0</v>
      </c>
      <c r="L67" s="48" t="n">
        <f aca="false">-$E67*L12</f>
        <v>-0</v>
      </c>
      <c r="M67" s="48" t="n">
        <f aca="false">-$E67*M12</f>
        <v>-0</v>
      </c>
      <c r="N67" s="48" t="n">
        <f aca="false">-$E67*N12</f>
        <v>-0</v>
      </c>
      <c r="O67" s="48" t="n">
        <f aca="false">-$E67*O12</f>
        <v>-0</v>
      </c>
      <c r="P67" s="48" t="n">
        <f aca="false">-$E67*P12</f>
        <v>-0</v>
      </c>
      <c r="Q67" s="48" t="n">
        <f aca="false">-$E67*Q12</f>
        <v>-0</v>
      </c>
      <c r="R67" s="48" t="n">
        <f aca="false">-$E67*R12</f>
        <v>-8156.02054794521</v>
      </c>
      <c r="S67" s="48" t="n">
        <f aca="false">-$E67*S12</f>
        <v>-7978.71575342466</v>
      </c>
      <c r="T67" s="48" t="n">
        <f aca="false">-$E67*T12</f>
        <v>-8067.36815068493</v>
      </c>
      <c r="U67" s="48" t="n">
        <f aca="false">-$E67*U12</f>
        <v>-8156.02054794521</v>
      </c>
      <c r="V67" s="48" t="n">
        <f aca="false">-$E67*V12</f>
        <v>-8156.02054794521</v>
      </c>
      <c r="W67" s="48" t="n">
        <f aca="false">-$E67*W12</f>
        <v>-7978.71575342466</v>
      </c>
      <c r="X67" s="48" t="n">
        <f aca="false">-$E67*X12</f>
        <v>-8067.36815068493</v>
      </c>
      <c r="Y67" s="48" t="n">
        <f aca="false">-$E67*Y12</f>
        <v>-8156.02054794521</v>
      </c>
      <c r="Z67" s="48" t="n">
        <f aca="false">-$E67*Z12</f>
        <v>-0</v>
      </c>
      <c r="AA67" s="48" t="n">
        <f aca="false">-$E67*AA12</f>
        <v>-0</v>
      </c>
      <c r="AB67" s="48" t="n">
        <f aca="false">-$E67*AB12</f>
        <v>-0</v>
      </c>
      <c r="AC67" s="48" t="n">
        <f aca="false">-$E67*AC12</f>
        <v>-0</v>
      </c>
      <c r="AD67" s="48" t="n">
        <f aca="false">-$E67*AD12</f>
        <v>-0</v>
      </c>
      <c r="AE67" s="48" t="n">
        <f aca="false">-$E67*AE12</f>
        <v>-0</v>
      </c>
      <c r="AF67" s="48" t="n">
        <f aca="false">-$E67*AF12</f>
        <v>-0</v>
      </c>
      <c r="AG67" s="48" t="n">
        <f aca="false">-$E67*AG12</f>
        <v>-0</v>
      </c>
      <c r="AH67" s="48" t="n">
        <f aca="false">-$E67*AH12</f>
        <v>-0</v>
      </c>
      <c r="AI67" s="48" t="n">
        <f aca="false">-$E67*AI12</f>
        <v>-0</v>
      </c>
      <c r="AJ67" s="48" t="n">
        <f aca="false">-$E67*AJ12</f>
        <v>-0</v>
      </c>
      <c r="AK67" s="48" t="n">
        <f aca="false">-$E67*AK12</f>
        <v>-0</v>
      </c>
      <c r="AL67" s="48" t="n">
        <f aca="false">-$E67*AL12</f>
        <v>-0</v>
      </c>
      <c r="AM67" s="48" t="n">
        <f aca="false">-$E67*AM12</f>
        <v>-0</v>
      </c>
      <c r="AN67" s="48" t="n">
        <f aca="false">-$E67*AN12</f>
        <v>-0</v>
      </c>
      <c r="AO67" s="48" t="n">
        <f aca="false">-$E67*AO12</f>
        <v>-0</v>
      </c>
      <c r="AP67" s="48" t="n">
        <f aca="false">-$E67*AP12</f>
        <v>-0</v>
      </c>
      <c r="AQ67" s="48" t="n">
        <f aca="false">-$E67*AQ12</f>
        <v>-0</v>
      </c>
      <c r="AR67" s="48" t="n">
        <f aca="false">-$E67*AR12</f>
        <v>-0</v>
      </c>
      <c r="AS67" s="48" t="n">
        <f aca="false">-$E67*AS12</f>
        <v>-0</v>
      </c>
      <c r="AT67" s="48" t="n">
        <f aca="false">-$E67*AT12</f>
        <v>-0</v>
      </c>
      <c r="AU67" s="48" t="n">
        <f aca="false">-$E67*AU12</f>
        <v>-0</v>
      </c>
      <c r="AV67" s="48" t="n">
        <f aca="false">-$E67*AV12</f>
        <v>-0</v>
      </c>
      <c r="AW67" s="48" t="n">
        <f aca="false">-$E67*AW12</f>
        <v>-0</v>
      </c>
      <c r="AX67" s="48" t="n">
        <f aca="false">-$E67*AX12</f>
        <v>-0</v>
      </c>
      <c r="AY67" s="48" t="n">
        <f aca="false">-$E67*AY12</f>
        <v>-0</v>
      </c>
      <c r="AZ67" s="48" t="n">
        <f aca="false">-$E67*AZ12</f>
        <v>-0</v>
      </c>
      <c r="BA67" s="48" t="n">
        <f aca="false">-$E67*BA12</f>
        <v>-0</v>
      </c>
      <c r="BB67" s="48" t="n">
        <f aca="false">-$E67*BB12</f>
        <v>-0</v>
      </c>
      <c r="BC67" s="48" t="n">
        <f aca="false">-$E67*BC12</f>
        <v>-0</v>
      </c>
      <c r="BD67" s="48" t="n">
        <f aca="false">-$E67*BD12</f>
        <v>-0</v>
      </c>
      <c r="BE67" s="48" t="n">
        <f aca="false">-$E67*BE12</f>
        <v>-0</v>
      </c>
      <c r="BF67" s="48" t="n">
        <f aca="false">-$E67*BF12</f>
        <v>-0</v>
      </c>
      <c r="BG67" s="48" t="n">
        <f aca="false">-$E67*BG12</f>
        <v>-0</v>
      </c>
      <c r="BH67" s="48" t="n">
        <f aca="false">-$E67*BH12</f>
        <v>-0</v>
      </c>
      <c r="BI67" s="48" t="n">
        <f aca="false">-$E67*BI12</f>
        <v>-0</v>
      </c>
      <c r="BJ67" s="48" t="n">
        <f aca="false">-$E67*BJ12</f>
        <v>-0</v>
      </c>
      <c r="BK67" s="48" t="n">
        <f aca="false">-$E67*BK12</f>
        <v>-0</v>
      </c>
      <c r="BL67" s="48" t="n">
        <f aca="false">-$E67*BL12</f>
        <v>-0</v>
      </c>
      <c r="BM67" s="48" t="n">
        <f aca="false">-$E67*BM12</f>
        <v>-0</v>
      </c>
      <c r="BN67" s="48" t="n">
        <f aca="false">-$E67*BN12</f>
        <v>-0</v>
      </c>
      <c r="BO67" s="48" t="n">
        <f aca="false">-$E67*BO12</f>
        <v>-0</v>
      </c>
      <c r="BP67" s="48" t="n">
        <f aca="false">-$E67*BP12</f>
        <v>-0</v>
      </c>
      <c r="BQ67" s="48" t="n">
        <f aca="false">-$E67*BQ12</f>
        <v>-0</v>
      </c>
      <c r="BR67" s="48" t="n">
        <f aca="false">-$E67*BR12</f>
        <v>-0</v>
      </c>
      <c r="BS67" s="48" t="n">
        <f aca="false">-$E67*BS12</f>
        <v>-0</v>
      </c>
      <c r="BT67" s="48" t="n">
        <f aca="false">-$E67*BT12</f>
        <v>-0</v>
      </c>
      <c r="BU67" s="48" t="n">
        <f aca="false">-$E67*BU12</f>
        <v>-0</v>
      </c>
      <c r="BV67" s="48" t="n">
        <f aca="false">-$E67*BV12</f>
        <v>-0</v>
      </c>
      <c r="BW67" s="48" t="n">
        <f aca="false">-$E67*BW12</f>
        <v>-0</v>
      </c>
      <c r="BX67" s="48" t="n">
        <f aca="false">-$E67*BX12</f>
        <v>-0</v>
      </c>
      <c r="BY67" s="48" t="n">
        <f aca="false">-$E67*BY12</f>
        <v>-0</v>
      </c>
      <c r="BZ67" s="48" t="n">
        <f aca="false">-$E67*BZ12</f>
        <v>-0</v>
      </c>
      <c r="CA67" s="48" t="n">
        <f aca="false">-$E67*CA12</f>
        <v>-0</v>
      </c>
      <c r="CB67" s="48" t="n">
        <f aca="false">-$E67*CB12</f>
        <v>-0</v>
      </c>
      <c r="CC67" s="48" t="n">
        <f aca="false">-$E67*CC12</f>
        <v>-0</v>
      </c>
      <c r="CD67" s="48" t="n">
        <f aca="false">-$E67*CD12</f>
        <v>-0</v>
      </c>
      <c r="CE67" s="48" t="n">
        <f aca="false">-$E67*CE12</f>
        <v>-0</v>
      </c>
      <c r="CF67" s="48" t="n">
        <f aca="false">-$E67*CF12</f>
        <v>-0</v>
      </c>
      <c r="CG67" s="48" t="n">
        <f aca="false">-$E67*CG12</f>
        <v>-0</v>
      </c>
      <c r="CH67" s="48" t="n">
        <f aca="false">-$E67*CH12</f>
        <v>-0</v>
      </c>
      <c r="CI67" s="48" t="n">
        <f aca="false">-$E67*CI12</f>
        <v>-0</v>
      </c>
      <c r="CJ67" s="48" t="n">
        <f aca="false">-$E67*CJ12</f>
        <v>-0</v>
      </c>
      <c r="CK67" s="48" t="n">
        <f aca="false">-$E67*CK12</f>
        <v>-0</v>
      </c>
      <c r="CL67" s="48" t="n">
        <f aca="false">-$E67*CL12</f>
        <v>-0</v>
      </c>
      <c r="CM67" s="48" t="n">
        <f aca="false">-$E67*CM12</f>
        <v>-0</v>
      </c>
      <c r="CN67" s="48" t="n">
        <f aca="false">-$E67*CN12</f>
        <v>-0</v>
      </c>
      <c r="CO67" s="48" t="n">
        <f aca="false">-$E67*CO12</f>
        <v>-0</v>
      </c>
      <c r="CP67" s="48" t="n">
        <f aca="false">-$E67*CP12</f>
        <v>-0</v>
      </c>
      <c r="CQ67" s="48" t="n">
        <f aca="false">-$E67*CQ12</f>
        <v>-0</v>
      </c>
      <c r="CR67" s="48" t="n">
        <f aca="false">-$E67*CR12</f>
        <v>-0</v>
      </c>
      <c r="CS67" s="48" t="n">
        <f aca="false">-$E67*CS12</f>
        <v>-0</v>
      </c>
      <c r="CT67" s="48" t="n">
        <f aca="false">-$E67*CT12</f>
        <v>-0</v>
      </c>
      <c r="CU67" s="48" t="n">
        <f aca="false">-$E67*CU12</f>
        <v>-0</v>
      </c>
      <c r="CV67" s="48" t="n">
        <f aca="false">-$E67*CV12</f>
        <v>-0</v>
      </c>
      <c r="CW67" s="48" t="n">
        <f aca="false">-$E67*CW12</f>
        <v>-0</v>
      </c>
      <c r="CX67" s="48" t="n">
        <f aca="false">-$E67*CX12</f>
        <v>-0</v>
      </c>
      <c r="CY67" s="48" t="n">
        <f aca="false">-$E67*CY12</f>
        <v>-0</v>
      </c>
      <c r="CZ67" s="48" t="n">
        <f aca="false">-$E67*CZ12</f>
        <v>-0</v>
      </c>
      <c r="DA67" s="48" t="n">
        <f aca="false">-$E67*DA12</f>
        <v>-0</v>
      </c>
      <c r="DB67" s="48" t="n">
        <f aca="false">-$E67*DB12</f>
        <v>-0</v>
      </c>
      <c r="DC67" s="48" t="n">
        <f aca="false">-$E67*DC12</f>
        <v>-0</v>
      </c>
      <c r="DD67" s="48" t="n">
        <f aca="false">-$E67*DD12</f>
        <v>-0</v>
      </c>
      <c r="DE67" s="48" t="n">
        <f aca="false">-$E67*DE12</f>
        <v>-0</v>
      </c>
      <c r="DF67" s="48" t="n">
        <f aca="false">-$E67*DF12</f>
        <v>-0</v>
      </c>
      <c r="DG67" s="48" t="n">
        <f aca="false">-$E67*DG12</f>
        <v>-0</v>
      </c>
      <c r="DH67" s="48" t="n">
        <f aca="false">-$E67*DH12</f>
        <v>-0</v>
      </c>
      <c r="DI67" s="48" t="n">
        <f aca="false">-$E67*DI12</f>
        <v>-0</v>
      </c>
      <c r="DJ67" s="48" t="n">
        <f aca="false">-$E67*DJ12</f>
        <v>-0</v>
      </c>
      <c r="DK67" s="48" t="n">
        <f aca="false">-$E67*DK12</f>
        <v>-0</v>
      </c>
      <c r="DL67" s="48" t="n">
        <f aca="false">-$E67*DL12</f>
        <v>-0</v>
      </c>
      <c r="DM67" s="48" t="n">
        <f aca="false">-$E67*DM12</f>
        <v>-0</v>
      </c>
      <c r="DN67" s="48" t="n">
        <f aca="false">-$E67*DN12</f>
        <v>-0</v>
      </c>
      <c r="DO67" s="48" t="n">
        <f aca="false">-$E67*DO12</f>
        <v>-0</v>
      </c>
      <c r="DP67" s="48" t="n">
        <f aca="false">-$E67*DP12</f>
        <v>-0</v>
      </c>
      <c r="DQ67" s="48" t="n">
        <f aca="false">-$E67*DQ12</f>
        <v>-0</v>
      </c>
      <c r="DR67" s="48" t="n">
        <f aca="false">-$E67*DR12</f>
        <v>-0</v>
      </c>
      <c r="DS67" s="48" t="n">
        <f aca="false">-$E67*DS12</f>
        <v>-0</v>
      </c>
      <c r="DT67" s="48" t="n">
        <f aca="false">-$E67*DT12</f>
        <v>-0</v>
      </c>
      <c r="DU67" s="48" t="n">
        <f aca="false">-$E67*DU12</f>
        <v>-0</v>
      </c>
      <c r="DV67" s="48" t="n">
        <f aca="false">-$E67*DV12</f>
        <v>-0</v>
      </c>
      <c r="DW67" s="48" t="n">
        <f aca="false">-$E67*DW12</f>
        <v>-0</v>
      </c>
      <c r="DX67" s="48" t="n">
        <f aca="false">-$E67*DX12</f>
        <v>-0</v>
      </c>
      <c r="DY67" s="48" t="n">
        <f aca="false">-$E67*DY12</f>
        <v>-0</v>
      </c>
      <c r="DZ67" s="48" t="n">
        <f aca="false">-$E67*DZ12</f>
        <v>-0</v>
      </c>
      <c r="EA67" s="48" t="n">
        <f aca="false">-$E67*EA12</f>
        <v>-0</v>
      </c>
      <c r="EB67" s="48" t="n">
        <f aca="false">-$E67*EB12</f>
        <v>-0</v>
      </c>
      <c r="EC67" s="48" t="n">
        <f aca="false">-$E67*EC12</f>
        <v>-0</v>
      </c>
      <c r="ED67" s="48" t="n">
        <f aca="false">-$E67*ED12</f>
        <v>-0</v>
      </c>
      <c r="EE67" s="48" t="n">
        <f aca="false">-$E67*EE12</f>
        <v>-0</v>
      </c>
      <c r="EF67" s="48" t="n">
        <f aca="false">-$E67*EF12</f>
        <v>-0</v>
      </c>
      <c r="EG67" s="48" t="n">
        <f aca="false">-$E67*EG12</f>
        <v>-0</v>
      </c>
      <c r="EH67" s="48" t="n">
        <f aca="false">-$E67*EH12</f>
        <v>-0</v>
      </c>
      <c r="EI67" s="48" t="n">
        <f aca="false">-$E67*EI12</f>
        <v>-0</v>
      </c>
      <c r="EJ67" s="48" t="n">
        <f aca="false">-$E67*EJ12</f>
        <v>-0</v>
      </c>
      <c r="EK67" s="48" t="n">
        <f aca="false">-$E67*EK12</f>
        <v>-0</v>
      </c>
      <c r="EL67" s="48" t="n">
        <f aca="false">-$E67*EL12</f>
        <v>-0</v>
      </c>
      <c r="EM67" s="48" t="n">
        <f aca="false">-$E67*EM12</f>
        <v>-0</v>
      </c>
      <c r="EN67" s="48" t="n">
        <f aca="false">-$E67*EN12</f>
        <v>-0</v>
      </c>
      <c r="EO67" s="48" t="n">
        <f aca="false">-$E67*EO12</f>
        <v>-0</v>
      </c>
    </row>
    <row r="68" customFormat="false" ht="15" hidden="false" customHeight="false" outlineLevel="0" collapsed="false">
      <c r="C68" s="0" t="s">
        <v>453</v>
      </c>
      <c r="D68" s="11" t="s">
        <v>33</v>
      </c>
      <c r="E68" s="48" t="n">
        <f aca="false">$E34*In_MVA</f>
        <v>2500</v>
      </c>
      <c r="I68" s="48" t="n">
        <f aca="false">SUM(J68:EO68)</f>
        <v>-2500</v>
      </c>
      <c r="J68" s="48" t="n">
        <f aca="false">-$E68*J14</f>
        <v>-0</v>
      </c>
      <c r="K68" s="48" t="n">
        <f aca="false">-$E68*K14</f>
        <v>-0</v>
      </c>
      <c r="L68" s="48" t="n">
        <f aca="false">-$E68*L14</f>
        <v>-0</v>
      </c>
      <c r="M68" s="48" t="n">
        <f aca="false">-$E68*M14</f>
        <v>-0</v>
      </c>
      <c r="N68" s="48" t="n">
        <f aca="false">-$E68*N14</f>
        <v>-0</v>
      </c>
      <c r="O68" s="48" t="n">
        <f aca="false">-$E68*O14</f>
        <v>-0</v>
      </c>
      <c r="P68" s="48" t="n">
        <f aca="false">-$E68*P14</f>
        <v>-0</v>
      </c>
      <c r="Q68" s="48" t="n">
        <f aca="false">-$E68*Q14</f>
        <v>-0</v>
      </c>
      <c r="R68" s="48" t="n">
        <f aca="false">-$E68*R14</f>
        <v>-0</v>
      </c>
      <c r="S68" s="48" t="n">
        <f aca="false">-$E68*S14</f>
        <v>-0</v>
      </c>
      <c r="T68" s="48" t="n">
        <f aca="false">-$E68*T14</f>
        <v>-0</v>
      </c>
      <c r="U68" s="48" t="n">
        <f aca="false">-$E68*U14</f>
        <v>-0</v>
      </c>
      <c r="V68" s="48" t="n">
        <f aca="false">-$E68*V14</f>
        <v>-0</v>
      </c>
      <c r="W68" s="48" t="n">
        <f aca="false">-$E68*W14</f>
        <v>-0</v>
      </c>
      <c r="X68" s="48" t="n">
        <f aca="false">-$E68*X14</f>
        <v>-0</v>
      </c>
      <c r="Y68" s="48" t="n">
        <f aca="false">-$E68*Y14</f>
        <v>-2500</v>
      </c>
      <c r="Z68" s="48" t="n">
        <f aca="false">-$E68*Z14</f>
        <v>-0</v>
      </c>
      <c r="AA68" s="48" t="n">
        <f aca="false">-$E68*AA14</f>
        <v>-0</v>
      </c>
      <c r="AB68" s="48" t="n">
        <f aca="false">-$E68*AB14</f>
        <v>-0</v>
      </c>
      <c r="AC68" s="48" t="n">
        <f aca="false">-$E68*AC14</f>
        <v>-0</v>
      </c>
      <c r="AD68" s="48" t="n">
        <f aca="false">-$E68*AD14</f>
        <v>-0</v>
      </c>
      <c r="AE68" s="48" t="n">
        <f aca="false">-$E68*AE14</f>
        <v>-0</v>
      </c>
      <c r="AF68" s="48" t="n">
        <f aca="false">-$E68*AF14</f>
        <v>-0</v>
      </c>
      <c r="AG68" s="48" t="n">
        <f aca="false">-$E68*AG14</f>
        <v>-0</v>
      </c>
      <c r="AH68" s="48" t="n">
        <f aca="false">-$E68*AH14</f>
        <v>-0</v>
      </c>
      <c r="AI68" s="48" t="n">
        <f aca="false">-$E68*AI14</f>
        <v>-0</v>
      </c>
      <c r="AJ68" s="48" t="n">
        <f aca="false">-$E68*AJ14</f>
        <v>-0</v>
      </c>
      <c r="AK68" s="48" t="n">
        <f aca="false">-$E68*AK14</f>
        <v>-0</v>
      </c>
      <c r="AL68" s="48" t="n">
        <f aca="false">-$E68*AL14</f>
        <v>-0</v>
      </c>
      <c r="AM68" s="48" t="n">
        <f aca="false">-$E68*AM14</f>
        <v>-0</v>
      </c>
      <c r="AN68" s="48" t="n">
        <f aca="false">-$E68*AN14</f>
        <v>-0</v>
      </c>
      <c r="AO68" s="48" t="n">
        <f aca="false">-$E68*AO14</f>
        <v>-0</v>
      </c>
      <c r="AP68" s="48" t="n">
        <f aca="false">-$E68*AP14</f>
        <v>-0</v>
      </c>
      <c r="AQ68" s="48" t="n">
        <f aca="false">-$E68*AQ14</f>
        <v>-0</v>
      </c>
      <c r="AR68" s="48" t="n">
        <f aca="false">-$E68*AR14</f>
        <v>-0</v>
      </c>
      <c r="AS68" s="48" t="n">
        <f aca="false">-$E68*AS14</f>
        <v>-0</v>
      </c>
      <c r="AT68" s="48" t="n">
        <f aca="false">-$E68*AT14</f>
        <v>-0</v>
      </c>
      <c r="AU68" s="48" t="n">
        <f aca="false">-$E68*AU14</f>
        <v>-0</v>
      </c>
      <c r="AV68" s="48" t="n">
        <f aca="false">-$E68*AV14</f>
        <v>-0</v>
      </c>
      <c r="AW68" s="48" t="n">
        <f aca="false">-$E68*AW14</f>
        <v>-0</v>
      </c>
      <c r="AX68" s="48" t="n">
        <f aca="false">-$E68*AX14</f>
        <v>-0</v>
      </c>
      <c r="AY68" s="48" t="n">
        <f aca="false">-$E68*AY14</f>
        <v>-0</v>
      </c>
      <c r="AZ68" s="48" t="n">
        <f aca="false">-$E68*AZ14</f>
        <v>-0</v>
      </c>
      <c r="BA68" s="48" t="n">
        <f aca="false">-$E68*BA14</f>
        <v>-0</v>
      </c>
      <c r="BB68" s="48" t="n">
        <f aca="false">-$E68*BB14</f>
        <v>-0</v>
      </c>
      <c r="BC68" s="48" t="n">
        <f aca="false">-$E68*BC14</f>
        <v>-0</v>
      </c>
      <c r="BD68" s="48" t="n">
        <f aca="false">-$E68*BD14</f>
        <v>-0</v>
      </c>
      <c r="BE68" s="48" t="n">
        <f aca="false">-$E68*BE14</f>
        <v>-0</v>
      </c>
      <c r="BF68" s="48" t="n">
        <f aca="false">-$E68*BF14</f>
        <v>-0</v>
      </c>
      <c r="BG68" s="48" t="n">
        <f aca="false">-$E68*BG14</f>
        <v>-0</v>
      </c>
      <c r="BH68" s="48" t="n">
        <f aca="false">-$E68*BH14</f>
        <v>-0</v>
      </c>
      <c r="BI68" s="48" t="n">
        <f aca="false">-$E68*BI14</f>
        <v>-0</v>
      </c>
      <c r="BJ68" s="48" t="n">
        <f aca="false">-$E68*BJ14</f>
        <v>-0</v>
      </c>
      <c r="BK68" s="48" t="n">
        <f aca="false">-$E68*BK14</f>
        <v>-0</v>
      </c>
      <c r="BL68" s="48" t="n">
        <f aca="false">-$E68*BL14</f>
        <v>-0</v>
      </c>
      <c r="BM68" s="48" t="n">
        <f aca="false">-$E68*BM14</f>
        <v>-0</v>
      </c>
      <c r="BN68" s="48" t="n">
        <f aca="false">-$E68*BN14</f>
        <v>-0</v>
      </c>
      <c r="BO68" s="48" t="n">
        <f aca="false">-$E68*BO14</f>
        <v>-0</v>
      </c>
      <c r="BP68" s="48" t="n">
        <f aca="false">-$E68*BP14</f>
        <v>-0</v>
      </c>
      <c r="BQ68" s="48" t="n">
        <f aca="false">-$E68*BQ14</f>
        <v>-0</v>
      </c>
      <c r="BR68" s="48" t="n">
        <f aca="false">-$E68*BR14</f>
        <v>-0</v>
      </c>
      <c r="BS68" s="48" t="n">
        <f aca="false">-$E68*BS14</f>
        <v>-0</v>
      </c>
      <c r="BT68" s="48" t="n">
        <f aca="false">-$E68*BT14</f>
        <v>-0</v>
      </c>
      <c r="BU68" s="48" t="n">
        <f aca="false">-$E68*BU14</f>
        <v>-0</v>
      </c>
      <c r="BV68" s="48" t="n">
        <f aca="false">-$E68*BV14</f>
        <v>-0</v>
      </c>
      <c r="BW68" s="48" t="n">
        <f aca="false">-$E68*BW14</f>
        <v>-0</v>
      </c>
      <c r="BX68" s="48" t="n">
        <f aca="false">-$E68*BX14</f>
        <v>-0</v>
      </c>
      <c r="BY68" s="48" t="n">
        <f aca="false">-$E68*BY14</f>
        <v>-0</v>
      </c>
      <c r="BZ68" s="48" t="n">
        <f aca="false">-$E68*BZ14</f>
        <v>-0</v>
      </c>
      <c r="CA68" s="48" t="n">
        <f aca="false">-$E68*CA14</f>
        <v>-0</v>
      </c>
      <c r="CB68" s="48" t="n">
        <f aca="false">-$E68*CB14</f>
        <v>-0</v>
      </c>
      <c r="CC68" s="48" t="n">
        <f aca="false">-$E68*CC14</f>
        <v>-0</v>
      </c>
      <c r="CD68" s="48" t="n">
        <f aca="false">-$E68*CD14</f>
        <v>-0</v>
      </c>
      <c r="CE68" s="48" t="n">
        <f aca="false">-$E68*CE14</f>
        <v>-0</v>
      </c>
      <c r="CF68" s="48" t="n">
        <f aca="false">-$E68*CF14</f>
        <v>-0</v>
      </c>
      <c r="CG68" s="48" t="n">
        <f aca="false">-$E68*CG14</f>
        <v>-0</v>
      </c>
      <c r="CH68" s="48" t="n">
        <f aca="false">-$E68*CH14</f>
        <v>-0</v>
      </c>
      <c r="CI68" s="48" t="n">
        <f aca="false">-$E68*CI14</f>
        <v>-0</v>
      </c>
      <c r="CJ68" s="48" t="n">
        <f aca="false">-$E68*CJ14</f>
        <v>-0</v>
      </c>
      <c r="CK68" s="48" t="n">
        <f aca="false">-$E68*CK14</f>
        <v>-0</v>
      </c>
      <c r="CL68" s="48" t="n">
        <f aca="false">-$E68*CL14</f>
        <v>-0</v>
      </c>
      <c r="CM68" s="48" t="n">
        <f aca="false">-$E68*CM14</f>
        <v>-0</v>
      </c>
      <c r="CN68" s="48" t="n">
        <f aca="false">-$E68*CN14</f>
        <v>-0</v>
      </c>
      <c r="CO68" s="48" t="n">
        <f aca="false">-$E68*CO14</f>
        <v>-0</v>
      </c>
      <c r="CP68" s="48" t="n">
        <f aca="false">-$E68*CP14</f>
        <v>-0</v>
      </c>
      <c r="CQ68" s="48" t="n">
        <f aca="false">-$E68*CQ14</f>
        <v>-0</v>
      </c>
      <c r="CR68" s="48" t="n">
        <f aca="false">-$E68*CR14</f>
        <v>-0</v>
      </c>
      <c r="CS68" s="48" t="n">
        <f aca="false">-$E68*CS14</f>
        <v>-0</v>
      </c>
      <c r="CT68" s="48" t="n">
        <f aca="false">-$E68*CT14</f>
        <v>-0</v>
      </c>
      <c r="CU68" s="48" t="n">
        <f aca="false">-$E68*CU14</f>
        <v>-0</v>
      </c>
      <c r="CV68" s="48" t="n">
        <f aca="false">-$E68*CV14</f>
        <v>-0</v>
      </c>
      <c r="CW68" s="48" t="n">
        <f aca="false">-$E68*CW14</f>
        <v>-0</v>
      </c>
      <c r="CX68" s="48" t="n">
        <f aca="false">-$E68*CX14</f>
        <v>-0</v>
      </c>
      <c r="CY68" s="48" t="n">
        <f aca="false">-$E68*CY14</f>
        <v>-0</v>
      </c>
      <c r="CZ68" s="48" t="n">
        <f aca="false">-$E68*CZ14</f>
        <v>-0</v>
      </c>
      <c r="DA68" s="48" t="n">
        <f aca="false">-$E68*DA14</f>
        <v>-0</v>
      </c>
      <c r="DB68" s="48" t="n">
        <f aca="false">-$E68*DB14</f>
        <v>-0</v>
      </c>
      <c r="DC68" s="48" t="n">
        <f aca="false">-$E68*DC14</f>
        <v>-0</v>
      </c>
      <c r="DD68" s="48" t="n">
        <f aca="false">-$E68*DD14</f>
        <v>-0</v>
      </c>
      <c r="DE68" s="48" t="n">
        <f aca="false">-$E68*DE14</f>
        <v>-0</v>
      </c>
      <c r="DF68" s="48" t="n">
        <f aca="false">-$E68*DF14</f>
        <v>-0</v>
      </c>
      <c r="DG68" s="48" t="n">
        <f aca="false">-$E68*DG14</f>
        <v>-0</v>
      </c>
      <c r="DH68" s="48" t="n">
        <f aca="false">-$E68*DH14</f>
        <v>-0</v>
      </c>
      <c r="DI68" s="48" t="n">
        <f aca="false">-$E68*DI14</f>
        <v>-0</v>
      </c>
      <c r="DJ68" s="48" t="n">
        <f aca="false">-$E68*DJ14</f>
        <v>-0</v>
      </c>
      <c r="DK68" s="48" t="n">
        <f aca="false">-$E68*DK14</f>
        <v>-0</v>
      </c>
      <c r="DL68" s="48" t="n">
        <f aca="false">-$E68*DL14</f>
        <v>-0</v>
      </c>
      <c r="DM68" s="48" t="n">
        <f aca="false">-$E68*DM14</f>
        <v>-0</v>
      </c>
      <c r="DN68" s="48" t="n">
        <f aca="false">-$E68*DN14</f>
        <v>-0</v>
      </c>
      <c r="DO68" s="48" t="n">
        <f aca="false">-$E68*DO14</f>
        <v>-0</v>
      </c>
      <c r="DP68" s="48" t="n">
        <f aca="false">-$E68*DP14</f>
        <v>-0</v>
      </c>
      <c r="DQ68" s="48" t="n">
        <f aca="false">-$E68*DQ14</f>
        <v>-0</v>
      </c>
      <c r="DR68" s="48" t="n">
        <f aca="false">-$E68*DR14</f>
        <v>-0</v>
      </c>
      <c r="DS68" s="48" t="n">
        <f aca="false">-$E68*DS14</f>
        <v>-0</v>
      </c>
      <c r="DT68" s="48" t="n">
        <f aca="false">-$E68*DT14</f>
        <v>-0</v>
      </c>
      <c r="DU68" s="48" t="n">
        <f aca="false">-$E68*DU14</f>
        <v>-0</v>
      </c>
      <c r="DV68" s="48" t="n">
        <f aca="false">-$E68*DV14</f>
        <v>-0</v>
      </c>
      <c r="DW68" s="48" t="n">
        <f aca="false">-$E68*DW14</f>
        <v>-0</v>
      </c>
      <c r="DX68" s="48" t="n">
        <f aca="false">-$E68*DX14</f>
        <v>-0</v>
      </c>
      <c r="DY68" s="48" t="n">
        <f aca="false">-$E68*DY14</f>
        <v>-0</v>
      </c>
      <c r="DZ68" s="48" t="n">
        <f aca="false">-$E68*DZ14</f>
        <v>-0</v>
      </c>
      <c r="EA68" s="48" t="n">
        <f aca="false">-$E68*EA14</f>
        <v>-0</v>
      </c>
      <c r="EB68" s="48" t="n">
        <f aca="false">-$E68*EB14</f>
        <v>-0</v>
      </c>
      <c r="EC68" s="48" t="n">
        <f aca="false">-$E68*EC14</f>
        <v>-0</v>
      </c>
      <c r="ED68" s="48" t="n">
        <f aca="false">-$E68*ED14</f>
        <v>-0</v>
      </c>
      <c r="EE68" s="48" t="n">
        <f aca="false">-$E68*EE14</f>
        <v>-0</v>
      </c>
      <c r="EF68" s="48" t="n">
        <f aca="false">-$E68*EF14</f>
        <v>-0</v>
      </c>
      <c r="EG68" s="48" t="n">
        <f aca="false">-$E68*EG14</f>
        <v>-0</v>
      </c>
      <c r="EH68" s="48" t="n">
        <f aca="false">-$E68*EH14</f>
        <v>-0</v>
      </c>
      <c r="EI68" s="48" t="n">
        <f aca="false">-$E68*EI14</f>
        <v>-0</v>
      </c>
      <c r="EJ68" s="48" t="n">
        <f aca="false">-$E68*EJ14</f>
        <v>-0</v>
      </c>
      <c r="EK68" s="48" t="n">
        <f aca="false">-$E68*EK14</f>
        <v>-0</v>
      </c>
      <c r="EL68" s="48" t="n">
        <f aca="false">-$E68*EL14</f>
        <v>-0</v>
      </c>
      <c r="EM68" s="48" t="n">
        <f aca="false">-$E68*EM14</f>
        <v>-0</v>
      </c>
      <c r="EN68" s="48" t="n">
        <f aca="false">-$E68*EN14</f>
        <v>-0</v>
      </c>
      <c r="EO68" s="48" t="n">
        <f aca="false">-$E68*EO14</f>
        <v>-0</v>
      </c>
    </row>
    <row r="69" customFormat="false" ht="15" hidden="false" customHeight="false" outlineLevel="0" collapsed="false">
      <c r="C69" s="25" t="s">
        <v>454</v>
      </c>
      <c r="D69" s="11" t="s">
        <v>33</v>
      </c>
      <c r="E69" s="57" t="n">
        <f aca="false">SUMPRODUCT($J69:$EO69/$J22:$EO22)*$E22</f>
        <v>-78904.2480519649</v>
      </c>
      <c r="I69" s="57" t="n">
        <f aca="false">SUM(J69:EO69)</f>
        <v>-75371.0731506849</v>
      </c>
      <c r="J69" s="57" t="n">
        <f aca="false">J67+J57+J68</f>
        <v>-0</v>
      </c>
      <c r="K69" s="57" t="n">
        <f aca="false">K67+K57+K68</f>
        <v>-0</v>
      </c>
      <c r="L69" s="57" t="n">
        <f aca="false">L67+L57+L68</f>
        <v>-0</v>
      </c>
      <c r="M69" s="57" t="n">
        <f aca="false">M67+M57+M68</f>
        <v>-0</v>
      </c>
      <c r="N69" s="57" t="n">
        <f aca="false">N67+N57+N68</f>
        <v>-0</v>
      </c>
      <c r="O69" s="57" t="n">
        <f aca="false">O67+O57+O68</f>
        <v>-0</v>
      </c>
      <c r="P69" s="57" t="n">
        <f aca="false">P67+P57+P68</f>
        <v>-0</v>
      </c>
      <c r="Q69" s="57" t="n">
        <f aca="false">Q67+Q57+Q68</f>
        <v>-0</v>
      </c>
      <c r="R69" s="57" t="n">
        <f aca="false">R67+R57+R68</f>
        <v>-8156.02054794521</v>
      </c>
      <c r="S69" s="57" t="n">
        <f aca="false">S67+S57+S68</f>
        <v>-16133.5389041096</v>
      </c>
      <c r="T69" s="57" t="n">
        <f aca="false">T67+T57+T68</f>
        <v>-8067.36815068493</v>
      </c>
      <c r="U69" s="57" t="n">
        <f aca="false">U67+U57+U68</f>
        <v>-8156.02054794521</v>
      </c>
      <c r="V69" s="57" t="n">
        <f aca="false">V67+V57+V68</f>
        <v>-8156.02054794521</v>
      </c>
      <c r="W69" s="57" t="n">
        <f aca="false">W67+W57+W68</f>
        <v>-7978.71575342466</v>
      </c>
      <c r="X69" s="57" t="n">
        <f aca="false">X67+X57+X68</f>
        <v>-8067.36815068493</v>
      </c>
      <c r="Y69" s="57" t="n">
        <f aca="false">Y67+Y57+Y68</f>
        <v>-10656.0205479452</v>
      </c>
      <c r="Z69" s="57" t="n">
        <f aca="false">Z67+Z57+Z68</f>
        <v>-0</v>
      </c>
      <c r="AA69" s="57" t="n">
        <f aca="false">AA67+AA57+AA68</f>
        <v>-0</v>
      </c>
      <c r="AB69" s="57" t="n">
        <f aca="false">AB67+AB57+AB68</f>
        <v>-0</v>
      </c>
      <c r="AC69" s="57" t="n">
        <f aca="false">AC67+AC57+AC68</f>
        <v>-0</v>
      </c>
      <c r="AD69" s="57" t="n">
        <f aca="false">AD67+AD57+AD68</f>
        <v>-0</v>
      </c>
      <c r="AE69" s="57" t="n">
        <f aca="false">AE67+AE57+AE68</f>
        <v>-0</v>
      </c>
      <c r="AF69" s="57" t="n">
        <f aca="false">AF67+AF57+AF68</f>
        <v>-0</v>
      </c>
      <c r="AG69" s="57" t="n">
        <f aca="false">AG67+AG57+AG68</f>
        <v>-0</v>
      </c>
      <c r="AH69" s="57" t="n">
        <f aca="false">AH67+AH57+AH68</f>
        <v>-0</v>
      </c>
      <c r="AI69" s="57" t="n">
        <f aca="false">AI67+AI57+AI68</f>
        <v>-0</v>
      </c>
      <c r="AJ69" s="57" t="n">
        <f aca="false">AJ67+AJ57+AJ68</f>
        <v>-0</v>
      </c>
      <c r="AK69" s="57" t="n">
        <f aca="false">AK67+AK57+AK68</f>
        <v>-0</v>
      </c>
      <c r="AL69" s="57" t="n">
        <f aca="false">AL67+AL57+AL68</f>
        <v>-0</v>
      </c>
      <c r="AM69" s="57" t="n">
        <f aca="false">AM67+AM57+AM68</f>
        <v>-0</v>
      </c>
      <c r="AN69" s="57" t="n">
        <f aca="false">AN67+AN57+AN68</f>
        <v>-0</v>
      </c>
      <c r="AO69" s="57" t="n">
        <f aca="false">AO67+AO57+AO68</f>
        <v>-0</v>
      </c>
      <c r="AP69" s="57" t="n">
        <f aca="false">AP67+AP57+AP68</f>
        <v>-0</v>
      </c>
      <c r="AQ69" s="57" t="n">
        <f aca="false">AQ67+AQ57+AQ68</f>
        <v>-0</v>
      </c>
      <c r="AR69" s="57" t="n">
        <f aca="false">AR67+AR57+AR68</f>
        <v>-0</v>
      </c>
      <c r="AS69" s="57" t="n">
        <f aca="false">AS67+AS57+AS68</f>
        <v>-0</v>
      </c>
      <c r="AT69" s="57" t="n">
        <f aca="false">AT67+AT57+AT68</f>
        <v>-0</v>
      </c>
      <c r="AU69" s="57" t="n">
        <f aca="false">AU67+AU57+AU68</f>
        <v>-0</v>
      </c>
      <c r="AV69" s="57" t="n">
        <f aca="false">AV67+AV57+AV68</f>
        <v>-0</v>
      </c>
      <c r="AW69" s="57" t="n">
        <f aca="false">AW67+AW57+AW68</f>
        <v>-0</v>
      </c>
      <c r="AX69" s="57" t="n">
        <f aca="false">AX67+AX57+AX68</f>
        <v>-0</v>
      </c>
      <c r="AY69" s="57" t="n">
        <f aca="false">AY67+AY57+AY68</f>
        <v>-0</v>
      </c>
      <c r="AZ69" s="57" t="n">
        <f aca="false">AZ67+AZ57+AZ68</f>
        <v>-0</v>
      </c>
      <c r="BA69" s="57" t="n">
        <f aca="false">BA67+BA57+BA68</f>
        <v>-0</v>
      </c>
      <c r="BB69" s="57" t="n">
        <f aca="false">BB67+BB57+BB68</f>
        <v>-0</v>
      </c>
      <c r="BC69" s="57" t="n">
        <f aca="false">BC67+BC57+BC68</f>
        <v>-0</v>
      </c>
      <c r="BD69" s="57" t="n">
        <f aca="false">BD67+BD57+BD68</f>
        <v>-0</v>
      </c>
      <c r="BE69" s="57" t="n">
        <f aca="false">BE67+BE57+BE68</f>
        <v>-0</v>
      </c>
      <c r="BF69" s="57" t="n">
        <f aca="false">BF67+BF57+BF68</f>
        <v>-0</v>
      </c>
      <c r="BG69" s="57" t="n">
        <f aca="false">BG67+BG57+BG68</f>
        <v>-0</v>
      </c>
      <c r="BH69" s="57" t="n">
        <f aca="false">BH67+BH57+BH68</f>
        <v>-0</v>
      </c>
      <c r="BI69" s="57" t="n">
        <f aca="false">BI67+BI57+BI68</f>
        <v>-0</v>
      </c>
      <c r="BJ69" s="57" t="n">
        <f aca="false">BJ67+BJ57+BJ68</f>
        <v>-0</v>
      </c>
      <c r="BK69" s="57" t="n">
        <f aca="false">BK67+BK57+BK68</f>
        <v>-0</v>
      </c>
      <c r="BL69" s="57" t="n">
        <f aca="false">BL67+BL57+BL68</f>
        <v>-0</v>
      </c>
      <c r="BM69" s="57" t="n">
        <f aca="false">BM67+BM57+BM68</f>
        <v>-0</v>
      </c>
      <c r="BN69" s="57" t="n">
        <f aca="false">BN67+BN57+BN68</f>
        <v>-0</v>
      </c>
      <c r="BO69" s="57" t="n">
        <f aca="false">BO67+BO57+BO68</f>
        <v>-0</v>
      </c>
      <c r="BP69" s="57" t="n">
        <f aca="false">BP67+BP57+BP68</f>
        <v>-0</v>
      </c>
      <c r="BQ69" s="57" t="n">
        <f aca="false">BQ67+BQ57+BQ68</f>
        <v>-0</v>
      </c>
      <c r="BR69" s="57" t="n">
        <f aca="false">BR67+BR57+BR68</f>
        <v>-0</v>
      </c>
      <c r="BS69" s="57" t="n">
        <f aca="false">BS67+BS57+BS68</f>
        <v>-0</v>
      </c>
      <c r="BT69" s="57" t="n">
        <f aca="false">BT67+BT57+BT68</f>
        <v>-0</v>
      </c>
      <c r="BU69" s="57" t="n">
        <f aca="false">BU67+BU57+BU68</f>
        <v>-0</v>
      </c>
      <c r="BV69" s="57" t="n">
        <f aca="false">BV67+BV57+BV68</f>
        <v>-0</v>
      </c>
      <c r="BW69" s="57" t="n">
        <f aca="false">BW67+BW57+BW68</f>
        <v>-0</v>
      </c>
      <c r="BX69" s="57" t="n">
        <f aca="false">BX67+BX57+BX68</f>
        <v>-0</v>
      </c>
      <c r="BY69" s="57" t="n">
        <f aca="false">BY67+BY57+BY68</f>
        <v>-0</v>
      </c>
      <c r="BZ69" s="57" t="n">
        <f aca="false">BZ67+BZ57+BZ68</f>
        <v>-0</v>
      </c>
      <c r="CA69" s="57" t="n">
        <f aca="false">CA67+CA57+CA68</f>
        <v>-0</v>
      </c>
      <c r="CB69" s="57" t="n">
        <f aca="false">CB67+CB57+CB68</f>
        <v>-0</v>
      </c>
      <c r="CC69" s="57" t="n">
        <f aca="false">CC67+CC57+CC68</f>
        <v>-0</v>
      </c>
      <c r="CD69" s="57" t="n">
        <f aca="false">CD67+CD57+CD68</f>
        <v>-0</v>
      </c>
      <c r="CE69" s="57" t="n">
        <f aca="false">CE67+CE57+CE68</f>
        <v>-0</v>
      </c>
      <c r="CF69" s="57" t="n">
        <f aca="false">CF67+CF57+CF68</f>
        <v>-0</v>
      </c>
      <c r="CG69" s="57" t="n">
        <f aca="false">CG67+CG57+CG68</f>
        <v>-0</v>
      </c>
      <c r="CH69" s="57" t="n">
        <f aca="false">CH67+CH57+CH68</f>
        <v>-0</v>
      </c>
      <c r="CI69" s="57" t="n">
        <f aca="false">CI67+CI57+CI68</f>
        <v>-0</v>
      </c>
      <c r="CJ69" s="57" t="n">
        <f aca="false">CJ67+CJ57+CJ68</f>
        <v>-0</v>
      </c>
      <c r="CK69" s="57" t="n">
        <f aca="false">CK67+CK57+CK68</f>
        <v>-0</v>
      </c>
      <c r="CL69" s="57" t="n">
        <f aca="false">CL67+CL57+CL68</f>
        <v>-0</v>
      </c>
      <c r="CM69" s="57" t="n">
        <f aca="false">CM67+CM57+CM68</f>
        <v>-0</v>
      </c>
      <c r="CN69" s="57" t="n">
        <f aca="false">CN67+CN57+CN68</f>
        <v>-0</v>
      </c>
      <c r="CO69" s="57" t="n">
        <f aca="false">CO67+CO57+CO68</f>
        <v>-0</v>
      </c>
      <c r="CP69" s="57" t="n">
        <f aca="false">CP67+CP57+CP68</f>
        <v>-0</v>
      </c>
      <c r="CQ69" s="57" t="n">
        <f aca="false">CQ67+CQ57+CQ68</f>
        <v>-0</v>
      </c>
      <c r="CR69" s="57" t="n">
        <f aca="false">CR67+CR57+CR68</f>
        <v>-0</v>
      </c>
      <c r="CS69" s="57" t="n">
        <f aca="false">CS67+CS57+CS68</f>
        <v>-0</v>
      </c>
      <c r="CT69" s="57" t="n">
        <f aca="false">CT67+CT57+CT68</f>
        <v>-0</v>
      </c>
      <c r="CU69" s="57" t="n">
        <f aca="false">CU67+CU57+CU68</f>
        <v>-0</v>
      </c>
      <c r="CV69" s="57" t="n">
        <f aca="false">CV67+CV57+CV68</f>
        <v>-0</v>
      </c>
      <c r="CW69" s="57" t="n">
        <f aca="false">CW67+CW57+CW68</f>
        <v>-0</v>
      </c>
      <c r="CX69" s="57" t="n">
        <f aca="false">CX67+CX57+CX68</f>
        <v>-0</v>
      </c>
      <c r="CY69" s="57" t="n">
        <f aca="false">CY67+CY57+CY68</f>
        <v>-0</v>
      </c>
      <c r="CZ69" s="57" t="n">
        <f aca="false">CZ67+CZ57+CZ68</f>
        <v>-0</v>
      </c>
      <c r="DA69" s="57" t="n">
        <f aca="false">DA67+DA57+DA68</f>
        <v>-0</v>
      </c>
      <c r="DB69" s="57" t="n">
        <f aca="false">DB67+DB57+DB68</f>
        <v>-0</v>
      </c>
      <c r="DC69" s="57" t="n">
        <f aca="false">DC67+DC57+DC68</f>
        <v>-0</v>
      </c>
      <c r="DD69" s="57" t="n">
        <f aca="false">DD67+DD57+DD68</f>
        <v>-0</v>
      </c>
      <c r="DE69" s="57" t="n">
        <f aca="false">DE67+DE57+DE68</f>
        <v>-0</v>
      </c>
      <c r="DF69" s="57" t="n">
        <f aca="false">DF67+DF57+DF68</f>
        <v>-0</v>
      </c>
      <c r="DG69" s="57" t="n">
        <f aca="false">DG67+DG57+DG68</f>
        <v>-0</v>
      </c>
      <c r="DH69" s="57" t="n">
        <f aca="false">DH67+DH57+DH68</f>
        <v>-0</v>
      </c>
      <c r="DI69" s="57" t="n">
        <f aca="false">DI67+DI57+DI68</f>
        <v>-0</v>
      </c>
      <c r="DJ69" s="57" t="n">
        <f aca="false">DJ67+DJ57+DJ68</f>
        <v>-0</v>
      </c>
      <c r="DK69" s="57" t="n">
        <f aca="false">DK67+DK57+DK68</f>
        <v>-0</v>
      </c>
      <c r="DL69" s="57" t="n">
        <f aca="false">DL67+DL57+DL68</f>
        <v>-0</v>
      </c>
      <c r="DM69" s="57" t="n">
        <f aca="false">DM67+DM57+DM68</f>
        <v>-0</v>
      </c>
      <c r="DN69" s="57" t="n">
        <f aca="false">DN67+DN57+DN68</f>
        <v>-0</v>
      </c>
      <c r="DO69" s="57" t="n">
        <f aca="false">DO67+DO57+DO68</f>
        <v>-0</v>
      </c>
      <c r="DP69" s="57" t="n">
        <f aca="false">DP67+DP57+DP68</f>
        <v>-0</v>
      </c>
      <c r="DQ69" s="57" t="n">
        <f aca="false">DQ67+DQ57+DQ68</f>
        <v>-0</v>
      </c>
      <c r="DR69" s="57" t="n">
        <f aca="false">DR67+DR57+DR68</f>
        <v>-0</v>
      </c>
      <c r="DS69" s="57" t="n">
        <f aca="false">DS67+DS57+DS68</f>
        <v>-0</v>
      </c>
      <c r="DT69" s="57" t="n">
        <f aca="false">DT67+DT57+DT68</f>
        <v>-0</v>
      </c>
      <c r="DU69" s="57" t="n">
        <f aca="false">DU67+DU57+DU68</f>
        <v>-0</v>
      </c>
      <c r="DV69" s="57" t="n">
        <f aca="false">DV67+DV57+DV68</f>
        <v>-0</v>
      </c>
      <c r="DW69" s="57" t="n">
        <f aca="false">DW67+DW57+DW68</f>
        <v>-0</v>
      </c>
      <c r="DX69" s="57" t="n">
        <f aca="false">DX67+DX57+DX68</f>
        <v>-0</v>
      </c>
      <c r="DY69" s="57" t="n">
        <f aca="false">DY67+DY57+DY68</f>
        <v>-0</v>
      </c>
      <c r="DZ69" s="57" t="n">
        <f aca="false">DZ67+DZ57+DZ68</f>
        <v>-0</v>
      </c>
      <c r="EA69" s="57" t="n">
        <f aca="false">EA67+EA57+EA68</f>
        <v>-0</v>
      </c>
      <c r="EB69" s="57" t="n">
        <f aca="false">EB67+EB57+EB68</f>
        <v>-0</v>
      </c>
      <c r="EC69" s="57" t="n">
        <f aca="false">EC67+EC57+EC68</f>
        <v>-0</v>
      </c>
      <c r="ED69" s="57" t="n">
        <f aca="false">ED67+ED57+ED68</f>
        <v>-0</v>
      </c>
      <c r="EE69" s="57" t="n">
        <f aca="false">EE67+EE57+EE68</f>
        <v>-0</v>
      </c>
      <c r="EF69" s="57" t="n">
        <f aca="false">EF67+EF57+EF68</f>
        <v>-0</v>
      </c>
      <c r="EG69" s="57" t="n">
        <f aca="false">EG67+EG57+EG68</f>
        <v>-0</v>
      </c>
      <c r="EH69" s="57" t="n">
        <f aca="false">EH67+EH57+EH68</f>
        <v>-0</v>
      </c>
      <c r="EI69" s="57" t="n">
        <f aca="false">EI67+EI57+EI68</f>
        <v>-0</v>
      </c>
      <c r="EJ69" s="57" t="n">
        <f aca="false">EJ67+EJ57+EJ68</f>
        <v>-0</v>
      </c>
      <c r="EK69" s="57" t="n">
        <f aca="false">EK67+EK57+EK68</f>
        <v>-0</v>
      </c>
      <c r="EL69" s="57" t="n">
        <f aca="false">EL67+EL57+EL68</f>
        <v>-0</v>
      </c>
      <c r="EM69" s="57" t="n">
        <f aca="false">EM67+EM57+EM68</f>
        <v>-0</v>
      </c>
      <c r="EN69" s="57" t="n">
        <f aca="false">EN67+EN57+EN68</f>
        <v>-0</v>
      </c>
      <c r="EO69" s="57" t="n">
        <f aca="false">EO67+EO57+EO68</f>
        <v>-0</v>
      </c>
    </row>
    <row r="71" customFormat="false" ht="15" hidden="false" customHeight="false" outlineLevel="0" collapsed="false">
      <c r="A71" s="9" t="s">
        <v>13</v>
      </c>
      <c r="B71" s="9"/>
      <c r="C71" s="9" t="s">
        <v>325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</row>
    <row r="72" customFormat="false" ht="15" hidden="false" customHeight="false" outlineLevel="0" collapsed="false">
      <c r="C72" s="0" t="s">
        <v>455</v>
      </c>
      <c r="D72" s="11" t="s">
        <v>401</v>
      </c>
      <c r="J72" s="55" t="n">
        <f aca="false">(1+In_Opex_Esc)^(J$7-YEAR(In_COD))</f>
        <v>0.905950644799755</v>
      </c>
      <c r="K72" s="55" t="n">
        <f aca="false">(1+In_Opex_Esc)^(K$7-YEAR(In_COD))</f>
        <v>0.928599410919749</v>
      </c>
      <c r="L72" s="55" t="n">
        <f aca="false">(1+In_Opex_Esc)^(L$7-YEAR(In_COD))</f>
        <v>0.928599410919749</v>
      </c>
      <c r="M72" s="55" t="n">
        <f aca="false">(1+In_Opex_Esc)^(M$7-YEAR(In_COD))</f>
        <v>0.928599410919749</v>
      </c>
      <c r="N72" s="55" t="n">
        <f aca="false">(1+In_Opex_Esc)^(N$7-YEAR(In_COD))</f>
        <v>0.928599410919749</v>
      </c>
      <c r="O72" s="55" t="n">
        <f aca="false">(1+In_Opex_Esc)^(O$7-YEAR(In_COD))</f>
        <v>0.951814396192743</v>
      </c>
      <c r="P72" s="55" t="n">
        <f aca="false">(1+In_Opex_Esc)^(P$7-YEAR(In_COD))</f>
        <v>0.951814396192743</v>
      </c>
      <c r="Q72" s="55" t="n">
        <f aca="false">(1+In_Opex_Esc)^(Q$7-YEAR(In_COD))</f>
        <v>0.951814396192743</v>
      </c>
      <c r="R72" s="55" t="n">
        <f aca="false">(1+In_Opex_Esc)^(R$7-YEAR(In_COD))</f>
        <v>0.951814396192743</v>
      </c>
      <c r="S72" s="55" t="n">
        <f aca="false">(1+In_Opex_Esc)^(S$7-YEAR(In_COD))</f>
        <v>0.975609756097561</v>
      </c>
      <c r="T72" s="55" t="n">
        <f aca="false">(1+In_Opex_Esc)^(T$7-YEAR(In_COD))</f>
        <v>0.975609756097561</v>
      </c>
      <c r="U72" s="55" t="n">
        <f aca="false">(1+In_Opex_Esc)^(U$7-YEAR(In_COD))</f>
        <v>0.975609756097561</v>
      </c>
      <c r="V72" s="55" t="n">
        <f aca="false">(1+In_Opex_Esc)^(V$7-YEAR(In_COD))</f>
        <v>0.975609756097561</v>
      </c>
      <c r="W72" s="55" t="n">
        <f aca="false">(1+In_Opex_Esc)^(W$7-YEAR(In_COD))</f>
        <v>1</v>
      </c>
      <c r="X72" s="55" t="n">
        <f aca="false">(1+In_Opex_Esc)^(X$7-YEAR(In_COD))</f>
        <v>1</v>
      </c>
      <c r="Y72" s="55" t="n">
        <f aca="false">(1+In_Opex_Esc)^(Y$7-YEAR(In_COD))</f>
        <v>1</v>
      </c>
      <c r="Z72" s="55" t="n">
        <f aca="false">(1+In_Opex_Esc)^(Z$7-YEAR(In_COD))</f>
        <v>1</v>
      </c>
      <c r="AA72" s="55" t="n">
        <f aca="false">(1+In_Opex_Esc)^(AA$7-YEAR(In_COD))</f>
        <v>1.025</v>
      </c>
      <c r="AB72" s="55" t="n">
        <f aca="false">(1+In_Opex_Esc)^(AB$7-YEAR(In_COD))</f>
        <v>1.025</v>
      </c>
      <c r="AC72" s="55" t="n">
        <f aca="false">(1+In_Opex_Esc)^(AC$7-YEAR(In_COD))</f>
        <v>1.025</v>
      </c>
      <c r="AD72" s="55" t="n">
        <f aca="false">(1+In_Opex_Esc)^(AD$7-YEAR(In_COD))</f>
        <v>1.025</v>
      </c>
      <c r="AE72" s="55" t="n">
        <f aca="false">(1+In_Opex_Esc)^(AE$7-YEAR(In_COD))</f>
        <v>1.050625</v>
      </c>
      <c r="AF72" s="55" t="n">
        <f aca="false">(1+In_Opex_Esc)^(AF$7-YEAR(In_COD))</f>
        <v>1.050625</v>
      </c>
      <c r="AG72" s="55" t="n">
        <f aca="false">(1+In_Opex_Esc)^(AG$7-YEAR(In_COD))</f>
        <v>1.050625</v>
      </c>
      <c r="AH72" s="55" t="n">
        <f aca="false">(1+In_Opex_Esc)^(AH$7-YEAR(In_COD))</f>
        <v>1.050625</v>
      </c>
      <c r="AI72" s="55" t="n">
        <f aca="false">(1+In_Opex_Esc)^(AI$7-YEAR(In_COD))</f>
        <v>1.076890625</v>
      </c>
      <c r="AJ72" s="55" t="n">
        <f aca="false">(1+In_Opex_Esc)^(AJ$7-YEAR(In_COD))</f>
        <v>1.076890625</v>
      </c>
      <c r="AK72" s="55" t="n">
        <f aca="false">(1+In_Opex_Esc)^(AK$7-YEAR(In_COD))</f>
        <v>1.076890625</v>
      </c>
      <c r="AL72" s="55" t="n">
        <f aca="false">(1+In_Opex_Esc)^(AL$7-YEAR(In_COD))</f>
        <v>1.076890625</v>
      </c>
      <c r="AM72" s="55" t="n">
        <f aca="false">(1+In_Opex_Esc)^(AM$7-YEAR(In_COD))</f>
        <v>1.103812890625</v>
      </c>
      <c r="AN72" s="55" t="n">
        <f aca="false">(1+In_Opex_Esc)^(AN$7-YEAR(In_COD))</f>
        <v>1.103812890625</v>
      </c>
      <c r="AO72" s="55" t="n">
        <f aca="false">(1+In_Opex_Esc)^(AO$7-YEAR(In_COD))</f>
        <v>1.103812890625</v>
      </c>
      <c r="AP72" s="55" t="n">
        <f aca="false">(1+In_Opex_Esc)^(AP$7-YEAR(In_COD))</f>
        <v>1.103812890625</v>
      </c>
      <c r="AQ72" s="55" t="n">
        <f aca="false">(1+In_Opex_Esc)^(AQ$7-YEAR(In_COD))</f>
        <v>1.13140821289062</v>
      </c>
      <c r="AR72" s="55" t="n">
        <f aca="false">(1+In_Opex_Esc)^(AR$7-YEAR(In_COD))</f>
        <v>1.13140821289062</v>
      </c>
      <c r="AS72" s="55" t="n">
        <f aca="false">(1+In_Opex_Esc)^(AS$7-YEAR(In_COD))</f>
        <v>1.13140821289062</v>
      </c>
      <c r="AT72" s="55" t="n">
        <f aca="false">(1+In_Opex_Esc)^(AT$7-YEAR(In_COD))</f>
        <v>1.13140821289062</v>
      </c>
      <c r="AU72" s="55" t="n">
        <f aca="false">(1+In_Opex_Esc)^(AU$7-YEAR(In_COD))</f>
        <v>1.15969341821289</v>
      </c>
      <c r="AV72" s="55" t="n">
        <f aca="false">(1+In_Opex_Esc)^(AV$7-YEAR(In_COD))</f>
        <v>1.15969341821289</v>
      </c>
      <c r="AW72" s="55" t="n">
        <f aca="false">(1+In_Opex_Esc)^(AW$7-YEAR(In_COD))</f>
        <v>1.15969341821289</v>
      </c>
      <c r="AX72" s="55" t="n">
        <f aca="false">(1+In_Opex_Esc)^(AX$7-YEAR(In_COD))</f>
        <v>1.15969341821289</v>
      </c>
      <c r="AY72" s="55" t="n">
        <f aca="false">(1+In_Opex_Esc)^(AY$7-YEAR(In_COD))</f>
        <v>1.18868575366821</v>
      </c>
      <c r="AZ72" s="55" t="n">
        <f aca="false">(1+In_Opex_Esc)^(AZ$7-YEAR(In_COD))</f>
        <v>1.18868575366821</v>
      </c>
      <c r="BA72" s="55" t="n">
        <f aca="false">(1+In_Opex_Esc)^(BA$7-YEAR(In_COD))</f>
        <v>1.18868575366821</v>
      </c>
      <c r="BB72" s="55" t="n">
        <f aca="false">(1+In_Opex_Esc)^(BB$7-YEAR(In_COD))</f>
        <v>1.18868575366821</v>
      </c>
      <c r="BC72" s="55" t="n">
        <f aca="false">(1+In_Opex_Esc)^(BC$7-YEAR(In_COD))</f>
        <v>1.21840289750992</v>
      </c>
      <c r="BD72" s="55" t="n">
        <f aca="false">(1+In_Opex_Esc)^(BD$7-YEAR(In_COD))</f>
        <v>1.21840289750992</v>
      </c>
      <c r="BE72" s="55" t="n">
        <f aca="false">(1+In_Opex_Esc)^(BE$7-YEAR(In_COD))</f>
        <v>1.21840289750992</v>
      </c>
      <c r="BF72" s="55" t="n">
        <f aca="false">(1+In_Opex_Esc)^(BF$7-YEAR(In_COD))</f>
        <v>1.21840289750992</v>
      </c>
      <c r="BG72" s="55" t="n">
        <f aca="false">(1+In_Opex_Esc)^(BG$7-YEAR(In_COD))</f>
        <v>1.24886296994767</v>
      </c>
      <c r="BH72" s="55" t="n">
        <f aca="false">(1+In_Opex_Esc)^(BH$7-YEAR(In_COD))</f>
        <v>1.24886296994767</v>
      </c>
      <c r="BI72" s="55" t="n">
        <f aca="false">(1+In_Opex_Esc)^(BI$7-YEAR(In_COD))</f>
        <v>1.24886296994767</v>
      </c>
      <c r="BJ72" s="55" t="n">
        <f aca="false">(1+In_Opex_Esc)^(BJ$7-YEAR(In_COD))</f>
        <v>1.24886296994767</v>
      </c>
      <c r="BK72" s="55" t="n">
        <f aca="false">(1+In_Opex_Esc)^(BK$7-YEAR(In_COD))</f>
        <v>1.28008454419636</v>
      </c>
      <c r="BL72" s="55" t="n">
        <f aca="false">(1+In_Opex_Esc)^(BL$7-YEAR(In_COD))</f>
        <v>1.28008454419636</v>
      </c>
      <c r="BM72" s="55" t="n">
        <f aca="false">(1+In_Opex_Esc)^(BM$7-YEAR(In_COD))</f>
        <v>1.28008454419636</v>
      </c>
      <c r="BN72" s="55" t="n">
        <f aca="false">(1+In_Opex_Esc)^(BN$7-YEAR(In_COD))</f>
        <v>1.28008454419636</v>
      </c>
      <c r="BO72" s="55" t="n">
        <f aca="false">(1+In_Opex_Esc)^(BO$7-YEAR(In_COD))</f>
        <v>1.31208665780127</v>
      </c>
      <c r="BP72" s="55" t="n">
        <f aca="false">(1+In_Opex_Esc)^(BP$7-YEAR(In_COD))</f>
        <v>1.31208665780127</v>
      </c>
      <c r="BQ72" s="55" t="n">
        <f aca="false">(1+In_Opex_Esc)^(BQ$7-YEAR(In_COD))</f>
        <v>1.31208665780127</v>
      </c>
      <c r="BR72" s="55" t="n">
        <f aca="false">(1+In_Opex_Esc)^(BR$7-YEAR(In_COD))</f>
        <v>1.31208665780127</v>
      </c>
      <c r="BS72" s="55" t="n">
        <f aca="false">(1+In_Opex_Esc)^(BS$7-YEAR(In_COD))</f>
        <v>1.3448888242463</v>
      </c>
      <c r="BT72" s="55" t="n">
        <f aca="false">(1+In_Opex_Esc)^(BT$7-YEAR(In_COD))</f>
        <v>1.3448888242463</v>
      </c>
      <c r="BU72" s="55" t="n">
        <f aca="false">(1+In_Opex_Esc)^(BU$7-YEAR(In_COD))</f>
        <v>1.3448888242463</v>
      </c>
      <c r="BV72" s="55" t="n">
        <f aca="false">(1+In_Opex_Esc)^(BV$7-YEAR(In_COD))</f>
        <v>1.3448888242463</v>
      </c>
      <c r="BW72" s="55" t="n">
        <f aca="false">(1+In_Opex_Esc)^(BW$7-YEAR(In_COD))</f>
        <v>1.37851104485245</v>
      </c>
      <c r="BX72" s="55" t="n">
        <f aca="false">(1+In_Opex_Esc)^(BX$7-YEAR(In_COD))</f>
        <v>1.37851104485245</v>
      </c>
      <c r="BY72" s="55" t="n">
        <f aca="false">(1+In_Opex_Esc)^(BY$7-YEAR(In_COD))</f>
        <v>1.37851104485245</v>
      </c>
      <c r="BZ72" s="55" t="n">
        <f aca="false">(1+In_Opex_Esc)^(BZ$7-YEAR(In_COD))</f>
        <v>1.37851104485245</v>
      </c>
      <c r="CA72" s="55" t="n">
        <f aca="false">(1+In_Opex_Esc)^(CA$7-YEAR(In_COD))</f>
        <v>1.41297382097377</v>
      </c>
      <c r="CB72" s="55" t="n">
        <f aca="false">(1+In_Opex_Esc)^(CB$7-YEAR(In_COD))</f>
        <v>1.41297382097377</v>
      </c>
      <c r="CC72" s="55" t="n">
        <f aca="false">(1+In_Opex_Esc)^(CC$7-YEAR(In_COD))</f>
        <v>1.41297382097377</v>
      </c>
      <c r="CD72" s="55" t="n">
        <f aca="false">(1+In_Opex_Esc)^(CD$7-YEAR(In_COD))</f>
        <v>1.41297382097377</v>
      </c>
      <c r="CE72" s="55" t="n">
        <f aca="false">(1+In_Opex_Esc)^(CE$7-YEAR(In_COD))</f>
        <v>1.44829816649811</v>
      </c>
      <c r="CF72" s="55" t="n">
        <f aca="false">(1+In_Opex_Esc)^(CF$7-YEAR(In_COD))</f>
        <v>1.44829816649811</v>
      </c>
      <c r="CG72" s="55" t="n">
        <f aca="false">(1+In_Opex_Esc)^(CG$7-YEAR(In_COD))</f>
        <v>1.44829816649811</v>
      </c>
      <c r="CH72" s="55" t="n">
        <f aca="false">(1+In_Opex_Esc)^(CH$7-YEAR(In_COD))</f>
        <v>1.44829816649811</v>
      </c>
      <c r="CI72" s="55" t="n">
        <f aca="false">(1+In_Opex_Esc)^(CI$7-YEAR(In_COD))</f>
        <v>1.48450562066056</v>
      </c>
      <c r="CJ72" s="55" t="n">
        <f aca="false">(1+In_Opex_Esc)^(CJ$7-YEAR(In_COD))</f>
        <v>1.48450562066056</v>
      </c>
      <c r="CK72" s="55" t="n">
        <f aca="false">(1+In_Opex_Esc)^(CK$7-YEAR(In_COD))</f>
        <v>1.48450562066056</v>
      </c>
      <c r="CL72" s="55" t="n">
        <f aca="false">(1+In_Opex_Esc)^(CL$7-YEAR(In_COD))</f>
        <v>1.48450562066056</v>
      </c>
      <c r="CM72" s="55" t="n">
        <f aca="false">(1+In_Opex_Esc)^(CM$7-YEAR(In_COD))</f>
        <v>1.52161826117708</v>
      </c>
      <c r="CN72" s="55" t="n">
        <f aca="false">(1+In_Opex_Esc)^(CN$7-YEAR(In_COD))</f>
        <v>1.52161826117708</v>
      </c>
      <c r="CO72" s="55" t="n">
        <f aca="false">(1+In_Opex_Esc)^(CO$7-YEAR(In_COD))</f>
        <v>1.52161826117708</v>
      </c>
      <c r="CP72" s="55" t="n">
        <f aca="false">(1+In_Opex_Esc)^(CP$7-YEAR(In_COD))</f>
        <v>1.52161826117708</v>
      </c>
      <c r="CQ72" s="55" t="n">
        <f aca="false">(1+In_Opex_Esc)^(CQ$7-YEAR(In_COD))</f>
        <v>1.5596587177065</v>
      </c>
      <c r="CR72" s="55" t="n">
        <f aca="false">(1+In_Opex_Esc)^(CR$7-YEAR(In_COD))</f>
        <v>1.5596587177065</v>
      </c>
      <c r="CS72" s="55" t="n">
        <f aca="false">(1+In_Opex_Esc)^(CS$7-YEAR(In_COD))</f>
        <v>1.5596587177065</v>
      </c>
      <c r="CT72" s="55" t="n">
        <f aca="false">(1+In_Opex_Esc)^(CT$7-YEAR(In_COD))</f>
        <v>1.5596587177065</v>
      </c>
      <c r="CU72" s="55" t="n">
        <f aca="false">(1+In_Opex_Esc)^(CU$7-YEAR(In_COD))</f>
        <v>1.59865018564917</v>
      </c>
      <c r="CV72" s="55" t="n">
        <f aca="false">(1+In_Opex_Esc)^(CV$7-YEAR(In_COD))</f>
        <v>1.59865018564917</v>
      </c>
      <c r="CW72" s="55" t="n">
        <f aca="false">(1+In_Opex_Esc)^(CW$7-YEAR(In_COD))</f>
        <v>1.59865018564917</v>
      </c>
      <c r="CX72" s="55" t="n">
        <f aca="false">(1+In_Opex_Esc)^(CX$7-YEAR(In_COD))</f>
        <v>1.59865018564917</v>
      </c>
      <c r="CY72" s="55" t="n">
        <f aca="false">(1+In_Opex_Esc)^(CY$7-YEAR(In_COD))</f>
        <v>1.63861644029039</v>
      </c>
      <c r="CZ72" s="55" t="n">
        <f aca="false">(1+In_Opex_Esc)^(CZ$7-YEAR(In_COD))</f>
        <v>1.63861644029039</v>
      </c>
      <c r="DA72" s="55" t="n">
        <f aca="false">(1+In_Opex_Esc)^(DA$7-YEAR(In_COD))</f>
        <v>1.63861644029039</v>
      </c>
      <c r="DB72" s="55" t="n">
        <f aca="false">(1+In_Opex_Esc)^(DB$7-YEAR(In_COD))</f>
        <v>1.63861644029039</v>
      </c>
      <c r="DC72" s="55" t="n">
        <f aca="false">(1+In_Opex_Esc)^(DC$7-YEAR(In_COD))</f>
        <v>1.67958185129765</v>
      </c>
      <c r="DD72" s="55" t="n">
        <f aca="false">(1+In_Opex_Esc)^(DD$7-YEAR(In_COD))</f>
        <v>1.67958185129765</v>
      </c>
      <c r="DE72" s="55" t="n">
        <f aca="false">(1+In_Opex_Esc)^(DE$7-YEAR(In_COD))</f>
        <v>1.67958185129765</v>
      </c>
      <c r="DF72" s="55" t="n">
        <f aca="false">(1+In_Opex_Esc)^(DF$7-YEAR(In_COD))</f>
        <v>1.67958185129765</v>
      </c>
      <c r="DG72" s="55" t="n">
        <f aca="false">(1+In_Opex_Esc)^(DG$7-YEAR(In_COD))</f>
        <v>1.7215713975801</v>
      </c>
      <c r="DH72" s="55" t="n">
        <f aca="false">(1+In_Opex_Esc)^(DH$7-YEAR(In_COD))</f>
        <v>1.7215713975801</v>
      </c>
      <c r="DI72" s="55" t="n">
        <f aca="false">(1+In_Opex_Esc)^(DI$7-YEAR(In_COD))</f>
        <v>1.7215713975801</v>
      </c>
      <c r="DJ72" s="55" t="n">
        <f aca="false">(1+In_Opex_Esc)^(DJ$7-YEAR(In_COD))</f>
        <v>1.7215713975801</v>
      </c>
      <c r="DK72" s="55" t="n">
        <f aca="false">(1+In_Opex_Esc)^(DK$7-YEAR(In_COD))</f>
        <v>1.7646106825196</v>
      </c>
      <c r="DL72" s="55" t="n">
        <f aca="false">(1+In_Opex_Esc)^(DL$7-YEAR(In_COD))</f>
        <v>1.7646106825196</v>
      </c>
      <c r="DM72" s="55" t="n">
        <f aca="false">(1+In_Opex_Esc)^(DM$7-YEAR(In_COD))</f>
        <v>1.7646106825196</v>
      </c>
      <c r="DN72" s="55" t="n">
        <f aca="false">(1+In_Opex_Esc)^(DN$7-YEAR(In_COD))</f>
        <v>1.7646106825196</v>
      </c>
      <c r="DO72" s="55" t="n">
        <f aca="false">(1+In_Opex_Esc)^(DO$7-YEAR(In_COD))</f>
        <v>1.80872594958259</v>
      </c>
      <c r="DP72" s="55" t="n">
        <f aca="false">(1+In_Opex_Esc)^(DP$7-YEAR(In_COD))</f>
        <v>1.80872594958259</v>
      </c>
      <c r="DQ72" s="55" t="n">
        <f aca="false">(1+In_Opex_Esc)^(DQ$7-YEAR(In_COD))</f>
        <v>1.80872594958259</v>
      </c>
      <c r="DR72" s="55" t="n">
        <f aca="false">(1+In_Opex_Esc)^(DR$7-YEAR(In_COD))</f>
        <v>1.80872594958259</v>
      </c>
      <c r="DS72" s="55" t="n">
        <f aca="false">(1+In_Opex_Esc)^(DS$7-YEAR(In_COD))</f>
        <v>1.85394409832215</v>
      </c>
      <c r="DT72" s="55" t="n">
        <f aca="false">(1+In_Opex_Esc)^(DT$7-YEAR(In_COD))</f>
        <v>1.85394409832215</v>
      </c>
      <c r="DU72" s="55" t="n">
        <f aca="false">(1+In_Opex_Esc)^(DU$7-YEAR(In_COD))</f>
        <v>1.85394409832215</v>
      </c>
      <c r="DV72" s="55" t="n">
        <f aca="false">(1+In_Opex_Esc)^(DV$7-YEAR(In_COD))</f>
        <v>1.85394409832215</v>
      </c>
      <c r="DW72" s="55" t="n">
        <f aca="false">(1+In_Opex_Esc)^(DW$7-YEAR(In_COD))</f>
        <v>1.90029270078021</v>
      </c>
      <c r="DX72" s="55" t="n">
        <f aca="false">(1+In_Opex_Esc)^(DX$7-YEAR(In_COD))</f>
        <v>1.90029270078021</v>
      </c>
      <c r="DY72" s="55" t="n">
        <f aca="false">(1+In_Opex_Esc)^(DY$7-YEAR(In_COD))</f>
        <v>1.90029270078021</v>
      </c>
      <c r="DZ72" s="55" t="n">
        <f aca="false">(1+In_Opex_Esc)^(DZ$7-YEAR(In_COD))</f>
        <v>1.90029270078021</v>
      </c>
      <c r="EA72" s="55" t="n">
        <f aca="false">(1+In_Opex_Esc)^(EA$7-YEAR(In_COD))</f>
        <v>1.94780001829971</v>
      </c>
      <c r="EB72" s="55" t="n">
        <f aca="false">(1+In_Opex_Esc)^(EB$7-YEAR(In_COD))</f>
        <v>1.94780001829971</v>
      </c>
      <c r="EC72" s="55" t="n">
        <f aca="false">(1+In_Opex_Esc)^(EC$7-YEAR(In_COD))</f>
        <v>1.94780001829971</v>
      </c>
      <c r="ED72" s="55" t="n">
        <f aca="false">(1+In_Opex_Esc)^(ED$7-YEAR(In_COD))</f>
        <v>1.94780001829971</v>
      </c>
      <c r="EE72" s="55" t="n">
        <f aca="false">(1+In_Opex_Esc)^(EE$7-YEAR(In_COD))</f>
        <v>1.9964950187572</v>
      </c>
      <c r="EF72" s="55" t="n">
        <f aca="false">(1+In_Opex_Esc)^(EF$7-YEAR(In_COD))</f>
        <v>1.9964950187572</v>
      </c>
      <c r="EG72" s="55" t="n">
        <f aca="false">(1+In_Opex_Esc)^(EG$7-YEAR(In_COD))</f>
        <v>1.9964950187572</v>
      </c>
      <c r="EH72" s="55" t="n">
        <f aca="false">(1+In_Opex_Esc)^(EH$7-YEAR(In_COD))</f>
        <v>1.9964950187572</v>
      </c>
      <c r="EI72" s="55" t="n">
        <f aca="false">(1+In_Opex_Esc)^(EI$7-YEAR(In_COD))</f>
        <v>2.04640739422613</v>
      </c>
      <c r="EJ72" s="55" t="n">
        <f aca="false">(1+In_Opex_Esc)^(EJ$7-YEAR(In_COD))</f>
        <v>2.04640739422613</v>
      </c>
      <c r="EK72" s="55" t="n">
        <f aca="false">(1+In_Opex_Esc)^(EK$7-YEAR(In_COD))</f>
        <v>2.04640739422613</v>
      </c>
      <c r="EL72" s="55" t="n">
        <f aca="false">(1+In_Opex_Esc)^(EL$7-YEAR(In_COD))</f>
        <v>2.04640739422613</v>
      </c>
      <c r="EM72" s="55" t="n">
        <f aca="false">(1+In_Opex_Esc)^(EM$7-YEAR(In_COD))</f>
        <v>2.09756757908179</v>
      </c>
      <c r="EN72" s="55" t="n">
        <f aca="false">(1+In_Opex_Esc)^(EN$7-YEAR(In_COD))</f>
        <v>2.09756757908179</v>
      </c>
      <c r="EO72" s="55" t="n">
        <f aca="false">(1+In_Opex_Esc)^(EO$7-YEAR(In_COD))</f>
        <v>2.09756757908179</v>
      </c>
    </row>
    <row r="73" customFormat="false" ht="15" hidden="false" customHeight="false" outlineLevel="0" collapsed="false">
      <c r="C73" s="0" t="s">
        <v>456</v>
      </c>
      <c r="D73" s="11" t="s">
        <v>24</v>
      </c>
      <c r="J73" s="32" t="n">
        <f aca="false">In_PPA_Price*(1+In_PPA_Esc)^(J$7-YEAR(In_COD))</f>
        <v>86.4882310034535</v>
      </c>
      <c r="K73" s="32" t="n">
        <f aca="false">In_PPA_Price*(1+In_PPA_Esc)^(K$7-YEAR(In_COD))</f>
        <v>87.353113313488</v>
      </c>
      <c r="L73" s="32" t="n">
        <f aca="false">In_PPA_Price*(1+In_PPA_Esc)^(L$7-YEAR(In_COD))</f>
        <v>87.353113313488</v>
      </c>
      <c r="M73" s="32" t="n">
        <f aca="false">In_PPA_Price*(1+In_PPA_Esc)^(M$7-YEAR(In_COD))</f>
        <v>87.353113313488</v>
      </c>
      <c r="N73" s="32" t="n">
        <f aca="false">In_PPA_Price*(1+In_PPA_Esc)^(N$7-YEAR(In_COD))</f>
        <v>87.353113313488</v>
      </c>
      <c r="O73" s="32" t="n">
        <f aca="false">In_PPA_Price*(1+In_PPA_Esc)^(O$7-YEAR(In_COD))</f>
        <v>88.2266444466229</v>
      </c>
      <c r="P73" s="32" t="n">
        <f aca="false">In_PPA_Price*(1+In_PPA_Esc)^(P$7-YEAR(In_COD))</f>
        <v>88.2266444466229</v>
      </c>
      <c r="Q73" s="32" t="n">
        <f aca="false">In_PPA_Price*(1+In_PPA_Esc)^(Q$7-YEAR(In_COD))</f>
        <v>88.2266444466229</v>
      </c>
      <c r="R73" s="32" t="n">
        <f aca="false">In_PPA_Price*(1+In_PPA_Esc)^(R$7-YEAR(In_COD))</f>
        <v>88.2266444466229</v>
      </c>
      <c r="S73" s="32" t="n">
        <f aca="false">In_PPA_Price*(1+In_PPA_Esc)^(S$7-YEAR(In_COD))</f>
        <v>89.1089108910891</v>
      </c>
      <c r="T73" s="32" t="n">
        <f aca="false">In_PPA_Price*(1+In_PPA_Esc)^(T$7-YEAR(In_COD))</f>
        <v>89.1089108910891</v>
      </c>
      <c r="U73" s="32" t="n">
        <f aca="false">In_PPA_Price*(1+In_PPA_Esc)^(U$7-YEAR(In_COD))</f>
        <v>89.1089108910891</v>
      </c>
      <c r="V73" s="32" t="n">
        <f aca="false">In_PPA_Price*(1+In_PPA_Esc)^(V$7-YEAR(In_COD))</f>
        <v>89.1089108910891</v>
      </c>
      <c r="W73" s="32" t="n">
        <f aca="false">In_PPA_Price*(1+In_PPA_Esc)^(W$7-YEAR(In_COD))</f>
        <v>90</v>
      </c>
      <c r="X73" s="32" t="n">
        <f aca="false">In_PPA_Price*(1+In_PPA_Esc)^(X$7-YEAR(In_COD))</f>
        <v>90</v>
      </c>
      <c r="Y73" s="32" t="n">
        <f aca="false">In_PPA_Price*(1+In_PPA_Esc)^(Y$7-YEAR(In_COD))</f>
        <v>90</v>
      </c>
      <c r="Z73" s="32" t="n">
        <f aca="false">In_PPA_Price*(1+In_PPA_Esc)^(Z$7-YEAR(In_COD))</f>
        <v>90</v>
      </c>
      <c r="AA73" s="32" t="n">
        <f aca="false">In_PPA_Price*(1+In_PPA_Esc)^(AA$7-YEAR(In_COD))</f>
        <v>90.9</v>
      </c>
      <c r="AB73" s="32" t="n">
        <f aca="false">In_PPA_Price*(1+In_PPA_Esc)^(AB$7-YEAR(In_COD))</f>
        <v>90.9</v>
      </c>
      <c r="AC73" s="32" t="n">
        <f aca="false">In_PPA_Price*(1+In_PPA_Esc)^(AC$7-YEAR(In_COD))</f>
        <v>90.9</v>
      </c>
      <c r="AD73" s="32" t="n">
        <f aca="false">In_PPA_Price*(1+In_PPA_Esc)^(AD$7-YEAR(In_COD))</f>
        <v>90.9</v>
      </c>
      <c r="AE73" s="32" t="n">
        <f aca="false">In_PPA_Price*(1+In_PPA_Esc)^(AE$7-YEAR(In_COD))</f>
        <v>91.809</v>
      </c>
      <c r="AF73" s="32" t="n">
        <f aca="false">In_PPA_Price*(1+In_PPA_Esc)^(AF$7-YEAR(In_COD))</f>
        <v>91.809</v>
      </c>
      <c r="AG73" s="32" t="n">
        <f aca="false">In_PPA_Price*(1+In_PPA_Esc)^(AG$7-YEAR(In_COD))</f>
        <v>91.809</v>
      </c>
      <c r="AH73" s="32" t="n">
        <f aca="false">In_PPA_Price*(1+In_PPA_Esc)^(AH$7-YEAR(In_COD))</f>
        <v>91.809</v>
      </c>
      <c r="AI73" s="32" t="n">
        <f aca="false">In_PPA_Price*(1+In_PPA_Esc)^(AI$7-YEAR(In_COD))</f>
        <v>92.72709</v>
      </c>
      <c r="AJ73" s="32" t="n">
        <f aca="false">In_PPA_Price*(1+In_PPA_Esc)^(AJ$7-YEAR(In_COD))</f>
        <v>92.72709</v>
      </c>
      <c r="AK73" s="32" t="n">
        <f aca="false">In_PPA_Price*(1+In_PPA_Esc)^(AK$7-YEAR(In_COD))</f>
        <v>92.72709</v>
      </c>
      <c r="AL73" s="32" t="n">
        <f aca="false">In_PPA_Price*(1+In_PPA_Esc)^(AL$7-YEAR(In_COD))</f>
        <v>92.72709</v>
      </c>
      <c r="AM73" s="32" t="n">
        <f aca="false">In_PPA_Price*(1+In_PPA_Esc)^(AM$7-YEAR(In_COD))</f>
        <v>93.6543609</v>
      </c>
      <c r="AN73" s="32" t="n">
        <f aca="false">In_PPA_Price*(1+In_PPA_Esc)^(AN$7-YEAR(In_COD))</f>
        <v>93.6543609</v>
      </c>
      <c r="AO73" s="32" t="n">
        <f aca="false">In_PPA_Price*(1+In_PPA_Esc)^(AO$7-YEAR(In_COD))</f>
        <v>93.6543609</v>
      </c>
      <c r="AP73" s="32" t="n">
        <f aca="false">In_PPA_Price*(1+In_PPA_Esc)^(AP$7-YEAR(In_COD))</f>
        <v>93.6543609</v>
      </c>
      <c r="AQ73" s="32" t="n">
        <f aca="false">In_PPA_Price*(1+In_PPA_Esc)^(AQ$7-YEAR(In_COD))</f>
        <v>94.590904509</v>
      </c>
      <c r="AR73" s="32" t="n">
        <f aca="false">In_PPA_Price*(1+In_PPA_Esc)^(AR$7-YEAR(In_COD))</f>
        <v>94.590904509</v>
      </c>
      <c r="AS73" s="32" t="n">
        <f aca="false">In_PPA_Price*(1+In_PPA_Esc)^(AS$7-YEAR(In_COD))</f>
        <v>94.590904509</v>
      </c>
      <c r="AT73" s="32" t="n">
        <f aca="false">In_PPA_Price*(1+In_PPA_Esc)^(AT$7-YEAR(In_COD))</f>
        <v>94.590904509</v>
      </c>
      <c r="AU73" s="32" t="n">
        <f aca="false">In_PPA_Price*(1+In_PPA_Esc)^(AU$7-YEAR(In_COD))</f>
        <v>95.53681355409</v>
      </c>
      <c r="AV73" s="32" t="n">
        <f aca="false">In_PPA_Price*(1+In_PPA_Esc)^(AV$7-YEAR(In_COD))</f>
        <v>95.53681355409</v>
      </c>
      <c r="AW73" s="32" t="n">
        <f aca="false">In_PPA_Price*(1+In_PPA_Esc)^(AW$7-YEAR(In_COD))</f>
        <v>95.53681355409</v>
      </c>
      <c r="AX73" s="32" t="n">
        <f aca="false">In_PPA_Price*(1+In_PPA_Esc)^(AX$7-YEAR(In_COD))</f>
        <v>95.53681355409</v>
      </c>
      <c r="AY73" s="32" t="n">
        <f aca="false">In_PPA_Price*(1+In_PPA_Esc)^(AY$7-YEAR(In_COD))</f>
        <v>96.4921816896309</v>
      </c>
      <c r="AZ73" s="32" t="n">
        <f aca="false">In_PPA_Price*(1+In_PPA_Esc)^(AZ$7-YEAR(In_COD))</f>
        <v>96.4921816896309</v>
      </c>
      <c r="BA73" s="32" t="n">
        <f aca="false">In_PPA_Price*(1+In_PPA_Esc)^(BA$7-YEAR(In_COD))</f>
        <v>96.4921816896309</v>
      </c>
      <c r="BB73" s="32" t="n">
        <f aca="false">In_PPA_Price*(1+In_PPA_Esc)^(BB$7-YEAR(In_COD))</f>
        <v>96.4921816896309</v>
      </c>
      <c r="BC73" s="32" t="n">
        <f aca="false">In_PPA_Price*(1+In_PPA_Esc)^(BC$7-YEAR(In_COD))</f>
        <v>97.4571035065272</v>
      </c>
      <c r="BD73" s="32" t="n">
        <f aca="false">In_PPA_Price*(1+In_PPA_Esc)^(BD$7-YEAR(In_COD))</f>
        <v>97.4571035065272</v>
      </c>
      <c r="BE73" s="32" t="n">
        <f aca="false">In_PPA_Price*(1+In_PPA_Esc)^(BE$7-YEAR(In_COD))</f>
        <v>97.4571035065272</v>
      </c>
      <c r="BF73" s="32" t="n">
        <f aca="false">In_PPA_Price*(1+In_PPA_Esc)^(BF$7-YEAR(In_COD))</f>
        <v>97.4571035065272</v>
      </c>
      <c r="BG73" s="32" t="n">
        <f aca="false">In_PPA_Price*(1+In_PPA_Esc)^(BG$7-YEAR(In_COD))</f>
        <v>98.4316745415925</v>
      </c>
      <c r="BH73" s="32" t="n">
        <f aca="false">In_PPA_Price*(1+In_PPA_Esc)^(BH$7-YEAR(In_COD))</f>
        <v>98.4316745415925</v>
      </c>
      <c r="BI73" s="32" t="n">
        <f aca="false">In_PPA_Price*(1+In_PPA_Esc)^(BI$7-YEAR(In_COD))</f>
        <v>98.4316745415925</v>
      </c>
      <c r="BJ73" s="32" t="n">
        <f aca="false">In_PPA_Price*(1+In_PPA_Esc)^(BJ$7-YEAR(In_COD))</f>
        <v>98.4316745415925</v>
      </c>
      <c r="BK73" s="32" t="n">
        <f aca="false">In_PPA_Price*(1+In_PPA_Esc)^(BK$7-YEAR(In_COD))</f>
        <v>99.4159912870084</v>
      </c>
      <c r="BL73" s="32" t="n">
        <f aca="false">In_PPA_Price*(1+In_PPA_Esc)^(BL$7-YEAR(In_COD))</f>
        <v>99.4159912870084</v>
      </c>
      <c r="BM73" s="32" t="n">
        <f aca="false">In_PPA_Price*(1+In_PPA_Esc)^(BM$7-YEAR(In_COD))</f>
        <v>99.4159912870084</v>
      </c>
      <c r="BN73" s="32" t="n">
        <f aca="false">In_PPA_Price*(1+In_PPA_Esc)^(BN$7-YEAR(In_COD))</f>
        <v>99.4159912870084</v>
      </c>
      <c r="BO73" s="32" t="n">
        <f aca="false">In_PPA_Price*(1+In_PPA_Esc)^(BO$7-YEAR(In_COD))</f>
        <v>100.410151199878</v>
      </c>
      <c r="BP73" s="32" t="n">
        <f aca="false">In_PPA_Price*(1+In_PPA_Esc)^(BP$7-YEAR(In_COD))</f>
        <v>100.410151199878</v>
      </c>
      <c r="BQ73" s="32" t="n">
        <f aca="false">In_PPA_Price*(1+In_PPA_Esc)^(BQ$7-YEAR(In_COD))</f>
        <v>100.410151199878</v>
      </c>
      <c r="BR73" s="32" t="n">
        <f aca="false">In_PPA_Price*(1+In_PPA_Esc)^(BR$7-YEAR(In_COD))</f>
        <v>100.410151199878</v>
      </c>
      <c r="BS73" s="32" t="n">
        <f aca="false">In_PPA_Price*(1+In_PPA_Esc)^(BS$7-YEAR(In_COD))</f>
        <v>101.414252711877</v>
      </c>
      <c r="BT73" s="32" t="n">
        <f aca="false">In_PPA_Price*(1+In_PPA_Esc)^(BT$7-YEAR(In_COD))</f>
        <v>101.414252711877</v>
      </c>
      <c r="BU73" s="32" t="n">
        <f aca="false">In_PPA_Price*(1+In_PPA_Esc)^(BU$7-YEAR(In_COD))</f>
        <v>101.414252711877</v>
      </c>
      <c r="BV73" s="32" t="n">
        <f aca="false">In_PPA_Price*(1+In_PPA_Esc)^(BV$7-YEAR(In_COD))</f>
        <v>101.414252711877</v>
      </c>
      <c r="BW73" s="32" t="n">
        <f aca="false">In_PPA_Price*(1+In_PPA_Esc)^(BW$7-YEAR(In_COD))</f>
        <v>102.428395238996</v>
      </c>
      <c r="BX73" s="32" t="n">
        <f aca="false">In_PPA_Price*(1+In_PPA_Esc)^(BX$7-YEAR(In_COD))</f>
        <v>102.428395238996</v>
      </c>
      <c r="BY73" s="32" t="n">
        <f aca="false">In_PPA_Price*(1+In_PPA_Esc)^(BY$7-YEAR(In_COD))</f>
        <v>102.428395238996</v>
      </c>
      <c r="BZ73" s="32" t="n">
        <f aca="false">In_PPA_Price*(1+In_PPA_Esc)^(BZ$7-YEAR(In_COD))</f>
        <v>102.428395238996</v>
      </c>
      <c r="CA73" s="32" t="n">
        <f aca="false">In_PPA_Price*(1+In_PPA_Esc)^(CA$7-YEAR(In_COD))</f>
        <v>103.452679191386</v>
      </c>
      <c r="CB73" s="32" t="n">
        <f aca="false">In_PPA_Price*(1+In_PPA_Esc)^(CB$7-YEAR(In_COD))</f>
        <v>103.452679191386</v>
      </c>
      <c r="CC73" s="32" t="n">
        <f aca="false">In_PPA_Price*(1+In_PPA_Esc)^(CC$7-YEAR(In_COD))</f>
        <v>103.452679191386</v>
      </c>
      <c r="CD73" s="32" t="n">
        <f aca="false">In_PPA_Price*(1+In_PPA_Esc)^(CD$7-YEAR(In_COD))</f>
        <v>103.452679191386</v>
      </c>
      <c r="CE73" s="32" t="n">
        <f aca="false">In_PPA_Price*(1+In_PPA_Esc)^(CE$7-YEAR(In_COD))</f>
        <v>104.4872059833</v>
      </c>
      <c r="CF73" s="32" t="n">
        <f aca="false">In_PPA_Price*(1+In_PPA_Esc)^(CF$7-YEAR(In_COD))</f>
        <v>104.4872059833</v>
      </c>
      <c r="CG73" s="32" t="n">
        <f aca="false">In_PPA_Price*(1+In_PPA_Esc)^(CG$7-YEAR(In_COD))</f>
        <v>104.4872059833</v>
      </c>
      <c r="CH73" s="32" t="n">
        <f aca="false">In_PPA_Price*(1+In_PPA_Esc)^(CH$7-YEAR(In_COD))</f>
        <v>104.4872059833</v>
      </c>
      <c r="CI73" s="32" t="n">
        <f aca="false">In_PPA_Price*(1+In_PPA_Esc)^(CI$7-YEAR(In_COD))</f>
        <v>105.532078043133</v>
      </c>
      <c r="CJ73" s="32" t="n">
        <f aca="false">In_PPA_Price*(1+In_PPA_Esc)^(CJ$7-YEAR(In_COD))</f>
        <v>105.532078043133</v>
      </c>
      <c r="CK73" s="32" t="n">
        <f aca="false">In_PPA_Price*(1+In_PPA_Esc)^(CK$7-YEAR(In_COD))</f>
        <v>105.532078043133</v>
      </c>
      <c r="CL73" s="32" t="n">
        <f aca="false">In_PPA_Price*(1+In_PPA_Esc)^(CL$7-YEAR(In_COD))</f>
        <v>105.532078043133</v>
      </c>
      <c r="CM73" s="32" t="n">
        <f aca="false">In_PPA_Price*(1+In_PPA_Esc)^(CM$7-YEAR(In_COD))</f>
        <v>106.587398823564</v>
      </c>
      <c r="CN73" s="32" t="n">
        <f aca="false">In_PPA_Price*(1+In_PPA_Esc)^(CN$7-YEAR(In_COD))</f>
        <v>106.587398823564</v>
      </c>
      <c r="CO73" s="32" t="n">
        <f aca="false">In_PPA_Price*(1+In_PPA_Esc)^(CO$7-YEAR(In_COD))</f>
        <v>106.587398823564</v>
      </c>
      <c r="CP73" s="32" t="n">
        <f aca="false">In_PPA_Price*(1+In_PPA_Esc)^(CP$7-YEAR(In_COD))</f>
        <v>106.587398823564</v>
      </c>
      <c r="CQ73" s="32" t="n">
        <f aca="false">In_PPA_Price*(1+In_PPA_Esc)^(CQ$7-YEAR(In_COD))</f>
        <v>107.6532728118</v>
      </c>
      <c r="CR73" s="32" t="n">
        <f aca="false">In_PPA_Price*(1+In_PPA_Esc)^(CR$7-YEAR(In_COD))</f>
        <v>107.6532728118</v>
      </c>
      <c r="CS73" s="32" t="n">
        <f aca="false">In_PPA_Price*(1+In_PPA_Esc)^(CS$7-YEAR(In_COD))</f>
        <v>107.6532728118</v>
      </c>
      <c r="CT73" s="32" t="n">
        <f aca="false">In_PPA_Price*(1+In_PPA_Esc)^(CT$7-YEAR(In_COD))</f>
        <v>107.6532728118</v>
      </c>
      <c r="CU73" s="32" t="n">
        <f aca="false">In_PPA_Price*(1+In_PPA_Esc)^(CU$7-YEAR(In_COD))</f>
        <v>108.729805539918</v>
      </c>
      <c r="CV73" s="32" t="n">
        <f aca="false">In_PPA_Price*(1+In_PPA_Esc)^(CV$7-YEAR(In_COD))</f>
        <v>108.729805539918</v>
      </c>
      <c r="CW73" s="32" t="n">
        <f aca="false">In_PPA_Price*(1+In_PPA_Esc)^(CW$7-YEAR(In_COD))</f>
        <v>108.729805539918</v>
      </c>
      <c r="CX73" s="32" t="n">
        <f aca="false">In_PPA_Price*(1+In_PPA_Esc)^(CX$7-YEAR(In_COD))</f>
        <v>108.729805539918</v>
      </c>
      <c r="CY73" s="32" t="n">
        <f aca="false">In_PPA_Price*(1+In_PPA_Esc)^(CY$7-YEAR(In_COD))</f>
        <v>109.817103595317</v>
      </c>
      <c r="CZ73" s="32" t="n">
        <f aca="false">In_PPA_Price*(1+In_PPA_Esc)^(CZ$7-YEAR(In_COD))</f>
        <v>109.817103595317</v>
      </c>
      <c r="DA73" s="32" t="n">
        <f aca="false">In_PPA_Price*(1+In_PPA_Esc)^(DA$7-YEAR(In_COD))</f>
        <v>109.817103595317</v>
      </c>
      <c r="DB73" s="32" t="n">
        <f aca="false">In_PPA_Price*(1+In_PPA_Esc)^(DB$7-YEAR(In_COD))</f>
        <v>109.817103595317</v>
      </c>
      <c r="DC73" s="32" t="n">
        <f aca="false">In_PPA_Price*(1+In_PPA_Esc)^(DC$7-YEAR(In_COD))</f>
        <v>110.91527463127</v>
      </c>
      <c r="DD73" s="32" t="n">
        <f aca="false">In_PPA_Price*(1+In_PPA_Esc)^(DD$7-YEAR(In_COD))</f>
        <v>110.91527463127</v>
      </c>
      <c r="DE73" s="32" t="n">
        <f aca="false">In_PPA_Price*(1+In_PPA_Esc)^(DE$7-YEAR(In_COD))</f>
        <v>110.91527463127</v>
      </c>
      <c r="DF73" s="32" t="n">
        <f aca="false">In_PPA_Price*(1+In_PPA_Esc)^(DF$7-YEAR(In_COD))</f>
        <v>110.91527463127</v>
      </c>
      <c r="DG73" s="32" t="n">
        <f aca="false">In_PPA_Price*(1+In_PPA_Esc)^(DG$7-YEAR(In_COD))</f>
        <v>112.024427377583</v>
      </c>
      <c r="DH73" s="32" t="n">
        <f aca="false">In_PPA_Price*(1+In_PPA_Esc)^(DH$7-YEAR(In_COD))</f>
        <v>112.024427377583</v>
      </c>
      <c r="DI73" s="32" t="n">
        <f aca="false">In_PPA_Price*(1+In_PPA_Esc)^(DI$7-YEAR(In_COD))</f>
        <v>112.024427377583</v>
      </c>
      <c r="DJ73" s="32" t="n">
        <f aca="false">In_PPA_Price*(1+In_PPA_Esc)^(DJ$7-YEAR(In_COD))</f>
        <v>112.024427377583</v>
      </c>
      <c r="DK73" s="32" t="n">
        <f aca="false">In_PPA_Price*(1+In_PPA_Esc)^(DK$7-YEAR(In_COD))</f>
        <v>113.144671651359</v>
      </c>
      <c r="DL73" s="32" t="n">
        <f aca="false">In_PPA_Price*(1+In_PPA_Esc)^(DL$7-YEAR(In_COD))</f>
        <v>113.144671651359</v>
      </c>
      <c r="DM73" s="32" t="n">
        <f aca="false">In_PPA_Price*(1+In_PPA_Esc)^(DM$7-YEAR(In_COD))</f>
        <v>113.144671651359</v>
      </c>
      <c r="DN73" s="32" t="n">
        <f aca="false">In_PPA_Price*(1+In_PPA_Esc)^(DN$7-YEAR(In_COD))</f>
        <v>113.144671651359</v>
      </c>
      <c r="DO73" s="32" t="n">
        <f aca="false">In_PPA_Price*(1+In_PPA_Esc)^(DO$7-YEAR(In_COD))</f>
        <v>114.276118367872</v>
      </c>
      <c r="DP73" s="32" t="n">
        <f aca="false">In_PPA_Price*(1+In_PPA_Esc)^(DP$7-YEAR(In_COD))</f>
        <v>114.276118367872</v>
      </c>
      <c r="DQ73" s="32" t="n">
        <f aca="false">In_PPA_Price*(1+In_PPA_Esc)^(DQ$7-YEAR(In_COD))</f>
        <v>114.276118367872</v>
      </c>
      <c r="DR73" s="32" t="n">
        <f aca="false">In_PPA_Price*(1+In_PPA_Esc)^(DR$7-YEAR(In_COD))</f>
        <v>114.276118367872</v>
      </c>
      <c r="DS73" s="32" t="n">
        <f aca="false">In_PPA_Price*(1+In_PPA_Esc)^(DS$7-YEAR(In_COD))</f>
        <v>115.418879551551</v>
      </c>
      <c r="DT73" s="32" t="n">
        <f aca="false">In_PPA_Price*(1+In_PPA_Esc)^(DT$7-YEAR(In_COD))</f>
        <v>115.418879551551</v>
      </c>
      <c r="DU73" s="32" t="n">
        <f aca="false">In_PPA_Price*(1+In_PPA_Esc)^(DU$7-YEAR(In_COD))</f>
        <v>115.418879551551</v>
      </c>
      <c r="DV73" s="32" t="n">
        <f aca="false">In_PPA_Price*(1+In_PPA_Esc)^(DV$7-YEAR(In_COD))</f>
        <v>115.418879551551</v>
      </c>
      <c r="DW73" s="32" t="n">
        <f aca="false">In_PPA_Price*(1+In_PPA_Esc)^(DW$7-YEAR(In_COD))</f>
        <v>116.573068347067</v>
      </c>
      <c r="DX73" s="32" t="n">
        <f aca="false">In_PPA_Price*(1+In_PPA_Esc)^(DX$7-YEAR(In_COD))</f>
        <v>116.573068347067</v>
      </c>
      <c r="DY73" s="32" t="n">
        <f aca="false">In_PPA_Price*(1+In_PPA_Esc)^(DY$7-YEAR(In_COD))</f>
        <v>116.573068347067</v>
      </c>
      <c r="DZ73" s="32" t="n">
        <f aca="false">In_PPA_Price*(1+In_PPA_Esc)^(DZ$7-YEAR(In_COD))</f>
        <v>116.573068347067</v>
      </c>
      <c r="EA73" s="32" t="n">
        <f aca="false">In_PPA_Price*(1+In_PPA_Esc)^(EA$7-YEAR(In_COD))</f>
        <v>117.738799030537</v>
      </c>
      <c r="EB73" s="32" t="n">
        <f aca="false">In_PPA_Price*(1+In_PPA_Esc)^(EB$7-YEAR(In_COD))</f>
        <v>117.738799030537</v>
      </c>
      <c r="EC73" s="32" t="n">
        <f aca="false">In_PPA_Price*(1+In_PPA_Esc)^(EC$7-YEAR(In_COD))</f>
        <v>117.738799030537</v>
      </c>
      <c r="ED73" s="32" t="n">
        <f aca="false">In_PPA_Price*(1+In_PPA_Esc)^(ED$7-YEAR(In_COD))</f>
        <v>117.738799030537</v>
      </c>
      <c r="EE73" s="32" t="n">
        <f aca="false">In_PPA_Price*(1+In_PPA_Esc)^(EE$7-YEAR(In_COD))</f>
        <v>118.916187020843</v>
      </c>
      <c r="EF73" s="32" t="n">
        <f aca="false">In_PPA_Price*(1+In_PPA_Esc)^(EF$7-YEAR(In_COD))</f>
        <v>118.916187020843</v>
      </c>
      <c r="EG73" s="32" t="n">
        <f aca="false">In_PPA_Price*(1+In_PPA_Esc)^(EG$7-YEAR(In_COD))</f>
        <v>118.916187020843</v>
      </c>
      <c r="EH73" s="32" t="n">
        <f aca="false">In_PPA_Price*(1+In_PPA_Esc)^(EH$7-YEAR(In_COD))</f>
        <v>118.916187020843</v>
      </c>
      <c r="EI73" s="32" t="n">
        <f aca="false">In_PPA_Price*(1+In_PPA_Esc)^(EI$7-YEAR(In_COD))</f>
        <v>120.105348891051</v>
      </c>
      <c r="EJ73" s="32" t="n">
        <f aca="false">In_PPA_Price*(1+In_PPA_Esc)^(EJ$7-YEAR(In_COD))</f>
        <v>120.105348891051</v>
      </c>
      <c r="EK73" s="32" t="n">
        <f aca="false">In_PPA_Price*(1+In_PPA_Esc)^(EK$7-YEAR(In_COD))</f>
        <v>120.105348891051</v>
      </c>
      <c r="EL73" s="32" t="n">
        <f aca="false">In_PPA_Price*(1+In_PPA_Esc)^(EL$7-YEAR(In_COD))</f>
        <v>120.105348891051</v>
      </c>
      <c r="EM73" s="32" t="n">
        <f aca="false">In_PPA_Price*(1+In_PPA_Esc)^(EM$7-YEAR(In_COD))</f>
        <v>121.306402379962</v>
      </c>
      <c r="EN73" s="32" t="n">
        <f aca="false">In_PPA_Price*(1+In_PPA_Esc)^(EN$7-YEAR(In_COD))</f>
        <v>121.306402379962</v>
      </c>
      <c r="EO73" s="32" t="n">
        <f aca="false">In_PPA_Price*(1+In_PPA_Esc)^(EO$7-YEAR(In_COD))</f>
        <v>121.306402379962</v>
      </c>
    </row>
    <row r="74" customFormat="false" ht="15" hidden="false" customHeight="false" outlineLevel="0" collapsed="false">
      <c r="C74" s="0" t="s">
        <v>457</v>
      </c>
      <c r="D74" s="11" t="s">
        <v>70</v>
      </c>
      <c r="E74" s="48" t="n">
        <f aca="false">SUMIF($J$7:$EO$7,YEAR(In_COD)+1,$J74:$EO74)</f>
        <v>139397.5128</v>
      </c>
      <c r="I74" s="48" t="n">
        <f aca="false">SUM(J74:EO74)</f>
        <v>4010958.36031905</v>
      </c>
      <c r="J74" s="48" t="n">
        <f aca="false">$F25*In_P50_Hours*(1-In_Curtailment)*(1-$E29)*(1-In_Degradation)^(J21-1)*J16*J$6</f>
        <v>0</v>
      </c>
      <c r="K74" s="48" t="n">
        <f aca="false">$F25*In_P50_Hours*(1-In_Curtailment)*(1-$E29)*(1-In_Degradation)^(K21-1)*K16*K$6</f>
        <v>0</v>
      </c>
      <c r="L74" s="48" t="n">
        <f aca="false">$F25*In_P50_Hours*(1-In_Curtailment)*(1-$E29)*(1-In_Degradation)^(L21-1)*L16*L$6</f>
        <v>0</v>
      </c>
      <c r="M74" s="48" t="n">
        <f aca="false">$F25*In_P50_Hours*(1-In_Curtailment)*(1-$E29)*(1-In_Degradation)^(M21-1)*M16*M$6</f>
        <v>0</v>
      </c>
      <c r="N74" s="48" t="n">
        <f aca="false">$F25*In_P50_Hours*(1-In_Curtailment)*(1-$E29)*(1-In_Degradation)^(N21-1)*N16*N$6</f>
        <v>0</v>
      </c>
      <c r="O74" s="48" t="n">
        <f aca="false">$F25*In_P50_Hours*(1-In_Curtailment)*(1-$E29)*(1-In_Degradation)^(O21-1)*O16*O$6</f>
        <v>0</v>
      </c>
      <c r="P74" s="48" t="n">
        <f aca="false">$F25*In_P50_Hours*(1-In_Curtailment)*(1-$E29)*(1-In_Degradation)^(P21-1)*P16*P$6</f>
        <v>0</v>
      </c>
      <c r="Q74" s="48" t="n">
        <f aca="false">$F25*In_P50_Hours*(1-In_Curtailment)*(1-$E29)*(1-In_Degradation)^(Q21-1)*Q16*Q$6</f>
        <v>0</v>
      </c>
      <c r="R74" s="48" t="n">
        <f aca="false">$F25*In_P50_Hours*(1-In_Curtailment)*(1-$E29)*(1-In_Degradation)^(R21-1)*R16*R$6</f>
        <v>0</v>
      </c>
      <c r="S74" s="48" t="n">
        <f aca="false">$F25*In_P50_Hours*(1-In_Curtailment)*(1-$E29)*(1-In_Degradation)^(S21-1)*S16*S$6</f>
        <v>0</v>
      </c>
      <c r="T74" s="48" t="n">
        <f aca="false">$F25*In_P50_Hours*(1-In_Curtailment)*(1-$E29)*(1-In_Degradation)^(T21-1)*T16*T$6</f>
        <v>0</v>
      </c>
      <c r="U74" s="48" t="n">
        <f aca="false">$F25*In_P50_Hours*(1-In_Curtailment)*(1-$E29)*(1-In_Degradation)^(U21-1)*U16*U$6</f>
        <v>0</v>
      </c>
      <c r="V74" s="48" t="n">
        <f aca="false">$F25*In_P50_Hours*(1-In_Curtailment)*(1-$E29)*(1-In_Degradation)^(V21-1)*V16*V$6</f>
        <v>0</v>
      </c>
      <c r="W74" s="48" t="n">
        <f aca="false">$F25*In_P50_Hours*(1-In_Curtailment)*(1-$E29)*(1-In_Degradation)^(W21-1)*W16*W$6</f>
        <v>0</v>
      </c>
      <c r="X74" s="48" t="n">
        <f aca="false">$F25*In_P50_Hours*(1-In_Curtailment)*(1-$E29)*(1-In_Degradation)^(X21-1)*X16*X$6</f>
        <v>0</v>
      </c>
      <c r="Y74" s="48" t="n">
        <f aca="false">$F25*In_P50_Hours*(1-In_Curtailment)*(1-$E29)*(1-In_Degradation)^(Y21-1)*Y16*Y$6</f>
        <v>0</v>
      </c>
      <c r="Z74" s="48" t="n">
        <f aca="false">$F25*In_P50_Hours*(1-In_Curtailment)*(1-$E29)*(1-In_Degradation)^(Z21-1)*Z16*Z$6</f>
        <v>35162.4</v>
      </c>
      <c r="AA74" s="48" t="n">
        <f aca="false">$F25*In_P50_Hours*(1-In_Curtailment)*(1-$E29)*(1-In_Degradation)^(AA21-1)*AA16*AA$6</f>
        <v>34398</v>
      </c>
      <c r="AB74" s="48" t="n">
        <f aca="false">$F25*In_P50_Hours*(1-In_Curtailment)*(1-$E29)*(1-In_Degradation)^(AB21-1)*AB16*AB$6</f>
        <v>34780.2</v>
      </c>
      <c r="AC74" s="48" t="n">
        <f aca="false">$F25*In_P50_Hours*(1-In_Curtailment)*(1-$E29)*(1-In_Degradation)^(AC21-1)*AC16*AC$6</f>
        <v>35162.4</v>
      </c>
      <c r="AD74" s="48" t="n">
        <f aca="false">$F25*In_P50_Hours*(1-In_Curtailment)*(1-$E29)*(1-In_Degradation)^(AD21-1)*AD16*AD$6</f>
        <v>35056.9128</v>
      </c>
      <c r="AE74" s="48" t="n">
        <f aca="false">$F25*In_P50_Hours*(1-In_Curtailment)*(1-$E29)*(1-In_Degradation)^(AE21-1)*AE16*AE$6</f>
        <v>34675.8594</v>
      </c>
      <c r="AF74" s="48" t="n">
        <f aca="false">$F25*In_P50_Hours*(1-In_Curtailment)*(1-$E29)*(1-In_Degradation)^(AF21-1)*AF16*AF$6</f>
        <v>34675.8594</v>
      </c>
      <c r="AG74" s="48" t="n">
        <f aca="false">$F25*In_P50_Hours*(1-In_Curtailment)*(1-$E29)*(1-In_Degradation)^(AG21-1)*AG16*AG$6</f>
        <v>35056.9128</v>
      </c>
      <c r="AH74" s="48" t="n">
        <f aca="false">$F25*In_P50_Hours*(1-In_Curtailment)*(1-$E29)*(1-In_Degradation)^(AH21-1)*AH16*AH$6</f>
        <v>34951.7420616</v>
      </c>
      <c r="AI74" s="48" t="n">
        <f aca="false">$F25*In_P50_Hours*(1-In_Curtailment)*(1-$E29)*(1-In_Degradation)^(AI21-1)*AI16*AI$6</f>
        <v>34191.921582</v>
      </c>
      <c r="AJ74" s="48" t="n">
        <f aca="false">$F25*In_P50_Hours*(1-In_Curtailment)*(1-$E29)*(1-In_Degradation)^(AJ21-1)*AJ16*AJ$6</f>
        <v>34571.8318218</v>
      </c>
      <c r="AK74" s="48" t="n">
        <f aca="false">$F25*In_P50_Hours*(1-In_Curtailment)*(1-$E29)*(1-In_Degradation)^(AK21-1)*AK16*AK$6</f>
        <v>34951.7420616</v>
      </c>
      <c r="AL74" s="48" t="n">
        <f aca="false">$F25*In_P50_Hours*(1-In_Curtailment)*(1-$E29)*(1-In_Degradation)^(AL21-1)*AL16*AL$6</f>
        <v>34846.8868354152</v>
      </c>
      <c r="AM74" s="48" t="n">
        <f aca="false">$F25*In_P50_Hours*(1-In_Curtailment)*(1-$E29)*(1-In_Degradation)^(AM21-1)*AM16*AM$6</f>
        <v>34089.345817254</v>
      </c>
      <c r="AN74" s="48" t="n">
        <f aca="false">$F25*In_P50_Hours*(1-In_Curtailment)*(1-$E29)*(1-In_Degradation)^(AN21-1)*AN16*AN$6</f>
        <v>34468.1163263346</v>
      </c>
      <c r="AO74" s="48" t="n">
        <f aca="false">$F25*In_P50_Hours*(1-In_Curtailment)*(1-$E29)*(1-In_Degradation)^(AO21-1)*AO16*AO$6</f>
        <v>34846.8868354152</v>
      </c>
      <c r="AP74" s="48" t="n">
        <f aca="false">$F25*In_P50_Hours*(1-In_Curtailment)*(1-$E29)*(1-In_Degradation)^(AP21-1)*AP16*AP$6</f>
        <v>34742.346174909</v>
      </c>
      <c r="AQ74" s="48" t="n">
        <f aca="false">$F25*In_P50_Hours*(1-In_Curtailment)*(1-$E29)*(1-In_Degradation)^(AQ21-1)*AQ16*AQ$6</f>
        <v>33987.0777798023</v>
      </c>
      <c r="AR74" s="48" t="n">
        <f aca="false">$F25*In_P50_Hours*(1-In_Curtailment)*(1-$E29)*(1-In_Degradation)^(AR21-1)*AR16*AR$6</f>
        <v>34364.7119773556</v>
      </c>
      <c r="AS74" s="48" t="n">
        <f aca="false">$F25*In_P50_Hours*(1-In_Curtailment)*(1-$E29)*(1-In_Degradation)^(AS21-1)*AS16*AS$6</f>
        <v>34742.346174909</v>
      </c>
      <c r="AT74" s="48" t="n">
        <f aca="false">$F25*In_P50_Hours*(1-In_Curtailment)*(1-$E29)*(1-In_Degradation)^(AT21-1)*AT16*AT$6</f>
        <v>34638.1191363842</v>
      </c>
      <c r="AU74" s="48" t="n">
        <f aca="false">$F25*In_P50_Hours*(1-In_Curtailment)*(1-$E29)*(1-In_Degradation)^(AU21-1)*AU16*AU$6</f>
        <v>34261.6178414235</v>
      </c>
      <c r="AV74" s="48" t="n">
        <f aca="false">$F25*In_P50_Hours*(1-In_Curtailment)*(1-$E29)*(1-In_Degradation)^(AV21-1)*AV16*AV$6</f>
        <v>34261.6178414235</v>
      </c>
      <c r="AW74" s="48" t="n">
        <f aca="false">$F25*In_P50_Hours*(1-In_Curtailment)*(1-$E29)*(1-In_Degradation)^(AW21-1)*AW16*AW$6</f>
        <v>34638.1191363842</v>
      </c>
      <c r="AX74" s="48" t="n">
        <f aca="false">$F25*In_P50_Hours*(1-In_Curtailment)*(1-$E29)*(1-In_Degradation)^(AX21-1)*AX16*AX$6</f>
        <v>34534.2047789751</v>
      </c>
      <c r="AY74" s="48" t="n">
        <f aca="false">$F25*In_P50_Hours*(1-In_Curtailment)*(1-$E29)*(1-In_Degradation)^(AY21-1)*AY16*AY$6</f>
        <v>33783.4611968235</v>
      </c>
      <c r="AZ74" s="48" t="n">
        <f aca="false">$F25*In_P50_Hours*(1-In_Curtailment)*(1-$E29)*(1-In_Degradation)^(AZ21-1)*AZ16*AZ$6</f>
        <v>34158.8329878993</v>
      </c>
      <c r="BA74" s="48" t="n">
        <f aca="false">$F25*In_P50_Hours*(1-In_Curtailment)*(1-$E29)*(1-In_Degradation)^(BA21-1)*BA16*BA$6</f>
        <v>34534.2047789751</v>
      </c>
      <c r="BB74" s="48" t="n">
        <f aca="false">$F25*In_P50_Hours*(1-In_Curtailment)*(1-$E29)*(1-In_Degradation)^(BB21-1)*BB16*BB$6</f>
        <v>34430.6021646382</v>
      </c>
      <c r="BC74" s="48" t="n">
        <f aca="false">$F25*In_P50_Hours*(1-In_Curtailment)*(1-$E29)*(1-In_Degradation)^(BC21-1)*BC16*BC$6</f>
        <v>33682.110813233</v>
      </c>
      <c r="BD74" s="48" t="n">
        <f aca="false">$F25*In_P50_Hours*(1-In_Curtailment)*(1-$E29)*(1-In_Degradation)^(BD21-1)*BD16*BD$6</f>
        <v>34056.3564889356</v>
      </c>
      <c r="BE74" s="48" t="n">
        <f aca="false">$F25*In_P50_Hours*(1-In_Curtailment)*(1-$E29)*(1-In_Degradation)^(BE21-1)*BE16*BE$6</f>
        <v>34430.6021646382</v>
      </c>
      <c r="BF74" s="48" t="n">
        <f aca="false">$F25*In_P50_Hours*(1-In_Curtailment)*(1-$E29)*(1-In_Degradation)^(BF21-1)*BF16*BF$6</f>
        <v>34327.3103581443</v>
      </c>
      <c r="BG74" s="48" t="n">
        <f aca="false">$F25*In_P50_Hours*(1-In_Curtailment)*(1-$E29)*(1-In_Degradation)^(BG21-1)*BG16*BG$6</f>
        <v>33581.0644807933</v>
      </c>
      <c r="BH74" s="48" t="n">
        <f aca="false">$F25*In_P50_Hours*(1-In_Curtailment)*(1-$E29)*(1-In_Degradation)^(BH21-1)*BH16*BH$6</f>
        <v>33954.1874194688</v>
      </c>
      <c r="BI74" s="48" t="n">
        <f aca="false">$F25*In_P50_Hours*(1-In_Curtailment)*(1-$E29)*(1-In_Degradation)^(BI21-1)*BI16*BI$6</f>
        <v>34327.3103581443</v>
      </c>
      <c r="BJ74" s="48" t="n">
        <f aca="false">$F25*In_P50_Hours*(1-In_Curtailment)*(1-$E29)*(1-In_Degradation)^(BJ21-1)*BJ16*BJ$6</f>
        <v>34224.3284270698</v>
      </c>
      <c r="BK74" s="48" t="n">
        <f aca="false">$F25*In_P50_Hours*(1-In_Curtailment)*(1-$E29)*(1-In_Degradation)^(BK21-1)*BK16*BK$6</f>
        <v>33852.3248572104</v>
      </c>
      <c r="BL74" s="48" t="n">
        <f aca="false">$F25*In_P50_Hours*(1-In_Curtailment)*(1-$E29)*(1-In_Degradation)^(BL21-1)*BL16*BL$6</f>
        <v>33852.3248572104</v>
      </c>
      <c r="BM74" s="48" t="n">
        <f aca="false">$F25*In_P50_Hours*(1-In_Curtailment)*(1-$E29)*(1-In_Degradation)^(BM21-1)*BM16*BM$6</f>
        <v>34224.3284270698</v>
      </c>
      <c r="BN74" s="48" t="n">
        <f aca="false">$F25*In_P50_Hours*(1-In_Curtailment)*(1-$E29)*(1-In_Degradation)^(BN21-1)*BN16*BN$6</f>
        <v>34121.6554417886</v>
      </c>
      <c r="BO74" s="48" t="n">
        <f aca="false">$F25*In_P50_Hours*(1-In_Curtailment)*(1-$E29)*(1-In_Degradation)^(BO21-1)*BO16*BO$6</f>
        <v>33379.8803234888</v>
      </c>
      <c r="BP74" s="48" t="n">
        <f aca="false">$F25*In_P50_Hours*(1-In_Curtailment)*(1-$E29)*(1-In_Degradation)^(BP21-1)*BP16*BP$6</f>
        <v>33750.7678826387</v>
      </c>
      <c r="BQ74" s="48" t="n">
        <f aca="false">$F25*In_P50_Hours*(1-In_Curtailment)*(1-$E29)*(1-In_Degradation)^(BQ21-1)*BQ16*BQ$6</f>
        <v>34121.6554417886</v>
      </c>
      <c r="BR74" s="48" t="n">
        <f aca="false">$F25*In_P50_Hours*(1-In_Curtailment)*(1-$E29)*(1-In_Degradation)^(BR21-1)*BR16*BR$6</f>
        <v>34019.2904754632</v>
      </c>
      <c r="BS74" s="48" t="n">
        <f aca="false">$F25*In_P50_Hours*(1-In_Curtailment)*(1-$E29)*(1-In_Degradation)^(BS21-1)*BS16*BS$6</f>
        <v>33279.7406825184</v>
      </c>
      <c r="BT74" s="48" t="n">
        <f aca="false">$F25*In_P50_Hours*(1-In_Curtailment)*(1-$E29)*(1-In_Degradation)^(BT21-1)*BT16*BT$6</f>
        <v>33649.5155789908</v>
      </c>
      <c r="BU74" s="48" t="n">
        <f aca="false">$F25*In_P50_Hours*(1-In_Curtailment)*(1-$E29)*(1-In_Degradation)^(BU21-1)*BU16*BU$6</f>
        <v>34019.2904754632</v>
      </c>
      <c r="BV74" s="48" t="n">
        <f aca="false">$F25*In_P50_Hours*(1-In_Curtailment)*(1-$E29)*(1-In_Degradation)^(BV21-1)*BV16*BV$6</f>
        <v>33917.2326040368</v>
      </c>
      <c r="BW74" s="48" t="n">
        <f aca="false">$F25*In_P50_Hours*(1-In_Curtailment)*(1-$E29)*(1-In_Degradation)^(BW21-1)*BW16*BW$6</f>
        <v>33179.9014604708</v>
      </c>
      <c r="BX74" s="48" t="n">
        <f aca="false">$F25*In_P50_Hours*(1-In_Curtailment)*(1-$E29)*(1-In_Degradation)^(BX21-1)*BX16*BX$6</f>
        <v>33548.5670322538</v>
      </c>
      <c r="BY74" s="48" t="n">
        <f aca="false">$F25*In_P50_Hours*(1-In_Curtailment)*(1-$E29)*(1-In_Degradation)^(BY21-1)*BY16*BY$6</f>
        <v>33917.2326040368</v>
      </c>
      <c r="BZ74" s="48" t="n">
        <f aca="false">$F25*In_P50_Hours*(1-In_Curtailment)*(1-$E29)*(1-In_Degradation)^(BZ21-1)*BZ16*BZ$6</f>
        <v>33815.4809062247</v>
      </c>
      <c r="CA74" s="48" t="n">
        <f aca="false">$F25*In_P50_Hours*(1-In_Curtailment)*(1-$E29)*(1-In_Degradation)^(CA21-1)*CA16*CA$6</f>
        <v>33447.9213311571</v>
      </c>
      <c r="CB74" s="48" t="n">
        <f aca="false">$F25*In_P50_Hours*(1-In_Curtailment)*(1-$E29)*(1-In_Degradation)^(CB21-1)*CB16*CB$6</f>
        <v>33447.9213311571</v>
      </c>
      <c r="CC74" s="48" t="n">
        <f aca="false">$F25*In_P50_Hours*(1-In_Curtailment)*(1-$E29)*(1-In_Degradation)^(CC21-1)*CC16*CC$6</f>
        <v>33815.4809062247</v>
      </c>
      <c r="CD74" s="48" t="n">
        <f aca="false">$F25*In_P50_Hours*(1-In_Curtailment)*(1-$E29)*(1-In_Degradation)^(CD21-1)*CD16*CD$6</f>
        <v>33714.0344635061</v>
      </c>
      <c r="CE74" s="48" t="n">
        <f aca="false">$F25*In_P50_Hours*(1-In_Curtailment)*(1-$E29)*(1-In_Degradation)^(CE21-1)*CE16*CE$6</f>
        <v>32981.1206708211</v>
      </c>
      <c r="CF74" s="48" t="n">
        <f aca="false">$F25*In_P50_Hours*(1-In_Curtailment)*(1-$E29)*(1-In_Degradation)^(CF21-1)*CF16*CF$6</f>
        <v>33347.5775671636</v>
      </c>
      <c r="CG74" s="48" t="n">
        <f aca="false">$F25*In_P50_Hours*(1-In_Curtailment)*(1-$E29)*(1-In_Degradation)^(CG21-1)*CG16*CG$6</f>
        <v>33714.0344635061</v>
      </c>
      <c r="CH74" s="48" t="n">
        <f aca="false">$F25*In_P50_Hours*(1-In_Curtailment)*(1-$E29)*(1-In_Degradation)^(CH21-1)*CH16*CH$6</f>
        <v>33612.8923601155</v>
      </c>
      <c r="CI74" s="48" t="n">
        <f aca="false">$F25*In_P50_Hours*(1-In_Curtailment)*(1-$E29)*(1-In_Degradation)^(CI21-1)*CI16*CI$6</f>
        <v>32882.1773088087</v>
      </c>
      <c r="CJ74" s="48" t="n">
        <f aca="false">$F25*In_P50_Hours*(1-In_Curtailment)*(1-$E29)*(1-In_Degradation)^(CJ21-1)*CJ16*CJ$6</f>
        <v>33247.5348344621</v>
      </c>
      <c r="CK74" s="48" t="n">
        <f aca="false">$F25*In_P50_Hours*(1-In_Curtailment)*(1-$E29)*(1-In_Degradation)^(CK21-1)*CK16*CK$6</f>
        <v>33612.8923601155</v>
      </c>
      <c r="CL74" s="48" t="n">
        <f aca="false">$F25*In_P50_Hours*(1-In_Curtailment)*(1-$E29)*(1-In_Degradation)^(CL21-1)*CL16*CL$6</f>
        <v>33512.0536830352</v>
      </c>
      <c r="CM74" s="48" t="n">
        <f aca="false">$F25*In_P50_Hours*(1-In_Curtailment)*(1-$E29)*(1-In_Degradation)^(CM21-1)*CM16*CM$6</f>
        <v>32783.5307768823</v>
      </c>
      <c r="CN74" s="48" t="n">
        <f aca="false">$F25*In_P50_Hours*(1-In_Curtailment)*(1-$E29)*(1-In_Degradation)^(CN21-1)*CN16*CN$6</f>
        <v>33147.7922299587</v>
      </c>
      <c r="CO74" s="48" t="n">
        <f aca="false">$F25*In_P50_Hours*(1-In_Curtailment)*(1-$E29)*(1-In_Degradation)^(CO21-1)*CO16*CO$6</f>
        <v>33512.0536830352</v>
      </c>
      <c r="CP74" s="48" t="n">
        <f aca="false">$F25*In_P50_Hours*(1-In_Curtailment)*(1-$E29)*(1-In_Degradation)^(CP21-1)*CP16*CP$6</f>
        <v>33411.5175219861</v>
      </c>
      <c r="CQ74" s="48" t="n">
        <f aca="false">$F25*In_P50_Hours*(1-In_Curtailment)*(1-$E29)*(1-In_Degradation)^(CQ21-1)*CQ16*CQ$6</f>
        <v>33048.3488532689</v>
      </c>
      <c r="CR74" s="48" t="n">
        <f aca="false">$F25*In_P50_Hours*(1-In_Curtailment)*(1-$E29)*(1-In_Degradation)^(CR21-1)*CR16*CR$6</f>
        <v>33048.3488532689</v>
      </c>
      <c r="CS74" s="48" t="n">
        <f aca="false">$F25*In_P50_Hours*(1-In_Curtailment)*(1-$E29)*(1-In_Degradation)^(CS21-1)*CS16*CS$6</f>
        <v>33411.5175219861</v>
      </c>
      <c r="CT74" s="48" t="n">
        <f aca="false">$F25*In_P50_Hours*(1-In_Curtailment)*(1-$E29)*(1-In_Degradation)^(CT21-1)*CT16*CT$6</f>
        <v>33311.2829694201</v>
      </c>
      <c r="CU74" s="48" t="n">
        <f aca="false">$F25*In_P50_Hours*(1-In_Curtailment)*(1-$E29)*(1-In_Degradation)^(CU21-1)*CU16*CU$6</f>
        <v>32587.124643998</v>
      </c>
      <c r="CV74" s="48" t="n">
        <f aca="false">$F25*In_P50_Hours*(1-In_Curtailment)*(1-$E29)*(1-In_Degradation)^(CV21-1)*CV16*CV$6</f>
        <v>32949.2038067091</v>
      </c>
      <c r="CW74" s="48" t="n">
        <f aca="false">$F25*In_P50_Hours*(1-In_Curtailment)*(1-$E29)*(1-In_Degradation)^(CW21-1)*CW16*CW$6</f>
        <v>33311.2829694201</v>
      </c>
      <c r="CX74" s="48" t="n">
        <f aca="false">$F25*In_P50_Hours*(1-In_Curtailment)*(1-$E29)*(1-In_Degradation)^(CX21-1)*CX16*CX$6</f>
        <v>33211.3491205119</v>
      </c>
      <c r="CY74" s="48" t="n">
        <f aca="false">$F25*In_P50_Hours*(1-In_Curtailment)*(1-$E29)*(1-In_Degradation)^(CY21-1)*CY16*CY$6</f>
        <v>32489.363270066</v>
      </c>
      <c r="CZ74" s="48" t="n">
        <f aca="false">$F25*In_P50_Hours*(1-In_Curtailment)*(1-$E29)*(1-In_Degradation)^(CZ21-1)*CZ16*CZ$6</f>
        <v>32850.3561952889</v>
      </c>
      <c r="DA74" s="48" t="n">
        <f aca="false">$F25*In_P50_Hours*(1-In_Curtailment)*(1-$E29)*(1-In_Degradation)^(DA21-1)*DA16*DA$6</f>
        <v>33211.3491205119</v>
      </c>
      <c r="DB74" s="48" t="n">
        <f aca="false">$F25*In_P50_Hours*(1-In_Curtailment)*(1-$E29)*(1-In_Degradation)^(DB21-1)*DB16*DB$6</f>
        <v>33111.7150731503</v>
      </c>
      <c r="DC74" s="48" t="n">
        <f aca="false">$F25*In_P50_Hours*(1-In_Curtailment)*(1-$E29)*(1-In_Degradation)^(DC21-1)*DC16*DC$6</f>
        <v>32391.8951802558</v>
      </c>
      <c r="DD74" s="48" t="n">
        <f aca="false">$F25*In_P50_Hours*(1-In_Curtailment)*(1-$E29)*(1-In_Degradation)^(DD21-1)*DD16*DD$6</f>
        <v>32751.8051267031</v>
      </c>
      <c r="DE74" s="48" t="n">
        <f aca="false">$F25*In_P50_Hours*(1-In_Curtailment)*(1-$E29)*(1-In_Degradation)^(DE21-1)*DE16*DE$6</f>
        <v>33111.7150731503</v>
      </c>
      <c r="DF74" s="48" t="n">
        <f aca="false">$F25*In_P50_Hours*(1-In_Curtailment)*(1-$E29)*(1-In_Degradation)^(DF21-1)*DF16*DF$6</f>
        <v>33012.3799279309</v>
      </c>
      <c r="DG74" s="48" t="n">
        <f aca="false">$F25*In_P50_Hours*(1-In_Curtailment)*(1-$E29)*(1-In_Degradation)^(DG21-1)*DG16*DG$6</f>
        <v>32653.5497113229</v>
      </c>
      <c r="DH74" s="48" t="n">
        <f aca="false">$F25*In_P50_Hours*(1-In_Curtailment)*(1-$E29)*(1-In_Degradation)^(DH21-1)*DH16*DH$6</f>
        <v>32653.5497113229</v>
      </c>
      <c r="DI74" s="48" t="n">
        <f aca="false">$F25*In_P50_Hours*(1-In_Curtailment)*(1-$E29)*(1-In_Degradation)^(DI21-1)*DI16*DI$6</f>
        <v>33012.3799279309</v>
      </c>
      <c r="DJ74" s="48" t="n">
        <f aca="false">$F25*In_P50_Hours*(1-In_Curtailment)*(1-$E29)*(1-In_Degradation)^(DJ21-1)*DJ16*DJ$6</f>
        <v>32913.3427881471</v>
      </c>
      <c r="DK74" s="48" t="n">
        <f aca="false">$F25*In_P50_Hours*(1-In_Curtailment)*(1-$E29)*(1-In_Degradation)^(DK21-1)*DK16*DK$6</f>
        <v>32197.8353362308</v>
      </c>
      <c r="DL74" s="48" t="n">
        <f aca="false">$F25*In_P50_Hours*(1-In_Curtailment)*(1-$E29)*(1-In_Degradation)^(DL21-1)*DL16*DL$6</f>
        <v>32555.589062189</v>
      </c>
      <c r="DM74" s="48" t="n">
        <f aca="false">$F25*In_P50_Hours*(1-In_Curtailment)*(1-$E29)*(1-In_Degradation)^(DM21-1)*DM16*DM$6</f>
        <v>32913.3427881471</v>
      </c>
      <c r="DN74" s="48" t="n">
        <f aca="false">$F25*In_P50_Hours*(1-In_Curtailment)*(1-$E29)*(1-In_Degradation)^(DN21-1)*DN16*DN$6</f>
        <v>32814.6027597827</v>
      </c>
      <c r="DO74" s="48" t="n">
        <f aca="false">$F25*In_P50_Hours*(1-In_Curtailment)*(1-$E29)*(1-In_Degradation)^(DO21-1)*DO16*DO$6</f>
        <v>32101.2418302222</v>
      </c>
      <c r="DP74" s="48" t="n">
        <f aca="false">$F25*In_P50_Hours*(1-In_Curtailment)*(1-$E29)*(1-In_Degradation)^(DP21-1)*DP16*DP$6</f>
        <v>32457.9222950024</v>
      </c>
      <c r="DQ74" s="48" t="n">
        <f aca="false">$F25*In_P50_Hours*(1-In_Curtailment)*(1-$E29)*(1-In_Degradation)^(DQ21-1)*DQ16*DQ$6</f>
        <v>32814.6027597827</v>
      </c>
      <c r="DR74" s="48" t="n">
        <f aca="false">$F25*In_P50_Hours*(1-In_Curtailment)*(1-$E29)*(1-In_Degradation)^(DR21-1)*DR16*DR$6</f>
        <v>32716.1589515033</v>
      </c>
      <c r="DS74" s="48" t="n">
        <f aca="false">$F25*In_P50_Hours*(1-In_Curtailment)*(1-$E29)*(1-In_Degradation)^(DS21-1)*DS16*DS$6</f>
        <v>32004.9381047315</v>
      </c>
      <c r="DT74" s="48" t="n">
        <f aca="false">$F25*In_P50_Hours*(1-In_Curtailment)*(1-$E29)*(1-In_Degradation)^(DT21-1)*DT16*DT$6</f>
        <v>32360.5485281174</v>
      </c>
      <c r="DU74" s="48" t="n">
        <f aca="false">$F25*In_P50_Hours*(1-In_Curtailment)*(1-$E29)*(1-In_Degradation)^(DU21-1)*DU16*DU$6</f>
        <v>32716.1589515033</v>
      </c>
      <c r="DV74" s="48" t="n">
        <f aca="false">$F25*In_P50_Hours*(1-In_Curtailment)*(1-$E29)*(1-In_Degradation)^(DV21-1)*DV16*DV$6</f>
        <v>32618.0104746488</v>
      </c>
      <c r="DW74" s="48" t="n">
        <f aca="false">$F25*In_P50_Hours*(1-In_Curtailment)*(1-$E29)*(1-In_Degradation)^(DW21-1)*DW16*DW$6</f>
        <v>32263.466882533</v>
      </c>
      <c r="DX74" s="48" t="n">
        <f aca="false">$F25*In_P50_Hours*(1-In_Curtailment)*(1-$E29)*(1-In_Degradation)^(DX21-1)*DX16*DX$6</f>
        <v>32263.466882533</v>
      </c>
      <c r="DY74" s="48" t="n">
        <f aca="false">$F25*In_P50_Hours*(1-In_Curtailment)*(1-$E29)*(1-In_Degradation)^(DY21-1)*DY16*DY$6</f>
        <v>32618.0104746488</v>
      </c>
      <c r="DZ74" s="48" t="n">
        <f aca="false">$F25*In_P50_Hours*(1-In_Curtailment)*(1-$E29)*(1-In_Degradation)^(DZ21-1)*DZ16*DZ$6</f>
        <v>32520.1564432249</v>
      </c>
      <c r="EA74" s="48" t="n">
        <f aca="false">$F25*In_P50_Hours*(1-In_Curtailment)*(1-$E29)*(1-In_Degradation)^(EA21-1)*EA16*EA$6</f>
        <v>31813.196520546</v>
      </c>
      <c r="EB74" s="48" t="n">
        <f aca="false">$F25*In_P50_Hours*(1-In_Curtailment)*(1-$E29)*(1-In_Degradation)^(EB21-1)*EB16*EB$6</f>
        <v>32166.6764818854</v>
      </c>
      <c r="EC74" s="48" t="n">
        <f aca="false">$F25*In_P50_Hours*(1-In_Curtailment)*(1-$E29)*(1-In_Degradation)^(EC21-1)*EC16*EC$6</f>
        <v>32520.1564432249</v>
      </c>
      <c r="ED74" s="48" t="n">
        <f aca="false">$F25*In_P50_Hours*(1-In_Curtailment)*(1-$E29)*(1-In_Degradation)^(ED21-1)*ED16*ED$6</f>
        <v>32422.5959738952</v>
      </c>
      <c r="EE74" s="48" t="n">
        <f aca="false">$F25*In_P50_Hours*(1-In_Curtailment)*(1-$E29)*(1-In_Degradation)^(EE21-1)*EE16*EE$6</f>
        <v>31717.7569309844</v>
      </c>
      <c r="EF74" s="48" t="n">
        <f aca="false">$F25*In_P50_Hours*(1-In_Curtailment)*(1-$E29)*(1-In_Degradation)^(EF21-1)*EF16*EF$6</f>
        <v>32070.1764524398</v>
      </c>
      <c r="EG74" s="48" t="n">
        <f aca="false">$F25*In_P50_Hours*(1-In_Curtailment)*(1-$E29)*(1-In_Degradation)^(EG21-1)*EG16*EG$6</f>
        <v>32422.5959738952</v>
      </c>
      <c r="EH74" s="48" t="n">
        <f aca="false">$F25*In_P50_Hours*(1-In_Curtailment)*(1-$E29)*(1-In_Degradation)^(EH21-1)*EH16*EH$6</f>
        <v>32325.3281859735</v>
      </c>
      <c r="EI74" s="48" t="n">
        <f aca="false">$F25*In_P50_Hours*(1-In_Curtailment)*(1-$E29)*(1-In_Degradation)^(EI21-1)*EI16*EI$6</f>
        <v>31622.6036601915</v>
      </c>
      <c r="EJ74" s="48" t="n">
        <f aca="false">$F25*In_P50_Hours*(1-In_Curtailment)*(1-$E29)*(1-In_Degradation)^(EJ21-1)*EJ16*EJ$6</f>
        <v>31973.9659230825</v>
      </c>
      <c r="EK74" s="48" t="n">
        <f aca="false">$F25*In_P50_Hours*(1-In_Curtailment)*(1-$E29)*(1-In_Degradation)^(EK21-1)*EK16*EK$6</f>
        <v>32325.3281859735</v>
      </c>
      <c r="EL74" s="48" t="n">
        <f aca="false">$F25*In_P50_Hours*(1-In_Curtailment)*(1-$E29)*(1-In_Degradation)^(EL21-1)*EL16*EL$6</f>
        <v>32228.3522014156</v>
      </c>
      <c r="EM74" s="48" t="n">
        <f aca="false">$F25*In_P50_Hours*(1-In_Curtailment)*(1-$E29)*(1-In_Degradation)^(EM21-1)*EM16*EM$6</f>
        <v>31878.0440253132</v>
      </c>
      <c r="EN74" s="48" t="n">
        <f aca="false">$F25*In_P50_Hours*(1-In_Curtailment)*(1-$E29)*(1-In_Degradation)^(EN21-1)*EN16*EN$6</f>
        <v>31878.0440253132</v>
      </c>
      <c r="EO74" s="48" t="n">
        <f aca="false">$F25*In_P50_Hours*(1-In_Curtailment)*(1-$E29)*(1-In_Degradation)^(EO21-1)*EO16*EO$6</f>
        <v>32228.3522014156</v>
      </c>
    </row>
    <row r="75" customFormat="false" ht="15" hidden="false" customHeight="false" outlineLevel="0" collapsed="false">
      <c r="C75" s="0" t="s">
        <v>458</v>
      </c>
      <c r="D75" s="11" t="s">
        <v>33</v>
      </c>
      <c r="E75" s="48" t="n">
        <f aca="false">SUMIF($J$7:$EO$7,YEAR(In_COD)+1,$J75:$EO75)</f>
        <v>12671.23391352</v>
      </c>
      <c r="I75" s="48" t="n">
        <f aca="false">SUM(J75:EO75)</f>
        <v>420752.711777652</v>
      </c>
      <c r="J75" s="48" t="n">
        <f aca="false">J74*J73/Thousand</f>
        <v>0</v>
      </c>
      <c r="K75" s="48" t="n">
        <f aca="false">K74*K73/Thousand</f>
        <v>0</v>
      </c>
      <c r="L75" s="48" t="n">
        <f aca="false">L74*L73/Thousand</f>
        <v>0</v>
      </c>
      <c r="M75" s="48" t="n">
        <f aca="false">M74*M73/Thousand</f>
        <v>0</v>
      </c>
      <c r="N75" s="48" t="n">
        <f aca="false">N74*N73/Thousand</f>
        <v>0</v>
      </c>
      <c r="O75" s="48" t="n">
        <f aca="false">O74*O73/Thousand</f>
        <v>0</v>
      </c>
      <c r="P75" s="48" t="n">
        <f aca="false">P74*P73/Thousand</f>
        <v>0</v>
      </c>
      <c r="Q75" s="48" t="n">
        <f aca="false">Q74*Q73/Thousand</f>
        <v>0</v>
      </c>
      <c r="R75" s="48" t="n">
        <f aca="false">R74*R73/Thousand</f>
        <v>0</v>
      </c>
      <c r="S75" s="48" t="n">
        <f aca="false">S74*S73/Thousand</f>
        <v>0</v>
      </c>
      <c r="T75" s="48" t="n">
        <f aca="false">T74*T73/Thousand</f>
        <v>0</v>
      </c>
      <c r="U75" s="48" t="n">
        <f aca="false">U74*U73/Thousand</f>
        <v>0</v>
      </c>
      <c r="V75" s="48" t="n">
        <f aca="false">V74*V73/Thousand</f>
        <v>0</v>
      </c>
      <c r="W75" s="48" t="n">
        <f aca="false">W74*W73/Thousand</f>
        <v>0</v>
      </c>
      <c r="X75" s="48" t="n">
        <f aca="false">X74*X73/Thousand</f>
        <v>0</v>
      </c>
      <c r="Y75" s="48" t="n">
        <f aca="false">Y74*Y73/Thousand</f>
        <v>0</v>
      </c>
      <c r="Z75" s="48" t="n">
        <f aca="false">Z74*Z73/Thousand</f>
        <v>3164.616</v>
      </c>
      <c r="AA75" s="48" t="n">
        <f aca="false">AA74*AA73/Thousand</f>
        <v>3126.7782</v>
      </c>
      <c r="AB75" s="48" t="n">
        <f aca="false">AB74*AB73/Thousand</f>
        <v>3161.52018</v>
      </c>
      <c r="AC75" s="48" t="n">
        <f aca="false">AC74*AC73/Thousand</f>
        <v>3196.26216</v>
      </c>
      <c r="AD75" s="48" t="n">
        <f aca="false">AD74*AD73/Thousand</f>
        <v>3186.67337352</v>
      </c>
      <c r="AE75" s="48" t="n">
        <f aca="false">AE74*AE73/Thousand</f>
        <v>3183.5559756546</v>
      </c>
      <c r="AF75" s="48" t="n">
        <f aca="false">AF74*AF73/Thousand</f>
        <v>3183.5559756546</v>
      </c>
      <c r="AG75" s="48" t="n">
        <f aca="false">AG74*AG73/Thousand</f>
        <v>3218.5401072552</v>
      </c>
      <c r="AH75" s="48" t="n">
        <f aca="false">AH74*AH73/Thousand</f>
        <v>3208.88448693344</v>
      </c>
      <c r="AI75" s="48" t="n">
        <f aca="false">AI74*AI73/Thousand</f>
        <v>3170.51738980706</v>
      </c>
      <c r="AJ75" s="48" t="n">
        <f aca="false">AJ74*AJ73/Thousand</f>
        <v>3205.74536080491</v>
      </c>
      <c r="AK75" s="48" t="n">
        <f aca="false">AK74*AK73/Thousand</f>
        <v>3240.97333180277</v>
      </c>
      <c r="AL75" s="48" t="n">
        <f aca="false">AL74*AL73/Thousand</f>
        <v>3231.25041180736</v>
      </c>
      <c r="AM75" s="48" t="n">
        <f aca="false">AM74*AM73/Thousand</f>
        <v>3192.61589601401</v>
      </c>
      <c r="AN75" s="48" t="n">
        <f aca="false">AN74*AN73/Thousand</f>
        <v>3228.08940596972</v>
      </c>
      <c r="AO75" s="48" t="n">
        <f aca="false">AO74*AO73/Thousand</f>
        <v>3263.56291592544</v>
      </c>
      <c r="AP75" s="48" t="n">
        <f aca="false">AP74*AP73/Thousand</f>
        <v>3253.77222717766</v>
      </c>
      <c r="AQ75" s="48" t="n">
        <f aca="false">AQ74*AQ73/Thousand</f>
        <v>3214.86842880923</v>
      </c>
      <c r="AR75" s="48" t="n">
        <f aca="false">AR74*AR73/Thousand</f>
        <v>3250.58918912933</v>
      </c>
      <c r="AS75" s="48" t="n">
        <f aca="false">AS74*AS73/Thousand</f>
        <v>3286.30994944944</v>
      </c>
      <c r="AT75" s="48" t="n">
        <f aca="false">AT74*AT73/Thousand</f>
        <v>3276.45101960109</v>
      </c>
      <c r="AU75" s="48" t="n">
        <f aca="false">AU74*AU73/Thousand</f>
        <v>3273.24579577756</v>
      </c>
      <c r="AV75" s="48" t="n">
        <f aca="false">AV74*AV73/Thousand</f>
        <v>3273.24579577756</v>
      </c>
      <c r="AW75" s="48" t="n">
        <f aca="false">AW74*AW73/Thousand</f>
        <v>3309.2155297971</v>
      </c>
      <c r="AX75" s="48" t="n">
        <f aca="false">AX74*AX73/Thousand</f>
        <v>3299.28788320771</v>
      </c>
      <c r="AY75" s="48" t="n">
        <f aca="false">AY74*AY73/Thousand</f>
        <v>3259.83987590848</v>
      </c>
      <c r="AZ75" s="48" t="n">
        <f aca="false">AZ74*AZ73/Thousand</f>
        <v>3296.06031897413</v>
      </c>
      <c r="BA75" s="48" t="n">
        <f aca="false">BA74*BA73/Thousand</f>
        <v>3332.28076203978</v>
      </c>
      <c r="BB75" s="48" t="n">
        <f aca="false">BB74*BB73/Thousand</f>
        <v>3322.28391975366</v>
      </c>
      <c r="BC75" s="48" t="n">
        <f aca="false">BC74*BC73/Thousand</f>
        <v>3282.56095984357</v>
      </c>
      <c r="BD75" s="48" t="n">
        <f aca="false">BD74*BD73/Thousand</f>
        <v>3319.03385939738</v>
      </c>
      <c r="BE75" s="48" t="n">
        <f aca="false">BE74*BE73/Thousand</f>
        <v>3355.5067589512</v>
      </c>
      <c r="BF75" s="48" t="n">
        <f aca="false">BF74*BF73/Thousand</f>
        <v>3345.44023867435</v>
      </c>
      <c r="BG75" s="48" t="n">
        <f aca="false">BG74*BG73/Thousand</f>
        <v>3305.44040973368</v>
      </c>
      <c r="BH75" s="48" t="n">
        <f aca="false">BH74*BH73/Thousand</f>
        <v>3342.16752539738</v>
      </c>
      <c r="BI75" s="48" t="n">
        <f aca="false">BI74*BI73/Thousand</f>
        <v>3378.89464106109</v>
      </c>
      <c r="BJ75" s="48" t="n">
        <f aca="false">BJ74*BJ73/Thousand</f>
        <v>3368.75795713791</v>
      </c>
      <c r="BK75" s="48" t="n">
        <f aca="false">BK74*BK73/Thousand</f>
        <v>3365.4624330494</v>
      </c>
      <c r="BL75" s="48" t="n">
        <f aca="false">BL74*BL73/Thousand</f>
        <v>3365.4624330494</v>
      </c>
      <c r="BM75" s="48" t="n">
        <f aca="false">BM74*BM73/Thousand</f>
        <v>3402.44553670929</v>
      </c>
      <c r="BN75" s="48" t="n">
        <f aca="false">BN74*BN73/Thousand</f>
        <v>3392.23820009916</v>
      </c>
      <c r="BO75" s="48" t="n">
        <f aca="false">BO74*BO73/Thousand</f>
        <v>3351.67883031536</v>
      </c>
      <c r="BP75" s="48" t="n">
        <f aca="false">BP74*BP73/Thousand</f>
        <v>3388.91970620776</v>
      </c>
      <c r="BQ75" s="48" t="n">
        <f aca="false">BQ74*BQ73/Thousand</f>
        <v>3426.16058210015</v>
      </c>
      <c r="BR75" s="48" t="n">
        <f aca="false">BR74*BR73/Thousand</f>
        <v>3415.88210035385</v>
      </c>
      <c r="BS75" s="48" t="n">
        <f aca="false">BS74*BS73/Thousand</f>
        <v>3375.04003176266</v>
      </c>
      <c r="BT75" s="48" t="n">
        <f aca="false">BT74*BT73/Thousand</f>
        <v>3412.54047656003</v>
      </c>
      <c r="BU75" s="48" t="n">
        <f aca="false">BU74*BU73/Thousand</f>
        <v>3450.04092135739</v>
      </c>
      <c r="BV75" s="48" t="n">
        <f aca="false">BV74*BV73/Thousand</f>
        <v>3439.69079859332</v>
      </c>
      <c r="BW75" s="48" t="n">
        <f aca="false">BW74*BW73/Thousand</f>
        <v>3398.56406078405</v>
      </c>
      <c r="BX75" s="48" t="n">
        <f aca="false">BX74*BX73/Thousand</f>
        <v>3436.32588368165</v>
      </c>
      <c r="BY75" s="48" t="n">
        <f aca="false">BY74*BY73/Thousand</f>
        <v>3474.08770657925</v>
      </c>
      <c r="BZ75" s="48" t="n">
        <f aca="false">BZ74*BZ73/Thousand</f>
        <v>3463.66544345951</v>
      </c>
      <c r="CA75" s="48" t="n">
        <f aca="false">CA74*CA73/Thousand</f>
        <v>3460.27707509091</v>
      </c>
      <c r="CB75" s="48" t="n">
        <f aca="false">CB74*CB73/Thousand</f>
        <v>3460.27707509091</v>
      </c>
      <c r="CC75" s="48" t="n">
        <f aca="false">CC74*CC73/Thousand</f>
        <v>3498.30209789411</v>
      </c>
      <c r="CD75" s="48" t="n">
        <f aca="false">CD74*CD73/Thousand</f>
        <v>3487.80719160042</v>
      </c>
      <c r="CE75" s="48" t="n">
        <f aca="false">CE74*CE73/Thousand</f>
        <v>3446.10514909216</v>
      </c>
      <c r="CF75" s="48" t="n">
        <f aca="false">CF74*CF73/Thousand</f>
        <v>3484.39520630429</v>
      </c>
      <c r="CG75" s="48" t="n">
        <f aca="false">CG74*CG73/Thousand</f>
        <v>3522.68526351643</v>
      </c>
      <c r="CH75" s="48" t="n">
        <f aca="false">CH74*CH73/Thousand</f>
        <v>3512.11720772588</v>
      </c>
      <c r="CI75" s="48" t="n">
        <f aca="false">CI74*CI73/Thousand</f>
        <v>3470.12450198133</v>
      </c>
      <c r="CJ75" s="48" t="n">
        <f aca="false">CJ74*CJ73/Thousand</f>
        <v>3508.68144089223</v>
      </c>
      <c r="CK75" s="48" t="n">
        <f aca="false">CK74*CK73/Thousand</f>
        <v>3547.23837980314</v>
      </c>
      <c r="CL75" s="48" t="n">
        <f aca="false">CL74*CL73/Thousand</f>
        <v>3536.59666466373</v>
      </c>
      <c r="CM75" s="48" t="n">
        <f aca="false">CM74*CM73/Thousand</f>
        <v>3494.31126976014</v>
      </c>
      <c r="CN75" s="48" t="n">
        <f aca="false">CN74*CN73/Thousand</f>
        <v>3533.13695053525</v>
      </c>
      <c r="CO75" s="48" t="n">
        <f aca="false">CO74*CO73/Thousand</f>
        <v>3571.96263131037</v>
      </c>
      <c r="CP75" s="48" t="n">
        <f aca="false">CP74*CP73/Thousand</f>
        <v>3561.24674341644</v>
      </c>
      <c r="CQ75" s="48" t="n">
        <f aca="false">CQ74*CQ73/Thousand</f>
        <v>3557.76291508048</v>
      </c>
      <c r="CR75" s="48" t="n">
        <f aca="false">CR74*CR73/Thousand</f>
        <v>3557.76291508048</v>
      </c>
      <c r="CS75" s="48" t="n">
        <f aca="false">CS74*CS73/Thousand</f>
        <v>3596.8592108506</v>
      </c>
      <c r="CT75" s="48" t="n">
        <f aca="false">CT74*CT73/Thousand</f>
        <v>3586.06863321805</v>
      </c>
      <c r="CU75" s="48" t="n">
        <f aca="false">CU74*CU73/Thousand</f>
        <v>3543.19172564696</v>
      </c>
      <c r="CV75" s="48" t="n">
        <f aca="false">CV74*CV73/Thousand</f>
        <v>3582.5605225986</v>
      </c>
      <c r="CW75" s="48" t="n">
        <f aca="false">CW74*CW73/Thousand</f>
        <v>3621.92931955023</v>
      </c>
      <c r="CX75" s="48" t="n">
        <f aca="false">CX74*CX73/Thousand</f>
        <v>3611.06353159158</v>
      </c>
      <c r="CY75" s="48" t="n">
        <f aca="false">CY74*CY73/Thousand</f>
        <v>3567.88777197472</v>
      </c>
      <c r="CZ75" s="48" t="n">
        <f aca="false">CZ74*CZ73/Thousand</f>
        <v>3607.53096944111</v>
      </c>
      <c r="DA75" s="48" t="n">
        <f aca="false">DA74*DA73/Thousand</f>
        <v>3647.17416690749</v>
      </c>
      <c r="DB75" s="48" t="n">
        <f aca="false">DB74*DB73/Thousand</f>
        <v>3636.23264440677</v>
      </c>
      <c r="DC75" s="48" t="n">
        <f aca="false">DC74*DC73/Thousand</f>
        <v>3592.75594974539</v>
      </c>
      <c r="DD75" s="48" t="n">
        <f aca="false">DD74*DD73/Thousand</f>
        <v>3632.67546029811</v>
      </c>
      <c r="DE75" s="48" t="n">
        <f aca="false">DE74*DE73/Thousand</f>
        <v>3672.59497085084</v>
      </c>
      <c r="DF75" s="48" t="n">
        <f aca="false">DF74*DF73/Thousand</f>
        <v>3661.57718593829</v>
      </c>
      <c r="DG75" s="48" t="n">
        <f aca="false">DG74*DG73/Thousand</f>
        <v>3657.99520825639</v>
      </c>
      <c r="DH75" s="48" t="n">
        <f aca="false">DH74*DH73/Thousand</f>
        <v>3657.99520825639</v>
      </c>
      <c r="DI75" s="48" t="n">
        <f aca="false">DI74*DI73/Thousand</f>
        <v>3698.19295779767</v>
      </c>
      <c r="DJ75" s="48" t="n">
        <f aca="false">DJ74*DJ73/Thousand</f>
        <v>3687.09837892428</v>
      </c>
      <c r="DK75" s="48" t="n">
        <f aca="false">DK74*DK73/Thousand</f>
        <v>3643.01350700236</v>
      </c>
      <c r="DL75" s="48" t="n">
        <f aca="false">DL74*DL73/Thousand</f>
        <v>3683.49143485794</v>
      </c>
      <c r="DM75" s="48" t="n">
        <f aca="false">DM74*DM73/Thousand</f>
        <v>3723.96936271352</v>
      </c>
      <c r="DN75" s="48" t="n">
        <f aca="false">DN74*DN73/Thousand</f>
        <v>3712.79745462538</v>
      </c>
      <c r="DO75" s="48" t="n">
        <f aca="false">DO74*DO73/Thousand</f>
        <v>3668.40531114616</v>
      </c>
      <c r="DP75" s="48" t="n">
        <f aca="false">DP74*DP73/Thousand</f>
        <v>3709.1653701589</v>
      </c>
      <c r="DQ75" s="48" t="n">
        <f aca="false">DQ74*DQ73/Thousand</f>
        <v>3749.92542917163</v>
      </c>
      <c r="DR75" s="48" t="n">
        <f aca="false">DR74*DR73/Thousand</f>
        <v>3738.67565288412</v>
      </c>
      <c r="DS75" s="48" t="n">
        <f aca="false">DS74*DS73/Thousand</f>
        <v>3693.97409616485</v>
      </c>
      <c r="DT75" s="48" t="n">
        <f aca="false">DT74*DT73/Thousand</f>
        <v>3735.0182527889</v>
      </c>
      <c r="DU75" s="48" t="n">
        <f aca="false">DU74*DU73/Thousand</f>
        <v>3776.06240941296</v>
      </c>
      <c r="DV75" s="48" t="n">
        <f aca="false">DV74*DV73/Thousand</f>
        <v>3764.73422218472</v>
      </c>
      <c r="DW75" s="48" t="n">
        <f aca="false">DW74*DW73/Thousand</f>
        <v>3761.05133001084</v>
      </c>
      <c r="DX75" s="48" t="n">
        <f aca="false">DX74*DX73/Thousand</f>
        <v>3761.05133001084</v>
      </c>
      <c r="DY75" s="48" t="n">
        <f aca="false">DY74*DY73/Thousand</f>
        <v>3802.38156440657</v>
      </c>
      <c r="DZ75" s="48" t="n">
        <f aca="false">DZ74*DZ73/Thousand</f>
        <v>3790.97441971335</v>
      </c>
      <c r="EA75" s="48" t="n">
        <f aca="false">EA74*EA73/Thousand</f>
        <v>3745.64755165156</v>
      </c>
      <c r="EB75" s="48" t="n">
        <f aca="false">EB74*EB73/Thousand</f>
        <v>3787.26585778102</v>
      </c>
      <c r="EC75" s="48" t="n">
        <f aca="false">EC74*EC73/Thousand</f>
        <v>3828.88416391048</v>
      </c>
      <c r="ED75" s="48" t="n">
        <f aca="false">ED74*ED73/Thousand</f>
        <v>3817.39751141875</v>
      </c>
      <c r="EE75" s="48" t="n">
        <f aca="false">EE74*EE73/Thousand</f>
        <v>3771.75471508657</v>
      </c>
      <c r="EF75" s="48" t="n">
        <f aca="false">EF74*EF73/Thousand</f>
        <v>3813.66310080975</v>
      </c>
      <c r="EG75" s="48" t="n">
        <f aca="false">EG74*EG73/Thousand</f>
        <v>3855.57148653294</v>
      </c>
      <c r="EH75" s="48" t="n">
        <f aca="false">EH74*EH73/Thousand</f>
        <v>3844.00477207334</v>
      </c>
      <c r="EI75" s="48" t="n">
        <f aca="false">EI74*EI73/Thousand</f>
        <v>3798.04384545072</v>
      </c>
      <c r="EJ75" s="48" t="n">
        <f aca="false">EJ74*EJ73/Thousand</f>
        <v>3840.2443326224</v>
      </c>
      <c r="EK75" s="48" t="n">
        <f aca="false">EK74*EK73/Thousand</f>
        <v>3882.44481979407</v>
      </c>
      <c r="EL75" s="48" t="n">
        <f aca="false">EL74*EL73/Thousand</f>
        <v>3870.79748533469</v>
      </c>
      <c r="EM75" s="48" t="n">
        <f aca="false">EM74*EM73/Thousand</f>
        <v>3867.01083562077</v>
      </c>
      <c r="EN75" s="48" t="n">
        <f aca="false">EN74*EN73/Thousand</f>
        <v>3867.01083562077</v>
      </c>
      <c r="EO75" s="48" t="n">
        <f aca="false">EO74*EO73/Thousand</f>
        <v>3909.50546018804</v>
      </c>
    </row>
    <row r="76" customFormat="false" ht="15" hidden="false" customHeight="false" outlineLevel="0" collapsed="false">
      <c r="C76" s="0" t="s">
        <v>459</v>
      </c>
      <c r="D76" s="11" t="s">
        <v>33</v>
      </c>
      <c r="I76" s="48" t="n">
        <f aca="false">SUM(J76:EO76)</f>
        <v>-29733.4185659025</v>
      </c>
      <c r="J76" s="48" t="n">
        <f aca="false">-In_Var_Opex*J74*J72/Thousand</f>
        <v>-0</v>
      </c>
      <c r="K76" s="48" t="n">
        <f aca="false">-In_Var_Opex*K74*K72/Thousand</f>
        <v>-0</v>
      </c>
      <c r="L76" s="48" t="n">
        <f aca="false">-In_Var_Opex*L74*L72/Thousand</f>
        <v>-0</v>
      </c>
      <c r="M76" s="48" t="n">
        <f aca="false">-In_Var_Opex*M74*M72/Thousand</f>
        <v>-0</v>
      </c>
      <c r="N76" s="48" t="n">
        <f aca="false">-In_Var_Opex*N74*N72/Thousand</f>
        <v>-0</v>
      </c>
      <c r="O76" s="48" t="n">
        <f aca="false">-In_Var_Opex*O74*O72/Thousand</f>
        <v>-0</v>
      </c>
      <c r="P76" s="48" t="n">
        <f aca="false">-In_Var_Opex*P74*P72/Thousand</f>
        <v>-0</v>
      </c>
      <c r="Q76" s="48" t="n">
        <f aca="false">-In_Var_Opex*Q74*Q72/Thousand</f>
        <v>-0</v>
      </c>
      <c r="R76" s="48" t="n">
        <f aca="false">-In_Var_Opex*R74*R72/Thousand</f>
        <v>-0</v>
      </c>
      <c r="S76" s="48" t="n">
        <f aca="false">-In_Var_Opex*S74*S72/Thousand</f>
        <v>-0</v>
      </c>
      <c r="T76" s="48" t="n">
        <f aca="false">-In_Var_Opex*T74*T72/Thousand</f>
        <v>-0</v>
      </c>
      <c r="U76" s="48" t="n">
        <f aca="false">-In_Var_Opex*U74*U72/Thousand</f>
        <v>-0</v>
      </c>
      <c r="V76" s="48" t="n">
        <f aca="false">-In_Var_Opex*V74*V72/Thousand</f>
        <v>-0</v>
      </c>
      <c r="W76" s="48" t="n">
        <f aca="false">-In_Var_Opex*W74*W72/Thousand</f>
        <v>-0</v>
      </c>
      <c r="X76" s="48" t="n">
        <f aca="false">-In_Var_Opex*X74*X72/Thousand</f>
        <v>-0</v>
      </c>
      <c r="Y76" s="48" t="n">
        <f aca="false">-In_Var_Opex*Y74*Y72/Thousand</f>
        <v>-0</v>
      </c>
      <c r="Z76" s="48" t="n">
        <f aca="false">-In_Var_Opex*Z74*Z72/Thousand</f>
        <v>-175.812</v>
      </c>
      <c r="AA76" s="48" t="n">
        <f aca="false">-In_Var_Opex*AA74*AA72/Thousand</f>
        <v>-176.28975</v>
      </c>
      <c r="AB76" s="48" t="n">
        <f aca="false">-In_Var_Opex*AB74*AB72/Thousand</f>
        <v>-178.248525</v>
      </c>
      <c r="AC76" s="48" t="n">
        <f aca="false">-In_Var_Opex*AC74*AC72/Thousand</f>
        <v>-180.2073</v>
      </c>
      <c r="AD76" s="48" t="n">
        <f aca="false">-In_Var_Opex*AD74*AD72/Thousand</f>
        <v>-179.6666781</v>
      </c>
      <c r="AE76" s="48" t="n">
        <f aca="false">-In_Var_Opex*AE74*AE72/Thousand</f>
        <v>-182.156623910625</v>
      </c>
      <c r="AF76" s="48" t="n">
        <f aca="false">-In_Var_Opex*AF74*AF72/Thousand</f>
        <v>-182.156623910625</v>
      </c>
      <c r="AG76" s="48" t="n">
        <f aca="false">-In_Var_Opex*AG74*AG72/Thousand</f>
        <v>-184.1583450525</v>
      </c>
      <c r="AH76" s="48" t="n">
        <f aca="false">-In_Var_Opex*AH74*AH72/Thousand</f>
        <v>-183.605870017343</v>
      </c>
      <c r="AI76" s="48" t="n">
        <f aca="false">-In_Var_Opex*AI74*AI72/Thousand</f>
        <v>-184.104799011955</v>
      </c>
      <c r="AJ76" s="48" t="n">
        <f aca="false">-In_Var_Opex*AJ74*AJ72/Thousand</f>
        <v>-186.150407889865</v>
      </c>
      <c r="AK76" s="48" t="n">
        <f aca="false">-In_Var_Opex*AK74*AK72/Thousand</f>
        <v>-188.196016767776</v>
      </c>
      <c r="AL76" s="48" t="n">
        <f aca="false">-In_Var_Opex*AL74*AL72/Thousand</f>
        <v>-187.631428717473</v>
      </c>
      <c r="AM76" s="48" t="n">
        <f aca="false">-In_Var_Opex*AM74*AM72/Thousand</f>
        <v>-188.141296730292</v>
      </c>
      <c r="AN76" s="48" t="n">
        <f aca="false">-In_Var_Opex*AN74*AN72/Thousand</f>
        <v>-190.231755582851</v>
      </c>
      <c r="AO76" s="48" t="n">
        <f aca="false">-In_Var_Opex*AO74*AO72/Thousand</f>
        <v>-192.32221443541</v>
      </c>
      <c r="AP76" s="48" t="n">
        <f aca="false">-In_Var_Opex*AP74*AP72/Thousand</f>
        <v>-191.745247792103</v>
      </c>
      <c r="AQ76" s="48" t="n">
        <f aca="false">-In_Var_Opex*AQ74*AQ72/Thousand</f>
        <v>-192.266294661104</v>
      </c>
      <c r="AR76" s="48" t="n">
        <f aca="false">-In_Var_Opex*AR74*AR72/Thousand</f>
        <v>-194.402586824005</v>
      </c>
      <c r="AS76" s="48" t="n">
        <f aca="false">-In_Var_Opex*AS74*AS72/Thousand</f>
        <v>-196.538878986906</v>
      </c>
      <c r="AT76" s="48" t="n">
        <f aca="false">-In_Var_Opex*AT74*AT72/Thousand</f>
        <v>-195.949262349945</v>
      </c>
      <c r="AU76" s="48" t="n">
        <f aca="false">-In_Var_Opex*AU74*AU72/Thousand</f>
        <v>-198.664863540121</v>
      </c>
      <c r="AV76" s="48" t="n">
        <f aca="false">-In_Var_Opex*AV74*AV72/Thousand</f>
        <v>-198.664863540121</v>
      </c>
      <c r="AW76" s="48" t="n">
        <f aca="false">-In_Var_Opex*AW74*AW72/Thousand</f>
        <v>-200.847993908694</v>
      </c>
      <c r="AX76" s="48" t="n">
        <f aca="false">-In_Var_Opex*AX74*AX72/Thousand</f>
        <v>-200.245449926968</v>
      </c>
      <c r="AY76" s="48" t="n">
        <f aca="false">-In_Var_Opex*AY74*AY72/Thousand</f>
        <v>-200.789595171334</v>
      </c>
      <c r="AZ76" s="48" t="n">
        <f aca="false">-In_Var_Opex*AZ74*AZ72/Thousand</f>
        <v>-203.020590673238</v>
      </c>
      <c r="BA76" s="48" t="n">
        <f aca="false">-In_Var_Opex*BA74*BA72/Thousand</f>
        <v>-205.251586175142</v>
      </c>
      <c r="BB76" s="48" t="n">
        <f aca="false">-In_Var_Opex*BB74*BB72/Thousand</f>
        <v>-204.635831416616</v>
      </c>
      <c r="BC76" s="48" t="n">
        <f aca="false">-In_Var_Opex*BC74*BC72/Thousand</f>
        <v>-205.191907045466</v>
      </c>
      <c r="BD76" s="48" t="n">
        <f aca="false">-In_Var_Opex*BD74*BD72/Thousand</f>
        <v>-207.471817123749</v>
      </c>
      <c r="BE76" s="48" t="n">
        <f aca="false">-In_Var_Opex*BE74*BE72/Thousand</f>
        <v>-209.751727202032</v>
      </c>
      <c r="BF76" s="48" t="n">
        <f aca="false">-In_Var_Opex*BF74*BF72/Thousand</f>
        <v>-209.122472020426</v>
      </c>
      <c r="BG76" s="48" t="n">
        <f aca="false">-In_Var_Opex*BG74*BG72/Thousand</f>
        <v>-209.690739607438</v>
      </c>
      <c r="BH76" s="48" t="n">
        <f aca="false">-In_Var_Opex*BH74*BH72/Thousand</f>
        <v>-212.020636714187</v>
      </c>
      <c r="BI76" s="48" t="n">
        <f aca="false">-In_Var_Opex*BI74*BI72/Thousand</f>
        <v>-214.350533820936</v>
      </c>
      <c r="BJ76" s="48" t="n">
        <f aca="false">-In_Var_Opex*BJ74*BJ72/Thousand</f>
        <v>-213.707482219474</v>
      </c>
      <c r="BK76" s="48" t="n">
        <f aca="false">-In_Var_Opex*BK74*BK72/Thousand</f>
        <v>-216.669189174146</v>
      </c>
      <c r="BL76" s="48" t="n">
        <f aca="false">-In_Var_Opex*BL74*BL72/Thousand</f>
        <v>-216.669189174146</v>
      </c>
      <c r="BM76" s="48" t="n">
        <f aca="false">-In_Var_Opex*BM74*BM72/Thousand</f>
        <v>-219.05016927496</v>
      </c>
      <c r="BN76" s="48" t="n">
        <f aca="false">-In_Var_Opex*BN74*BN72/Thousand</f>
        <v>-218.393018767136</v>
      </c>
      <c r="BO76" s="48" t="n">
        <f aca="false">-In_Var_Opex*BO74*BO72/Thousand</f>
        <v>-218.986478057264</v>
      </c>
      <c r="BP76" s="48" t="n">
        <f aca="false">-In_Var_Opex*BP74*BP72/Thousand</f>
        <v>-221.419661146789</v>
      </c>
      <c r="BQ76" s="48" t="n">
        <f aca="false">-In_Var_Opex*BQ74*BQ72/Thousand</f>
        <v>-223.852844236314</v>
      </c>
      <c r="BR76" s="48" t="n">
        <f aca="false">-In_Var_Opex*BR74*BR72/Thousand</f>
        <v>-223.181285703605</v>
      </c>
      <c r="BS76" s="48" t="n">
        <f aca="false">-In_Var_Opex*BS74*BS72/Thousand</f>
        <v>-223.787756588669</v>
      </c>
      <c r="BT76" s="48" t="n">
        <f aca="false">-In_Var_Opex*BT74*BT72/Thousand</f>
        <v>-226.274287217432</v>
      </c>
      <c r="BU76" s="48" t="n">
        <f aca="false">-In_Var_Opex*BU74*BU72/Thousand</f>
        <v>-228.760817846195</v>
      </c>
      <c r="BV76" s="48" t="n">
        <f aca="false">-In_Var_Opex*BV74*BV72/Thousand</f>
        <v>-228.074535392656</v>
      </c>
      <c r="BW76" s="48" t="n">
        <f aca="false">-In_Var_Opex*BW74*BW72/Thousand</f>
        <v>-228.694303151876</v>
      </c>
      <c r="BX76" s="48" t="n">
        <f aca="false">-In_Var_Opex*BX74*BX72/Thousand</f>
        <v>-231.235350964674</v>
      </c>
      <c r="BY76" s="48" t="n">
        <f aca="false">-In_Var_Opex*BY74*BY72/Thousand</f>
        <v>-233.776398777473</v>
      </c>
      <c r="BZ76" s="48" t="n">
        <f aca="false">-In_Var_Opex*BZ74*BZ72/Thousand</f>
        <v>-233.07506958114</v>
      </c>
      <c r="CA76" s="48" t="n">
        <f aca="false">-In_Var_Opex*CA74*CA72/Thousand</f>
        <v>-236.305186034575</v>
      </c>
      <c r="CB76" s="48" t="n">
        <f aca="false">-In_Var_Opex*CB74*CB72/Thousand</f>
        <v>-236.305186034575</v>
      </c>
      <c r="CC76" s="48" t="n">
        <f aca="false">-In_Var_Opex*CC74*CC72/Thousand</f>
        <v>-238.901946320669</v>
      </c>
      <c r="CD76" s="48" t="n">
        <f aca="false">-In_Var_Opex*CD74*CD72/Thousand</f>
        <v>-238.185240481707</v>
      </c>
      <c r="CE76" s="48" t="n">
        <f aca="false">-In_Var_Opex*CE74*CE72/Thousand</f>
        <v>-238.832482983016</v>
      </c>
      <c r="CF76" s="48" t="n">
        <f aca="false">-In_Var_Opex*CF74*CF72/Thousand</f>
        <v>-241.486177238383</v>
      </c>
      <c r="CG76" s="48" t="n">
        <f aca="false">-In_Var_Opex*CG74*CG72/Thousand</f>
        <v>-244.13987149375</v>
      </c>
      <c r="CH76" s="48" t="n">
        <f aca="false">-In_Var_Opex*CH74*CH72/Thousand</f>
        <v>-243.407451879268</v>
      </c>
      <c r="CI76" s="48" t="n">
        <f aca="false">-In_Var_Opex*CI74*CI72/Thousand</f>
        <v>-244.068885172418</v>
      </c>
      <c r="CJ76" s="48" t="n">
        <f aca="false">-In_Var_Opex*CJ74*CJ72/Thousand</f>
        <v>-246.780761674334</v>
      </c>
      <c r="CK76" s="48" t="n">
        <f aca="false">-In_Var_Opex*CK74*CK72/Thousand</f>
        <v>-249.49263817625</v>
      </c>
      <c r="CL76" s="48" t="n">
        <f aca="false">-In_Var_Opex*CL74*CL72/Thousand</f>
        <v>-248.744160261721</v>
      </c>
      <c r="CM76" s="48" t="n">
        <f aca="false">-In_Var_Opex*CM74*CM72/Thousand</f>
        <v>-249.420095479824</v>
      </c>
      <c r="CN76" s="48" t="n">
        <f aca="false">-In_Var_Opex*CN74*CN72/Thousand</f>
        <v>-252.191429874044</v>
      </c>
      <c r="CO76" s="48" t="n">
        <f aca="false">-In_Var_Opex*CO74*CO72/Thousand</f>
        <v>-254.962764268264</v>
      </c>
      <c r="CP76" s="48" t="n">
        <f aca="false">-In_Var_Opex*CP74*CP72/Thousand</f>
        <v>-254.197875975459</v>
      </c>
      <c r="CQ76" s="48" t="n">
        <f aca="false">-In_Var_Opex*CQ74*CQ72/Thousand</f>
        <v>-257.720726974032</v>
      </c>
      <c r="CR76" s="48" t="n">
        <f aca="false">-In_Var_Opex*CR74*CR72/Thousand</f>
        <v>-257.720726974032</v>
      </c>
      <c r="CS76" s="48" t="n">
        <f aca="false">-In_Var_Opex*CS74*CS72/Thousand</f>
        <v>-260.552822874846</v>
      </c>
      <c r="CT76" s="48" t="n">
        <f aca="false">-In_Var_Opex*CT74*CT72/Thousand</f>
        <v>-259.771164406221</v>
      </c>
      <c r="CU76" s="48" t="n">
        <f aca="false">-In_Var_Opex*CU74*CU72/Thousand</f>
        <v>-260.477064309499</v>
      </c>
      <c r="CV76" s="48" t="n">
        <f aca="false">-In_Var_Opex*CV74*CV72/Thousand</f>
        <v>-263.371253912938</v>
      </c>
      <c r="CW76" s="48" t="n">
        <f aca="false">-In_Var_Opex*CW74*CW72/Thousand</f>
        <v>-266.265443516377</v>
      </c>
      <c r="CX76" s="48" t="n">
        <f aca="false">-In_Var_Opex*CX74*CX72/Thousand</f>
        <v>-265.466647185828</v>
      </c>
      <c r="CY76" s="48" t="n">
        <f aca="false">-In_Var_Opex*CY74*CY72/Thousand</f>
        <v>-266.188023944485</v>
      </c>
      <c r="CZ76" s="48" t="n">
        <f aca="false">-In_Var_Opex*CZ74*CZ72/Thousand</f>
        <v>-269.145668654979</v>
      </c>
      <c r="DA76" s="48" t="n">
        <f aca="false">-In_Var_Opex*DA74*DA72/Thousand</f>
        <v>-272.103313365473</v>
      </c>
      <c r="DB76" s="48" t="n">
        <f aca="false">-In_Var_Opex*DB74*DB72/Thousand</f>
        <v>-271.287003425377</v>
      </c>
      <c r="DC76" s="48" t="n">
        <f aca="false">-In_Var_Opex*DC74*DC72/Thousand</f>
        <v>-272.024196369468</v>
      </c>
      <c r="DD76" s="48" t="n">
        <f aca="false">-In_Var_Opex*DD74*DD72/Thousand</f>
        <v>-275.04668744024</v>
      </c>
      <c r="DE76" s="48" t="n">
        <f aca="false">-In_Var_Opex*DE74*DE72/Thousand</f>
        <v>-278.069178511011</v>
      </c>
      <c r="DF76" s="48" t="n">
        <f aca="false">-In_Var_Opex*DF74*DF72/Thousand</f>
        <v>-277.234970975478</v>
      </c>
      <c r="DG76" s="48" t="n">
        <f aca="false">-In_Var_Opex*DG74*DG72/Thousand</f>
        <v>-281.077086062367</v>
      </c>
      <c r="DH76" s="48" t="n">
        <f aca="false">-In_Var_Opex*DH74*DH72/Thousand</f>
        <v>-281.077086062367</v>
      </c>
      <c r="DI76" s="48" t="n">
        <f aca="false">-In_Var_Opex*DI74*DI72/Thousand</f>
        <v>-284.165845249865</v>
      </c>
      <c r="DJ76" s="48" t="n">
        <f aca="false">-In_Var_Opex*DJ74*DJ72/Thousand</f>
        <v>-283.313347714116</v>
      </c>
      <c r="DK76" s="48" t="n">
        <f aca="false">-In_Var_Opex*DK74*DK72/Thousand</f>
        <v>-284.0832209416</v>
      </c>
      <c r="DL76" s="48" t="n">
        <f aca="false">-In_Var_Opex*DL74*DL72/Thousand</f>
        <v>-287.239701174284</v>
      </c>
      <c r="DM76" s="48" t="n">
        <f aca="false">-In_Var_Opex*DM74*DM72/Thousand</f>
        <v>-290.396181406969</v>
      </c>
      <c r="DN76" s="48" t="n">
        <f aca="false">-In_Var_Opex*DN74*DN72/Thousand</f>
        <v>-289.524992862748</v>
      </c>
      <c r="DO76" s="48" t="n">
        <f aca="false">-In_Var_Opex*DO74*DO72/Thousand</f>
        <v>-290.311745560744</v>
      </c>
      <c r="DP76" s="48" t="n">
        <f aca="false">-In_Var_Opex*DP74*DP72/Thousand</f>
        <v>-293.53743162253</v>
      </c>
      <c r="DQ76" s="48" t="n">
        <f aca="false">-In_Var_Opex*DQ74*DQ72/Thousand</f>
        <v>-296.763117684316</v>
      </c>
      <c r="DR76" s="48" t="n">
        <f aca="false">-In_Var_Opex*DR74*DR72/Thousand</f>
        <v>-295.872828331263</v>
      </c>
      <c r="DS76" s="48" t="n">
        <f aca="false">-In_Var_Opex*DS74*DS72/Thousand</f>
        <v>-296.676830582163</v>
      </c>
      <c r="DT76" s="48" t="n">
        <f aca="false">-In_Var_Opex*DT74*DT72/Thousand</f>
        <v>-299.973239810854</v>
      </c>
      <c r="DU76" s="48" t="n">
        <f aca="false">-In_Var_Opex*DU74*DU72/Thousand</f>
        <v>-303.269649039545</v>
      </c>
      <c r="DV76" s="48" t="n">
        <f aca="false">-In_Var_Opex*DV74*DV72/Thousand</f>
        <v>-302.359840092426</v>
      </c>
      <c r="DW76" s="48" t="n">
        <f aca="false">-In_Var_Opex*DW74*DW72/Thousand</f>
        <v>-306.550153093707</v>
      </c>
      <c r="DX76" s="48" t="n">
        <f aca="false">-In_Var_Opex*DX74*DX72/Thousand</f>
        <v>-306.550153093707</v>
      </c>
      <c r="DY76" s="48" t="n">
        <f aca="false">-In_Var_Opex*DY74*DY72/Thousand</f>
        <v>-309.918836094737</v>
      </c>
      <c r="DZ76" s="48" t="n">
        <f aca="false">-In_Var_Opex*DZ74*DZ72/Thousand</f>
        <v>-308.989079586453</v>
      </c>
      <c r="EA76" s="48" t="n">
        <f aca="false">-In_Var_Opex*EA74*EA72/Thousand</f>
        <v>-309.828723824459</v>
      </c>
      <c r="EB76" s="48" t="n">
        <f aca="false">-In_Var_Opex*EB74*EB72/Thousand</f>
        <v>-313.271265200287</v>
      </c>
      <c r="EC76" s="48" t="n">
        <f aca="false">-In_Var_Opex*EC74*EC72/Thousand</f>
        <v>-316.713806576114</v>
      </c>
      <c r="ED76" s="48" t="n">
        <f aca="false">-In_Var_Opex*ED74*ED72/Thousand</f>
        <v>-315.763665156386</v>
      </c>
      <c r="EE76" s="48" t="n">
        <f aca="false">-In_Var_Opex*EE74*EE72/Thousand</f>
        <v>-316.621718594311</v>
      </c>
      <c r="EF76" s="48" t="n">
        <f aca="false">-In_Var_Opex*EF74*EF72/Thousand</f>
        <v>-320.139737689803</v>
      </c>
      <c r="EG76" s="48" t="n">
        <f aca="false">-In_Var_Opex*EG74*EG72/Thousand</f>
        <v>-323.657756785295</v>
      </c>
      <c r="EH76" s="48" t="n">
        <f aca="false">-In_Var_Opex*EH74*EH72/Thousand</f>
        <v>-322.686783514939</v>
      </c>
      <c r="EI76" s="48" t="n">
        <f aca="false">-In_Var_Opex*EI74*EI72/Thousand</f>
        <v>-323.563649774491</v>
      </c>
      <c r="EJ76" s="48" t="n">
        <f aca="false">-In_Var_Opex*EJ74*EJ72/Thousand</f>
        <v>-327.158801438652</v>
      </c>
      <c r="EK76" s="48" t="n">
        <f aca="false">-In_Var_Opex*EK74*EK72/Thousand</f>
        <v>-330.753953102813</v>
      </c>
      <c r="EL76" s="48" t="n">
        <f aca="false">-In_Var_Opex*EL74*EL72/Thousand</f>
        <v>-329.761691243504</v>
      </c>
      <c r="EM76" s="48" t="n">
        <f aca="false">-In_Var_Opex*EM74*EM72/Thousand</f>
        <v>-334.331758160194</v>
      </c>
      <c r="EN76" s="48" t="n">
        <f aca="false">-In_Var_Opex*EN74*EN72/Thousand</f>
        <v>-334.331758160194</v>
      </c>
      <c r="EO76" s="48" t="n">
        <f aca="false">-In_Var_Opex*EO74*EO72/Thousand</f>
        <v>-338.005733524592</v>
      </c>
    </row>
    <row r="77" customFormat="false" ht="15" hidden="false" customHeight="false" outlineLevel="0" collapsed="false">
      <c r="C77" s="0" t="s">
        <v>460</v>
      </c>
      <c r="D77" s="11" t="s">
        <v>33</v>
      </c>
      <c r="I77" s="48" t="n">
        <f aca="false">SUM(J77:EO77)</f>
        <v>-60869.5202640337</v>
      </c>
      <c r="J77" s="48" t="n">
        <f aca="false">-(In_Fixed_Opex*$F25+In_Admin)*J72*J16*J$6</f>
        <v>-0</v>
      </c>
      <c r="K77" s="48" t="n">
        <f aca="false">-(In_Fixed_Opex*$F25+In_Admin)*K72*K16*K$6</f>
        <v>-0</v>
      </c>
      <c r="L77" s="48" t="n">
        <f aca="false">-(In_Fixed_Opex*$F25+In_Admin)*L72*L16*L$6</f>
        <v>-0</v>
      </c>
      <c r="M77" s="48" t="n">
        <f aca="false">-(In_Fixed_Opex*$F25+In_Admin)*M72*M16*M$6</f>
        <v>-0</v>
      </c>
      <c r="N77" s="48" t="n">
        <f aca="false">-(In_Fixed_Opex*$F25+In_Admin)*N72*N16*N$6</f>
        <v>-0</v>
      </c>
      <c r="O77" s="48" t="n">
        <f aca="false">-(In_Fixed_Opex*$F25+In_Admin)*O72*O16*O$6</f>
        <v>-0</v>
      </c>
      <c r="P77" s="48" t="n">
        <f aca="false">-(In_Fixed_Opex*$F25+In_Admin)*P72*P16*P$6</f>
        <v>-0</v>
      </c>
      <c r="Q77" s="48" t="n">
        <f aca="false">-(In_Fixed_Opex*$F25+In_Admin)*Q72*Q16*Q$6</f>
        <v>-0</v>
      </c>
      <c r="R77" s="48" t="n">
        <f aca="false">-(In_Fixed_Opex*$F25+In_Admin)*R72*R16*R$6</f>
        <v>-0</v>
      </c>
      <c r="S77" s="48" t="n">
        <f aca="false">-(In_Fixed_Opex*$F25+In_Admin)*S72*S16*S$6</f>
        <v>-0</v>
      </c>
      <c r="T77" s="48" t="n">
        <f aca="false">-(In_Fixed_Opex*$F25+In_Admin)*T72*T16*T$6</f>
        <v>-0</v>
      </c>
      <c r="U77" s="48" t="n">
        <f aca="false">-(In_Fixed_Opex*$F25+In_Admin)*U72*U16*U$6</f>
        <v>-0</v>
      </c>
      <c r="V77" s="48" t="n">
        <f aca="false">-(In_Fixed_Opex*$F25+In_Admin)*V72*V16*V$6</f>
        <v>-0</v>
      </c>
      <c r="W77" s="48" t="n">
        <f aca="false">-(In_Fixed_Opex*$F25+In_Admin)*W72*W16*W$6</f>
        <v>-0</v>
      </c>
      <c r="X77" s="48" t="n">
        <f aca="false">-(In_Fixed_Opex*$F25+In_Admin)*X72*X16*X$6</f>
        <v>-0</v>
      </c>
      <c r="Y77" s="48" t="n">
        <f aca="false">-(In_Fixed_Opex*$F25+In_Admin)*Y72*Y16*Y$6</f>
        <v>-0</v>
      </c>
      <c r="Z77" s="48" t="n">
        <f aca="false">-(In_Fixed_Opex*$F25+In_Admin)*Z72*Z16*Z$6</f>
        <v>-342.794520547945</v>
      </c>
      <c r="AA77" s="48" t="n">
        <f aca="false">-(In_Fixed_Opex*$F25+In_Admin)*AA72*AA16*AA$6</f>
        <v>-343.72602739726</v>
      </c>
      <c r="AB77" s="48" t="n">
        <f aca="false">-(In_Fixed_Opex*$F25+In_Admin)*AB72*AB16*AB$6</f>
        <v>-347.545205479452</v>
      </c>
      <c r="AC77" s="48" t="n">
        <f aca="false">-(In_Fixed_Opex*$F25+In_Admin)*AC72*AC16*AC$6</f>
        <v>-351.364383561644</v>
      </c>
      <c r="AD77" s="48" t="n">
        <f aca="false">-(In_Fixed_Opex*$F25+In_Admin)*AD72*AD16*AD$6</f>
        <v>-351.364383561644</v>
      </c>
      <c r="AE77" s="48" t="n">
        <f aca="false">-(In_Fixed_Opex*$F25+In_Admin)*AE72*AE16*AE$6</f>
        <v>-356.233835616438</v>
      </c>
      <c r="AF77" s="48" t="n">
        <f aca="false">-(In_Fixed_Opex*$F25+In_Admin)*AF72*AF16*AF$6</f>
        <v>-356.233835616438</v>
      </c>
      <c r="AG77" s="48" t="n">
        <f aca="false">-(In_Fixed_Opex*$F25+In_Admin)*AG72*AG16*AG$6</f>
        <v>-360.148493150685</v>
      </c>
      <c r="AH77" s="48" t="n">
        <f aca="false">-(In_Fixed_Opex*$F25+In_Admin)*AH72*AH16*AH$6</f>
        <v>-360.148493150685</v>
      </c>
      <c r="AI77" s="48" t="n">
        <f aca="false">-(In_Fixed_Opex*$F25+In_Admin)*AI72*AI16*AI$6</f>
        <v>-361.127157534246</v>
      </c>
      <c r="AJ77" s="48" t="n">
        <f aca="false">-(In_Fixed_Opex*$F25+In_Admin)*AJ72*AJ16*AJ$6</f>
        <v>-365.139681506849</v>
      </c>
      <c r="AK77" s="48" t="n">
        <f aca="false">-(In_Fixed_Opex*$F25+In_Admin)*AK72*AK16*AK$6</f>
        <v>-369.152205479452</v>
      </c>
      <c r="AL77" s="48" t="n">
        <f aca="false">-(In_Fixed_Opex*$F25+In_Admin)*AL72*AL16*AL$6</f>
        <v>-369.152205479452</v>
      </c>
      <c r="AM77" s="48" t="n">
        <f aca="false">-(In_Fixed_Opex*$F25+In_Admin)*AM72*AM16*AM$6</f>
        <v>-370.155336472603</v>
      </c>
      <c r="AN77" s="48" t="n">
        <f aca="false">-(In_Fixed_Opex*$F25+In_Admin)*AN72*AN16*AN$6</f>
        <v>-374.268173544521</v>
      </c>
      <c r="AO77" s="48" t="n">
        <f aca="false">-(In_Fixed_Opex*$F25+In_Admin)*AO72*AO16*AO$6</f>
        <v>-378.381010616438</v>
      </c>
      <c r="AP77" s="48" t="n">
        <f aca="false">-(In_Fixed_Opex*$F25+In_Admin)*AP72*AP16*AP$6</f>
        <v>-378.381010616438</v>
      </c>
      <c r="AQ77" s="48" t="n">
        <f aca="false">-(In_Fixed_Opex*$F25+In_Admin)*AQ72*AQ16*AQ$6</f>
        <v>-379.409219884418</v>
      </c>
      <c r="AR77" s="48" t="n">
        <f aca="false">-(In_Fixed_Opex*$F25+In_Admin)*AR72*AR16*AR$6</f>
        <v>-383.624877883134</v>
      </c>
      <c r="AS77" s="48" t="n">
        <f aca="false">-(In_Fixed_Opex*$F25+In_Admin)*AS72*AS16*AS$6</f>
        <v>-387.840535881849</v>
      </c>
      <c r="AT77" s="48" t="n">
        <f aca="false">-(In_Fixed_Opex*$F25+In_Admin)*AT72*AT16*AT$6</f>
        <v>-387.840535881849</v>
      </c>
      <c r="AU77" s="48" t="n">
        <f aca="false">-(In_Fixed_Opex*$F25+In_Admin)*AU72*AU16*AU$6</f>
        <v>-393.215499830212</v>
      </c>
      <c r="AV77" s="48" t="n">
        <f aca="false">-(In_Fixed_Opex*$F25+In_Admin)*AV72*AV16*AV$6</f>
        <v>-393.215499830212</v>
      </c>
      <c r="AW77" s="48" t="n">
        <f aca="false">-(In_Fixed_Opex*$F25+In_Admin)*AW72*AW16*AW$6</f>
        <v>-397.536549278895</v>
      </c>
      <c r="AX77" s="48" t="n">
        <f aca="false">-(In_Fixed_Opex*$F25+In_Admin)*AX72*AX16*AX$6</f>
        <v>-397.536549278895</v>
      </c>
      <c r="AY77" s="48" t="n">
        <f aca="false">-(In_Fixed_Opex*$F25+In_Admin)*AY72*AY16*AY$6</f>
        <v>-398.616811641066</v>
      </c>
      <c r="AZ77" s="48" t="n">
        <f aca="false">-(In_Fixed_Opex*$F25+In_Admin)*AZ72*AZ16*AZ$6</f>
        <v>-403.045887325967</v>
      </c>
      <c r="BA77" s="48" t="n">
        <f aca="false">-(In_Fixed_Opex*$F25+In_Admin)*BA72*BA16*BA$6</f>
        <v>-407.474963010868</v>
      </c>
      <c r="BB77" s="48" t="n">
        <f aca="false">-(In_Fixed_Opex*$F25+In_Admin)*BB72*BB16*BB$6</f>
        <v>-407.474963010868</v>
      </c>
      <c r="BC77" s="48" t="n">
        <f aca="false">-(In_Fixed_Opex*$F25+In_Admin)*BC72*BC16*BC$6</f>
        <v>-408.582231932093</v>
      </c>
      <c r="BD77" s="48" t="n">
        <f aca="false">-(In_Fixed_Opex*$F25+In_Admin)*BD72*BD16*BD$6</f>
        <v>-413.122034509116</v>
      </c>
      <c r="BE77" s="48" t="n">
        <f aca="false">-(In_Fixed_Opex*$F25+In_Admin)*BE72*BE16*BE$6</f>
        <v>-417.661837086139</v>
      </c>
      <c r="BF77" s="48" t="n">
        <f aca="false">-(In_Fixed_Opex*$F25+In_Admin)*BF72*BF16*BF$6</f>
        <v>-417.661837086139</v>
      </c>
      <c r="BG77" s="48" t="n">
        <f aca="false">-(In_Fixed_Opex*$F25+In_Admin)*BG72*BG16*BG$6</f>
        <v>-418.796787730395</v>
      </c>
      <c r="BH77" s="48" t="n">
        <f aca="false">-(In_Fixed_Opex*$F25+In_Admin)*BH72*BH16*BH$6</f>
        <v>-423.450085371844</v>
      </c>
      <c r="BI77" s="48" t="n">
        <f aca="false">-(In_Fixed_Opex*$F25+In_Admin)*BI72*BI16*BI$6</f>
        <v>-428.103383013293</v>
      </c>
      <c r="BJ77" s="48" t="n">
        <f aca="false">-(In_Fixed_Opex*$F25+In_Admin)*BJ72*BJ16*BJ$6</f>
        <v>-428.103383013293</v>
      </c>
      <c r="BK77" s="48" t="n">
        <f aca="false">-(In_Fixed_Opex*$F25+In_Admin)*BK72*BK16*BK$6</f>
        <v>-434.03633750614</v>
      </c>
      <c r="BL77" s="48" t="n">
        <f aca="false">-(In_Fixed_Opex*$F25+In_Admin)*BL72*BL16*BL$6</f>
        <v>-434.03633750614</v>
      </c>
      <c r="BM77" s="48" t="n">
        <f aca="false">-(In_Fixed_Opex*$F25+In_Admin)*BM72*BM16*BM$6</f>
        <v>-438.805967588625</v>
      </c>
      <c r="BN77" s="48" t="n">
        <f aca="false">-(In_Fixed_Opex*$F25+In_Admin)*BN72*BN16*BN$6</f>
        <v>-438.805967588625</v>
      </c>
      <c r="BO77" s="48" t="n">
        <f aca="false">-(In_Fixed_Opex*$F25+In_Admin)*BO72*BO16*BO$6</f>
        <v>-439.998375109246</v>
      </c>
      <c r="BP77" s="48" t="n">
        <f aca="false">-(In_Fixed_Opex*$F25+In_Admin)*BP72*BP16*BP$6</f>
        <v>-444.887245943794</v>
      </c>
      <c r="BQ77" s="48" t="n">
        <f aca="false">-(In_Fixed_Opex*$F25+In_Admin)*BQ72*BQ16*BQ$6</f>
        <v>-449.776116778341</v>
      </c>
      <c r="BR77" s="48" t="n">
        <f aca="false">-(In_Fixed_Opex*$F25+In_Admin)*BR72*BR16*BR$6</f>
        <v>-449.776116778341</v>
      </c>
      <c r="BS77" s="48" t="n">
        <f aca="false">-(In_Fixed_Opex*$F25+In_Admin)*BS72*BS16*BS$6</f>
        <v>-450.998334486977</v>
      </c>
      <c r="BT77" s="48" t="n">
        <f aca="false">-(In_Fixed_Opex*$F25+In_Admin)*BT72*BT16*BT$6</f>
        <v>-456.009427092388</v>
      </c>
      <c r="BU77" s="48" t="n">
        <f aca="false">-(In_Fixed_Opex*$F25+In_Admin)*BU72*BU16*BU$6</f>
        <v>-461.020519697799</v>
      </c>
      <c r="BV77" s="48" t="n">
        <f aca="false">-(In_Fixed_Opex*$F25+In_Admin)*BV72*BV16*BV$6</f>
        <v>-461.020519697799</v>
      </c>
      <c r="BW77" s="48" t="n">
        <f aca="false">-(In_Fixed_Opex*$F25+In_Admin)*BW72*BW16*BW$6</f>
        <v>-462.273292849152</v>
      </c>
      <c r="BX77" s="48" t="n">
        <f aca="false">-(In_Fixed_Opex*$F25+In_Admin)*BX72*BX16*BX$6</f>
        <v>-467.409662769698</v>
      </c>
      <c r="BY77" s="48" t="n">
        <f aca="false">-(In_Fixed_Opex*$F25+In_Admin)*BY72*BY16*BY$6</f>
        <v>-472.546032690244</v>
      </c>
      <c r="BZ77" s="48" t="n">
        <f aca="false">-(In_Fixed_Opex*$F25+In_Admin)*BZ72*BZ16*BZ$6</f>
        <v>-472.546032690244</v>
      </c>
      <c r="CA77" s="48" t="n">
        <f aca="false">-(In_Fixed_Opex*$F25+In_Admin)*CA72*CA16*CA$6</f>
        <v>-479.09490433894</v>
      </c>
      <c r="CB77" s="48" t="n">
        <f aca="false">-(In_Fixed_Opex*$F25+In_Admin)*CB72*CB16*CB$6</f>
        <v>-479.09490433894</v>
      </c>
      <c r="CC77" s="48" t="n">
        <f aca="false">-(In_Fixed_Opex*$F25+In_Admin)*CC72*CC16*CC$6</f>
        <v>-484.3596835075</v>
      </c>
      <c r="CD77" s="48" t="n">
        <f aca="false">-(In_Fixed_Opex*$F25+In_Admin)*CD72*CD16*CD$6</f>
        <v>-484.3596835075</v>
      </c>
      <c r="CE77" s="48" t="n">
        <f aca="false">-(In_Fixed_Opex*$F25+In_Admin)*CE72*CE16*CE$6</f>
        <v>-485.67587829964</v>
      </c>
      <c r="CF77" s="48" t="n">
        <f aca="false">-(In_Fixed_Opex*$F25+In_Admin)*CF72*CF16*CF$6</f>
        <v>-491.072276947414</v>
      </c>
      <c r="CG77" s="48" t="n">
        <f aca="false">-(In_Fixed_Opex*$F25+In_Admin)*CG72*CG16*CG$6</f>
        <v>-496.468675595188</v>
      </c>
      <c r="CH77" s="48" t="n">
        <f aca="false">-(In_Fixed_Opex*$F25+In_Admin)*CH72*CH16*CH$6</f>
        <v>-496.468675595188</v>
      </c>
      <c r="CI77" s="48" t="n">
        <f aca="false">-(In_Fixed_Opex*$F25+In_Admin)*CI72*CI16*CI$6</f>
        <v>-497.817775257131</v>
      </c>
      <c r="CJ77" s="48" t="n">
        <f aca="false">-(In_Fixed_Opex*$F25+In_Admin)*CJ72*CJ16*CJ$6</f>
        <v>-503.349083871099</v>
      </c>
      <c r="CK77" s="48" t="n">
        <f aca="false">-(In_Fixed_Opex*$F25+In_Admin)*CK72*CK16*CK$6</f>
        <v>-508.880392485067</v>
      </c>
      <c r="CL77" s="48" t="n">
        <f aca="false">-(In_Fixed_Opex*$F25+In_Admin)*CL72*CL16*CL$6</f>
        <v>-508.880392485067</v>
      </c>
      <c r="CM77" s="48" t="n">
        <f aca="false">-(In_Fixed_Opex*$F25+In_Admin)*CM72*CM16*CM$6</f>
        <v>-510.263219638559</v>
      </c>
      <c r="CN77" s="48" t="n">
        <f aca="false">-(In_Fixed_Opex*$F25+In_Admin)*CN72*CN16*CN$6</f>
        <v>-515.932810967877</v>
      </c>
      <c r="CO77" s="48" t="n">
        <f aca="false">-(In_Fixed_Opex*$F25+In_Admin)*CO72*CO16*CO$6</f>
        <v>-521.602402297194</v>
      </c>
      <c r="CP77" s="48" t="n">
        <f aca="false">-(In_Fixed_Opex*$F25+In_Admin)*CP72*CP16*CP$6</f>
        <v>-521.602402297194</v>
      </c>
      <c r="CQ77" s="48" t="n">
        <f aca="false">-(In_Fixed_Opex*$F25+In_Admin)*CQ72*CQ16*CQ$6</f>
        <v>-528.831131242074</v>
      </c>
      <c r="CR77" s="48" t="n">
        <f aca="false">-(In_Fixed_Opex*$F25+In_Admin)*CR72*CR16*CR$6</f>
        <v>-528.831131242074</v>
      </c>
      <c r="CS77" s="48" t="n">
        <f aca="false">-(In_Fixed_Opex*$F25+In_Admin)*CS72*CS16*CS$6</f>
        <v>-534.642462354624</v>
      </c>
      <c r="CT77" s="48" t="n">
        <f aca="false">-(In_Fixed_Opex*$F25+In_Admin)*CT72*CT16*CT$6</f>
        <v>-534.642462354624</v>
      </c>
      <c r="CU77" s="48" t="n">
        <f aca="false">-(In_Fixed_Opex*$F25+In_Admin)*CU72*CU16*CU$6</f>
        <v>-536.095295132761</v>
      </c>
      <c r="CV77" s="48" t="n">
        <f aca="false">-(In_Fixed_Opex*$F25+In_Admin)*CV72*CV16*CV$6</f>
        <v>-542.051909523125</v>
      </c>
      <c r="CW77" s="48" t="n">
        <f aca="false">-(In_Fixed_Opex*$F25+In_Admin)*CW72*CW16*CW$6</f>
        <v>-548.008523913489</v>
      </c>
      <c r="CX77" s="48" t="n">
        <f aca="false">-(In_Fixed_Opex*$F25+In_Admin)*CX72*CX16*CX$6</f>
        <v>-548.008523913489</v>
      </c>
      <c r="CY77" s="48" t="n">
        <f aca="false">-(In_Fixed_Opex*$F25+In_Admin)*CY72*CY16*CY$6</f>
        <v>-549.49767751108</v>
      </c>
      <c r="CZ77" s="48" t="n">
        <f aca="false">-(In_Fixed_Opex*$F25+In_Admin)*CZ72*CZ16*CZ$6</f>
        <v>-555.603207261203</v>
      </c>
      <c r="DA77" s="48" t="n">
        <f aca="false">-(In_Fixed_Opex*$F25+In_Admin)*DA72*DA16*DA$6</f>
        <v>-561.708737011326</v>
      </c>
      <c r="DB77" s="48" t="n">
        <f aca="false">-(In_Fixed_Opex*$F25+In_Admin)*DB72*DB16*DB$6</f>
        <v>-561.708737011326</v>
      </c>
      <c r="DC77" s="48" t="n">
        <f aca="false">-(In_Fixed_Opex*$F25+In_Admin)*DC72*DC16*DC$6</f>
        <v>-563.235119448857</v>
      </c>
      <c r="DD77" s="48" t="n">
        <f aca="false">-(In_Fixed_Opex*$F25+In_Admin)*DD72*DD16*DD$6</f>
        <v>-569.493287442734</v>
      </c>
      <c r="DE77" s="48" t="n">
        <f aca="false">-(In_Fixed_Opex*$F25+In_Admin)*DE72*DE16*DE$6</f>
        <v>-575.75145543661</v>
      </c>
      <c r="DF77" s="48" t="n">
        <f aca="false">-(In_Fixed_Opex*$F25+In_Admin)*DF72*DF16*DF$6</f>
        <v>-575.75145543661</v>
      </c>
      <c r="DG77" s="48" t="n">
        <f aca="false">-(In_Fixed_Opex*$F25+In_Admin)*DG72*DG16*DG$6</f>
        <v>-583.730619628802</v>
      </c>
      <c r="DH77" s="48" t="n">
        <f aca="false">-(In_Fixed_Opex*$F25+In_Admin)*DH72*DH16*DH$6</f>
        <v>-583.730619628802</v>
      </c>
      <c r="DI77" s="48" t="n">
        <f aca="false">-(In_Fixed_Opex*$F25+In_Admin)*DI72*DI16*DI$6</f>
        <v>-590.145241822525</v>
      </c>
      <c r="DJ77" s="48" t="n">
        <f aca="false">-(In_Fixed_Opex*$F25+In_Admin)*DJ72*DJ16*DJ$6</f>
        <v>-590.145241822525</v>
      </c>
      <c r="DK77" s="48" t="n">
        <f aca="false">-(In_Fixed_Opex*$F25+In_Admin)*DK72*DK16*DK$6</f>
        <v>-591.748897370955</v>
      </c>
      <c r="DL77" s="48" t="n">
        <f aca="false">-(In_Fixed_Opex*$F25+In_Admin)*DL72*DL16*DL$6</f>
        <v>-598.323885119522</v>
      </c>
      <c r="DM77" s="48" t="n">
        <f aca="false">-(In_Fixed_Opex*$F25+In_Admin)*DM72*DM16*DM$6</f>
        <v>-604.898872868088</v>
      </c>
      <c r="DN77" s="48" t="n">
        <f aca="false">-(In_Fixed_Opex*$F25+In_Admin)*DN72*DN16*DN$6</f>
        <v>-604.898872868088</v>
      </c>
      <c r="DO77" s="48" t="n">
        <f aca="false">-(In_Fixed_Opex*$F25+In_Admin)*DO72*DO16*DO$6</f>
        <v>-606.542619805229</v>
      </c>
      <c r="DP77" s="48" t="n">
        <f aca="false">-(In_Fixed_Opex*$F25+In_Admin)*DP72*DP16*DP$6</f>
        <v>-613.28198224751</v>
      </c>
      <c r="DQ77" s="48" t="n">
        <f aca="false">-(In_Fixed_Opex*$F25+In_Admin)*DQ72*DQ16*DQ$6</f>
        <v>-620.02134468979</v>
      </c>
      <c r="DR77" s="48" t="n">
        <f aca="false">-(In_Fixed_Opex*$F25+In_Admin)*DR72*DR16*DR$6</f>
        <v>-620.02134468979</v>
      </c>
      <c r="DS77" s="48" t="n">
        <f aca="false">-(In_Fixed_Opex*$F25+In_Admin)*DS72*DS16*DS$6</f>
        <v>-621.70618530036</v>
      </c>
      <c r="DT77" s="48" t="n">
        <f aca="false">-(In_Fixed_Opex*$F25+In_Admin)*DT72*DT16*DT$6</f>
        <v>-628.614031803698</v>
      </c>
      <c r="DU77" s="48" t="n">
        <f aca="false">-(In_Fixed_Opex*$F25+In_Admin)*DU72*DU16*DU$6</f>
        <v>-635.521878307035</v>
      </c>
      <c r="DV77" s="48" t="n">
        <f aca="false">-(In_Fixed_Opex*$F25+In_Admin)*DV72*DV16*DV$6</f>
        <v>-635.521878307035</v>
      </c>
      <c r="DW77" s="48" t="n">
        <f aca="false">-(In_Fixed_Opex*$F25+In_Admin)*DW72*DW16*DW$6</f>
        <v>-644.32938259879</v>
      </c>
      <c r="DX77" s="48" t="n">
        <f aca="false">-(In_Fixed_Opex*$F25+In_Admin)*DX72*DX16*DX$6</f>
        <v>-644.32938259879</v>
      </c>
      <c r="DY77" s="48" t="n">
        <f aca="false">-(In_Fixed_Opex*$F25+In_Admin)*DY72*DY16*DY$6</f>
        <v>-651.409925264711</v>
      </c>
      <c r="DZ77" s="48" t="n">
        <f aca="false">-(In_Fixed_Opex*$F25+In_Admin)*DZ72*DZ16*DZ$6</f>
        <v>-651.409925264711</v>
      </c>
      <c r="EA77" s="48" t="n">
        <f aca="false">-(In_Fixed_Opex*$F25+In_Admin)*EA72*EA16*EA$6</f>
        <v>-653.180060931191</v>
      </c>
      <c r="EB77" s="48" t="n">
        <f aca="false">-(In_Fixed_Opex*$F25+In_Admin)*EB72*EB16*EB$6</f>
        <v>-660.43761716376</v>
      </c>
      <c r="EC77" s="48" t="n">
        <f aca="false">-(In_Fixed_Opex*$F25+In_Admin)*EC72*EC16*EC$6</f>
        <v>-667.695173396328</v>
      </c>
      <c r="ED77" s="48" t="n">
        <f aca="false">-(In_Fixed_Opex*$F25+In_Admin)*ED72*ED16*ED$6</f>
        <v>-667.695173396328</v>
      </c>
      <c r="EE77" s="48" t="n">
        <f aca="false">-(In_Fixed_Opex*$F25+In_Admin)*EE72*EE16*EE$6</f>
        <v>-669.50956245447</v>
      </c>
      <c r="EF77" s="48" t="n">
        <f aca="false">-(In_Fixed_Opex*$F25+In_Admin)*EF72*EF16*EF$6</f>
        <v>-676.948557592854</v>
      </c>
      <c r="EG77" s="48" t="n">
        <f aca="false">-(In_Fixed_Opex*$F25+In_Admin)*EG72*EG16*EG$6</f>
        <v>-684.387552731237</v>
      </c>
      <c r="EH77" s="48" t="n">
        <f aca="false">-(In_Fixed_Opex*$F25+In_Admin)*EH72*EH16*EH$6</f>
        <v>-684.387552731237</v>
      </c>
      <c r="EI77" s="48" t="n">
        <f aca="false">-(In_Fixed_Opex*$F25+In_Admin)*EI72*EI16*EI$6</f>
        <v>-686.247301515832</v>
      </c>
      <c r="EJ77" s="48" t="n">
        <f aca="false">-(In_Fixed_Opex*$F25+In_Admin)*EJ72*EJ16*EJ$6</f>
        <v>-693.872271532675</v>
      </c>
      <c r="EK77" s="48" t="n">
        <f aca="false">-(In_Fixed_Opex*$F25+In_Admin)*EK72*EK16*EK$6</f>
        <v>-701.497241549517</v>
      </c>
      <c r="EL77" s="48" t="n">
        <f aca="false">-(In_Fixed_Opex*$F25+In_Admin)*EL72*EL16*EL$6</f>
        <v>-701.497241549517</v>
      </c>
      <c r="EM77" s="48" t="n">
        <f aca="false">-(In_Fixed_Opex*$F25+In_Admin)*EM72*EM16*EM$6</f>
        <v>-711.219078320991</v>
      </c>
      <c r="EN77" s="48" t="n">
        <f aca="false">-(In_Fixed_Opex*$F25+In_Admin)*EN72*EN16*EN$6</f>
        <v>-711.219078320991</v>
      </c>
      <c r="EO77" s="48" t="n">
        <f aca="false">-(In_Fixed_Opex*$F25+In_Admin)*EO72*EO16*EO$6</f>
        <v>-719.034672588255</v>
      </c>
    </row>
    <row r="78" customFormat="false" ht="15" hidden="false" customHeight="false" outlineLevel="0" collapsed="false">
      <c r="C78" s="0" t="s">
        <v>461</v>
      </c>
      <c r="D78" s="11" t="s">
        <v>33</v>
      </c>
      <c r="I78" s="48" t="n">
        <f aca="false">SUM(J78:EO78)</f>
        <v>-7708.87664873263</v>
      </c>
      <c r="J78" s="48" t="n">
        <f aca="false">-In_Lease*$F25*J72*J17*J$6</f>
        <v>-0</v>
      </c>
      <c r="K78" s="48" t="n">
        <f aca="false">-In_Lease*$F25*K72*K17*K$6</f>
        <v>-0</v>
      </c>
      <c r="L78" s="48" t="n">
        <f aca="false">-In_Lease*$F25*L72*L17*L$6</f>
        <v>-0</v>
      </c>
      <c r="M78" s="48" t="n">
        <f aca="false">-In_Lease*$F25*M72*M17*M$6</f>
        <v>-0</v>
      </c>
      <c r="N78" s="48" t="n">
        <f aca="false">-In_Lease*$F25*N72*N17*N$6</f>
        <v>-0</v>
      </c>
      <c r="O78" s="48" t="n">
        <f aca="false">-In_Lease*$F25*O72*O17*O$6</f>
        <v>-0</v>
      </c>
      <c r="P78" s="48" t="n">
        <f aca="false">-In_Lease*$F25*P72*P17*P$6</f>
        <v>-0</v>
      </c>
      <c r="Q78" s="48" t="n">
        <f aca="false">-In_Lease*$F25*Q72*Q17*Q$6</f>
        <v>-0</v>
      </c>
      <c r="R78" s="48" t="n">
        <f aca="false">-In_Lease*$F25*R72*R17*R$6</f>
        <v>-39.5850480389201</v>
      </c>
      <c r="S78" s="48" t="n">
        <f aca="false">-In_Lease*$F25*S72*S17*S$6</f>
        <v>-39.6926161042432</v>
      </c>
      <c r="T78" s="48" t="n">
        <f aca="false">-In_Lease*$F25*T72*T17*T$6</f>
        <v>-40.1336451720682</v>
      </c>
      <c r="U78" s="48" t="n">
        <f aca="false">-In_Lease*$F25*U72*U17*U$6</f>
        <v>-40.5746742398931</v>
      </c>
      <c r="V78" s="48" t="n">
        <f aca="false">-In_Lease*$F25*V72*V17*V$6</f>
        <v>-40.5746742398931</v>
      </c>
      <c r="W78" s="48" t="n">
        <f aca="false">-In_Lease*$F25*W72*W17*W$6</f>
        <v>-40.6849315068493</v>
      </c>
      <c r="X78" s="48" t="n">
        <f aca="false">-In_Lease*$F25*X72*X17*X$6</f>
        <v>-41.1369863013699</v>
      </c>
      <c r="Y78" s="48" t="n">
        <f aca="false">-In_Lease*$F25*Y72*Y17*Y$6</f>
        <v>-41.5890410958904</v>
      </c>
      <c r="Z78" s="48" t="n">
        <f aca="false">-In_Lease*$F25*Z72*Z17*Z$6</f>
        <v>-41.5890410958904</v>
      </c>
      <c r="AA78" s="48" t="n">
        <f aca="false">-In_Lease*$F25*AA72*AA17*AA$6</f>
        <v>-41.7020547945206</v>
      </c>
      <c r="AB78" s="48" t="n">
        <f aca="false">-In_Lease*$F25*AB72*AB17*AB$6</f>
        <v>-42.1654109589041</v>
      </c>
      <c r="AC78" s="48" t="n">
        <f aca="false">-In_Lease*$F25*AC72*AC17*AC$6</f>
        <v>-42.6287671232877</v>
      </c>
      <c r="AD78" s="48" t="n">
        <f aca="false">-In_Lease*$F25*AD72*AD17*AD$6</f>
        <v>-42.6287671232877</v>
      </c>
      <c r="AE78" s="48" t="n">
        <f aca="false">-In_Lease*$F25*AE72*AE17*AE$6</f>
        <v>-43.2195462328767</v>
      </c>
      <c r="AF78" s="48" t="n">
        <f aca="false">-In_Lease*$F25*AF72*AF17*AF$6</f>
        <v>-43.2195462328767</v>
      </c>
      <c r="AG78" s="48" t="n">
        <f aca="false">-In_Lease*$F25*AG72*AG17*AG$6</f>
        <v>-43.6944863013699</v>
      </c>
      <c r="AH78" s="48" t="n">
        <f aca="false">-In_Lease*$F25*AH72*AH17*AH$6</f>
        <v>-43.6944863013699</v>
      </c>
      <c r="AI78" s="48" t="n">
        <f aca="false">-In_Lease*$F25*AI72*AI17*AI$6</f>
        <v>-43.8132213184931</v>
      </c>
      <c r="AJ78" s="48" t="n">
        <f aca="false">-In_Lease*$F25*AJ72*AJ17*AJ$6</f>
        <v>-44.3000348886986</v>
      </c>
      <c r="AK78" s="48" t="n">
        <f aca="false">-In_Lease*$F25*AK72*AK17*AK$6</f>
        <v>-44.7868484589041</v>
      </c>
      <c r="AL78" s="48" t="n">
        <f aca="false">-In_Lease*$F25*AL72*AL17*AL$6</f>
        <v>-44.7868484589041</v>
      </c>
      <c r="AM78" s="48" t="n">
        <f aca="false">-In_Lease*$F25*AM72*AM17*AM$6</f>
        <v>-44.9085518514555</v>
      </c>
      <c r="AN78" s="48" t="n">
        <f aca="false">-In_Lease*$F25*AN72*AN17*AN$6</f>
        <v>-45.4075357609161</v>
      </c>
      <c r="AO78" s="48" t="n">
        <f aca="false">-In_Lease*$F25*AO72*AO17*AO$6</f>
        <v>-45.9065196703767</v>
      </c>
      <c r="AP78" s="48" t="n">
        <f aca="false">-In_Lease*$F25*AP72*AP17*AP$6</f>
        <v>-45.9065196703767</v>
      </c>
      <c r="AQ78" s="48" t="n">
        <f aca="false">-In_Lease*$F25*AQ72*AQ17*AQ$6</f>
        <v>-46.0312656477419</v>
      </c>
      <c r="AR78" s="48" t="n">
        <f aca="false">-In_Lease*$F25*AR72*AR17*AR$6</f>
        <v>-46.542724154939</v>
      </c>
      <c r="AS78" s="48" t="n">
        <f aca="false">-In_Lease*$F25*AS72*AS17*AS$6</f>
        <v>-47.0541826621361</v>
      </c>
      <c r="AT78" s="48" t="n">
        <f aca="false">-In_Lease*$F25*AT72*AT17*AT$6</f>
        <v>-47.0541826621361</v>
      </c>
      <c r="AU78" s="48" t="n">
        <f aca="false">-In_Lease*$F25*AU72*AU17*AU$6</f>
        <v>-47.7062922588125</v>
      </c>
      <c r="AV78" s="48" t="n">
        <f aca="false">-In_Lease*$F25*AV72*AV17*AV$6</f>
        <v>-47.7062922588125</v>
      </c>
      <c r="AW78" s="48" t="n">
        <f aca="false">-In_Lease*$F25*AW72*AW17*AW$6</f>
        <v>-48.2305372286895</v>
      </c>
      <c r="AX78" s="48" t="n">
        <f aca="false">-In_Lease*$F25*AX72*AX17*AX$6</f>
        <v>-48.2305372286895</v>
      </c>
      <c r="AY78" s="48" t="n">
        <f aca="false">-In_Lease*$F25*AY72*AY17*AY$6</f>
        <v>-48.3615984711588</v>
      </c>
      <c r="AZ78" s="48" t="n">
        <f aca="false">-In_Lease*$F25*AZ72*AZ17*AZ$6</f>
        <v>-48.8989495652828</v>
      </c>
      <c r="BA78" s="48" t="n">
        <f aca="false">-In_Lease*$F25*BA72*BA17*BA$6</f>
        <v>-49.4363006594068</v>
      </c>
      <c r="BB78" s="48" t="n">
        <f aca="false">-In_Lease*$F25*BB72*BB17*BB$6</f>
        <v>-49.4363006594068</v>
      </c>
      <c r="BC78" s="48" t="n">
        <f aca="false">-In_Lease*$F25*BC72*BC17*BC$6</f>
        <v>-49.5706384329377</v>
      </c>
      <c r="BD78" s="48" t="n">
        <f aca="false">-In_Lease*$F25*BD72*BD17*BD$6</f>
        <v>-50.1214233044148</v>
      </c>
      <c r="BE78" s="48" t="n">
        <f aca="false">-In_Lease*$F25*BE72*BE17*BE$6</f>
        <v>-50.6722081758919</v>
      </c>
      <c r="BF78" s="48" t="n">
        <f aca="false">-In_Lease*$F25*BF72*BF17*BF$6</f>
        <v>-50.6722081758919</v>
      </c>
      <c r="BG78" s="48" t="n">
        <f aca="false">-In_Lease*$F25*BG72*BG17*BG$6</f>
        <v>-50.8099043937612</v>
      </c>
      <c r="BH78" s="48" t="n">
        <f aca="false">-In_Lease*$F25*BH72*BH17*BH$6</f>
        <v>-51.3744588870252</v>
      </c>
      <c r="BI78" s="48" t="n">
        <f aca="false">-In_Lease*$F25*BI72*BI17*BI$6</f>
        <v>-51.9390133802892</v>
      </c>
      <c r="BJ78" s="48" t="n">
        <f aca="false">-In_Lease*$F25*BJ72*BJ17*BJ$6</f>
        <v>-51.9390133802892</v>
      </c>
      <c r="BK78" s="48" t="n">
        <f aca="false">-In_Lease*$F25*BK72*BK17*BK$6</f>
        <v>-52.6588203592008</v>
      </c>
      <c r="BL78" s="48" t="n">
        <f aca="false">-In_Lease*$F25*BL72*BL17*BL$6</f>
        <v>-52.6588203592008</v>
      </c>
      <c r="BM78" s="48" t="n">
        <f aca="false">-In_Lease*$F25*BM72*BM17*BM$6</f>
        <v>-53.2374887147964</v>
      </c>
      <c r="BN78" s="48" t="n">
        <f aca="false">-In_Lease*$F25*BN72*BN17*BN$6</f>
        <v>-53.2374887147964</v>
      </c>
      <c r="BO78" s="48" t="n">
        <f aca="false">-In_Lease*$F25*BO72*BO17*BO$6</f>
        <v>-53.3821558036953</v>
      </c>
      <c r="BP78" s="48" t="n">
        <f aca="false">-In_Lease*$F25*BP72*BP17*BP$6</f>
        <v>-53.9752908681808</v>
      </c>
      <c r="BQ78" s="48" t="n">
        <f aca="false">-In_Lease*$F25*BQ72*BQ17*BQ$6</f>
        <v>-54.5684259326664</v>
      </c>
      <c r="BR78" s="48" t="n">
        <f aca="false">-In_Lease*$F25*BR72*BR17*BR$6</f>
        <v>-54.5684259326664</v>
      </c>
      <c r="BS78" s="48" t="n">
        <f aca="false">-In_Lease*$F25*BS72*BS17*BS$6</f>
        <v>-54.7167096987877</v>
      </c>
      <c r="BT78" s="48" t="n">
        <f aca="false">-In_Lease*$F25*BT72*BT17*BT$6</f>
        <v>-55.3246731398854</v>
      </c>
      <c r="BU78" s="48" t="n">
        <f aca="false">-In_Lease*$F25*BU72*BU17*BU$6</f>
        <v>-55.932636580983</v>
      </c>
      <c r="BV78" s="48" t="n">
        <f aca="false">-In_Lease*$F25*BV72*BV17*BV$6</f>
        <v>-55.932636580983</v>
      </c>
      <c r="BW78" s="48" t="n">
        <f aca="false">-In_Lease*$F25*BW72*BW17*BW$6</f>
        <v>-56.0846274412574</v>
      </c>
      <c r="BX78" s="48" t="n">
        <f aca="false">-In_Lease*$F25*BX72*BX17*BX$6</f>
        <v>-56.7077899683825</v>
      </c>
      <c r="BY78" s="48" t="n">
        <f aca="false">-In_Lease*$F25*BY72*BY17*BY$6</f>
        <v>-57.3309524955076</v>
      </c>
      <c r="BZ78" s="48" t="n">
        <f aca="false">-In_Lease*$F25*BZ72*BZ17*BZ$6</f>
        <v>-57.3309524955076</v>
      </c>
      <c r="CA78" s="48" t="n">
        <f aca="false">-In_Lease*$F25*CA72*CA17*CA$6</f>
        <v>-58.125484717592</v>
      </c>
      <c r="CB78" s="48" t="n">
        <f aca="false">-In_Lease*$F25*CB72*CB17*CB$6</f>
        <v>-58.125484717592</v>
      </c>
      <c r="CC78" s="48" t="n">
        <f aca="false">-In_Lease*$F25*CC72*CC17*CC$6</f>
        <v>-58.7642263078953</v>
      </c>
      <c r="CD78" s="48" t="n">
        <f aca="false">-In_Lease*$F25*CD72*CD17*CD$6</f>
        <v>-58.7642263078953</v>
      </c>
      <c r="CE78" s="48" t="n">
        <f aca="false">-In_Lease*$F25*CE72*CE17*CE$6</f>
        <v>-58.923911705471</v>
      </c>
      <c r="CF78" s="48" t="n">
        <f aca="false">-In_Lease*$F25*CF72*CF17*CF$6</f>
        <v>-59.5786218355318</v>
      </c>
      <c r="CG78" s="48" t="n">
        <f aca="false">-In_Lease*$F25*CG72*CG17*CG$6</f>
        <v>-60.2333319655926</v>
      </c>
      <c r="CH78" s="48" t="n">
        <f aca="false">-In_Lease*$F25*CH72*CH17*CH$6</f>
        <v>-60.2333319655926</v>
      </c>
      <c r="CI78" s="48" t="n">
        <f aca="false">-In_Lease*$F25*CI72*CI17*CI$6</f>
        <v>-60.3970094981078</v>
      </c>
      <c r="CJ78" s="48" t="n">
        <f aca="false">-In_Lease*$F25*CJ72*CJ17*CJ$6</f>
        <v>-61.0680873814201</v>
      </c>
      <c r="CK78" s="48" t="n">
        <f aca="false">-In_Lease*$F25*CK72*CK17*CK$6</f>
        <v>-61.7391652647324</v>
      </c>
      <c r="CL78" s="48" t="n">
        <f aca="false">-In_Lease*$F25*CL72*CL17*CL$6</f>
        <v>-61.7391652647324</v>
      </c>
      <c r="CM78" s="48" t="n">
        <f aca="false">-In_Lease*$F25*CM72*CM17*CM$6</f>
        <v>-61.9069347355605</v>
      </c>
      <c r="CN78" s="48" t="n">
        <f aca="false">-In_Lease*$F25*CN72*CN17*CN$6</f>
        <v>-62.5947895659556</v>
      </c>
      <c r="CO78" s="48" t="n">
        <f aca="false">-In_Lease*$F25*CO72*CO17*CO$6</f>
        <v>-63.2826443963507</v>
      </c>
      <c r="CP78" s="48" t="n">
        <f aca="false">-In_Lease*$F25*CP72*CP17*CP$6</f>
        <v>-63.2826443963507</v>
      </c>
      <c r="CQ78" s="48" t="n">
        <f aca="false">-In_Lease*$F25*CQ72*CQ17*CQ$6</f>
        <v>-64.1596593051045</v>
      </c>
      <c r="CR78" s="48" t="n">
        <f aca="false">-In_Lease*$F25*CR72*CR17*CR$6</f>
        <v>-64.1596593051045</v>
      </c>
      <c r="CS78" s="48" t="n">
        <f aca="false">-In_Lease*$F25*CS72*CS17*CS$6</f>
        <v>-64.8647105062595</v>
      </c>
      <c r="CT78" s="48" t="n">
        <f aca="false">-In_Lease*$F25*CT72*CT17*CT$6</f>
        <v>-64.8647105062595</v>
      </c>
      <c r="CU78" s="48" t="n">
        <f aca="false">-In_Lease*$F25*CU72*CU17*CU$6</f>
        <v>-65.0409733065482</v>
      </c>
      <c r="CV78" s="48" t="n">
        <f aca="false">-In_Lease*$F25*CV72*CV17*CV$6</f>
        <v>-65.7636507877321</v>
      </c>
      <c r="CW78" s="48" t="n">
        <f aca="false">-In_Lease*$F25*CW72*CW17*CW$6</f>
        <v>-66.486328268916</v>
      </c>
      <c r="CX78" s="48" t="n">
        <f aca="false">-In_Lease*$F25*CX72*CX17*CX$6</f>
        <v>-66.486328268916</v>
      </c>
      <c r="CY78" s="48" t="n">
        <f aca="false">-In_Lease*$F25*CY72*CY17*CY$6</f>
        <v>-66.6669976392119</v>
      </c>
      <c r="CZ78" s="48" t="n">
        <f aca="false">-In_Lease*$F25*CZ72*CZ17*CZ$6</f>
        <v>-67.4077420574254</v>
      </c>
      <c r="DA78" s="48" t="n">
        <f aca="false">-In_Lease*$F25*DA72*DA17*DA$6</f>
        <v>-68.1484864756389</v>
      </c>
      <c r="DB78" s="48" t="n">
        <f aca="false">-In_Lease*$F25*DB72*DB17*DB$6</f>
        <v>-68.1484864756389</v>
      </c>
      <c r="DC78" s="48" t="n">
        <f aca="false">-In_Lease*$F25*DC72*DC17*DC$6</f>
        <v>-68.3336725801922</v>
      </c>
      <c r="DD78" s="48" t="n">
        <f aca="false">-In_Lease*$F25*DD72*DD17*DD$6</f>
        <v>-69.0929356088611</v>
      </c>
      <c r="DE78" s="48" t="n">
        <f aca="false">-In_Lease*$F25*DE72*DE17*DE$6</f>
        <v>-69.8521986375299</v>
      </c>
      <c r="DF78" s="48" t="n">
        <f aca="false">-In_Lease*$F25*DF72*DF17*DF$6</f>
        <v>-69.8521986375299</v>
      </c>
      <c r="DG78" s="48" t="n">
        <f aca="false">-In_Lease*$F25*DG72*DG17*DG$6</f>
        <v>-70.8202589990826</v>
      </c>
      <c r="DH78" s="48" t="n">
        <f aca="false">-In_Lease*$F25*DH72*DH17*DH$6</f>
        <v>-70.8202589990826</v>
      </c>
      <c r="DI78" s="48" t="n">
        <f aca="false">-In_Lease*$F25*DI72*DI17*DI$6</f>
        <v>-71.5985036034681</v>
      </c>
      <c r="DJ78" s="48" t="n">
        <f aca="false">-In_Lease*$F25*DJ72*DJ17*DJ$6</f>
        <v>-71.5985036034681</v>
      </c>
      <c r="DK78" s="48" t="n">
        <f aca="false">-In_Lease*$F25*DK72*DK17*DK$6</f>
        <v>-71.7930647545645</v>
      </c>
      <c r="DL78" s="48" t="n">
        <f aca="false">-In_Lease*$F25*DL72*DL17*DL$6</f>
        <v>-72.5907654740596</v>
      </c>
      <c r="DM78" s="48" t="n">
        <f aca="false">-In_Lease*$F25*DM72*DM17*DM$6</f>
        <v>-73.3884661935548</v>
      </c>
      <c r="DN78" s="48" t="n">
        <f aca="false">-In_Lease*$F25*DN72*DN17*DN$6</f>
        <v>-73.3884661935548</v>
      </c>
      <c r="DO78" s="48" t="n">
        <f aca="false">-In_Lease*$F25*DO72*DO17*DO$6</f>
        <v>-73.5878913734286</v>
      </c>
      <c r="DP78" s="48" t="n">
        <f aca="false">-In_Lease*$F25*DP72*DP17*DP$6</f>
        <v>-74.4055346109111</v>
      </c>
      <c r="DQ78" s="48" t="n">
        <f aca="false">-In_Lease*$F25*DQ72*DQ17*DQ$6</f>
        <v>-75.2231778483937</v>
      </c>
      <c r="DR78" s="48" t="n">
        <f aca="false">-In_Lease*$F25*DR72*DR17*DR$6</f>
        <v>-75.2231778483937</v>
      </c>
      <c r="DS78" s="48" t="n">
        <f aca="false">-In_Lease*$F25*DS72*DS17*DS$6</f>
        <v>-75.4275886577643</v>
      </c>
      <c r="DT78" s="48" t="n">
        <f aca="false">-In_Lease*$F25*DT72*DT17*DT$6</f>
        <v>-76.2656729761839</v>
      </c>
      <c r="DU78" s="48" t="n">
        <f aca="false">-In_Lease*$F25*DU72*DU17*DU$6</f>
        <v>-77.1037572946035</v>
      </c>
      <c r="DV78" s="48" t="n">
        <f aca="false">-In_Lease*$F25*DV72*DV17*DV$6</f>
        <v>-77.1037572946035</v>
      </c>
      <c r="DW78" s="48" t="n">
        <f aca="false">-In_Lease*$F25*DW72*DW17*DW$6</f>
        <v>-78.1723148005885</v>
      </c>
      <c r="DX78" s="48" t="n">
        <f aca="false">-In_Lease*$F25*DX72*DX17*DX$6</f>
        <v>-78.1723148005885</v>
      </c>
      <c r="DY78" s="48" t="n">
        <f aca="false">-In_Lease*$F25*DY72*DY17*DY$6</f>
        <v>-79.0313512269686</v>
      </c>
      <c r="DZ78" s="48" t="n">
        <f aca="false">-In_Lease*$F25*DZ72*DZ17*DZ$6</f>
        <v>-79.0313512269686</v>
      </c>
      <c r="EA78" s="48" t="n">
        <f aca="false">-In_Lease*$F25*EA72*EA17*EA$6</f>
        <v>-79.2461103335636</v>
      </c>
      <c r="EB78" s="48" t="n">
        <f aca="false">-In_Lease*$F25*EB72*EB17*EB$6</f>
        <v>-80.1266226706032</v>
      </c>
      <c r="EC78" s="48" t="n">
        <f aca="false">-In_Lease*$F25*EC72*EC17*EC$6</f>
        <v>-81.0071350076428</v>
      </c>
      <c r="ED78" s="48" t="n">
        <f aca="false">-In_Lease*$F25*ED72*ED17*ED$6</f>
        <v>-81.0071350076428</v>
      </c>
      <c r="EE78" s="48" t="n">
        <f aca="false">-In_Lease*$F25*EE72*EE17*EE$6</f>
        <v>-81.2272630919027</v>
      </c>
      <c r="EF78" s="48" t="n">
        <f aca="false">-In_Lease*$F25*EF72*EF17*EF$6</f>
        <v>-82.1297882373683</v>
      </c>
      <c r="EG78" s="48" t="n">
        <f aca="false">-In_Lease*$F25*EG72*EG17*EG$6</f>
        <v>-83.0323133828338</v>
      </c>
      <c r="EH78" s="48" t="n">
        <f aca="false">-In_Lease*$F25*EH72*EH17*EH$6</f>
        <v>-83.0323133828338</v>
      </c>
      <c r="EI78" s="48" t="n">
        <f aca="false">-In_Lease*$F25*EI72*EI17*EI$6</f>
        <v>-83.2579446692002</v>
      </c>
      <c r="EJ78" s="48" t="n">
        <f aca="false">-In_Lease*$F25*EJ72*EJ17*EJ$6</f>
        <v>-84.1830329433024</v>
      </c>
      <c r="EK78" s="48" t="n">
        <f aca="false">-In_Lease*$F25*EK72*EK17*EK$6</f>
        <v>-85.1081212174047</v>
      </c>
      <c r="EL78" s="48" t="n">
        <f aca="false">-In_Lease*$F25*EL72*EL17*EL$6</f>
        <v>-85.1081212174047</v>
      </c>
      <c r="EM78" s="48" t="n">
        <f aca="false">-In_Lease*$F25*EM72*EM17*EM$6</f>
        <v>-86.287608766885</v>
      </c>
      <c r="EN78" s="48" t="n">
        <f aca="false">-In_Lease*$F25*EN72*EN17*EN$6</f>
        <v>-86.287608766885</v>
      </c>
      <c r="EO78" s="48" t="n">
        <f aca="false">-In_Lease*$F25*EO72*EO17*EO$6</f>
        <v>-87.2358242478398</v>
      </c>
    </row>
    <row r="79" customFormat="false" ht="15" hidden="false" customHeight="false" outlineLevel="0" collapsed="false">
      <c r="C79" s="0" t="s">
        <v>462</v>
      </c>
      <c r="D79" s="11" t="s">
        <v>33</v>
      </c>
      <c r="I79" s="48" t="n">
        <f aca="false">SUM(J79:EO79)</f>
        <v>-10098.0650826636</v>
      </c>
      <c r="J79" s="48" t="n">
        <f aca="false">-J75*(In_MEKH+In_HIPA+In_Innovation)</f>
        <v>-0</v>
      </c>
      <c r="K79" s="48" t="n">
        <f aca="false">-K75*(In_MEKH+In_HIPA+In_Innovation)</f>
        <v>-0</v>
      </c>
      <c r="L79" s="48" t="n">
        <f aca="false">-L75*(In_MEKH+In_HIPA+In_Innovation)</f>
        <v>-0</v>
      </c>
      <c r="M79" s="48" t="n">
        <f aca="false">-M75*(In_MEKH+In_HIPA+In_Innovation)</f>
        <v>-0</v>
      </c>
      <c r="N79" s="48" t="n">
        <f aca="false">-N75*(In_MEKH+In_HIPA+In_Innovation)</f>
        <v>-0</v>
      </c>
      <c r="O79" s="48" t="n">
        <f aca="false">-O75*(In_MEKH+In_HIPA+In_Innovation)</f>
        <v>-0</v>
      </c>
      <c r="P79" s="48" t="n">
        <f aca="false">-P75*(In_MEKH+In_HIPA+In_Innovation)</f>
        <v>-0</v>
      </c>
      <c r="Q79" s="48" t="n">
        <f aca="false">-Q75*(In_MEKH+In_HIPA+In_Innovation)</f>
        <v>-0</v>
      </c>
      <c r="R79" s="48" t="n">
        <f aca="false">-R75*(In_MEKH+In_HIPA+In_Innovation)</f>
        <v>-0</v>
      </c>
      <c r="S79" s="48" t="n">
        <f aca="false">-S75*(In_MEKH+In_HIPA+In_Innovation)</f>
        <v>-0</v>
      </c>
      <c r="T79" s="48" t="n">
        <f aca="false">-T75*(In_MEKH+In_HIPA+In_Innovation)</f>
        <v>-0</v>
      </c>
      <c r="U79" s="48" t="n">
        <f aca="false">-U75*(In_MEKH+In_HIPA+In_Innovation)</f>
        <v>-0</v>
      </c>
      <c r="V79" s="48" t="n">
        <f aca="false">-V75*(In_MEKH+In_HIPA+In_Innovation)</f>
        <v>-0</v>
      </c>
      <c r="W79" s="48" t="n">
        <f aca="false">-W75*(In_MEKH+In_HIPA+In_Innovation)</f>
        <v>-0</v>
      </c>
      <c r="X79" s="48" t="n">
        <f aca="false">-X75*(In_MEKH+In_HIPA+In_Innovation)</f>
        <v>-0</v>
      </c>
      <c r="Y79" s="48" t="n">
        <f aca="false">-Y75*(In_MEKH+In_HIPA+In_Innovation)</f>
        <v>-0</v>
      </c>
      <c r="Z79" s="48" t="n">
        <f aca="false">-Z75*(In_MEKH+In_HIPA+In_Innovation)</f>
        <v>-75.950784</v>
      </c>
      <c r="AA79" s="48" t="n">
        <f aca="false">-AA75*(In_MEKH+In_HIPA+In_Innovation)</f>
        <v>-75.0426768</v>
      </c>
      <c r="AB79" s="48" t="n">
        <f aca="false">-AB75*(In_MEKH+In_HIPA+In_Innovation)</f>
        <v>-75.87648432</v>
      </c>
      <c r="AC79" s="48" t="n">
        <f aca="false">-AC75*(In_MEKH+In_HIPA+In_Innovation)</f>
        <v>-76.71029184</v>
      </c>
      <c r="AD79" s="48" t="n">
        <f aca="false">-AD75*(In_MEKH+In_HIPA+In_Innovation)</f>
        <v>-76.48016096448</v>
      </c>
      <c r="AE79" s="48" t="n">
        <f aca="false">-AE75*(In_MEKH+In_HIPA+In_Innovation)</f>
        <v>-76.4053434157104</v>
      </c>
      <c r="AF79" s="48" t="n">
        <f aca="false">-AF75*(In_MEKH+In_HIPA+In_Innovation)</f>
        <v>-76.4053434157104</v>
      </c>
      <c r="AG79" s="48" t="n">
        <f aca="false">-AG75*(In_MEKH+In_HIPA+In_Innovation)</f>
        <v>-77.2449625741248</v>
      </c>
      <c r="AH79" s="48" t="n">
        <f aca="false">-AH75*(In_MEKH+In_HIPA+In_Innovation)</f>
        <v>-77.0132276864024</v>
      </c>
      <c r="AI79" s="48" t="n">
        <f aca="false">-AI75*(In_MEKH+In_HIPA+In_Innovation)</f>
        <v>-76.0924173553694</v>
      </c>
      <c r="AJ79" s="48" t="n">
        <f aca="false">-AJ75*(In_MEKH+In_HIPA+In_Innovation)</f>
        <v>-76.9378886593179</v>
      </c>
      <c r="AK79" s="48" t="n">
        <f aca="false">-AK75*(In_MEKH+In_HIPA+In_Innovation)</f>
        <v>-77.7833599632665</v>
      </c>
      <c r="AL79" s="48" t="n">
        <f aca="false">-AL75*(In_MEKH+In_HIPA+In_Innovation)</f>
        <v>-77.5500098833767</v>
      </c>
      <c r="AM79" s="48" t="n">
        <f aca="false">-AM75*(In_MEKH+In_HIPA+In_Innovation)</f>
        <v>-76.6227815043363</v>
      </c>
      <c r="AN79" s="48" t="n">
        <f aca="false">-AN75*(In_MEKH+In_HIPA+In_Innovation)</f>
        <v>-77.4741457432734</v>
      </c>
      <c r="AO79" s="48" t="n">
        <f aca="false">-AO75*(In_MEKH+In_HIPA+In_Innovation)</f>
        <v>-78.3255099822104</v>
      </c>
      <c r="AP79" s="48" t="n">
        <f aca="false">-AP75*(In_MEKH+In_HIPA+In_Innovation)</f>
        <v>-78.0905334522638</v>
      </c>
      <c r="AQ79" s="48" t="n">
        <f aca="false">-AQ75*(In_MEKH+In_HIPA+In_Innovation)</f>
        <v>-77.1568422914215</v>
      </c>
      <c r="AR79" s="48" t="n">
        <f aca="false">-AR75*(In_MEKH+In_HIPA+In_Innovation)</f>
        <v>-78.014140539104</v>
      </c>
      <c r="AS79" s="48" t="n">
        <f aca="false">-AS75*(In_MEKH+In_HIPA+In_Innovation)</f>
        <v>-78.8714387867865</v>
      </c>
      <c r="AT79" s="48" t="n">
        <f aca="false">-AT75*(In_MEKH+In_HIPA+In_Innovation)</f>
        <v>-78.6348244704261</v>
      </c>
      <c r="AU79" s="48" t="n">
        <f aca="false">-AU75*(In_MEKH+In_HIPA+In_Innovation)</f>
        <v>-78.5578990986615</v>
      </c>
      <c r="AV79" s="48" t="n">
        <f aca="false">-AV75*(In_MEKH+In_HIPA+In_Innovation)</f>
        <v>-78.5578990986615</v>
      </c>
      <c r="AW79" s="48" t="n">
        <f aca="false">-AW75*(In_MEKH+In_HIPA+In_Innovation)</f>
        <v>-79.4211727151304</v>
      </c>
      <c r="AX79" s="48" t="n">
        <f aca="false">-AX75*(In_MEKH+In_HIPA+In_Innovation)</f>
        <v>-79.182909196985</v>
      </c>
      <c r="AY79" s="48" t="n">
        <f aca="false">-AY75*(In_MEKH+In_HIPA+In_Innovation)</f>
        <v>-78.2361570218036</v>
      </c>
      <c r="AZ79" s="48" t="n">
        <f aca="false">-AZ75*(In_MEKH+In_HIPA+In_Innovation)</f>
        <v>-79.1054476553792</v>
      </c>
      <c r="BA79" s="48" t="n">
        <f aca="false">-BA75*(In_MEKH+In_HIPA+In_Innovation)</f>
        <v>-79.9747382889548</v>
      </c>
      <c r="BB79" s="48" t="n">
        <f aca="false">-BB75*(In_MEKH+In_HIPA+In_Innovation)</f>
        <v>-79.7348140740879</v>
      </c>
      <c r="BC79" s="48" t="n">
        <f aca="false">-BC75*(In_MEKH+In_HIPA+In_Innovation)</f>
        <v>-78.7814630362456</v>
      </c>
      <c r="BD79" s="48" t="n">
        <f aca="false">-BD75*(In_MEKH+In_HIPA+In_Innovation)</f>
        <v>-79.6568126255372</v>
      </c>
      <c r="BE79" s="48" t="n">
        <f aca="false">-BE75*(In_MEKH+In_HIPA+In_Innovation)</f>
        <v>-80.5321622148288</v>
      </c>
      <c r="BF79" s="48" t="n">
        <f aca="false">-BF75*(In_MEKH+In_HIPA+In_Innovation)</f>
        <v>-80.2905657281844</v>
      </c>
      <c r="BG79" s="48" t="n">
        <f aca="false">-BG75*(In_MEKH+In_HIPA+In_Innovation)</f>
        <v>-79.3305698336082</v>
      </c>
      <c r="BH79" s="48" t="n">
        <f aca="false">-BH75*(In_MEKH+In_HIPA+In_Innovation)</f>
        <v>-80.2120206095372</v>
      </c>
      <c r="BI79" s="48" t="n">
        <f aca="false">-BI75*(In_MEKH+In_HIPA+In_Innovation)</f>
        <v>-81.0934713854662</v>
      </c>
      <c r="BJ79" s="48" t="n">
        <f aca="false">-BJ75*(In_MEKH+In_HIPA+In_Innovation)</f>
        <v>-80.8501909713098</v>
      </c>
      <c r="BK79" s="48" t="n">
        <f aca="false">-BK75*(In_MEKH+In_HIPA+In_Innovation)</f>
        <v>-80.7710983931857</v>
      </c>
      <c r="BL79" s="48" t="n">
        <f aca="false">-BL75*(In_MEKH+In_HIPA+In_Innovation)</f>
        <v>-80.7710983931857</v>
      </c>
      <c r="BM79" s="48" t="n">
        <f aca="false">-BM75*(In_MEKH+In_HIPA+In_Innovation)</f>
        <v>-81.6586928810229</v>
      </c>
      <c r="BN79" s="48" t="n">
        <f aca="false">-BN75*(In_MEKH+In_HIPA+In_Innovation)</f>
        <v>-81.4137168023798</v>
      </c>
      <c r="BO79" s="48" t="n">
        <f aca="false">-BO75*(In_MEKH+In_HIPA+In_Innovation)</f>
        <v>-80.4402919275687</v>
      </c>
      <c r="BP79" s="48" t="n">
        <f aca="false">-BP75*(In_MEKH+In_HIPA+In_Innovation)</f>
        <v>-81.3340729489862</v>
      </c>
      <c r="BQ79" s="48" t="n">
        <f aca="false">-BQ75*(In_MEKH+In_HIPA+In_Innovation)</f>
        <v>-82.2278539704036</v>
      </c>
      <c r="BR79" s="48" t="n">
        <f aca="false">-BR75*(In_MEKH+In_HIPA+In_Innovation)</f>
        <v>-81.9811704084924</v>
      </c>
      <c r="BS79" s="48" t="n">
        <f aca="false">-BS75*(In_MEKH+In_HIPA+In_Innovation)</f>
        <v>-81.0009607623039</v>
      </c>
      <c r="BT79" s="48" t="n">
        <f aca="false">-BT75*(In_MEKH+In_HIPA+In_Innovation)</f>
        <v>-81.9009714374406</v>
      </c>
      <c r="BU79" s="48" t="n">
        <f aca="false">-BU75*(In_MEKH+In_HIPA+In_Innovation)</f>
        <v>-82.8009821125773</v>
      </c>
      <c r="BV79" s="48" t="n">
        <f aca="false">-BV75*(In_MEKH+In_HIPA+In_Innovation)</f>
        <v>-82.5525791662396</v>
      </c>
      <c r="BW79" s="48" t="n">
        <f aca="false">-BW75*(In_MEKH+In_HIPA+In_Innovation)</f>
        <v>-81.5655374588172</v>
      </c>
      <c r="BX79" s="48" t="n">
        <f aca="false">-BX75*(In_MEKH+In_HIPA+In_Innovation)</f>
        <v>-82.4718212083596</v>
      </c>
      <c r="BY79" s="48" t="n">
        <f aca="false">-BY75*(In_MEKH+In_HIPA+In_Innovation)</f>
        <v>-83.378104957902</v>
      </c>
      <c r="BZ79" s="48" t="n">
        <f aca="false">-BZ75*(In_MEKH+In_HIPA+In_Innovation)</f>
        <v>-83.1279706430283</v>
      </c>
      <c r="CA79" s="48" t="n">
        <f aca="false">-CA75*(In_MEKH+In_HIPA+In_Innovation)</f>
        <v>-83.0466498021818</v>
      </c>
      <c r="CB79" s="48" t="n">
        <f aca="false">-CB75*(In_MEKH+In_HIPA+In_Innovation)</f>
        <v>-83.0466498021818</v>
      </c>
      <c r="CC79" s="48" t="n">
        <f aca="false">-CC75*(In_MEKH+In_HIPA+In_Innovation)</f>
        <v>-83.9592503494586</v>
      </c>
      <c r="CD79" s="48" t="n">
        <f aca="false">-CD75*(In_MEKH+In_HIPA+In_Innovation)</f>
        <v>-83.7073725984102</v>
      </c>
      <c r="CE79" s="48" t="n">
        <f aca="false">-CE75*(In_MEKH+In_HIPA+In_Innovation)</f>
        <v>-82.7065235782118</v>
      </c>
      <c r="CF79" s="48" t="n">
        <f aca="false">-CF75*(In_MEKH+In_HIPA+In_Innovation)</f>
        <v>-83.625484951303</v>
      </c>
      <c r="CG79" s="48" t="n">
        <f aca="false">-CG75*(In_MEKH+In_HIPA+In_Innovation)</f>
        <v>-84.5444463243943</v>
      </c>
      <c r="CH79" s="48" t="n">
        <f aca="false">-CH75*(In_MEKH+In_HIPA+In_Innovation)</f>
        <v>-84.2908129854211</v>
      </c>
      <c r="CI79" s="48" t="n">
        <f aca="false">-CI75*(In_MEKH+In_HIPA+In_Innovation)</f>
        <v>-83.2829880475519</v>
      </c>
      <c r="CJ79" s="48" t="n">
        <f aca="false">-CJ75*(In_MEKH+In_HIPA+In_Innovation)</f>
        <v>-84.2083545814136</v>
      </c>
      <c r="CK79" s="48" t="n">
        <f aca="false">-CK75*(In_MEKH+In_HIPA+In_Innovation)</f>
        <v>-85.1337211152753</v>
      </c>
      <c r="CL79" s="48" t="n">
        <f aca="false">-CL75*(In_MEKH+In_HIPA+In_Innovation)</f>
        <v>-84.8783199519295</v>
      </c>
      <c r="CM79" s="48" t="n">
        <f aca="false">-CM75*(In_MEKH+In_HIPA+In_Innovation)</f>
        <v>-83.8634704742434</v>
      </c>
      <c r="CN79" s="48" t="n">
        <f aca="false">-CN75*(In_MEKH+In_HIPA+In_Innovation)</f>
        <v>-84.7952868128461</v>
      </c>
      <c r="CO79" s="48" t="n">
        <f aca="false">-CO75*(In_MEKH+In_HIPA+In_Innovation)</f>
        <v>-85.7271031514488</v>
      </c>
      <c r="CP79" s="48" t="n">
        <f aca="false">-CP75*(In_MEKH+In_HIPA+In_Innovation)</f>
        <v>-85.4699218419945</v>
      </c>
      <c r="CQ79" s="48" t="n">
        <f aca="false">-CQ75*(In_MEKH+In_HIPA+In_Innovation)</f>
        <v>-85.3863099619316</v>
      </c>
      <c r="CR79" s="48" t="n">
        <f aca="false">-CR75*(In_MEKH+In_HIPA+In_Innovation)</f>
        <v>-85.3863099619316</v>
      </c>
      <c r="CS79" s="48" t="n">
        <f aca="false">-CS75*(In_MEKH+In_HIPA+In_Innovation)</f>
        <v>-86.3246210604144</v>
      </c>
      <c r="CT79" s="48" t="n">
        <f aca="false">-CT75*(In_MEKH+In_HIPA+In_Innovation)</f>
        <v>-86.0656471972332</v>
      </c>
      <c r="CU79" s="48" t="n">
        <f aca="false">-CU75*(In_MEKH+In_HIPA+In_Innovation)</f>
        <v>-85.0366014155271</v>
      </c>
      <c r="CV79" s="48" t="n">
        <f aca="false">-CV75*(In_MEKH+In_HIPA+In_Innovation)</f>
        <v>-85.9814525423663</v>
      </c>
      <c r="CW79" s="48" t="n">
        <f aca="false">-CW75*(In_MEKH+In_HIPA+In_Innovation)</f>
        <v>-86.9263036692055</v>
      </c>
      <c r="CX79" s="48" t="n">
        <f aca="false">-CX75*(In_MEKH+In_HIPA+In_Innovation)</f>
        <v>-86.6655247581979</v>
      </c>
      <c r="CY79" s="48" t="n">
        <f aca="false">-CY75*(In_MEKH+In_HIPA+In_Innovation)</f>
        <v>-85.6293065273933</v>
      </c>
      <c r="CZ79" s="48" t="n">
        <f aca="false">-CZ75*(In_MEKH+In_HIPA+In_Innovation)</f>
        <v>-86.5807432665866</v>
      </c>
      <c r="DA79" s="48" t="n">
        <f aca="false">-DA75*(In_MEKH+In_HIPA+In_Innovation)</f>
        <v>-87.5321800057799</v>
      </c>
      <c r="DB79" s="48" t="n">
        <f aca="false">-DB75*(In_MEKH+In_HIPA+In_Innovation)</f>
        <v>-87.2695834657625</v>
      </c>
      <c r="DC79" s="48" t="n">
        <f aca="false">-DC75*(In_MEKH+In_HIPA+In_Innovation)</f>
        <v>-86.2261427938893</v>
      </c>
      <c r="DD79" s="48" t="n">
        <f aca="false">-DD75*(In_MEKH+In_HIPA+In_Innovation)</f>
        <v>-87.1842110471547</v>
      </c>
      <c r="DE79" s="48" t="n">
        <f aca="false">-DE75*(In_MEKH+In_HIPA+In_Innovation)</f>
        <v>-88.1422793004201</v>
      </c>
      <c r="DF79" s="48" t="n">
        <f aca="false">-DF75*(In_MEKH+In_HIPA+In_Innovation)</f>
        <v>-87.8778524625189</v>
      </c>
      <c r="DG79" s="48" t="n">
        <f aca="false">-DG75*(In_MEKH+In_HIPA+In_Innovation)</f>
        <v>-87.7918849981534</v>
      </c>
      <c r="DH79" s="48" t="n">
        <f aca="false">-DH75*(In_MEKH+In_HIPA+In_Innovation)</f>
        <v>-87.7918849981534</v>
      </c>
      <c r="DI79" s="48" t="n">
        <f aca="false">-DI75*(In_MEKH+In_HIPA+In_Innovation)</f>
        <v>-88.7566309871441</v>
      </c>
      <c r="DJ79" s="48" t="n">
        <f aca="false">-DJ75*(In_MEKH+In_HIPA+In_Innovation)</f>
        <v>-88.4903610941826</v>
      </c>
      <c r="DK79" s="48" t="n">
        <f aca="false">-DK75*(In_MEKH+In_HIPA+In_Innovation)</f>
        <v>-87.4323241680565</v>
      </c>
      <c r="DL79" s="48" t="n">
        <f aca="false">-DL75*(In_MEKH+In_HIPA+In_Innovation)</f>
        <v>-88.4037944365905</v>
      </c>
      <c r="DM79" s="48" t="n">
        <f aca="false">-DM75*(In_MEKH+In_HIPA+In_Innovation)</f>
        <v>-89.3752647051245</v>
      </c>
      <c r="DN79" s="48" t="n">
        <f aca="false">-DN75*(In_MEKH+In_HIPA+In_Innovation)</f>
        <v>-89.1071389110091</v>
      </c>
      <c r="DO79" s="48" t="n">
        <f aca="false">-DO75*(In_MEKH+In_HIPA+In_Innovation)</f>
        <v>-88.0417274675079</v>
      </c>
      <c r="DP79" s="48" t="n">
        <f aca="false">-DP75*(In_MEKH+In_HIPA+In_Innovation)</f>
        <v>-89.0199688838135</v>
      </c>
      <c r="DQ79" s="48" t="n">
        <f aca="false">-DQ75*(In_MEKH+In_HIPA+In_Innovation)</f>
        <v>-89.9982103001192</v>
      </c>
      <c r="DR79" s="48" t="n">
        <f aca="false">-DR75*(In_MEKH+In_HIPA+In_Innovation)</f>
        <v>-89.7282156692188</v>
      </c>
      <c r="DS79" s="48" t="n">
        <f aca="false">-DS75*(In_MEKH+In_HIPA+In_Innovation)</f>
        <v>-88.6553783079564</v>
      </c>
      <c r="DT79" s="48" t="n">
        <f aca="false">-DT75*(In_MEKH+In_HIPA+In_Innovation)</f>
        <v>-89.6404380669337</v>
      </c>
      <c r="DU79" s="48" t="n">
        <f aca="false">-DU75*(In_MEKH+In_HIPA+In_Innovation)</f>
        <v>-90.625497825911</v>
      </c>
      <c r="DV79" s="48" t="n">
        <f aca="false">-DV75*(In_MEKH+In_HIPA+In_Innovation)</f>
        <v>-90.3536213324333</v>
      </c>
      <c r="DW79" s="48" t="n">
        <f aca="false">-DW75*(In_MEKH+In_HIPA+In_Innovation)</f>
        <v>-90.2652319202602</v>
      </c>
      <c r="DX79" s="48" t="n">
        <f aca="false">-DX75*(In_MEKH+In_HIPA+In_Innovation)</f>
        <v>-90.2652319202602</v>
      </c>
      <c r="DY79" s="48" t="n">
        <f aca="false">-DY75*(In_MEKH+In_HIPA+In_Innovation)</f>
        <v>-91.2571575457576</v>
      </c>
      <c r="DZ79" s="48" t="n">
        <f aca="false">-DZ75*(In_MEKH+In_HIPA+In_Innovation)</f>
        <v>-90.9833860731203</v>
      </c>
      <c r="EA79" s="48" t="n">
        <f aca="false">-EA75*(In_MEKH+In_HIPA+In_Innovation)</f>
        <v>-89.8955412396374</v>
      </c>
      <c r="EB79" s="48" t="n">
        <f aca="false">-EB75*(In_MEKH+In_HIPA+In_Innovation)</f>
        <v>-90.8943805867445</v>
      </c>
      <c r="EC79" s="48" t="n">
        <f aca="false">-EC75*(In_MEKH+In_HIPA+In_Innovation)</f>
        <v>-91.8932199338516</v>
      </c>
      <c r="ED79" s="48" t="n">
        <f aca="false">-ED75*(In_MEKH+In_HIPA+In_Innovation)</f>
        <v>-91.61754027405</v>
      </c>
      <c r="EE79" s="48" t="n">
        <f aca="false">-EE75*(In_MEKH+In_HIPA+In_Innovation)</f>
        <v>-90.5221131620776</v>
      </c>
      <c r="EF79" s="48" t="n">
        <f aca="false">-EF75*(In_MEKH+In_HIPA+In_Innovation)</f>
        <v>-91.5279144194341</v>
      </c>
      <c r="EG79" s="48" t="n">
        <f aca="false">-EG75*(In_MEKH+In_HIPA+In_Innovation)</f>
        <v>-92.5337156767905</v>
      </c>
      <c r="EH79" s="48" t="n">
        <f aca="false">-EH75*(In_MEKH+In_HIPA+In_Innovation)</f>
        <v>-92.2561145297601</v>
      </c>
      <c r="EI79" s="48" t="n">
        <f aca="false">-EI75*(In_MEKH+In_HIPA+In_Innovation)</f>
        <v>-91.1530522908173</v>
      </c>
      <c r="EJ79" s="48" t="n">
        <f aca="false">-EJ75*(In_MEKH+In_HIPA+In_Innovation)</f>
        <v>-92.1658639829375</v>
      </c>
      <c r="EK79" s="48" t="n">
        <f aca="false">-EK75*(In_MEKH+In_HIPA+In_Innovation)</f>
        <v>-93.1786756750577</v>
      </c>
      <c r="EL79" s="48" t="n">
        <f aca="false">-EL75*(In_MEKH+In_HIPA+In_Innovation)</f>
        <v>-92.8991396480325</v>
      </c>
      <c r="EM79" s="48" t="n">
        <f aca="false">-EM75*(In_MEKH+In_HIPA+In_Innovation)</f>
        <v>-92.8082600548986</v>
      </c>
      <c r="EN79" s="48" t="n">
        <f aca="false">-EN75*(In_MEKH+In_HIPA+In_Innovation)</f>
        <v>-92.8082600548986</v>
      </c>
      <c r="EO79" s="48" t="n">
        <f aca="false">-EO75*(In_MEKH+In_HIPA+In_Innovation)</f>
        <v>-93.8281310445129</v>
      </c>
    </row>
    <row r="80" customFormat="false" ht="15" hidden="false" customHeight="false" outlineLevel="0" collapsed="false">
      <c r="C80" s="0" t="s">
        <v>341</v>
      </c>
      <c r="D80" s="11" t="s">
        <v>33</v>
      </c>
      <c r="I80" s="48" t="n">
        <f aca="false">SUM(J80:EO80)</f>
        <v>-4936.62840952233</v>
      </c>
      <c r="J80" s="48" t="n">
        <f aca="false">In_Opex_Contingency*(J76+J77+J78-J75*In_MEKH)</f>
        <v>-0</v>
      </c>
      <c r="K80" s="48" t="n">
        <f aca="false">In_Opex_Contingency*(K76+K77+K78-K75*In_MEKH)</f>
        <v>-0</v>
      </c>
      <c r="L80" s="48" t="n">
        <f aca="false">In_Opex_Contingency*(L76+L77+L78-L75*In_MEKH)</f>
        <v>-0</v>
      </c>
      <c r="M80" s="48" t="n">
        <f aca="false">In_Opex_Contingency*(M76+M77+M78-M75*In_MEKH)</f>
        <v>-0</v>
      </c>
      <c r="N80" s="48" t="n">
        <f aca="false">In_Opex_Contingency*(N76+N77+N78-N75*In_MEKH)</f>
        <v>-0</v>
      </c>
      <c r="O80" s="48" t="n">
        <f aca="false">In_Opex_Contingency*(O76+O77+O78-O75*In_MEKH)</f>
        <v>-0</v>
      </c>
      <c r="P80" s="48" t="n">
        <f aca="false">In_Opex_Contingency*(P76+P77+P78-P75*In_MEKH)</f>
        <v>-0</v>
      </c>
      <c r="Q80" s="48" t="n">
        <f aca="false">In_Opex_Contingency*(Q76+Q77+Q78-Q75*In_MEKH)</f>
        <v>-0</v>
      </c>
      <c r="R80" s="48" t="n">
        <f aca="false">In_Opex_Contingency*(R76+R77+R78-R75*In_MEKH)</f>
        <v>-1.979252401946</v>
      </c>
      <c r="S80" s="48" t="n">
        <f aca="false">In_Opex_Contingency*(S76+S77+S78-S75*In_MEKH)</f>
        <v>-1.98463080521216</v>
      </c>
      <c r="T80" s="48" t="n">
        <f aca="false">In_Opex_Contingency*(T76+T77+T78-T75*In_MEKH)</f>
        <v>-2.00668225860341</v>
      </c>
      <c r="U80" s="48" t="n">
        <f aca="false">In_Opex_Contingency*(U76+U77+U78-U75*In_MEKH)</f>
        <v>-2.02873371199466</v>
      </c>
      <c r="V80" s="48" t="n">
        <f aca="false">In_Opex_Contingency*(V76+V77+V78-V75*In_MEKH)</f>
        <v>-2.02873371199466</v>
      </c>
      <c r="W80" s="48" t="n">
        <f aca="false">In_Opex_Contingency*(W76+W77+W78-W75*In_MEKH)</f>
        <v>-2.03424657534247</v>
      </c>
      <c r="X80" s="48" t="n">
        <f aca="false">In_Opex_Contingency*(X76+X77+X78-X75*In_MEKH)</f>
        <v>-2.05684931506849</v>
      </c>
      <c r="Y80" s="48" t="n">
        <f aca="false">In_Opex_Contingency*(Y76+Y77+Y78-Y75*In_MEKH)</f>
        <v>-2.07945205479452</v>
      </c>
      <c r="Z80" s="48" t="n">
        <f aca="false">In_Opex_Contingency*(Z76+Z77+Z78-Z75*In_MEKH)</f>
        <v>-28.1680088821918</v>
      </c>
      <c r="AA80" s="48" t="n">
        <f aca="false">In_Opex_Contingency*(AA76+AA77+AA78-AA75*In_MEKH)</f>
        <v>-28.242230519589</v>
      </c>
      <c r="AB80" s="48" t="n">
        <f aca="false">In_Opex_Contingency*(AB76+AB77+AB78-AB75*In_MEKH)</f>
        <v>-28.5560330809178</v>
      </c>
      <c r="AC80" s="48" t="n">
        <f aca="false">In_Opex_Contingency*(AC76+AC77+AC78-AC75*In_MEKH)</f>
        <v>-28.8698356422466</v>
      </c>
      <c r="AD80" s="48" t="n">
        <f aca="false">In_Opex_Contingency*(AD76+AD77+AD78-AD75*In_MEKH)</f>
        <v>-28.8423251079226</v>
      </c>
      <c r="AE80" s="48" t="n">
        <f aca="false">In_Opex_Contingency*(AE76+AE77+AE78-AE75*In_MEKH)</f>
        <v>-29.2396780867797</v>
      </c>
      <c r="AF80" s="48" t="n">
        <f aca="false">In_Opex_Contingency*(AF76+AF77+AF78-AF75*In_MEKH)</f>
        <v>-29.2396780867797</v>
      </c>
      <c r="AG80" s="48" t="n">
        <f aca="false">In_Opex_Contingency*(AG76+AG77+AG78-AG75*In_MEKH)</f>
        <v>-29.5609932305905</v>
      </c>
      <c r="AH80" s="48" t="n">
        <f aca="false">In_Opex_Contingency*(AH76+AH77+AH78-AH75*In_MEKH)</f>
        <v>-29.5328866978166</v>
      </c>
      <c r="AI80" s="48" t="n">
        <f aca="false">In_Opex_Contingency*(AI76+AI77+AI78-AI75*In_MEKH)</f>
        <v>-29.6107847627251</v>
      </c>
      <c r="AJ80" s="48" t="n">
        <f aca="false">In_Opex_Contingency*(AJ76+AJ77+AJ78-AJ75*In_MEKH)</f>
        <v>-29.9397934823109</v>
      </c>
      <c r="AK80" s="48" t="n">
        <f aca="false">In_Opex_Contingency*(AK76+AK77+AK78-AK75*In_MEKH)</f>
        <v>-30.2688022018968</v>
      </c>
      <c r="AL80" s="48" t="n">
        <f aca="false">In_Opex_Contingency*(AL76+AL77+AL78-AL75*In_MEKH)</f>
        <v>-30.2400866533818</v>
      </c>
      <c r="AM80" s="48" t="n">
        <f aca="false">In_Opex_Contingency*(AM76+AM77+AM78-AM75*In_MEKH)</f>
        <v>-30.3198900475182</v>
      </c>
      <c r="AN80" s="48" t="n">
        <f aca="false">In_Opex_Contingency*(AN76+AN77+AN78-AN75*In_MEKH)</f>
        <v>-30.6567777147129</v>
      </c>
      <c r="AO80" s="48" t="n">
        <f aca="false">In_Opex_Contingency*(AO76+AO77+AO78-AO75*In_MEKH)</f>
        <v>-30.9936653819075</v>
      </c>
      <c r="AP80" s="48" t="n">
        <f aca="false">In_Opex_Contingency*(AP76+AP77+AP78-AP75*In_MEKH)</f>
        <v>-30.9643275153048</v>
      </c>
      <c r="AQ80" s="48" t="n">
        <f aca="false">In_Opex_Contingency*(AQ76+AQ77+AQ78-AQ75*In_MEKH)</f>
        <v>-31.0460824311036</v>
      </c>
      <c r="AR80" s="48" t="n">
        <f aca="false">In_Opex_Contingency*(AR76+AR77+AR78-AR75*In_MEKH)</f>
        <v>-31.3910389025603</v>
      </c>
      <c r="AS80" s="48" t="n">
        <f aca="false">In_Opex_Contingency*(AS76+AS77+AS78-AS75*In_MEKH)</f>
        <v>-31.735995374017</v>
      </c>
      <c r="AT80" s="48" t="n">
        <f aca="false">In_Opex_Contingency*(AT76+AT77+AT78-AT75*In_MEKH)</f>
        <v>-31.7060215956766</v>
      </c>
      <c r="AU80" s="48" t="n">
        <f aca="false">In_Opex_Contingency*(AU76+AU77+AU78-AU75*In_MEKH)</f>
        <v>-32.1429950712461</v>
      </c>
      <c r="AV80" s="48" t="n">
        <f aca="false">In_Opex_Contingency*(AV76+AV77+AV78-AV75*In_MEKH)</f>
        <v>-32.1429950712461</v>
      </c>
      <c r="AW80" s="48" t="n">
        <f aca="false">In_Opex_Contingency*(AW76+AW77+AW78-AW75*In_MEKH)</f>
        <v>-32.4962147973038</v>
      </c>
      <c r="AX80" s="48" t="n">
        <f aca="false">In_Opex_Contingency*(AX76+AX77+AX78-AX75*In_MEKH)</f>
        <v>-32.465591215888</v>
      </c>
      <c r="AY80" s="48" t="n">
        <f aca="false">In_Opex_Contingency*(AY76+AY77+AY78-AY75*In_MEKH)</f>
        <v>-32.5513922579734</v>
      </c>
      <c r="AZ80" s="48" t="n">
        <f aca="false">In_Opex_Contingency*(AZ76+AZ77+AZ78-AZ75*In_MEKH)</f>
        <v>-32.9130743941731</v>
      </c>
      <c r="BA80" s="48" t="n">
        <f aca="false">In_Opex_Contingency*(BA76+BA77+BA78-BA75*In_MEKH)</f>
        <v>-33.2747565303728</v>
      </c>
      <c r="BB80" s="48" t="n">
        <f aca="false">In_Opex_Contingency*(BB76+BB77+BB78-BB75*In_MEKH)</f>
        <v>-33.2434689503322</v>
      </c>
      <c r="BC80" s="48" t="n">
        <f aca="false">In_Opex_Contingency*(BC76+BC77+BC78-BC75*In_MEKH)</f>
        <v>-33.331366918517</v>
      </c>
      <c r="BD80" s="48" t="n">
        <f aca="false">In_Opex_Contingency*(BD76+BD77+BD78-BD75*In_MEKH)</f>
        <v>-33.7017154398339</v>
      </c>
      <c r="BE80" s="48" t="n">
        <f aca="false">In_Opex_Contingency*(BE76+BE77+BE78-BE75*In_MEKH)</f>
        <v>-34.0720639611507</v>
      </c>
      <c r="BF80" s="48" t="n">
        <f aca="false">In_Opex_Contingency*(BF76+BF77+BF78-BF75*In_MEKH)</f>
        <v>-34.0400978760566</v>
      </c>
      <c r="BG80" s="48" t="n">
        <f aca="false">In_Opex_Contingency*(BG76+BG77+BG78-BG75*In_MEKH)</f>
        <v>-34.1301436070664</v>
      </c>
      <c r="BH80" s="48" t="n">
        <f aca="false">In_Opex_Contingency*(BH76+BH77+BH78-BH75*In_MEKH)</f>
        <v>-34.5093674249227</v>
      </c>
      <c r="BI80" s="48" t="n">
        <f aca="false">In_Opex_Contingency*(BI76+BI77+BI78-BI75*In_MEKH)</f>
        <v>-34.888591242779</v>
      </c>
      <c r="BJ80" s="48" t="n">
        <f aca="false">In_Opex_Contingency*(BJ76+BJ77+BJ78-BJ75*In_MEKH)</f>
        <v>-34.8559318285097</v>
      </c>
      <c r="BK80" s="48" t="n">
        <f aca="false">In_Opex_Contingency*(BK76+BK77+BK78-BK75*In_MEKH)</f>
        <v>-35.3364904736268</v>
      </c>
      <c r="BL80" s="48" t="n">
        <f aca="false">In_Opex_Contingency*(BL76+BL77+BL78-BL75*In_MEKH)</f>
        <v>-35.3364904736268</v>
      </c>
      <c r="BM80" s="48" t="n">
        <f aca="false">In_Opex_Contingency*(BM76+BM77+BM78-BM75*In_MEKH)</f>
        <v>-35.7248035557546</v>
      </c>
      <c r="BN80" s="48" t="n">
        <f aca="false">In_Opex_Contingency*(BN76+BN77+BN78-BN75*In_MEKH)</f>
        <v>-35.6914356635328</v>
      </c>
      <c r="BO80" s="48" t="n">
        <f aca="false">In_Opex_Contingency*(BO76+BO77+BO78-BO75*In_MEKH)</f>
        <v>-35.785934390026</v>
      </c>
      <c r="BP80" s="48" t="n">
        <f aca="false">In_Opex_Contingency*(BP76+BP77+BP78-BP75*In_MEKH)</f>
        <v>-36.1835558832485</v>
      </c>
      <c r="BQ80" s="48" t="n">
        <f aca="false">In_Opex_Contingency*(BQ76+BQ77+BQ78-BQ75*In_MEKH)</f>
        <v>-36.5811773764711</v>
      </c>
      <c r="BR80" s="48" t="n">
        <f aca="false">In_Opex_Contingency*(BR76+BR77+BR78-BR75*In_MEKH)</f>
        <v>-36.5470855257483</v>
      </c>
      <c r="BS80" s="48" t="n">
        <f aca="false">In_Opex_Contingency*(BS76+BS77+BS78-BS75*In_MEKH)</f>
        <v>-36.6438920403098</v>
      </c>
      <c r="BT80" s="48" t="n">
        <f aca="false">In_Opex_Contingency*(BT76+BT77+BT78-BT75*In_MEKH)</f>
        <v>-37.0510463963133</v>
      </c>
      <c r="BU80" s="48" t="n">
        <f aca="false">In_Opex_Contingency*(BU76+BU77+BU78-BU75*In_MEKH)</f>
        <v>-37.4582007523167</v>
      </c>
      <c r="BV80" s="48" t="n">
        <f aca="false">In_Opex_Contingency*(BV76+BV77+BV78-BV75*In_MEKH)</f>
        <v>-37.4233691235016</v>
      </c>
      <c r="BW80" s="48" t="n">
        <f aca="false">In_Opex_Contingency*(BW76+BW77+BW78-BW75*In_MEKH)</f>
        <v>-37.5225393751534</v>
      </c>
      <c r="BX80" s="48" t="n">
        <f aca="false">In_Opex_Contingency*(BX76+BX77+BX78-BX75*In_MEKH)</f>
        <v>-37.9394564793218</v>
      </c>
      <c r="BY80" s="48" t="n">
        <f aca="false">In_Opex_Contingency*(BY76+BY77+BY78-BY75*In_MEKH)</f>
        <v>-38.3563735834902</v>
      </c>
      <c r="BZ80" s="48" t="n">
        <f aca="false">In_Opex_Contingency*(BZ76+BZ77+BZ78-BZ75*In_MEKH)</f>
        <v>-38.3207860105176</v>
      </c>
      <c r="CA80" s="48" t="n">
        <f aca="false">In_Opex_Contingency*(CA76+CA77+CA78-CA75*In_MEKH)</f>
        <v>-38.8492926083099</v>
      </c>
      <c r="CB80" s="48" t="n">
        <f aca="false">In_Opex_Contingency*(CB76+CB77+CB78-CB75*In_MEKH)</f>
        <v>-38.8492926083099</v>
      </c>
      <c r="CC80" s="48" t="n">
        <f aca="false">In_Opex_Contingency*(CC76+CC77+CC78-CC75*In_MEKH)</f>
        <v>-39.2762079116979</v>
      </c>
      <c r="CD80" s="48" t="n">
        <f aca="false">In_Opex_Contingency*(CD76+CD77+CD78-CD75*In_MEKH)</f>
        <v>-39.2398478744351</v>
      </c>
      <c r="CE80" s="48" t="n">
        <f aca="false">In_Opex_Contingency*(CE76+CE77+CE78-CE75*In_MEKH)</f>
        <v>-39.343918906861</v>
      </c>
      <c r="CF80" s="48" t="n">
        <f aca="false">In_Opex_Contingency*(CF76+CF77+CF78-CF75*In_MEKH)</f>
        <v>-39.7810735613816</v>
      </c>
      <c r="CG80" s="48" t="n">
        <f aca="false">In_Opex_Contingency*(CG76+CG77+CG78-CG75*In_MEKH)</f>
        <v>-40.2182282159023</v>
      </c>
      <c r="CH80" s="48" t="n">
        <f aca="false">In_Opex_Contingency*(CH76+CH77+CH78-CH75*In_MEKH)</f>
        <v>-40.1810788323887</v>
      </c>
      <c r="CI80" s="48" t="n">
        <f aca="false">In_Opex_Contingency*(CI76+CI77+CI78-CI75*In_MEKH)</f>
        <v>-40.2876897214819</v>
      </c>
      <c r="CJ80" s="48" t="n">
        <f aca="false">In_Opex_Contingency*(CJ76+CJ77+CJ78-CJ75*In_MEKH)</f>
        <v>-40.7353307183873</v>
      </c>
      <c r="CK80" s="48" t="n">
        <f aca="false">In_Opex_Contingency*(CK76+CK77+CK78-CK75*In_MEKH)</f>
        <v>-41.1829717152927</v>
      </c>
      <c r="CL80" s="48" t="n">
        <f aca="false">In_Opex_Contingency*(CL76+CL77+CL78-CL75*In_MEKH)</f>
        <v>-41.1450157338092</v>
      </c>
      <c r="CM80" s="48" t="n">
        <f aca="false">In_Opex_Contingency*(CM76+CM77+CM78-CM75*In_MEKH)</f>
        <v>-41.2542280561852</v>
      </c>
      <c r="CN80" s="48" t="n">
        <f aca="false">In_Opex_Contingency*(CN76+CN77+CN78-CN75*In_MEKH)</f>
        <v>-41.7126083679206</v>
      </c>
      <c r="CO80" s="48" t="n">
        <f aca="false">In_Opex_Contingency*(CO76+CO77+CO78-CO75*In_MEKH)</f>
        <v>-42.170988679656</v>
      </c>
      <c r="CP80" s="48" t="n">
        <f aca="false">In_Opex_Contingency*(CP76+CP77+CP78-CP75*In_MEKH)</f>
        <v>-42.132208470621</v>
      </c>
      <c r="CQ80" s="48" t="n">
        <f aca="false">In_Opex_Contingency*(CQ76+CQ77+CQ78-CQ75*In_MEKH)</f>
        <v>-42.7134640218145</v>
      </c>
      <c r="CR80" s="48" t="n">
        <f aca="false">In_Opex_Contingency*(CR76+CR77+CR78-CR75*In_MEKH)</f>
        <v>-42.7134640218145</v>
      </c>
      <c r="CS80" s="48" t="n">
        <f aca="false">In_Opex_Contingency*(CS76+CS77+CS78-CS75*In_MEKH)</f>
        <v>-43.182842747329</v>
      </c>
      <c r="CT80" s="48" t="n">
        <f aca="false">In_Opex_Contingency*(CT76+CT77+CT78-CT75*In_MEKH)</f>
        <v>-43.1432202950161</v>
      </c>
      <c r="CU80" s="48" t="n">
        <f aca="false">In_Opex_Contingency*(CU76+CU77+CU78-CU75*In_MEKH)</f>
        <v>-43.2578262237228</v>
      </c>
      <c r="CV80" s="48" t="n">
        <f aca="false">In_Opex_Contingency*(CV76+CV77+CV78-CV75*In_MEKH)</f>
        <v>-43.7384687373197</v>
      </c>
      <c r="CW80" s="48" t="n">
        <f aca="false">In_Opex_Contingency*(CW76+CW77+CW78-CW75*In_MEKH)</f>
        <v>-44.2191112509166</v>
      </c>
      <c r="CX80" s="48" t="n">
        <f aca="false">In_Opex_Contingency*(CX76+CX77+CX78-CX75*In_MEKH)</f>
        <v>-44.1786281449912</v>
      </c>
      <c r="CY80" s="48" t="n">
        <f aca="false">In_Opex_Contingency*(CY76+CY77+CY78-CY75*In_MEKH)</f>
        <v>-44.2960293433376</v>
      </c>
      <c r="CZ80" s="48" t="n">
        <f aca="false">In_Opex_Contingency*(CZ76+CZ77+CZ78-CZ75*In_MEKH)</f>
        <v>-44.7882074471524</v>
      </c>
      <c r="DA80" s="48" t="n">
        <f aca="false">In_Opex_Contingency*(DA76+DA77+DA78-DA75*In_MEKH)</f>
        <v>-45.2803855509673</v>
      </c>
      <c r="DB80" s="48" t="n">
        <f aca="false">In_Opex_Contingency*(DB76+DB77+DB78-DB75*In_MEKH)</f>
        <v>-45.2390229778375</v>
      </c>
      <c r="DC80" s="48" t="n">
        <f aca="false">In_Opex_Contingency*(DC76+DC77+DC78-DC75*In_MEKH)</f>
        <v>-45.3592872174131</v>
      </c>
      <c r="DD80" s="48" t="n">
        <f aca="false">In_Opex_Contingency*(DD76+DD77+DD78-DD75*In_MEKH)</f>
        <v>-45.8632792976066</v>
      </c>
      <c r="DE80" s="48" t="n">
        <f aca="false">In_Opex_Contingency*(DE76+DE77+DE78-DE75*In_MEKH)</f>
        <v>-46.3672713778001</v>
      </c>
      <c r="DF80" s="48" t="n">
        <f aca="false">In_Opex_Contingency*(DF76+DF77+DF78-DF75*In_MEKH)</f>
        <v>-46.3250101117778</v>
      </c>
      <c r="DG80" s="48" t="n">
        <f aca="false">In_Opex_Contingency*(DG76+DG77+DG78-DG75*In_MEKH)</f>
        <v>-46.9642979949254</v>
      </c>
      <c r="DH80" s="48" t="n">
        <f aca="false">In_Opex_Contingency*(DH76+DH77+DH78-DH75*In_MEKH)</f>
        <v>-46.9642979949254</v>
      </c>
      <c r="DI80" s="48" t="n">
        <f aca="false">In_Opex_Contingency*(DI76+DI77+DI78-DI75*In_MEKH)</f>
        <v>-47.4803891816828</v>
      </c>
      <c r="DJ80" s="48" t="n">
        <f aca="false">In_Opex_Contingency*(DJ76+DJ77+DJ78-DJ75*In_MEKH)</f>
        <v>-47.4372095759517</v>
      </c>
      <c r="DK80" s="48" t="n">
        <f aca="false">In_Opex_Contingency*(DK76+DK77+DK78-DK75*In_MEKH)</f>
        <v>-47.5634098287061</v>
      </c>
      <c r="DL80" s="48" t="n">
        <f aca="false">In_Opex_Contingency*(DL76+DL77+DL78-DL75*In_MEKH)</f>
        <v>-48.0918921601362</v>
      </c>
      <c r="DM80" s="48" t="n">
        <f aca="false">In_Opex_Contingency*(DM76+DM77+DM78-DM75*In_MEKH)</f>
        <v>-48.6203744915662</v>
      </c>
      <c r="DN80" s="48" t="n">
        <f aca="false">In_Opex_Contingency*(DN76+DN77+DN78-DN75*In_MEKH)</f>
        <v>-48.5762564689508</v>
      </c>
      <c r="DO80" s="48" t="n">
        <f aca="false">In_Opex_Contingency*(DO76+DO77+DO78-DO75*In_MEKH)</f>
        <v>-48.7055331025274</v>
      </c>
      <c r="DP80" s="48" t="n">
        <f aca="false">In_Opex_Contingency*(DP76+DP77+DP78-DP75*In_MEKH)</f>
        <v>-49.2467056925555</v>
      </c>
      <c r="DQ80" s="48" t="n">
        <f aca="false">In_Opex_Contingency*(DQ76+DQ77+DQ78-DQ75*In_MEKH)</f>
        <v>-49.7878782825836</v>
      </c>
      <c r="DR80" s="48" t="n">
        <f aca="false">In_Opex_Contingency*(DR76+DR77+DR78-DR75*In_MEKH)</f>
        <v>-49.7428013261166</v>
      </c>
      <c r="DS80" s="48" t="n">
        <f aca="false">In_Opex_Contingency*(DS76+DS77+DS78-DS75*In_MEKH)</f>
        <v>-49.8752289318226</v>
      </c>
      <c r="DT80" s="48" t="n">
        <f aca="false">In_Opex_Contingency*(DT76+DT77+DT78-DT75*In_MEKH)</f>
        <v>-50.4293981421762</v>
      </c>
      <c r="DU80" s="48" t="n">
        <f aca="false">In_Opex_Contingency*(DU76+DU77+DU78-DU75*In_MEKH)</f>
        <v>-50.9835673525298</v>
      </c>
      <c r="DV80" s="48" t="n">
        <f aca="false">In_Opex_Contingency*(DV76+DV77+DV78-DV75*In_MEKH)</f>
        <v>-50.9375104958125</v>
      </c>
      <c r="DW80" s="48" t="n">
        <f aca="false">In_Opex_Contingency*(DW76+DW77+DW78-DW75*In_MEKH)</f>
        <v>-51.6406450911548</v>
      </c>
      <c r="DX80" s="48" t="n">
        <f aca="false">In_Opex_Contingency*(DX76+DX77+DX78-DX75*In_MEKH)</f>
        <v>-51.6406450911548</v>
      </c>
      <c r="DY80" s="48" t="n">
        <f aca="false">In_Opex_Contingency*(DY76+DY77+DY78-DY75*In_MEKH)</f>
        <v>-52.2081247075411</v>
      </c>
      <c r="DZ80" s="48" t="n">
        <f aca="false">In_Opex_Contingency*(DZ76+DZ77+DZ78-DZ75*In_MEKH)</f>
        <v>-52.1610665248923</v>
      </c>
      <c r="EA80" s="48" t="n">
        <f aca="false">In_Opex_Contingency*(EA76+EA77+EA78-EA75*In_MEKH)</f>
        <v>-52.3000271320433</v>
      </c>
      <c r="EB80" s="48" t="n">
        <f aca="false">In_Opex_Contingency*(EB76+EB77+EB78-EB75*In_MEKH)</f>
        <v>-52.8811385446215</v>
      </c>
      <c r="EC80" s="48" t="n">
        <f aca="false">In_Opex_Contingency*(EC76+EC77+EC78-EC75*In_MEKH)</f>
        <v>-53.4622499571998</v>
      </c>
      <c r="ED80" s="48" t="n">
        <f aca="false">In_Opex_Contingency*(ED76+ED77+ED78-ED75*In_MEKH)</f>
        <v>-53.4141685535888</v>
      </c>
      <c r="EE80" s="48" t="n">
        <f aca="false">In_Opex_Contingency*(EE76+EE77+EE78-EE75*In_MEKH)</f>
        <v>-53.5565149427885</v>
      </c>
      <c r="EF80" s="48" t="n">
        <f aca="false">In_Opex_Contingency*(EF76+EF77+EF78-EF75*In_MEKH)</f>
        <v>-54.1515873310417</v>
      </c>
      <c r="EG80" s="48" t="n">
        <f aca="false">In_Opex_Contingency*(EG76+EG77+EG78-EG75*In_MEKH)</f>
        <v>-54.7466597192949</v>
      </c>
      <c r="EH80" s="48" t="n">
        <f aca="false">In_Opex_Contingency*(EH76+EH77+EH78-EH75*In_MEKH)</f>
        <v>-54.6975327200541</v>
      </c>
      <c r="EI80" s="48" t="n">
        <f aca="false">In_Opex_Contingency*(EI76+EI77+EI78-EI75*In_MEKH)</f>
        <v>-54.8433469902487</v>
      </c>
      <c r="EJ80" s="48" t="n">
        <f aca="false">In_Opex_Contingency*(EJ76+EJ77+EJ78-EJ75*In_MEKH)</f>
        <v>-55.4527175123626</v>
      </c>
      <c r="EK80" s="48" t="n">
        <f aca="false">In_Opex_Contingency*(EK76+EK77+EK78-EK75*In_MEKH)</f>
        <v>-56.0620880344765</v>
      </c>
      <c r="EL80" s="48" t="n">
        <f aca="false">In_Opex_Contingency*(EL76+EL77+EL78-EL75*In_MEKH)</f>
        <v>-56.0118925747881</v>
      </c>
      <c r="EM80" s="48" t="n">
        <f aca="false">In_Opex_Contingency*(EM76+EM77+EM78-EM75*In_MEKH)</f>
        <v>-56.7852728041846</v>
      </c>
      <c r="EN80" s="48" t="n">
        <f aca="false">In_Opex_Contingency*(EN76+EN77+EN78-EN75*In_MEKH)</f>
        <v>-56.7852728041846</v>
      </c>
      <c r="EO80" s="48" t="n">
        <f aca="false">In_Opex_Contingency*(EO76+EO77+EO78-EO75*In_MEKH)</f>
        <v>-57.4092867910437</v>
      </c>
    </row>
    <row r="81" customFormat="false" ht="15" hidden="false" customHeight="false" outlineLevel="0" collapsed="false">
      <c r="C81" s="0" t="s">
        <v>23</v>
      </c>
      <c r="D81" s="11" t="s">
        <v>33</v>
      </c>
      <c r="I81" s="48" t="n">
        <f aca="false">SUM(J81:EO81)</f>
        <v>-12032.8750809572</v>
      </c>
      <c r="J81" s="48" t="n">
        <f aca="false">-$E35*J74/Thousand</f>
        <v>-0</v>
      </c>
      <c r="K81" s="48" t="n">
        <f aca="false">-$E35*K74/Thousand</f>
        <v>-0</v>
      </c>
      <c r="L81" s="48" t="n">
        <f aca="false">-$E35*L74/Thousand</f>
        <v>-0</v>
      </c>
      <c r="M81" s="48" t="n">
        <f aca="false">-$E35*M74/Thousand</f>
        <v>-0</v>
      </c>
      <c r="N81" s="48" t="n">
        <f aca="false">-$E35*N74/Thousand</f>
        <v>-0</v>
      </c>
      <c r="O81" s="48" t="n">
        <f aca="false">-$E35*O74/Thousand</f>
        <v>-0</v>
      </c>
      <c r="P81" s="48" t="n">
        <f aca="false">-$E35*P74/Thousand</f>
        <v>-0</v>
      </c>
      <c r="Q81" s="48" t="n">
        <f aca="false">-$E35*Q74/Thousand</f>
        <v>-0</v>
      </c>
      <c r="R81" s="48" t="n">
        <f aca="false">-$E35*R74/Thousand</f>
        <v>-0</v>
      </c>
      <c r="S81" s="48" t="n">
        <f aca="false">-$E35*S74/Thousand</f>
        <v>-0</v>
      </c>
      <c r="T81" s="48" t="n">
        <f aca="false">-$E35*T74/Thousand</f>
        <v>-0</v>
      </c>
      <c r="U81" s="48" t="n">
        <f aca="false">-$E35*U74/Thousand</f>
        <v>-0</v>
      </c>
      <c r="V81" s="48" t="n">
        <f aca="false">-$E35*V74/Thousand</f>
        <v>-0</v>
      </c>
      <c r="W81" s="48" t="n">
        <f aca="false">-$E35*W74/Thousand</f>
        <v>-0</v>
      </c>
      <c r="X81" s="48" t="n">
        <f aca="false">-$E35*X74/Thousand</f>
        <v>-0</v>
      </c>
      <c r="Y81" s="48" t="n">
        <f aca="false">-$E35*Y74/Thousand</f>
        <v>-0</v>
      </c>
      <c r="Z81" s="48" t="n">
        <f aca="false">-$E35*Z74/Thousand</f>
        <v>-105.4872</v>
      </c>
      <c r="AA81" s="48" t="n">
        <f aca="false">-$E35*AA74/Thousand</f>
        <v>-103.194</v>
      </c>
      <c r="AB81" s="48" t="n">
        <f aca="false">-$E35*AB74/Thousand</f>
        <v>-104.3406</v>
      </c>
      <c r="AC81" s="48" t="n">
        <f aca="false">-$E35*AC74/Thousand</f>
        <v>-105.4872</v>
      </c>
      <c r="AD81" s="48" t="n">
        <f aca="false">-$E35*AD74/Thousand</f>
        <v>-105.1707384</v>
      </c>
      <c r="AE81" s="48" t="n">
        <f aca="false">-$E35*AE74/Thousand</f>
        <v>-104.0275782</v>
      </c>
      <c r="AF81" s="48" t="n">
        <f aca="false">-$E35*AF74/Thousand</f>
        <v>-104.0275782</v>
      </c>
      <c r="AG81" s="48" t="n">
        <f aca="false">-$E35*AG74/Thousand</f>
        <v>-105.1707384</v>
      </c>
      <c r="AH81" s="48" t="n">
        <f aca="false">-$E35*AH74/Thousand</f>
        <v>-104.8552261848</v>
      </c>
      <c r="AI81" s="48" t="n">
        <f aca="false">-$E35*AI74/Thousand</f>
        <v>-102.575764746</v>
      </c>
      <c r="AJ81" s="48" t="n">
        <f aca="false">-$E35*AJ74/Thousand</f>
        <v>-103.7154954654</v>
      </c>
      <c r="AK81" s="48" t="n">
        <f aca="false">-$E35*AK74/Thousand</f>
        <v>-104.8552261848</v>
      </c>
      <c r="AL81" s="48" t="n">
        <f aca="false">-$E35*AL74/Thousand</f>
        <v>-104.540660506246</v>
      </c>
      <c r="AM81" s="48" t="n">
        <f aca="false">-$E35*AM74/Thousand</f>
        <v>-102.268037451762</v>
      </c>
      <c r="AN81" s="48" t="n">
        <f aca="false">-$E35*AN74/Thousand</f>
        <v>-103.404348979004</v>
      </c>
      <c r="AO81" s="48" t="n">
        <f aca="false">-$E35*AO74/Thousand</f>
        <v>-104.540660506246</v>
      </c>
      <c r="AP81" s="48" t="n">
        <f aca="false">-$E35*AP74/Thousand</f>
        <v>-104.227038524727</v>
      </c>
      <c r="AQ81" s="48" t="n">
        <f aca="false">-$E35*AQ74/Thousand</f>
        <v>-101.961233339407</v>
      </c>
      <c r="AR81" s="48" t="n">
        <f aca="false">-$E35*AR74/Thousand</f>
        <v>-103.094135932067</v>
      </c>
      <c r="AS81" s="48" t="n">
        <f aca="false">-$E35*AS74/Thousand</f>
        <v>-104.227038524727</v>
      </c>
      <c r="AT81" s="48" t="n">
        <f aca="false">-$E35*AT74/Thousand</f>
        <v>-103.914357409153</v>
      </c>
      <c r="AU81" s="48" t="n">
        <f aca="false">-$E35*AU74/Thousand</f>
        <v>-102.784853524271</v>
      </c>
      <c r="AV81" s="48" t="n">
        <f aca="false">-$E35*AV74/Thousand</f>
        <v>-102.784853524271</v>
      </c>
      <c r="AW81" s="48" t="n">
        <f aca="false">-$E35*AW74/Thousand</f>
        <v>-103.914357409153</v>
      </c>
      <c r="AX81" s="48" t="n">
        <f aca="false">-$E35*AX74/Thousand</f>
        <v>-103.602614336925</v>
      </c>
      <c r="AY81" s="48" t="n">
        <f aca="false">-$E35*AY74/Thousand</f>
        <v>-101.35038359047</v>
      </c>
      <c r="AZ81" s="48" t="n">
        <f aca="false">-$E35*AZ74/Thousand</f>
        <v>-102.476498963698</v>
      </c>
      <c r="BA81" s="48" t="n">
        <f aca="false">-$E35*BA74/Thousand</f>
        <v>-103.602614336925</v>
      </c>
      <c r="BB81" s="48" t="n">
        <f aca="false">-$E35*BB74/Thousand</f>
        <v>-103.291806493914</v>
      </c>
      <c r="BC81" s="48" t="n">
        <f aca="false">-$E35*BC74/Thousand</f>
        <v>-101.046332439699</v>
      </c>
      <c r="BD81" s="48" t="n">
        <f aca="false">-$E35*BD74/Thousand</f>
        <v>-102.169069466807</v>
      </c>
      <c r="BE81" s="48" t="n">
        <f aca="false">-$E35*BE74/Thousand</f>
        <v>-103.291806493914</v>
      </c>
      <c r="BF81" s="48" t="n">
        <f aca="false">-$E35*BF74/Thousand</f>
        <v>-102.981931074433</v>
      </c>
      <c r="BG81" s="48" t="n">
        <f aca="false">-$E35*BG74/Thousand</f>
        <v>-100.74319344238</v>
      </c>
      <c r="BH81" s="48" t="n">
        <f aca="false">-$E35*BH74/Thousand</f>
        <v>-101.862562258406</v>
      </c>
      <c r="BI81" s="48" t="n">
        <f aca="false">-$E35*BI74/Thousand</f>
        <v>-102.981931074433</v>
      </c>
      <c r="BJ81" s="48" t="n">
        <f aca="false">-$E35*BJ74/Thousand</f>
        <v>-102.672985281209</v>
      </c>
      <c r="BK81" s="48" t="n">
        <f aca="false">-$E35*BK74/Thousand</f>
        <v>-101.556974571631</v>
      </c>
      <c r="BL81" s="48" t="n">
        <f aca="false">-$E35*BL74/Thousand</f>
        <v>-101.556974571631</v>
      </c>
      <c r="BM81" s="48" t="n">
        <f aca="false">-$E35*BM74/Thousand</f>
        <v>-102.672985281209</v>
      </c>
      <c r="BN81" s="48" t="n">
        <f aca="false">-$E35*BN74/Thousand</f>
        <v>-102.364966325366</v>
      </c>
      <c r="BO81" s="48" t="n">
        <f aca="false">-$E35*BO74/Thousand</f>
        <v>-100.139640970467</v>
      </c>
      <c r="BP81" s="48" t="n">
        <f aca="false">-$E35*BP74/Thousand</f>
        <v>-101.252303647916</v>
      </c>
      <c r="BQ81" s="48" t="n">
        <f aca="false">-$E35*BQ74/Thousand</f>
        <v>-102.364966325366</v>
      </c>
      <c r="BR81" s="48" t="n">
        <f aca="false">-$E35*BR74/Thousand</f>
        <v>-102.05787142639</v>
      </c>
      <c r="BS81" s="48" t="n">
        <f aca="false">-$E35*BS74/Thousand</f>
        <v>-99.8392220475551</v>
      </c>
      <c r="BT81" s="48" t="n">
        <f aca="false">-$E35*BT74/Thousand</f>
        <v>-100.948546736972</v>
      </c>
      <c r="BU81" s="48" t="n">
        <f aca="false">-$E35*BU74/Thousand</f>
        <v>-102.05787142639</v>
      </c>
      <c r="BV81" s="48" t="n">
        <f aca="false">-$E35*BV74/Thousand</f>
        <v>-101.751697812111</v>
      </c>
      <c r="BW81" s="48" t="n">
        <f aca="false">-$E35*BW74/Thousand</f>
        <v>-99.5397043814125</v>
      </c>
      <c r="BX81" s="48" t="n">
        <f aca="false">-$E35*BX74/Thousand</f>
        <v>-100.645701096762</v>
      </c>
      <c r="BY81" s="48" t="n">
        <f aca="false">-$E35*BY74/Thousand</f>
        <v>-101.751697812111</v>
      </c>
      <c r="BZ81" s="48" t="n">
        <f aca="false">-$E35*BZ74/Thousand</f>
        <v>-101.446442718674</v>
      </c>
      <c r="CA81" s="48" t="n">
        <f aca="false">-$E35*CA74/Thousand</f>
        <v>-100.343763993471</v>
      </c>
      <c r="CB81" s="48" t="n">
        <f aca="false">-$E35*CB74/Thousand</f>
        <v>-100.343763993471</v>
      </c>
      <c r="CC81" s="48" t="n">
        <f aca="false">-$E35*CC74/Thousand</f>
        <v>-101.446442718674</v>
      </c>
      <c r="CD81" s="48" t="n">
        <f aca="false">-$E35*CD74/Thousand</f>
        <v>-101.142103390518</v>
      </c>
      <c r="CE81" s="48" t="n">
        <f aca="false">-$E35*CE74/Thousand</f>
        <v>-98.9433620124634</v>
      </c>
      <c r="CF81" s="48" t="n">
        <f aca="false">-$E35*CF74/Thousand</f>
        <v>-100.042732701491</v>
      </c>
      <c r="CG81" s="48" t="n">
        <f aca="false">-$E35*CG74/Thousand</f>
        <v>-101.142103390518</v>
      </c>
      <c r="CH81" s="48" t="n">
        <f aca="false">-$E35*CH74/Thousand</f>
        <v>-100.838677080347</v>
      </c>
      <c r="CI81" s="48" t="n">
        <f aca="false">-$E35*CI74/Thousand</f>
        <v>-98.646531926426</v>
      </c>
      <c r="CJ81" s="48" t="n">
        <f aca="false">-$E35*CJ74/Thousand</f>
        <v>-99.7426045033863</v>
      </c>
      <c r="CK81" s="48" t="n">
        <f aca="false">-$E35*CK74/Thousand</f>
        <v>-100.838677080347</v>
      </c>
      <c r="CL81" s="48" t="n">
        <f aca="false">-$E35*CL74/Thousand</f>
        <v>-100.536161049106</v>
      </c>
      <c r="CM81" s="48" t="n">
        <f aca="false">-$E35*CM74/Thousand</f>
        <v>-98.3505923306468</v>
      </c>
      <c r="CN81" s="48" t="n">
        <f aca="false">-$E35*CN74/Thousand</f>
        <v>-99.4433766898762</v>
      </c>
      <c r="CO81" s="48" t="n">
        <f aca="false">-$E35*CO74/Thousand</f>
        <v>-100.536161049106</v>
      </c>
      <c r="CP81" s="48" t="n">
        <f aca="false">-$E35*CP74/Thousand</f>
        <v>-100.234552565958</v>
      </c>
      <c r="CQ81" s="48" t="n">
        <f aca="false">-$E35*CQ74/Thousand</f>
        <v>-99.1450465598065</v>
      </c>
      <c r="CR81" s="48" t="n">
        <f aca="false">-$E35*CR74/Thousand</f>
        <v>-99.1450465598065</v>
      </c>
      <c r="CS81" s="48" t="n">
        <f aca="false">-$E35*CS74/Thousand</f>
        <v>-100.234552565958</v>
      </c>
      <c r="CT81" s="48" t="n">
        <f aca="false">-$E35*CT74/Thousand</f>
        <v>-99.9338489082604</v>
      </c>
      <c r="CU81" s="48" t="n">
        <f aca="false">-$E35*CU74/Thousand</f>
        <v>-97.7613739319939</v>
      </c>
      <c r="CV81" s="48" t="n">
        <f aca="false">-$E35*CV74/Thousand</f>
        <v>-98.8476114201271</v>
      </c>
      <c r="CW81" s="48" t="n">
        <f aca="false">-$E35*CW74/Thousand</f>
        <v>-99.9338489082604</v>
      </c>
      <c r="CX81" s="48" t="n">
        <f aca="false">-$E35*CX74/Thousand</f>
        <v>-99.6340473615356</v>
      </c>
      <c r="CY81" s="48" t="n">
        <f aca="false">-$E35*CY74/Thousand</f>
        <v>-97.4680898101979</v>
      </c>
      <c r="CZ81" s="48" t="n">
        <f aca="false">-$E35*CZ74/Thousand</f>
        <v>-98.5510685858667</v>
      </c>
      <c r="DA81" s="48" t="n">
        <f aca="false">-$E35*DA74/Thousand</f>
        <v>-99.6340473615356</v>
      </c>
      <c r="DB81" s="48" t="n">
        <f aca="false">-$E35*DB74/Thousand</f>
        <v>-99.335145219451</v>
      </c>
      <c r="DC81" s="48" t="n">
        <f aca="false">-$E35*DC74/Thousand</f>
        <v>-97.1756855407673</v>
      </c>
      <c r="DD81" s="48" t="n">
        <f aca="false">-$E35*DD74/Thousand</f>
        <v>-98.2554153801091</v>
      </c>
      <c r="DE81" s="48" t="n">
        <f aca="false">-$E35*DE74/Thousand</f>
        <v>-99.335145219451</v>
      </c>
      <c r="DF81" s="48" t="n">
        <f aca="false">-$E35*DF74/Thousand</f>
        <v>-99.0371397837927</v>
      </c>
      <c r="DG81" s="48" t="n">
        <f aca="false">-$E35*DG74/Thousand</f>
        <v>-97.9606491339688</v>
      </c>
      <c r="DH81" s="48" t="n">
        <f aca="false">-$E35*DH74/Thousand</f>
        <v>-97.9606491339688</v>
      </c>
      <c r="DI81" s="48" t="n">
        <f aca="false">-$E35*DI74/Thousand</f>
        <v>-99.0371397837927</v>
      </c>
      <c r="DJ81" s="48" t="n">
        <f aca="false">-$E35*DJ74/Thousand</f>
        <v>-98.7400283644413</v>
      </c>
      <c r="DK81" s="48" t="n">
        <f aca="false">-$E35*DK74/Thousand</f>
        <v>-96.5935060086926</v>
      </c>
      <c r="DL81" s="48" t="n">
        <f aca="false">-$E35*DL74/Thousand</f>
        <v>-97.6667671865669</v>
      </c>
      <c r="DM81" s="48" t="n">
        <f aca="false">-$E35*DM74/Thousand</f>
        <v>-98.7400283644413</v>
      </c>
      <c r="DN81" s="48" t="n">
        <f aca="false">-$E35*DN74/Thousand</f>
        <v>-98.443808279348</v>
      </c>
      <c r="DO81" s="48" t="n">
        <f aca="false">-$E35*DO74/Thousand</f>
        <v>-96.3037254906665</v>
      </c>
      <c r="DP81" s="48" t="n">
        <f aca="false">-$E35*DP74/Thousand</f>
        <v>-97.3737668850072</v>
      </c>
      <c r="DQ81" s="48" t="n">
        <f aca="false">-$E35*DQ74/Thousand</f>
        <v>-98.443808279348</v>
      </c>
      <c r="DR81" s="48" t="n">
        <f aca="false">-$E35*DR74/Thousand</f>
        <v>-98.1484768545099</v>
      </c>
      <c r="DS81" s="48" t="n">
        <f aca="false">-$E35*DS74/Thousand</f>
        <v>-96.0148143141945</v>
      </c>
      <c r="DT81" s="48" t="n">
        <f aca="false">-$E35*DT74/Thousand</f>
        <v>-97.0816455843522</v>
      </c>
      <c r="DU81" s="48" t="n">
        <f aca="false">-$E35*DU74/Thousand</f>
        <v>-98.1484768545099</v>
      </c>
      <c r="DV81" s="48" t="n">
        <f aca="false">-$E35*DV74/Thousand</f>
        <v>-97.8540314239464</v>
      </c>
      <c r="DW81" s="48" t="n">
        <f aca="false">-$E35*DW74/Thousand</f>
        <v>-96.7904006475991</v>
      </c>
      <c r="DX81" s="48" t="n">
        <f aca="false">-$E35*DX74/Thousand</f>
        <v>-96.7904006475991</v>
      </c>
      <c r="DY81" s="48" t="n">
        <f aca="false">-$E35*DY74/Thousand</f>
        <v>-97.8540314239464</v>
      </c>
      <c r="DZ81" s="48" t="n">
        <f aca="false">-$E35*DZ74/Thousand</f>
        <v>-97.5604693296746</v>
      </c>
      <c r="EA81" s="48" t="n">
        <f aca="false">-$E35*EA74/Thousand</f>
        <v>-95.4395895616381</v>
      </c>
      <c r="EB81" s="48" t="n">
        <f aca="false">-$E35*EB74/Thousand</f>
        <v>-96.5000294456563</v>
      </c>
      <c r="EC81" s="48" t="n">
        <f aca="false">-$E35*EC74/Thousand</f>
        <v>-97.5604693296746</v>
      </c>
      <c r="ED81" s="48" t="n">
        <f aca="false">-$E35*ED74/Thousand</f>
        <v>-97.2677879216855</v>
      </c>
      <c r="EE81" s="48" t="n">
        <f aca="false">-$E35*EE74/Thousand</f>
        <v>-95.1532707929532</v>
      </c>
      <c r="EF81" s="48" t="n">
        <f aca="false">-$E35*EF74/Thousand</f>
        <v>-96.2105293573194</v>
      </c>
      <c r="EG81" s="48" t="n">
        <f aca="false">-$E35*EG74/Thousand</f>
        <v>-97.2677879216855</v>
      </c>
      <c r="EH81" s="48" t="n">
        <f aca="false">-$E35*EH74/Thousand</f>
        <v>-96.9759845579205</v>
      </c>
      <c r="EI81" s="48" t="n">
        <f aca="false">-$E35*EI74/Thousand</f>
        <v>-94.8678109805744</v>
      </c>
      <c r="EJ81" s="48" t="n">
        <f aca="false">-$E35*EJ74/Thousand</f>
        <v>-95.9218977692474</v>
      </c>
      <c r="EK81" s="48" t="n">
        <f aca="false">-$E35*EK74/Thousand</f>
        <v>-96.9759845579205</v>
      </c>
      <c r="EL81" s="48" t="n">
        <f aca="false">-$E35*EL74/Thousand</f>
        <v>-96.6850566042467</v>
      </c>
      <c r="EM81" s="48" t="n">
        <f aca="false">-$E35*EM74/Thousand</f>
        <v>-95.6341320759397</v>
      </c>
      <c r="EN81" s="48" t="n">
        <f aca="false">-$E35*EN74/Thousand</f>
        <v>-95.6341320759397</v>
      </c>
      <c r="EO81" s="48" t="n">
        <f aca="false">-$E35*EO74/Thousand</f>
        <v>-96.6850566042467</v>
      </c>
    </row>
    <row r="82" customFormat="false" ht="15" hidden="false" customHeight="false" outlineLevel="0" collapsed="false">
      <c r="C82" s="25" t="s">
        <v>463</v>
      </c>
      <c r="D82" s="11" t="s">
        <v>33</v>
      </c>
      <c r="E82" s="57" t="n">
        <f aca="false">SUMIF($J$7:$EO$7,YEAR(In_COD)+1,$J82:$EO82)</f>
        <v>9556.88408374485</v>
      </c>
      <c r="I82" s="57" t="n">
        <f aca="false">SUM(J82:EO82)</f>
        <v>295373.32772584</v>
      </c>
      <c r="J82" s="57" t="n">
        <f aca="false">SUM(J75:J81)</f>
        <v>0</v>
      </c>
      <c r="K82" s="57" t="n">
        <f aca="false">SUM(K75:K81)</f>
        <v>0</v>
      </c>
      <c r="L82" s="57" t="n">
        <f aca="false">SUM(L75:L81)</f>
        <v>0</v>
      </c>
      <c r="M82" s="57" t="n">
        <f aca="false">SUM(M75:M81)</f>
        <v>0</v>
      </c>
      <c r="N82" s="57" t="n">
        <f aca="false">SUM(N75:N81)</f>
        <v>0</v>
      </c>
      <c r="O82" s="57" t="n">
        <f aca="false">SUM(O75:O81)</f>
        <v>0</v>
      </c>
      <c r="P82" s="57" t="n">
        <f aca="false">SUM(P75:P81)</f>
        <v>0</v>
      </c>
      <c r="Q82" s="57" t="n">
        <f aca="false">SUM(Q75:Q81)</f>
        <v>0</v>
      </c>
      <c r="R82" s="57" t="n">
        <f aca="false">SUM(R75:R81)</f>
        <v>-41.5643004408661</v>
      </c>
      <c r="S82" s="57" t="n">
        <f aca="false">SUM(S75:S81)</f>
        <v>-41.6772469094554</v>
      </c>
      <c r="T82" s="57" t="n">
        <f aca="false">SUM(T75:T81)</f>
        <v>-42.1403274306716</v>
      </c>
      <c r="U82" s="57" t="n">
        <f aca="false">SUM(U75:U81)</f>
        <v>-42.6034079518878</v>
      </c>
      <c r="V82" s="57" t="n">
        <f aca="false">SUM(V75:V81)</f>
        <v>-42.6034079518878</v>
      </c>
      <c r="W82" s="57" t="n">
        <f aca="false">SUM(W75:W81)</f>
        <v>-42.7191780821918</v>
      </c>
      <c r="X82" s="57" t="n">
        <f aca="false">SUM(X75:X81)</f>
        <v>-43.1938356164384</v>
      </c>
      <c r="Y82" s="57" t="n">
        <f aca="false">SUM(Y75:Y81)</f>
        <v>-43.6684931506849</v>
      </c>
      <c r="Z82" s="57" t="n">
        <f aca="false">SUM(Z75:Z81)</f>
        <v>2394.81444547397</v>
      </c>
      <c r="AA82" s="57" t="n">
        <f aca="false">SUM(AA75:AA81)</f>
        <v>2358.58146048863</v>
      </c>
      <c r="AB82" s="57" t="n">
        <f aca="false">SUM(AB75:AB81)</f>
        <v>2384.78792116073</v>
      </c>
      <c r="AC82" s="57" t="n">
        <f aca="false">SUM(AC75:AC81)</f>
        <v>2410.99438183282</v>
      </c>
      <c r="AD82" s="57" t="n">
        <f aca="false">SUM(AD75:AD81)</f>
        <v>2402.52032026267</v>
      </c>
      <c r="AE82" s="57" t="n">
        <f aca="false">SUM(AE75:AE81)</f>
        <v>2392.27337019217</v>
      </c>
      <c r="AF82" s="57" t="n">
        <f aca="false">SUM(AF75:AF81)</f>
        <v>2392.27337019217</v>
      </c>
      <c r="AG82" s="57" t="n">
        <f aca="false">SUM(AG75:AG81)</f>
        <v>2418.56208854593</v>
      </c>
      <c r="AH82" s="57" t="n">
        <f aca="false">SUM(AH75:AH81)</f>
        <v>2410.03429689502</v>
      </c>
      <c r="AI82" s="57" t="n">
        <f aca="false">SUM(AI75:AI81)</f>
        <v>2373.19324507827</v>
      </c>
      <c r="AJ82" s="57" t="n">
        <f aca="false">SUM(AJ75:AJ81)</f>
        <v>2399.56205891247</v>
      </c>
      <c r="AK82" s="57" t="n">
        <f aca="false">SUM(AK75:AK81)</f>
        <v>2425.93087274668</v>
      </c>
      <c r="AL82" s="57" t="n">
        <f aca="false">SUM(AL75:AL81)</f>
        <v>2417.34917210853</v>
      </c>
      <c r="AM82" s="57" t="n">
        <f aca="false">SUM(AM75:AM81)</f>
        <v>2380.20000195605</v>
      </c>
      <c r="AN82" s="57" t="n">
        <f aca="false">SUM(AN75:AN81)</f>
        <v>2406.64666864445</v>
      </c>
      <c r="AO82" s="57" t="n">
        <f aca="false">SUM(AO75:AO81)</f>
        <v>2433.09333533285</v>
      </c>
      <c r="AP82" s="57" t="n">
        <f aca="false">SUM(AP75:AP81)</f>
        <v>2424.45754960645</v>
      </c>
      <c r="AQ82" s="57" t="n">
        <f aca="false">SUM(AQ75:AQ81)</f>
        <v>2386.99749055404</v>
      </c>
      <c r="AR82" s="57" t="n">
        <f aca="false">SUM(AR75:AR81)</f>
        <v>2413.51968489352</v>
      </c>
      <c r="AS82" s="57" t="n">
        <f aca="false">SUM(AS75:AS81)</f>
        <v>2440.04187923301</v>
      </c>
      <c r="AT82" s="57" t="n">
        <f aca="false">SUM(AT75:AT81)</f>
        <v>2431.3518352319</v>
      </c>
      <c r="AU82" s="57" t="n">
        <f aca="false">SUM(AU75:AU81)</f>
        <v>2420.17339245424</v>
      </c>
      <c r="AV82" s="57" t="n">
        <f aca="false">SUM(AV75:AV81)</f>
        <v>2420.17339245424</v>
      </c>
      <c r="AW82" s="57" t="n">
        <f aca="false">SUM(AW75:AW81)</f>
        <v>2446.76870445923</v>
      </c>
      <c r="AX82" s="57" t="n">
        <f aca="false">SUM(AX75:AX81)</f>
        <v>2438.02423202336</v>
      </c>
      <c r="AY82" s="57" t="n">
        <f aca="false">SUM(AY75:AY81)</f>
        <v>2399.93393775468</v>
      </c>
      <c r="AZ82" s="57" t="n">
        <f aca="false">SUM(AZ75:AZ81)</f>
        <v>2426.5998703964</v>
      </c>
      <c r="BA82" s="57" t="n">
        <f aca="false">SUM(BA75:BA81)</f>
        <v>2453.26580303812</v>
      </c>
      <c r="BB82" s="57" t="n">
        <f aca="false">SUM(BB75:BB81)</f>
        <v>2444.46673514844</v>
      </c>
      <c r="BC82" s="57" t="n">
        <f aca="false">SUM(BC75:BC81)</f>
        <v>2406.05702003861</v>
      </c>
      <c r="BD82" s="57" t="n">
        <f aca="false">SUM(BD75:BD81)</f>
        <v>2432.79098692793</v>
      </c>
      <c r="BE82" s="57" t="n">
        <f aca="false">SUM(BE75:BE81)</f>
        <v>2459.52495381724</v>
      </c>
      <c r="BF82" s="57" t="n">
        <f aca="false">SUM(BF75:BF81)</f>
        <v>2450.67112671322</v>
      </c>
      <c r="BG82" s="57" t="n">
        <f aca="false">SUM(BG75:BG81)</f>
        <v>2411.93907111903</v>
      </c>
      <c r="BH82" s="57" t="n">
        <f aca="false">SUM(BH75:BH81)</f>
        <v>2438.73839413146</v>
      </c>
      <c r="BI82" s="57" t="n">
        <f aca="false">SUM(BI75:BI81)</f>
        <v>2465.5377171439</v>
      </c>
      <c r="BJ82" s="57" t="n">
        <f aca="false">SUM(BJ75:BJ81)</f>
        <v>2456.62897044382</v>
      </c>
      <c r="BK82" s="57" t="n">
        <f aca="false">SUM(BK75:BK81)</f>
        <v>2444.43352257147</v>
      </c>
      <c r="BL82" s="57" t="n">
        <f aca="false">SUM(BL75:BL81)</f>
        <v>2444.43352257147</v>
      </c>
      <c r="BM82" s="57" t="n">
        <f aca="false">SUM(BM75:BM81)</f>
        <v>2471.29542941292</v>
      </c>
      <c r="BN82" s="57" t="n">
        <f aca="false">SUM(BN75:BN81)</f>
        <v>2462.33160623732</v>
      </c>
      <c r="BO82" s="57" t="n">
        <f aca="false">SUM(BO75:BO81)</f>
        <v>2422.9459540571</v>
      </c>
      <c r="BP82" s="57" t="n">
        <f aca="false">SUM(BP75:BP81)</f>
        <v>2449.86757576884</v>
      </c>
      <c r="BQ82" s="57" t="n">
        <f aca="false">SUM(BQ75:BQ81)</f>
        <v>2476.78919748059</v>
      </c>
      <c r="BR82" s="57" t="n">
        <f aca="false">SUM(BR75:BR81)</f>
        <v>2467.77014457861</v>
      </c>
      <c r="BS82" s="57" t="n">
        <f aca="false">SUM(BS75:BS81)</f>
        <v>2428.05315613806</v>
      </c>
      <c r="BT82" s="57" t="n">
        <f aca="false">SUM(BT75:BT81)</f>
        <v>2455.03152453959</v>
      </c>
      <c r="BU82" s="57" t="n">
        <f aca="false">SUM(BU75:BU81)</f>
        <v>2482.00989294113</v>
      </c>
      <c r="BV82" s="57" t="n">
        <f aca="false">SUM(BV75:BV81)</f>
        <v>2472.93546082003</v>
      </c>
      <c r="BW82" s="57" t="n">
        <f aca="false">SUM(BW75:BW81)</f>
        <v>2432.88405612638</v>
      </c>
      <c r="BX82" s="57" t="n">
        <f aca="false">SUM(BX75:BX81)</f>
        <v>2459.91610119445</v>
      </c>
      <c r="BY82" s="57" t="n">
        <f aca="false">SUM(BY75:BY81)</f>
        <v>2486.94814626252</v>
      </c>
      <c r="BZ82" s="57" t="n">
        <f aca="false">SUM(BZ75:BZ81)</f>
        <v>2477.8181893204</v>
      </c>
      <c r="CA82" s="57" t="n">
        <f aca="false">SUM(CA75:CA81)</f>
        <v>2464.51179359584</v>
      </c>
      <c r="CB82" s="57" t="n">
        <f aca="false">SUM(CB75:CB81)</f>
        <v>2464.51179359584</v>
      </c>
      <c r="CC82" s="57" t="n">
        <f aca="false">SUM(CC75:CC81)</f>
        <v>2491.59434077821</v>
      </c>
      <c r="CD82" s="57" t="n">
        <f aca="false">SUM(CD75:CD81)</f>
        <v>2482.40871743996</v>
      </c>
      <c r="CE82" s="57" t="n">
        <f aca="false">SUM(CE75:CE81)</f>
        <v>2441.67907160649</v>
      </c>
      <c r="CF82" s="57" t="n">
        <f aca="false">SUM(CF75:CF81)</f>
        <v>2468.80883906879</v>
      </c>
      <c r="CG82" s="57" t="n">
        <f aca="false">SUM(CG75:CG81)</f>
        <v>2495.93860653108</v>
      </c>
      <c r="CH82" s="57" t="n">
        <f aca="false">SUM(CH75:CH81)</f>
        <v>2486.69717938767</v>
      </c>
      <c r="CI82" s="57" t="n">
        <f aca="false">SUM(CI75:CI81)</f>
        <v>2445.62362235821</v>
      </c>
      <c r="CJ82" s="57" t="n">
        <f aca="false">SUM(CJ75:CJ81)</f>
        <v>2472.79721816219</v>
      </c>
      <c r="CK82" s="57" t="n">
        <f aca="false">SUM(CK75:CK81)</f>
        <v>2499.97081396617</v>
      </c>
      <c r="CL82" s="57" t="n">
        <f aca="false">SUM(CL75:CL81)</f>
        <v>2490.67344991736</v>
      </c>
      <c r="CM82" s="57" t="n">
        <f aca="false">SUM(CM75:CM81)</f>
        <v>2449.25272904512</v>
      </c>
      <c r="CN82" s="57" t="n">
        <f aca="false">SUM(CN75:CN81)</f>
        <v>2476.46664825673</v>
      </c>
      <c r="CO82" s="57" t="n">
        <f aca="false">SUM(CO75:CO81)</f>
        <v>2503.68056746835</v>
      </c>
      <c r="CP82" s="57" t="n">
        <f aca="false">SUM(CP75:CP81)</f>
        <v>2494.32713786886</v>
      </c>
      <c r="CQ82" s="57" t="n">
        <f aca="false">SUM(CQ75:CQ81)</f>
        <v>2479.80657701572</v>
      </c>
      <c r="CR82" s="57" t="n">
        <f aca="false">SUM(CR75:CR81)</f>
        <v>2479.80657701572</v>
      </c>
      <c r="CS82" s="57" t="n">
        <f aca="false">SUM(CS75:CS81)</f>
        <v>2507.05719874117</v>
      </c>
      <c r="CT82" s="57" t="n">
        <f aca="false">SUM(CT75:CT81)</f>
        <v>2497.64757955043</v>
      </c>
      <c r="CU82" s="57" t="n">
        <f aca="false">SUM(CU75:CU81)</f>
        <v>2455.52259132691</v>
      </c>
      <c r="CV82" s="57" t="n">
        <f aca="false">SUM(CV75:CV81)</f>
        <v>2482.80617567499</v>
      </c>
      <c r="CW82" s="57" t="n">
        <f aca="false">SUM(CW75:CW81)</f>
        <v>2510.08976002306</v>
      </c>
      <c r="CX82" s="57" t="n">
        <f aca="false">SUM(CX75:CX81)</f>
        <v>2500.62383195862</v>
      </c>
      <c r="CY82" s="57" t="n">
        <f aca="false">SUM(CY75:CY81)</f>
        <v>2458.14164719902</v>
      </c>
      <c r="CZ82" s="57" t="n">
        <f aca="false">SUM(CZ75:CZ81)</f>
        <v>2485.45433216789</v>
      </c>
      <c r="DA82" s="57" t="n">
        <f aca="false">SUM(DA75:DA81)</f>
        <v>2512.76701713677</v>
      </c>
      <c r="DB82" s="57" t="n">
        <f aca="false">SUM(DB75:DB81)</f>
        <v>2503.24466583138</v>
      </c>
      <c r="DC82" s="57" t="n">
        <f aca="false">SUM(DC75:DC81)</f>
        <v>2460.4018457948</v>
      </c>
      <c r="DD82" s="57" t="n">
        <f aca="false">SUM(DD75:DD81)</f>
        <v>2487.73964408141</v>
      </c>
      <c r="DE82" s="57" t="n">
        <f aca="false">SUM(DE75:DE81)</f>
        <v>2515.07744236802</v>
      </c>
      <c r="DF82" s="57" t="n">
        <f aca="false">SUM(DF75:DF81)</f>
        <v>2505.49855853058</v>
      </c>
      <c r="DG82" s="57" t="n">
        <f aca="false">SUM(DG75:DG81)</f>
        <v>2489.65041143909</v>
      </c>
      <c r="DH82" s="57" t="n">
        <f aca="false">SUM(DH75:DH81)</f>
        <v>2489.65041143909</v>
      </c>
      <c r="DI82" s="57" t="n">
        <f aca="false">SUM(DI75:DI81)</f>
        <v>2517.00920716919</v>
      </c>
      <c r="DJ82" s="57" t="n">
        <f aca="false">SUM(DJ75:DJ81)</f>
        <v>2507.37368674959</v>
      </c>
      <c r="DK82" s="57" t="n">
        <f aca="false">SUM(DK75:DK81)</f>
        <v>2463.79908392978</v>
      </c>
      <c r="DL82" s="57" t="n">
        <f aca="false">SUM(DL75:DL81)</f>
        <v>2491.17462930678</v>
      </c>
      <c r="DM82" s="57" t="n">
        <f aca="false">SUM(DM75:DM81)</f>
        <v>2518.55017468378</v>
      </c>
      <c r="DN82" s="57" t="n">
        <f aca="false">SUM(DN75:DN81)</f>
        <v>2508.85791904168</v>
      </c>
      <c r="DO82" s="57" t="n">
        <f aca="false">SUM(DO75:DO81)</f>
        <v>2464.91206834606</v>
      </c>
      <c r="DP82" s="57" t="n">
        <f aca="false">SUM(DP75:DP81)</f>
        <v>2492.29998021657</v>
      </c>
      <c r="DQ82" s="57" t="n">
        <f aca="false">SUM(DQ75:DQ81)</f>
        <v>2519.68789208708</v>
      </c>
      <c r="DR82" s="57" t="n">
        <f aca="false">SUM(DR75:DR81)</f>
        <v>2509.93880816483</v>
      </c>
      <c r="DS82" s="57" t="n">
        <f aca="false">SUM(DS75:DS81)</f>
        <v>2465.61807007059</v>
      </c>
      <c r="DT82" s="57" t="n">
        <f aca="false">SUM(DT75:DT81)</f>
        <v>2493.01382640471</v>
      </c>
      <c r="DU82" s="57" t="n">
        <f aca="false">SUM(DU75:DU81)</f>
        <v>2520.40958273882</v>
      </c>
      <c r="DV82" s="57" t="n">
        <f aca="false">SUM(DV75:DV81)</f>
        <v>2510.60358323846</v>
      </c>
      <c r="DW82" s="57" t="n">
        <f aca="false">SUM(DW75:DW81)</f>
        <v>2493.30320185874</v>
      </c>
      <c r="DX82" s="57" t="n">
        <f aca="false">SUM(DX75:DX81)</f>
        <v>2493.30320185874</v>
      </c>
      <c r="DY82" s="57" t="n">
        <f aca="false">SUM(DY75:DY81)</f>
        <v>2520.70213814291</v>
      </c>
      <c r="DZ82" s="57" t="n">
        <f aca="false">SUM(DZ75:DZ81)</f>
        <v>2510.83914170753</v>
      </c>
      <c r="EA82" s="57" t="n">
        <f aca="false">SUM(EA75:EA81)</f>
        <v>2465.75749862902</v>
      </c>
      <c r="EB82" s="57" t="n">
        <f aca="false">SUM(EB75:EB81)</f>
        <v>2493.15480416935</v>
      </c>
      <c r="EC82" s="57" t="n">
        <f aca="false">SUM(EC75:EC81)</f>
        <v>2520.55210970967</v>
      </c>
      <c r="ED82" s="57" t="n">
        <f aca="false">SUM(ED75:ED81)</f>
        <v>2510.63204110907</v>
      </c>
      <c r="EE82" s="57" t="n">
        <f aca="false">SUM(EE75:EE81)</f>
        <v>2465.16427204807</v>
      </c>
      <c r="EF82" s="57" t="n">
        <f aca="false">SUM(EF75:EF81)</f>
        <v>2492.55498618193</v>
      </c>
      <c r="EG82" s="57" t="n">
        <f aca="false">SUM(EG75:EG81)</f>
        <v>2519.9457003158</v>
      </c>
      <c r="EH82" s="57" t="n">
        <f aca="false">SUM(EH75:EH81)</f>
        <v>2509.96849063659</v>
      </c>
      <c r="EI82" s="57" t="n">
        <f aca="false">SUM(EI75:EI81)</f>
        <v>2464.11073922956</v>
      </c>
      <c r="EJ82" s="57" t="n">
        <f aca="false">SUM(EJ75:EJ81)</f>
        <v>2491.48974744322</v>
      </c>
      <c r="EK82" s="57" t="n">
        <f aca="false">SUM(EK75:EK81)</f>
        <v>2518.86875565688</v>
      </c>
      <c r="EL82" s="57" t="n">
        <f aca="false">SUM(EL75:EL81)</f>
        <v>2508.8343424972</v>
      </c>
      <c r="EM82" s="57" t="n">
        <f aca="false">SUM(EM75:EM81)</f>
        <v>2489.94472543768</v>
      </c>
      <c r="EN82" s="57" t="n">
        <f aca="false">SUM(EN75:EN81)</f>
        <v>2489.94472543768</v>
      </c>
      <c r="EO82" s="57" t="n">
        <f aca="false">SUM(EO75:EO81)</f>
        <v>2517.30675538755</v>
      </c>
    </row>
    <row r="84" customFormat="false" ht="15" hidden="false" customHeight="false" outlineLevel="0" collapsed="false">
      <c r="A84" s="9" t="s">
        <v>13</v>
      </c>
      <c r="B84" s="9"/>
      <c r="C84" s="9" t="s">
        <v>464</v>
      </c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</row>
    <row r="85" customFormat="false" ht="15" hidden="false" customHeight="false" outlineLevel="0" collapsed="false">
      <c r="C85" s="0" t="s">
        <v>465</v>
      </c>
      <c r="D85" s="11" t="s">
        <v>33</v>
      </c>
      <c r="J85" s="58" t="n">
        <v>0</v>
      </c>
      <c r="K85" s="58" t="n">
        <v>0</v>
      </c>
      <c r="L85" s="58" t="n">
        <v>0</v>
      </c>
      <c r="M85" s="58" t="n">
        <v>0</v>
      </c>
      <c r="N85" s="58" t="n">
        <v>0</v>
      </c>
      <c r="O85" s="58" t="n">
        <v>0</v>
      </c>
      <c r="P85" s="58" t="n">
        <v>0</v>
      </c>
      <c r="Q85" s="58" t="n">
        <v>0</v>
      </c>
      <c r="R85" s="58" t="n">
        <v>0</v>
      </c>
      <c r="S85" s="58" t="n">
        <v>0</v>
      </c>
      <c r="T85" s="58" t="n">
        <v>0</v>
      </c>
      <c r="U85" s="58" t="n">
        <v>0</v>
      </c>
      <c r="V85" s="58" t="n">
        <v>0</v>
      </c>
      <c r="W85" s="58" t="n">
        <v>0</v>
      </c>
      <c r="X85" s="58" t="n">
        <v>0</v>
      </c>
      <c r="Y85" s="58" t="n">
        <v>0</v>
      </c>
      <c r="Z85" s="58" t="n">
        <v>-57.9374552281603</v>
      </c>
      <c r="AA85" s="58" t="n">
        <v>-57.3413728005357</v>
      </c>
      <c r="AB85" s="58" t="n">
        <v>-58.7786499424884</v>
      </c>
      <c r="AC85" s="58" t="n">
        <v>-60.2295392404593</v>
      </c>
      <c r="AD85" s="58" t="n">
        <v>-59.9734776850922</v>
      </c>
      <c r="AE85" s="58" t="n">
        <v>-114.686810686578</v>
      </c>
      <c r="AF85" s="58" t="n">
        <v>-121.65584437691</v>
      </c>
      <c r="AG85" s="58" t="n">
        <v>-124.565346374805</v>
      </c>
      <c r="AH85" s="58" t="n">
        <v>-124.03945188484</v>
      </c>
      <c r="AI85" s="58" t="n">
        <v>-122.791188733058</v>
      </c>
      <c r="AJ85" s="58" t="n">
        <v>-130.699003240141</v>
      </c>
      <c r="AK85" s="58" t="n">
        <v>-133.736080825414</v>
      </c>
      <c r="AL85" s="58" t="n">
        <v>-133.264009897709</v>
      </c>
      <c r="AM85" s="58" t="n">
        <v>-131.922827649737</v>
      </c>
      <c r="AN85" s="58" t="n">
        <v>-134.986321172937</v>
      </c>
      <c r="AO85" s="58" t="n">
        <v>-138.077496021679</v>
      </c>
      <c r="AP85" s="58" t="n">
        <v>-137.64027983941</v>
      </c>
      <c r="AQ85" s="58" t="n">
        <v>-136.295901723743</v>
      </c>
      <c r="AR85" s="58" t="n">
        <v>-139.414472571597</v>
      </c>
      <c r="AS85" s="58" t="n">
        <v>-142.561287033905</v>
      </c>
      <c r="AT85" s="58" t="n">
        <v>-142.160811469419</v>
      </c>
      <c r="AU85" s="58" t="n">
        <v>-143.09807707241</v>
      </c>
      <c r="AV85" s="58" t="n">
        <v>-144.008344071491</v>
      </c>
      <c r="AW85" s="58" t="n">
        <v>-147.21262871991</v>
      </c>
      <c r="AX85" s="58" t="n">
        <v>-146.851084519522</v>
      </c>
      <c r="AY85" s="58" t="n">
        <v>-145.505156635975</v>
      </c>
      <c r="AZ85" s="58" t="n">
        <v>-148.738961506477</v>
      </c>
      <c r="BA85" s="58" t="n">
        <v>-152.002202423538</v>
      </c>
      <c r="BB85" s="58" t="n">
        <v>-151.681445422595</v>
      </c>
      <c r="BC85" s="58" t="n">
        <v>-150.33712113833</v>
      </c>
      <c r="BD85" s="58" t="n">
        <v>-153.631024508787</v>
      </c>
      <c r="BE85" s="58" t="n">
        <v>-156.954993583047</v>
      </c>
      <c r="BF85" s="58" t="n">
        <v>-156.677182772684</v>
      </c>
      <c r="BG85" s="58" t="n">
        <v>-155.336233237575</v>
      </c>
      <c r="BH85" s="58" t="n">
        <v>-158.692066558579</v>
      </c>
      <c r="BI85" s="58" t="n">
        <v>-162.078619751248</v>
      </c>
      <c r="BJ85" s="58" t="n">
        <v>-161.846013552583</v>
      </c>
      <c r="BK85" s="58" t="n">
        <v>-162.833619797071</v>
      </c>
      <c r="BL85" s="58" t="n">
        <v>-163.948508670433</v>
      </c>
      <c r="BM85" s="58" t="n">
        <v>-167.399807735495</v>
      </c>
      <c r="BN85" s="58" t="n">
        <v>-167.214988710277</v>
      </c>
      <c r="BO85" s="58" t="n">
        <v>-165.886706299979</v>
      </c>
      <c r="BP85" s="58" t="n">
        <v>-169.372471949545</v>
      </c>
      <c r="BQ85" s="58" t="n">
        <v>-172.890346552661</v>
      </c>
      <c r="BR85" s="58" t="n">
        <v>-172.755576426138</v>
      </c>
      <c r="BS85" s="58" t="n">
        <v>-171.436576633022</v>
      </c>
      <c r="BT85" s="58" t="n">
        <v>-174.990317518141</v>
      </c>
      <c r="BU85" s="58" t="n">
        <v>-178.576902171468</v>
      </c>
      <c r="BV85" s="58" t="n">
        <v>-178.494766653995</v>
      </c>
      <c r="BW85" s="58" t="n">
        <v>-177.187226150453</v>
      </c>
      <c r="BX85" s="58" t="n">
        <v>-180.811149454398</v>
      </c>
      <c r="BY85" s="58" t="n">
        <v>-184.468680703855</v>
      </c>
      <c r="BZ85" s="58" t="n">
        <v>-184.441884712068</v>
      </c>
      <c r="CA85" s="58" t="n">
        <v>-185.504505587088</v>
      </c>
      <c r="CB85" s="58" t="n">
        <v>-186.863176768402</v>
      </c>
      <c r="CC85" s="58" t="n">
        <v>-190.594217455057</v>
      </c>
      <c r="CD85" s="58" t="n">
        <v>-190.625812433584</v>
      </c>
      <c r="CE85" s="58" t="n">
        <v>-189.348405272732</v>
      </c>
      <c r="CF85" s="58" t="n">
        <v>-193.11997010984</v>
      </c>
      <c r="CG85" s="58" t="n">
        <v>-196.92676750123</v>
      </c>
      <c r="CH85" s="58" t="n">
        <v>-197.019502452113</v>
      </c>
      <c r="CI85" s="58" t="n">
        <v>-195.760799763079</v>
      </c>
      <c r="CJ85" s="58" t="n">
        <v>-199.609834925664</v>
      </c>
      <c r="CK85" s="58" t="n">
        <v>-203.494963449185</v>
      </c>
      <c r="CL85" s="58" t="n">
        <v>-203.651935662101</v>
      </c>
      <c r="CM85" s="58" t="n">
        <v>-202.414603329839</v>
      </c>
      <c r="CN85" s="58" t="n">
        <v>-206.343771814505</v>
      </c>
      <c r="CO85" s="58" t="n">
        <v>-210.309929670174</v>
      </c>
      <c r="CP85" s="58" t="n">
        <v>-210.534379405341</v>
      </c>
      <c r="CQ85" s="58" t="n">
        <v>-211.702843383591</v>
      </c>
      <c r="CR85" s="58" t="n">
        <v>-213.352085642376</v>
      </c>
      <c r="CS85" s="58" t="n">
        <v>-217.402321392103</v>
      </c>
      <c r="CT85" s="58" t="n">
        <v>-217.697861601253</v>
      </c>
      <c r="CU85" s="58" t="n">
        <v>-214.791054135796</v>
      </c>
      <c r="CV85" s="58" t="n">
        <v>-217.177621403972</v>
      </c>
      <c r="CW85" s="58" t="n">
        <v>-219.564188672147</v>
      </c>
      <c r="CX85" s="58" t="n">
        <v>-218.14429946248</v>
      </c>
      <c r="CY85" s="58" t="n">
        <v>-215.183912516612</v>
      </c>
      <c r="CZ85" s="58" t="n">
        <v>-217.574844877908</v>
      </c>
      <c r="DA85" s="58" t="n">
        <v>-219.965777239203</v>
      </c>
      <c r="DB85" s="58" t="n">
        <v>-375.486699874706</v>
      </c>
      <c r="DC85" s="58" t="n">
        <v>-369.060276869219</v>
      </c>
      <c r="DD85" s="58" t="n">
        <v>-373.160946612211</v>
      </c>
      <c r="DE85" s="58" t="n">
        <v>-377.261616355202</v>
      </c>
      <c r="DF85" s="58" t="n">
        <v>-375.824783779587</v>
      </c>
      <c r="DG85" s="58" t="n">
        <v>-373.447561715863</v>
      </c>
      <c r="DH85" s="58" t="n">
        <v>-373.447561715863</v>
      </c>
      <c r="DI85" s="58" t="n">
        <v>-377.551381075378</v>
      </c>
      <c r="DJ85" s="58" t="n">
        <v>-376.106053012438</v>
      </c>
      <c r="DK85" s="58" t="n">
        <v>-369.569862589467</v>
      </c>
      <c r="DL85" s="58" t="n">
        <v>-373.676194396016</v>
      </c>
      <c r="DM85" s="58" t="n">
        <v>-377.782526202566</v>
      </c>
      <c r="DN85" s="58" t="n">
        <v>-376.328687856252</v>
      </c>
      <c r="DO85" s="58" t="n">
        <v>-369.736810251908</v>
      </c>
      <c r="DP85" s="58" t="n">
        <v>-373.844997032485</v>
      </c>
      <c r="DQ85" s="58" t="n">
        <v>-377.953183813062</v>
      </c>
      <c r="DR85" s="58" t="n">
        <v>-376.490821224723</v>
      </c>
      <c r="DS85" s="58" t="n">
        <v>-369.842710510588</v>
      </c>
      <c r="DT85" s="58" t="n">
        <v>-373.952073960705</v>
      </c>
      <c r="DU85" s="58" t="n">
        <v>-378.061437410823</v>
      </c>
      <c r="DV85" s="58" t="n">
        <v>-376.590537485769</v>
      </c>
      <c r="DW85" s="58" t="n">
        <v>-373.995480278811</v>
      </c>
      <c r="DX85" s="58" t="n">
        <v>-373.995480278811</v>
      </c>
      <c r="DY85" s="58" t="n">
        <v>-378.105320721435</v>
      </c>
      <c r="DZ85" s="58" t="n">
        <v>-376.625871256129</v>
      </c>
      <c r="EA85" s="58" t="n">
        <v>-369.863624794353</v>
      </c>
      <c r="EB85" s="58" t="n">
        <v>-373.973220625402</v>
      </c>
      <c r="EC85" s="58" t="n">
        <v>-378.08281645645</v>
      </c>
      <c r="ED85" s="58" t="n">
        <v>-376.59480616636</v>
      </c>
      <c r="EE85" s="58" t="n">
        <v>-369.774640807209</v>
      </c>
      <c r="EF85" s="58" t="n">
        <v>-373.883247927289</v>
      </c>
      <c r="EG85" s="58" t="n">
        <v>-377.991855047369</v>
      </c>
      <c r="EH85" s="58" t="n">
        <v>-376.495273595488</v>
      </c>
      <c r="EI85" s="58" t="n">
        <v>-369.616610884433</v>
      </c>
      <c r="EJ85" s="58" t="n">
        <v>-373.723462116482</v>
      </c>
      <c r="EK85" s="58" t="n">
        <v>-377.830313348532</v>
      </c>
      <c r="EL85" s="58" t="n">
        <v>-376.325151374579</v>
      </c>
      <c r="EM85" s="58" t="n">
        <v>-373.491708815652</v>
      </c>
      <c r="EN85" s="58" t="n">
        <v>-373.491708815652</v>
      </c>
      <c r="EO85" s="58" t="n">
        <v>-377.596013308131</v>
      </c>
    </row>
    <row r="86" customFormat="false" ht="15" hidden="false" customHeight="false" outlineLevel="0" collapsed="false">
      <c r="C86" s="0" t="s">
        <v>466</v>
      </c>
      <c r="D86" s="11" t="s">
        <v>33</v>
      </c>
      <c r="I86" s="48" t="n">
        <f aca="false">SUM(J86:EO86)</f>
        <v>267239.41896663</v>
      </c>
      <c r="J86" s="48" t="n">
        <f aca="false">(J82+J58+J85)*(J$4&gt;In_COD)</f>
        <v>-0</v>
      </c>
      <c r="K86" s="48" t="n">
        <f aca="false">(K82+K58+K85)*(K$4&gt;In_COD)</f>
        <v>-0</v>
      </c>
      <c r="L86" s="48" t="n">
        <f aca="false">(L82+L58+L85)*(L$4&gt;In_COD)</f>
        <v>-0</v>
      </c>
      <c r="M86" s="48" t="n">
        <f aca="false">(M82+M58+M85)*(M$4&gt;In_COD)</f>
        <v>-0</v>
      </c>
      <c r="N86" s="48" t="n">
        <f aca="false">(N82+N58+N85)*(N$4&gt;In_COD)</f>
        <v>-0</v>
      </c>
      <c r="O86" s="48" t="n">
        <f aca="false">(O82+O58+O85)*(O$4&gt;In_COD)</f>
        <v>-0</v>
      </c>
      <c r="P86" s="48" t="n">
        <f aca="false">(P82+P58+P85)*(P$4&gt;In_COD)</f>
        <v>-0</v>
      </c>
      <c r="Q86" s="48" t="n">
        <f aca="false">(Q82+Q58+Q85)*(Q$4&gt;In_COD)</f>
        <v>-0</v>
      </c>
      <c r="R86" s="48" t="n">
        <f aca="false">(R82+R58+R85)*(R$4&gt;In_COD)</f>
        <v>-0</v>
      </c>
      <c r="S86" s="48" t="n">
        <f aca="false">(S82+S58+S85)*(S$4&gt;In_COD)</f>
        <v>-0</v>
      </c>
      <c r="T86" s="48" t="n">
        <f aca="false">(T82+T58+T85)*(T$4&gt;In_COD)</f>
        <v>-0</v>
      </c>
      <c r="U86" s="48" t="n">
        <f aca="false">(U82+U58+U85)*(U$4&gt;In_COD)</f>
        <v>-0</v>
      </c>
      <c r="V86" s="48" t="n">
        <f aca="false">(V82+V58+V85)*(V$4&gt;In_COD)</f>
        <v>-0</v>
      </c>
      <c r="W86" s="48" t="n">
        <f aca="false">(W82+W58+W85)*(W$4&gt;In_COD)</f>
        <v>-0</v>
      </c>
      <c r="X86" s="48" t="n">
        <f aca="false">(X82+X58+X85)*(X$4&gt;In_COD)</f>
        <v>-0</v>
      </c>
      <c r="Y86" s="48" t="n">
        <f aca="false">(Y82+Y58+Y85)*(Y$4&gt;In_COD)</f>
        <v>-0</v>
      </c>
      <c r="Z86" s="48" t="n">
        <f aca="false">(Z82+Z58+Z85)*(Z$4&gt;In_COD)</f>
        <v>2303.35715537998</v>
      </c>
      <c r="AA86" s="48" t="n">
        <f aca="false">(AA82+AA58+AA85)*(AA$4&gt;In_COD)</f>
        <v>2268.44894488457</v>
      </c>
      <c r="AB86" s="48" t="n">
        <f aca="false">(AB82+AB58+AB85)*(AB$4&gt;In_COD)</f>
        <v>2292.85378238356</v>
      </c>
      <c r="AC86" s="48" t="n">
        <f aca="false">(AC82+AC58+AC85)*(AC$4&gt;In_COD)</f>
        <v>2317.24500772654</v>
      </c>
      <c r="AD86" s="48" t="n">
        <f aca="false">(AD82+AD58+AD85)*(AD$4&gt;In_COD)</f>
        <v>2309.02700771175</v>
      </c>
      <c r="AE86" s="48" t="n">
        <f aca="false">(AE82+AE58+AE85)*(AE$4&gt;In_COD)</f>
        <v>2244.43107067092</v>
      </c>
      <c r="AF86" s="48" t="n">
        <f aca="false">(AF82+AF58+AF85)*(AF$4&gt;In_COD)</f>
        <v>2237.46203698058</v>
      </c>
      <c r="AG86" s="48" t="n">
        <f aca="false">(AG82+AG58+AG85)*(AG$4&gt;In_COD)</f>
        <v>2260.4769073053</v>
      </c>
      <c r="AH86" s="48" t="n">
        <f aca="false">(AH82+AH58+AH85)*(AH$4&gt;In_COD)</f>
        <v>2252.47501014435</v>
      </c>
      <c r="AI86" s="48" t="n">
        <f aca="false">(AI82+AI58+AI85)*(AI$4&gt;In_COD)</f>
        <v>2217.61091354168</v>
      </c>
      <c r="AJ86" s="48" t="n">
        <f aca="false">(AJ82+AJ58+AJ85)*(AJ$4&gt;In_COD)</f>
        <v>2268.86305567233</v>
      </c>
      <c r="AK86" s="48" t="n">
        <f aca="false">(AK82+AK58+AK85)*(AK$4&gt;In_COD)</f>
        <v>2292.19479192126</v>
      </c>
      <c r="AL86" s="48" t="n">
        <f aca="false">(AL82+AL58+AL85)*(AL$4&gt;In_COD)</f>
        <v>2284.08516221082</v>
      </c>
      <c r="AM86" s="48" t="n">
        <f aca="false">(AM82+AM58+AM85)*(AM$4&gt;In_COD)</f>
        <v>2248.27717430631</v>
      </c>
      <c r="AN86" s="48" t="n">
        <f aca="false">(AN82+AN58+AN85)*(AN$4&gt;In_COD)</f>
        <v>2271.66034747151</v>
      </c>
      <c r="AO86" s="48" t="n">
        <f aca="false">(AO82+AO58+AO85)*(AO$4&gt;In_COD)</f>
        <v>2295.01583931117</v>
      </c>
      <c r="AP86" s="48" t="n">
        <f aca="false">(AP82+AP58+AP85)*(AP$4&gt;In_COD)</f>
        <v>2286.81726976704</v>
      </c>
      <c r="AQ86" s="48" t="n">
        <f aca="false">(AQ82+AQ58+AQ85)*(AQ$4&gt;In_COD)</f>
        <v>2250.70158883029</v>
      </c>
      <c r="AR86" s="48" t="n">
        <f aca="false">(AR82+AR58+AR85)*(AR$4&gt;In_COD)</f>
        <v>2274.10521232193</v>
      </c>
      <c r="AS86" s="48" t="n">
        <f aca="false">(AS82+AS58+AS85)*(AS$4&gt;In_COD)</f>
        <v>2297.48059219911</v>
      </c>
      <c r="AT86" s="48" t="n">
        <f aca="false">(AT82+AT58+AT85)*(AT$4&gt;In_COD)</f>
        <v>2289.19102376248</v>
      </c>
      <c r="AU86" s="48" t="n">
        <f aca="false">(AU82+AU58+AU85)*(AU$4&gt;In_COD)</f>
        <v>2277.07531538183</v>
      </c>
      <c r="AV86" s="48" t="n">
        <f aca="false">(AV82+AV58+AV85)*(AV$4&gt;In_COD)</f>
        <v>2276.16504838275</v>
      </c>
      <c r="AW86" s="48" t="n">
        <f aca="false">(AW82+AW58+AW85)*(AW$4&gt;In_COD)</f>
        <v>2299.55607573932</v>
      </c>
      <c r="AX86" s="48" t="n">
        <f aca="false">(AX82+AX58+AX85)*(AX$4&gt;In_COD)</f>
        <v>2291.17314750383</v>
      </c>
      <c r="AY86" s="48" t="n">
        <f aca="false">(AY82+AY58+AY85)*(AY$4&gt;In_COD)</f>
        <v>2254.4287811187</v>
      </c>
      <c r="AZ86" s="48" t="n">
        <f aca="false">(AZ82+AZ58+AZ85)*(AZ$4&gt;In_COD)</f>
        <v>2277.86090888992</v>
      </c>
      <c r="BA86" s="48" t="n">
        <f aca="false">(BA82+BA58+BA85)*(BA$4&gt;In_COD)</f>
        <v>2301.26360061458</v>
      </c>
      <c r="BB86" s="48" t="n">
        <f aca="false">(BB82+BB58+BB85)*(BB$4&gt;In_COD)</f>
        <v>2292.78528972584</v>
      </c>
      <c r="BC86" s="48" t="n">
        <f aca="false">(BC82+BC58+BC85)*(BC$4&gt;In_COD)</f>
        <v>2255.71989890028</v>
      </c>
      <c r="BD86" s="48" t="n">
        <f aca="false">(BD82+BD58+BD85)*(BD$4&gt;In_COD)</f>
        <v>2279.15996241914</v>
      </c>
      <c r="BE86" s="48" t="n">
        <f aca="false">(BE82+BE58+BE85)*(BE$4&gt;In_COD)</f>
        <v>2302.5699602342</v>
      </c>
      <c r="BF86" s="48" t="n">
        <f aca="false">(BF82+BF58+BF85)*(BF$4&gt;In_COD)</f>
        <v>2293.99394394053</v>
      </c>
      <c r="BG86" s="48" t="n">
        <f aca="false">(BG82+BG58+BG85)*(BG$4&gt;In_COD)</f>
        <v>2256.60283788145</v>
      </c>
      <c r="BH86" s="48" t="n">
        <f aca="false">(BH82+BH58+BH85)*(BH$4&gt;In_COD)</f>
        <v>2280.04632757288</v>
      </c>
      <c r="BI86" s="48" t="n">
        <f aca="false">(BI82+BI58+BI85)*(BI$4&gt;In_COD)</f>
        <v>2303.45909739265</v>
      </c>
      <c r="BJ86" s="48" t="n">
        <f aca="false">(BJ82+BJ58+BJ85)*(BJ$4&gt;In_COD)</f>
        <v>2294.78295689124</v>
      </c>
      <c r="BK86" s="48" t="n">
        <f aca="false">(BK82+BK58+BK85)*(BK$4&gt;In_COD)</f>
        <v>2281.5999027744</v>
      </c>
      <c r="BL86" s="48" t="n">
        <f aca="false">(BL82+BL58+BL85)*(BL$4&gt;In_COD)</f>
        <v>2280.48501390104</v>
      </c>
      <c r="BM86" s="48" t="n">
        <f aca="false">(BM82+BM58+BM85)*(BM$4&gt;In_COD)</f>
        <v>2303.89562167742</v>
      </c>
      <c r="BN86" s="48" t="n">
        <f aca="false">(BN82+BN58+BN85)*(BN$4&gt;In_COD)</f>
        <v>2295.11661752705</v>
      </c>
      <c r="BO86" s="48" t="n">
        <f aca="false">(BO82+BO58+BO85)*(BO$4&gt;In_COD)</f>
        <v>2257.05924775712</v>
      </c>
      <c r="BP86" s="48" t="n">
        <f aca="false">(BP82+BP58+BP85)*(BP$4&gt;In_COD)</f>
        <v>2280.4951038193</v>
      </c>
      <c r="BQ86" s="48" t="n">
        <f aca="false">(BQ82+BQ58+BQ85)*(BQ$4&gt;In_COD)</f>
        <v>2303.89885092793</v>
      </c>
      <c r="BR86" s="48" t="n">
        <f aca="false">(BR82+BR58+BR85)*(BR$4&gt;In_COD)</f>
        <v>2295.01456815247</v>
      </c>
      <c r="BS86" s="48" t="n">
        <f aca="false">(BS82+BS58+BS85)*(BS$4&gt;In_COD)</f>
        <v>2256.61657950504</v>
      </c>
      <c r="BT86" s="48" t="n">
        <f aca="false">(BT82+BT58+BT85)*(BT$4&gt;In_COD)</f>
        <v>2280.04120702145</v>
      </c>
      <c r="BU86" s="48" t="n">
        <f aca="false">(BU82+BU58+BU85)*(BU$4&gt;In_COD)</f>
        <v>2303.43299076966</v>
      </c>
      <c r="BV86" s="48" t="n">
        <f aca="false">(BV82+BV58+BV85)*(BV$4&gt;In_COD)</f>
        <v>2294.44069416603</v>
      </c>
      <c r="BW86" s="48" t="n">
        <f aca="false">(BW82+BW58+BW85)*(BW$4&gt;In_COD)</f>
        <v>2255.69682997593</v>
      </c>
      <c r="BX86" s="48" t="n">
        <f aca="false">(BX82+BX58+BX85)*(BX$4&gt;In_COD)</f>
        <v>2279.10495174005</v>
      </c>
      <c r="BY86" s="48" t="n">
        <f aca="false">(BY82+BY58+BY85)*(BY$4&gt;In_COD)</f>
        <v>2302.47946555867</v>
      </c>
      <c r="BZ86" s="48" t="n">
        <f aca="false">(BZ82+BZ58+BZ85)*(BZ$4&gt;In_COD)</f>
        <v>2293.37630460833</v>
      </c>
      <c r="CA86" s="48" t="n">
        <f aca="false">(CA82+CA58+CA85)*(CA$4&gt;In_COD)</f>
        <v>2279.00728800875</v>
      </c>
      <c r="CB86" s="48" t="n">
        <f aca="false">(CB82+CB58+CB85)*(CB$4&gt;In_COD)</f>
        <v>2277.64861682744</v>
      </c>
      <c r="CC86" s="48" t="n">
        <f aca="false">(CC82+CC58+CC85)*(CC$4&gt;In_COD)</f>
        <v>2301.00012332316</v>
      </c>
      <c r="CD86" s="48" t="n">
        <f aca="false">(CD82+CD58+CD85)*(CD$4&gt;In_COD)</f>
        <v>2291.78290500637</v>
      </c>
      <c r="CE86" s="48" t="n">
        <f aca="false">(CE82+CE58+CE85)*(CE$4&gt;In_COD)</f>
        <v>2252.33066633376</v>
      </c>
      <c r="CF86" s="48" t="n">
        <f aca="false">(CF82+CF58+CF85)*(CF$4&gt;In_COD)</f>
        <v>2275.68886895895</v>
      </c>
      <c r="CG86" s="48" t="n">
        <f aca="false">(CG82+CG58+CG85)*(CG$4&gt;In_COD)</f>
        <v>2299.01183902985</v>
      </c>
      <c r="CH86" s="48" t="n">
        <f aca="false">(CH82+CH58+CH85)*(CH$4&gt;In_COD)</f>
        <v>2289.67767693556</v>
      </c>
      <c r="CI86" s="48" t="n">
        <f aca="false">(CI82+CI58+CI85)*(CI$4&gt;In_COD)</f>
        <v>2249.86282259513</v>
      </c>
      <c r="CJ86" s="48" t="n">
        <f aca="false">(CJ82+CJ58+CJ85)*(CJ$4&gt;In_COD)</f>
        <v>2273.18738323653</v>
      </c>
      <c r="CK86" s="48" t="n">
        <f aca="false">(CK82+CK58+CK85)*(CK$4&gt;In_COD)</f>
        <v>2296.47585051699</v>
      </c>
      <c r="CL86" s="48" t="n">
        <f aca="false">(CL82+CL58+CL85)*(CL$4&gt;In_COD)</f>
        <v>2287.02151425526</v>
      </c>
      <c r="CM86" s="48" t="n">
        <f aca="false">(CM82+CM58+CM85)*(CM$4&gt;In_COD)</f>
        <v>2246.83812571528</v>
      </c>
      <c r="CN86" s="48" t="n">
        <f aca="false">(CN82+CN58+CN85)*(CN$4&gt;In_COD)</f>
        <v>2270.12287644223</v>
      </c>
      <c r="CO86" s="48" t="n">
        <f aca="false">(CO82+CO58+CO85)*(CO$4&gt;In_COD)</f>
        <v>2293.37063779817</v>
      </c>
      <c r="CP86" s="48" t="n">
        <f aca="false">(CP82+CP58+CP85)*(CP$4&gt;In_COD)</f>
        <v>2283.79275846352</v>
      </c>
      <c r="CQ86" s="48" t="n">
        <f aca="false">(CQ82+CQ58+CQ85)*(CQ$4&gt;In_COD)</f>
        <v>2268.10373363213</v>
      </c>
      <c r="CR86" s="48" t="n">
        <f aca="false">(CR82+CR58+CR85)*(CR$4&gt;In_COD)</f>
        <v>2266.45449137335</v>
      </c>
      <c r="CS86" s="48" t="n">
        <f aca="false">(CS82+CS58+CS85)*(CS$4&gt;In_COD)</f>
        <v>2289.65487734907</v>
      </c>
      <c r="CT86" s="48" t="n">
        <f aca="false">(CT82+CT58+CT85)*(CT$4&gt;In_COD)</f>
        <v>2279.94971794918</v>
      </c>
      <c r="CU86" s="48" t="n">
        <f aca="false">(CU82+CU58+CU85)*(CU$4&gt;In_COD)</f>
        <v>2240.73153719111</v>
      </c>
      <c r="CV86" s="48" t="n">
        <f aca="false">(CV82+CV58+CV85)*(CV$4&gt;In_COD)</f>
        <v>2265.62855427102</v>
      </c>
      <c r="CW86" s="48" t="n">
        <f aca="false">(CW82+CW58+CW85)*(CW$4&gt;In_COD)</f>
        <v>2290.52557135092</v>
      </c>
      <c r="CX86" s="48" t="n">
        <f aca="false">(CX82+CX58+CX85)*(CX$4&gt;In_COD)</f>
        <v>2282.47953249614</v>
      </c>
      <c r="CY86" s="48" t="n">
        <f aca="false">(CY82+CY58+CY85)*(CY$4&gt;In_COD)</f>
        <v>2242.9577346824</v>
      </c>
      <c r="CZ86" s="48" t="n">
        <f aca="false">(CZ82+CZ58+CZ85)*(CZ$4&gt;In_COD)</f>
        <v>2267.87948728999</v>
      </c>
      <c r="DA86" s="48" t="n">
        <f aca="false">(DA82+DA58+DA85)*(DA$4&gt;In_COD)</f>
        <v>2292.80123989757</v>
      </c>
      <c r="DB86" s="48" t="n">
        <f aca="false">(DB82+DB58+DB85)*(DB$4&gt;In_COD)</f>
        <v>2127.75796595667</v>
      </c>
      <c r="DC86" s="48" t="n">
        <f aca="false">(DC82+DC58+DC85)*(DC$4&gt;In_COD)</f>
        <v>2091.34156892558</v>
      </c>
      <c r="DD86" s="48" t="n">
        <f aca="false">(DD82+DD58+DD85)*(DD$4&gt;In_COD)</f>
        <v>2114.5786974692</v>
      </c>
      <c r="DE86" s="48" t="n">
        <f aca="false">(DE82+DE58+DE85)*(DE$4&gt;In_COD)</f>
        <v>2137.81582601281</v>
      </c>
      <c r="DF86" s="48" t="n">
        <f aca="false">(DF82+DF58+DF85)*(DF$4&gt;In_COD)</f>
        <v>2129.67377475099</v>
      </c>
      <c r="DG86" s="48" t="n">
        <f aca="false">(DG82+DG58+DG85)*(DG$4&gt;In_COD)</f>
        <v>2116.20284972323</v>
      </c>
      <c r="DH86" s="48" t="n">
        <f aca="false">(DH82+DH58+DH85)*(DH$4&gt;In_COD)</f>
        <v>2116.20284972323</v>
      </c>
      <c r="DI86" s="48" t="n">
        <f aca="false">(DI82+DI58+DI85)*(DI$4&gt;In_COD)</f>
        <v>2139.45782609381</v>
      </c>
      <c r="DJ86" s="48" t="n">
        <f aca="false">(DJ82+DJ58+DJ85)*(DJ$4&gt;In_COD)</f>
        <v>2131.26763373715</v>
      </c>
      <c r="DK86" s="48" t="n">
        <f aca="false">(DK82+DK58+DK85)*(DK$4&gt;In_COD)</f>
        <v>2094.22922134031</v>
      </c>
      <c r="DL86" s="48" t="n">
        <f aca="false">(DL82+DL58+DL85)*(DL$4&gt;In_COD)</f>
        <v>2117.49843491076</v>
      </c>
      <c r="DM86" s="48" t="n">
        <f aca="false">(DM82+DM58+DM85)*(DM$4&gt;In_COD)</f>
        <v>2140.76764848121</v>
      </c>
      <c r="DN86" s="48" t="n">
        <f aca="false">(DN82+DN58+DN85)*(DN$4&gt;In_COD)</f>
        <v>2132.52923118543</v>
      </c>
      <c r="DO86" s="48" t="n">
        <f aca="false">(DO82+DO58+DO85)*(DO$4&gt;In_COD)</f>
        <v>2095.17525809415</v>
      </c>
      <c r="DP86" s="48" t="n">
        <f aca="false">(DP82+DP58+DP85)*(DP$4&gt;In_COD)</f>
        <v>2118.45498318408</v>
      </c>
      <c r="DQ86" s="48" t="n">
        <f aca="false">(DQ82+DQ58+DQ85)*(DQ$4&gt;In_COD)</f>
        <v>2141.73470827402</v>
      </c>
      <c r="DR86" s="48" t="n">
        <f aca="false">(DR82+DR58+DR85)*(DR$4&gt;In_COD)</f>
        <v>2133.4479869401</v>
      </c>
      <c r="DS86" s="48" t="n">
        <f aca="false">(DS82+DS58+DS85)*(DS$4&gt;In_COD)</f>
        <v>2095.77535956</v>
      </c>
      <c r="DT86" s="48" t="n">
        <f aca="false">(DT82+DT58+DT85)*(DT$4&gt;In_COD)</f>
        <v>2119.061752444</v>
      </c>
      <c r="DU86" s="48" t="n">
        <f aca="false">(DU82+DU58+DU85)*(DU$4&gt;In_COD)</f>
        <v>2142.348145328</v>
      </c>
      <c r="DV86" s="48" t="n">
        <f aca="false">(DV82+DV58+DV85)*(DV$4&gt;In_COD)</f>
        <v>2134.01304575269</v>
      </c>
      <c r="DW86" s="48" t="n">
        <f aca="false">(DW82+DW58+DW85)*(DW$4&gt;In_COD)</f>
        <v>2119.30772157993</v>
      </c>
      <c r="DX86" s="48" t="n">
        <f aca="false">(DX82+DX58+DX85)*(DX$4&gt;In_COD)</f>
        <v>2119.30772157993</v>
      </c>
      <c r="DY86" s="48" t="n">
        <f aca="false">(DY82+DY58+DY85)*(DY$4&gt;In_COD)</f>
        <v>2142.59681742147</v>
      </c>
      <c r="DZ86" s="48" t="n">
        <f aca="false">(DZ82+DZ58+DZ85)*(DZ$4&gt;In_COD)</f>
        <v>2134.2132704514</v>
      </c>
      <c r="EA86" s="48" t="n">
        <f aca="false">(EA82+EA58+EA85)*(EA$4&gt;In_COD)</f>
        <v>2095.89387383467</v>
      </c>
      <c r="EB86" s="48" t="n">
        <f aca="false">(EB82+EB58+EB85)*(EB$4&gt;In_COD)</f>
        <v>2119.18158354395</v>
      </c>
      <c r="EC86" s="48" t="n">
        <f aca="false">(EC82+EC58+EC85)*(EC$4&gt;In_COD)</f>
        <v>2142.46929325322</v>
      </c>
      <c r="ED86" s="48" t="n">
        <f aca="false">(ED82+ED58+ED85)*(ED$4&gt;In_COD)</f>
        <v>2134.03723494271</v>
      </c>
      <c r="EE86" s="48" t="n">
        <f aca="false">(EE82+EE58+EE85)*(EE$4&gt;In_COD)</f>
        <v>2095.38963124086</v>
      </c>
      <c r="EF86" s="48" t="n">
        <f aca="false">(EF82+EF58+EF85)*(EF$4&gt;In_COD)</f>
        <v>2118.67173825464</v>
      </c>
      <c r="EG86" s="48" t="n">
        <f aca="false">(EG82+EG58+EG85)*(EG$4&gt;In_COD)</f>
        <v>2141.95384526843</v>
      </c>
      <c r="EH86" s="48" t="n">
        <f aca="false">(EH82+EH58+EH85)*(EH$4&gt;In_COD)</f>
        <v>2133.47321704111</v>
      </c>
      <c r="EI86" s="48" t="n">
        <f aca="false">(EI82+EI58+EI85)*(EI$4&gt;In_COD)</f>
        <v>2094.49412834513</v>
      </c>
      <c r="EJ86" s="48" t="n">
        <f aca="false">(EJ82+EJ58+EJ85)*(EJ$4&gt;In_COD)</f>
        <v>2117.76628532674</v>
      </c>
      <c r="EK86" s="48" t="n">
        <f aca="false">(EK82+EK58+EK85)*(EK$4&gt;In_COD)</f>
        <v>2141.03844230835</v>
      </c>
      <c r="EL86" s="48" t="n">
        <f aca="false">(EL82+EL58+EL85)*(EL$4&gt;In_COD)</f>
        <v>2132.50919112262</v>
      </c>
      <c r="EM86" s="48" t="n">
        <f aca="false">(EM82+EM58+EM85)*(EM$4&gt;In_COD)</f>
        <v>2116.45301662203</v>
      </c>
      <c r="EN86" s="48" t="n">
        <f aca="false">(EN82+EN58+EN85)*(EN$4&gt;In_COD)</f>
        <v>2116.45301662203</v>
      </c>
      <c r="EO86" s="48" t="n">
        <f aca="false">(EO82+EO58+EO85)*(EO$4&gt;In_COD)</f>
        <v>2139.71074207941</v>
      </c>
    </row>
    <row r="87" customFormat="false" ht="15" hidden="false" customHeight="false" outlineLevel="0" collapsed="false">
      <c r="C87" s="0" t="s">
        <v>467</v>
      </c>
      <c r="D87" s="11" t="s">
        <v>33</v>
      </c>
      <c r="E87" s="48" t="n">
        <f aca="false">SUMPRODUCT($J87:$EO87/$J22:$EO22)*$E22</f>
        <v>89831.5464768429</v>
      </c>
      <c r="I87" s="48" t="n">
        <f aca="false">SUM(J87:EO87)</f>
        <v>136793.508377313</v>
      </c>
      <c r="J87" s="48" t="n">
        <f aca="false">J86/In_DSCR*J18</f>
        <v>-0</v>
      </c>
      <c r="K87" s="48" t="n">
        <f aca="false">K86/In_DSCR*K18</f>
        <v>-0</v>
      </c>
      <c r="L87" s="48" t="n">
        <f aca="false">L86/In_DSCR*L18</f>
        <v>-0</v>
      </c>
      <c r="M87" s="48" t="n">
        <f aca="false">M86/In_DSCR*M18</f>
        <v>-0</v>
      </c>
      <c r="N87" s="48" t="n">
        <f aca="false">N86/In_DSCR*N18</f>
        <v>-0</v>
      </c>
      <c r="O87" s="48" t="n">
        <f aca="false">O86/In_DSCR*O18</f>
        <v>-0</v>
      </c>
      <c r="P87" s="48" t="n">
        <f aca="false">P86/In_DSCR*P18</f>
        <v>-0</v>
      </c>
      <c r="Q87" s="48" t="n">
        <f aca="false">Q86/In_DSCR*Q18</f>
        <v>-0</v>
      </c>
      <c r="R87" s="48" t="n">
        <f aca="false">R86/In_DSCR*R18</f>
        <v>-0</v>
      </c>
      <c r="S87" s="48" t="n">
        <f aca="false">S86/In_DSCR*S18</f>
        <v>-0</v>
      </c>
      <c r="T87" s="48" t="n">
        <f aca="false">T86/In_DSCR*T18</f>
        <v>-0</v>
      </c>
      <c r="U87" s="48" t="n">
        <f aca="false">U86/In_DSCR*U18</f>
        <v>-0</v>
      </c>
      <c r="V87" s="48" t="n">
        <f aca="false">V86/In_DSCR*V18</f>
        <v>-0</v>
      </c>
      <c r="W87" s="48" t="n">
        <f aca="false">W86/In_DSCR*W18</f>
        <v>-0</v>
      </c>
      <c r="X87" s="48" t="n">
        <f aca="false">X86/In_DSCR*X18</f>
        <v>-0</v>
      </c>
      <c r="Y87" s="48" t="n">
        <f aca="false">Y86/In_DSCR*Y18</f>
        <v>-0</v>
      </c>
      <c r="Z87" s="48" t="n">
        <f aca="false">Z86/In_DSCR*Z18</f>
        <v>1919.46429614999</v>
      </c>
      <c r="AA87" s="48" t="n">
        <f aca="false">AA86/In_DSCR*AA18</f>
        <v>1890.37412073714</v>
      </c>
      <c r="AB87" s="48" t="n">
        <f aca="false">AB86/In_DSCR*AB18</f>
        <v>1910.71148531963</v>
      </c>
      <c r="AC87" s="48" t="n">
        <f aca="false">AC86/In_DSCR*AC18</f>
        <v>1931.03750643878</v>
      </c>
      <c r="AD87" s="48" t="n">
        <f aca="false">AD86/In_DSCR*AD18</f>
        <v>1924.18917309312</v>
      </c>
      <c r="AE87" s="48" t="n">
        <f aca="false">AE86/In_DSCR*AE18</f>
        <v>1870.3592255591</v>
      </c>
      <c r="AF87" s="48" t="n">
        <f aca="false">AF86/In_DSCR*AF18</f>
        <v>1864.55169748382</v>
      </c>
      <c r="AG87" s="48" t="n">
        <f aca="false">AG86/In_DSCR*AG18</f>
        <v>1883.73075608775</v>
      </c>
      <c r="AH87" s="48" t="n">
        <f aca="false">AH86/In_DSCR*AH18</f>
        <v>1877.06250845363</v>
      </c>
      <c r="AI87" s="48" t="n">
        <f aca="false">AI86/In_DSCR*AI18</f>
        <v>1848.00909461807</v>
      </c>
      <c r="AJ87" s="48" t="n">
        <f aca="false">AJ86/In_DSCR*AJ18</f>
        <v>1890.71921306028</v>
      </c>
      <c r="AK87" s="48" t="n">
        <f aca="false">AK86/In_DSCR*AK18</f>
        <v>1910.16232660105</v>
      </c>
      <c r="AL87" s="48" t="n">
        <f aca="false">AL86/In_DSCR*AL18</f>
        <v>1903.40430184235</v>
      </c>
      <c r="AM87" s="48" t="n">
        <f aca="false">AM86/In_DSCR*AM18</f>
        <v>1873.56431192192</v>
      </c>
      <c r="AN87" s="48" t="n">
        <f aca="false">AN86/In_DSCR*AN18</f>
        <v>1893.05028955959</v>
      </c>
      <c r="AO87" s="48" t="n">
        <f aca="false">AO86/In_DSCR*AO18</f>
        <v>1912.51319942597</v>
      </c>
      <c r="AP87" s="48" t="n">
        <f aca="false">AP86/In_DSCR*AP18</f>
        <v>1905.6810581392</v>
      </c>
      <c r="AQ87" s="48" t="n">
        <f aca="false">AQ86/In_DSCR*AQ18</f>
        <v>1875.58465735858</v>
      </c>
      <c r="AR87" s="48" t="n">
        <f aca="false">AR86/In_DSCR*AR18</f>
        <v>1895.08767693494</v>
      </c>
      <c r="AS87" s="48" t="n">
        <f aca="false">AS86/In_DSCR*AS18</f>
        <v>1914.56716016592</v>
      </c>
      <c r="AT87" s="48" t="n">
        <f aca="false">AT86/In_DSCR*AT18</f>
        <v>1907.65918646874</v>
      </c>
      <c r="AU87" s="48" t="n">
        <f aca="false">AU86/In_DSCR*AU18</f>
        <v>1897.56276281819</v>
      </c>
      <c r="AV87" s="48" t="n">
        <f aca="false">AV86/In_DSCR*AV18</f>
        <v>1896.80420698563</v>
      </c>
      <c r="AW87" s="48" t="n">
        <f aca="false">AW86/In_DSCR*AW18</f>
        <v>1916.29672978277</v>
      </c>
      <c r="AX87" s="48" t="n">
        <f aca="false">AX86/In_DSCR*AX18</f>
        <v>1909.3109562532</v>
      </c>
      <c r="AY87" s="48" t="n">
        <f aca="false">AY86/In_DSCR*AY18</f>
        <v>1878.69065093225</v>
      </c>
      <c r="AZ87" s="48" t="n">
        <f aca="false">AZ86/In_DSCR*AZ18</f>
        <v>1898.21742407493</v>
      </c>
      <c r="BA87" s="48" t="n">
        <f aca="false">BA86/In_DSCR*BA18</f>
        <v>1917.71966717881</v>
      </c>
      <c r="BB87" s="48" t="n">
        <f aca="false">BB86/In_DSCR*BB18</f>
        <v>1910.65440810487</v>
      </c>
      <c r="BC87" s="48" t="n">
        <f aca="false">BC86/In_DSCR*BC18</f>
        <v>1879.7665824169</v>
      </c>
      <c r="BD87" s="48" t="n">
        <f aca="false">BD86/In_DSCR*BD18</f>
        <v>1899.29996868262</v>
      </c>
      <c r="BE87" s="48" t="n">
        <f aca="false">BE86/In_DSCR*BE18</f>
        <v>1918.80830019516</v>
      </c>
      <c r="BF87" s="48" t="n">
        <f aca="false">BF86/In_DSCR*BF18</f>
        <v>1911.66161995044</v>
      </c>
      <c r="BG87" s="48" t="n">
        <f aca="false">BG86/In_DSCR*BG18</f>
        <v>1880.50236490121</v>
      </c>
      <c r="BH87" s="48" t="n">
        <f aca="false">BH86/In_DSCR*BH18</f>
        <v>1900.03860631073</v>
      </c>
      <c r="BI87" s="48" t="n">
        <f aca="false">BI86/In_DSCR*BI18</f>
        <v>1919.54924782721</v>
      </c>
      <c r="BJ87" s="48" t="n">
        <f aca="false">BJ86/In_DSCR*BJ18</f>
        <v>1912.3191307427</v>
      </c>
      <c r="BK87" s="48" t="n">
        <f aca="false">BK86/In_DSCR*BK18</f>
        <v>1901.333252312</v>
      </c>
      <c r="BL87" s="48" t="n">
        <f aca="false">BL86/In_DSCR*BL18</f>
        <v>1900.40417825087</v>
      </c>
      <c r="BM87" s="48" t="n">
        <f aca="false">BM86/In_DSCR*BM18</f>
        <v>1919.91301806452</v>
      </c>
      <c r="BN87" s="48" t="n">
        <f aca="false">BN86/In_DSCR*BN18</f>
        <v>1912.59718127254</v>
      </c>
      <c r="BO87" s="48" t="n">
        <f aca="false">BO86/In_DSCR*BO18</f>
        <v>1880.88270646426</v>
      </c>
      <c r="BP87" s="48" t="n">
        <f aca="false">BP86/In_DSCR*BP18</f>
        <v>1900.41258651608</v>
      </c>
      <c r="BQ87" s="48" t="n">
        <f aca="false">BQ86/In_DSCR*BQ18</f>
        <v>1919.91570910661</v>
      </c>
      <c r="BR87" s="48" t="n">
        <f aca="false">BR86/In_DSCR*BR18</f>
        <v>1912.51214012706</v>
      </c>
      <c r="BS87" s="48" t="n">
        <f aca="false">BS86/In_DSCR*BS18</f>
        <v>1880.5138162542</v>
      </c>
      <c r="BT87" s="48" t="n">
        <f aca="false">BT86/In_DSCR*BT18</f>
        <v>1900.03433918454</v>
      </c>
      <c r="BU87" s="48" t="n">
        <f aca="false">BU86/In_DSCR*BU18</f>
        <v>1919.52749230805</v>
      </c>
      <c r="BV87" s="48" t="n">
        <f aca="false">BV86/In_DSCR*BV18</f>
        <v>1912.03391180503</v>
      </c>
      <c r="BW87" s="48" t="n">
        <f aca="false">BW86/In_DSCR*BW18</f>
        <v>1879.74735831327</v>
      </c>
      <c r="BX87" s="48" t="n">
        <f aca="false">BX86/In_DSCR*BX18</f>
        <v>1899.25412645004</v>
      </c>
      <c r="BY87" s="48" t="n">
        <f aca="false">BY86/In_DSCR*BY18</f>
        <v>1918.73288796556</v>
      </c>
      <c r="BZ87" s="48" t="n">
        <f aca="false">BZ86/In_DSCR*BZ18</f>
        <v>1911.14692050694</v>
      </c>
      <c r="CA87" s="48" t="n">
        <f aca="false">CA86/In_DSCR*CA18</f>
        <v>1899.17274000729</v>
      </c>
      <c r="CB87" s="48" t="n">
        <f aca="false">CB86/In_DSCR*CB18</f>
        <v>1898.04051402287</v>
      </c>
      <c r="CC87" s="48" t="n">
        <f aca="false">CC86/In_DSCR*CC18</f>
        <v>1917.5001027693</v>
      </c>
      <c r="CD87" s="48" t="n">
        <f aca="false">CD86/In_DSCR*CD18</f>
        <v>1909.81908750531</v>
      </c>
      <c r="CE87" s="48" t="n">
        <f aca="false">CE86/In_DSCR*CE18</f>
        <v>1876.9422219448</v>
      </c>
      <c r="CF87" s="48" t="n">
        <f aca="false">CF86/In_DSCR*CF18</f>
        <v>1896.40739079912</v>
      </c>
      <c r="CG87" s="48" t="n">
        <f aca="false">CG86/In_DSCR*CG18</f>
        <v>1915.84319919154</v>
      </c>
      <c r="CH87" s="48" t="n">
        <f aca="false">CH86/In_DSCR*CH18</f>
        <v>1908.06473077963</v>
      </c>
      <c r="CI87" s="48" t="n">
        <f aca="false">CI86/In_DSCR*CI18</f>
        <v>1874.88568549595</v>
      </c>
      <c r="CJ87" s="48" t="n">
        <f aca="false">CJ86/In_DSCR*CJ18</f>
        <v>1894.32281936377</v>
      </c>
      <c r="CK87" s="48" t="n">
        <f aca="false">CK86/In_DSCR*CK18</f>
        <v>1913.72987543082</v>
      </c>
      <c r="CL87" s="48" t="n">
        <f aca="false">CL86/In_DSCR*CL18</f>
        <v>1905.85126187939</v>
      </c>
      <c r="CM87" s="48" t="n">
        <f aca="false">CM86/In_DSCR*CM18</f>
        <v>1872.36510476274</v>
      </c>
      <c r="CN87" s="48" t="n">
        <f aca="false">CN86/In_DSCR*CN18</f>
        <v>1891.76906370186</v>
      </c>
      <c r="CO87" s="48" t="n">
        <f aca="false">CO86/In_DSCR*CO18</f>
        <v>1911.14219816514</v>
      </c>
      <c r="CP87" s="48" t="n">
        <f aca="false">CP86/In_DSCR*CP18</f>
        <v>1903.16063205293</v>
      </c>
      <c r="CQ87" s="48" t="n">
        <f aca="false">CQ86/In_DSCR*CQ18</f>
        <v>1890.08644469344</v>
      </c>
      <c r="CR87" s="48" t="n">
        <f aca="false">CR86/In_DSCR*CR18</f>
        <v>1888.71207614445</v>
      </c>
      <c r="CS87" s="48" t="n">
        <f aca="false">CS86/In_DSCR*CS18</f>
        <v>1908.04573112422</v>
      </c>
      <c r="CT87" s="48" t="n">
        <f aca="false">CT86/In_DSCR*CT18</f>
        <v>0</v>
      </c>
      <c r="CU87" s="48" t="n">
        <f aca="false">CU86/In_DSCR*CU18</f>
        <v>0</v>
      </c>
      <c r="CV87" s="48" t="n">
        <f aca="false">CV86/In_DSCR*CV18</f>
        <v>0</v>
      </c>
      <c r="CW87" s="48" t="n">
        <f aca="false">CW86/In_DSCR*CW18</f>
        <v>0</v>
      </c>
      <c r="CX87" s="48" t="n">
        <f aca="false">CX86/In_DSCR*CX18</f>
        <v>0</v>
      </c>
      <c r="CY87" s="48" t="n">
        <f aca="false">CY86/In_DSCR*CY18</f>
        <v>0</v>
      </c>
      <c r="CZ87" s="48" t="n">
        <f aca="false">CZ86/In_DSCR*CZ18</f>
        <v>0</v>
      </c>
      <c r="DA87" s="48" t="n">
        <f aca="false">DA86/In_DSCR*DA18</f>
        <v>0</v>
      </c>
      <c r="DB87" s="48" t="n">
        <f aca="false">DB86/In_DSCR*DB18</f>
        <v>0</v>
      </c>
      <c r="DC87" s="48" t="n">
        <f aca="false">DC86/In_DSCR*DC18</f>
        <v>0</v>
      </c>
      <c r="DD87" s="48" t="n">
        <f aca="false">DD86/In_DSCR*DD18</f>
        <v>0</v>
      </c>
      <c r="DE87" s="48" t="n">
        <f aca="false">DE86/In_DSCR*DE18</f>
        <v>0</v>
      </c>
      <c r="DF87" s="48" t="n">
        <f aca="false">DF86/In_DSCR*DF18</f>
        <v>0</v>
      </c>
      <c r="DG87" s="48" t="n">
        <f aca="false">DG86/In_DSCR*DG18</f>
        <v>0</v>
      </c>
      <c r="DH87" s="48" t="n">
        <f aca="false">DH86/In_DSCR*DH18</f>
        <v>0</v>
      </c>
      <c r="DI87" s="48" t="n">
        <f aca="false">DI86/In_DSCR*DI18</f>
        <v>0</v>
      </c>
      <c r="DJ87" s="48" t="n">
        <f aca="false">DJ86/In_DSCR*DJ18</f>
        <v>0</v>
      </c>
      <c r="DK87" s="48" t="n">
        <f aca="false">DK86/In_DSCR*DK18</f>
        <v>0</v>
      </c>
      <c r="DL87" s="48" t="n">
        <f aca="false">DL86/In_DSCR*DL18</f>
        <v>0</v>
      </c>
      <c r="DM87" s="48" t="n">
        <f aca="false">DM86/In_DSCR*DM18</f>
        <v>0</v>
      </c>
      <c r="DN87" s="48" t="n">
        <f aca="false">DN86/In_DSCR*DN18</f>
        <v>0</v>
      </c>
      <c r="DO87" s="48" t="n">
        <f aca="false">DO86/In_DSCR*DO18</f>
        <v>0</v>
      </c>
      <c r="DP87" s="48" t="n">
        <f aca="false">DP86/In_DSCR*DP18</f>
        <v>0</v>
      </c>
      <c r="DQ87" s="48" t="n">
        <f aca="false">DQ86/In_DSCR*DQ18</f>
        <v>0</v>
      </c>
      <c r="DR87" s="48" t="n">
        <f aca="false">DR86/In_DSCR*DR18</f>
        <v>0</v>
      </c>
      <c r="DS87" s="48" t="n">
        <f aca="false">DS86/In_DSCR*DS18</f>
        <v>0</v>
      </c>
      <c r="DT87" s="48" t="n">
        <f aca="false">DT86/In_DSCR*DT18</f>
        <v>0</v>
      </c>
      <c r="DU87" s="48" t="n">
        <f aca="false">DU86/In_DSCR*DU18</f>
        <v>0</v>
      </c>
      <c r="DV87" s="48" t="n">
        <f aca="false">DV86/In_DSCR*DV18</f>
        <v>0</v>
      </c>
      <c r="DW87" s="48" t="n">
        <f aca="false">DW86/In_DSCR*DW18</f>
        <v>0</v>
      </c>
      <c r="DX87" s="48" t="n">
        <f aca="false">DX86/In_DSCR*DX18</f>
        <v>0</v>
      </c>
      <c r="DY87" s="48" t="n">
        <f aca="false">DY86/In_DSCR*DY18</f>
        <v>0</v>
      </c>
      <c r="DZ87" s="48" t="n">
        <f aca="false">DZ86/In_DSCR*DZ18</f>
        <v>0</v>
      </c>
      <c r="EA87" s="48" t="n">
        <f aca="false">EA86/In_DSCR*EA18</f>
        <v>0</v>
      </c>
      <c r="EB87" s="48" t="n">
        <f aca="false">EB86/In_DSCR*EB18</f>
        <v>0</v>
      </c>
      <c r="EC87" s="48" t="n">
        <f aca="false">EC86/In_DSCR*EC18</f>
        <v>0</v>
      </c>
      <c r="ED87" s="48" t="n">
        <f aca="false">ED86/In_DSCR*ED18</f>
        <v>0</v>
      </c>
      <c r="EE87" s="48" t="n">
        <f aca="false">EE86/In_DSCR*EE18</f>
        <v>0</v>
      </c>
      <c r="EF87" s="48" t="n">
        <f aca="false">EF86/In_DSCR*EF18</f>
        <v>0</v>
      </c>
      <c r="EG87" s="48" t="n">
        <f aca="false">EG86/In_DSCR*EG18</f>
        <v>0</v>
      </c>
      <c r="EH87" s="48" t="n">
        <f aca="false">EH86/In_DSCR*EH18</f>
        <v>0</v>
      </c>
      <c r="EI87" s="48" t="n">
        <f aca="false">EI86/In_DSCR*EI18</f>
        <v>0</v>
      </c>
      <c r="EJ87" s="48" t="n">
        <f aca="false">EJ86/In_DSCR*EJ18</f>
        <v>0</v>
      </c>
      <c r="EK87" s="48" t="n">
        <f aca="false">EK86/In_DSCR*EK18</f>
        <v>0</v>
      </c>
      <c r="EL87" s="48" t="n">
        <f aca="false">EL86/In_DSCR*EL18</f>
        <v>0</v>
      </c>
      <c r="EM87" s="48" t="n">
        <f aca="false">EM86/In_DSCR*EM18</f>
        <v>0</v>
      </c>
      <c r="EN87" s="48" t="n">
        <f aca="false">EN86/In_DSCR*EN18</f>
        <v>0</v>
      </c>
      <c r="EO87" s="48" t="n">
        <f aca="false">EO86/In_DSCR*EO18</f>
        <v>0</v>
      </c>
    </row>
    <row r="88" customFormat="false" ht="15" hidden="false" customHeight="false" outlineLevel="0" collapsed="false">
      <c r="C88" s="0" t="s">
        <v>468</v>
      </c>
      <c r="D88" s="11" t="s">
        <v>33</v>
      </c>
      <c r="E88" s="48" t="n">
        <f aca="false">IF(In_Debt_Mult&gt;0,In_Debt_Mult*$E82,$E87)</f>
        <v>89831.5464768429</v>
      </c>
    </row>
    <row r="89" customFormat="false" ht="15" hidden="false" customHeight="false" outlineLevel="0" collapsed="false">
      <c r="C89" s="25" t="s">
        <v>469</v>
      </c>
      <c r="D89" s="11" t="s">
        <v>27</v>
      </c>
      <c r="E89" s="33" t="n">
        <f aca="false">MIN(In_Gearing,$E87/-$E69,$E88/-$E69)</f>
        <v>0.55</v>
      </c>
      <c r="F89" s="33" t="n">
        <f aca="false">$E89*-$E69/$E87</f>
        <v>0.483096842151858</v>
      </c>
    </row>
    <row r="91" customFormat="false" ht="15" hidden="false" customHeight="false" outlineLevel="0" collapsed="false">
      <c r="A91" s="9" t="s">
        <v>13</v>
      </c>
      <c r="B91" s="9"/>
      <c r="C91" s="9" t="s">
        <v>351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</row>
    <row r="92" customFormat="false" ht="15" hidden="false" customHeight="false" outlineLevel="0" collapsed="false">
      <c r="C92" s="0" t="s">
        <v>470</v>
      </c>
      <c r="D92" s="11" t="s">
        <v>33</v>
      </c>
      <c r="I92" s="48" t="n">
        <f aca="false">SUM(J92:EO92)</f>
        <v>-22687.1754953734</v>
      </c>
      <c r="J92" s="48" t="n">
        <f aca="false">-I98*$F22*(J$4&gt;In_COD)</f>
        <v>-0</v>
      </c>
      <c r="K92" s="48" t="n">
        <f aca="false">-J98*$F22*(K$4&gt;In_COD)</f>
        <v>-0</v>
      </c>
      <c r="L92" s="48" t="n">
        <f aca="false">-K98*$F22*(L$4&gt;In_COD)</f>
        <v>-0</v>
      </c>
      <c r="M92" s="48" t="n">
        <f aca="false">-L98*$F22*(M$4&gt;In_COD)</f>
        <v>-0</v>
      </c>
      <c r="N92" s="48" t="n">
        <f aca="false">-M98*$F22*(N$4&gt;In_COD)</f>
        <v>-0</v>
      </c>
      <c r="O92" s="48" t="n">
        <f aca="false">-N98*$F22*(O$4&gt;In_COD)</f>
        <v>-0</v>
      </c>
      <c r="P92" s="48" t="n">
        <f aca="false">-O98*$F22*(P$4&gt;In_COD)</f>
        <v>-0</v>
      </c>
      <c r="Q92" s="48" t="n">
        <f aca="false">-P98*$F22*(Q$4&gt;In_COD)</f>
        <v>-0</v>
      </c>
      <c r="R92" s="48" t="n">
        <f aca="false">-Q98*$F22*(R$4&gt;In_COD)</f>
        <v>-0</v>
      </c>
      <c r="S92" s="48" t="n">
        <f aca="false">-R98*$F22*(S$4&gt;In_COD)</f>
        <v>-0</v>
      </c>
      <c r="T92" s="48" t="n">
        <f aca="false">-S98*$F22*(T$4&gt;In_COD)</f>
        <v>-0</v>
      </c>
      <c r="U92" s="48" t="n">
        <f aca="false">-T98*$F22*(U$4&gt;In_COD)</f>
        <v>-0</v>
      </c>
      <c r="V92" s="48" t="n">
        <f aca="false">-U98*$F22*(V$4&gt;In_COD)</f>
        <v>-0</v>
      </c>
      <c r="W92" s="48" t="n">
        <f aca="false">-V98*$F22*(W$4&gt;In_COD)</f>
        <v>-0</v>
      </c>
      <c r="X92" s="48" t="n">
        <f aca="false">-W98*$F22*(X$4&gt;In_COD)</f>
        <v>-0</v>
      </c>
      <c r="Y92" s="48" t="n">
        <f aca="false">-X98*$F22*(Y$4&gt;In_COD)</f>
        <v>-0</v>
      </c>
      <c r="Z92" s="48" t="n">
        <f aca="false">-Y98*$F22*(Z$4&gt;In_COD)</f>
        <v>-542.466705357259</v>
      </c>
      <c r="AA92" s="48" t="n">
        <f aca="false">-Z98*$F22*(AA$4&gt;In_COD)</f>
        <v>-537.656449923058</v>
      </c>
      <c r="AB92" s="48" t="n">
        <f aca="false">-AA98*$F22*(AB$4&gt;In_COD)</f>
        <v>-532.961733444425</v>
      </c>
      <c r="AC92" s="48" t="n">
        <f aca="false">-AB98*$F22*(AC$4&gt;In_COD)</f>
        <v>-528.085521552216</v>
      </c>
      <c r="AD92" s="48" t="n">
        <f aca="false">-AC98*$F22*(AD$4&gt;In_COD)</f>
        <v>-523.025614053651</v>
      </c>
      <c r="AE92" s="48" t="n">
        <f aca="false">-AD98*$F22*(AE$4&gt;In_COD)</f>
        <v>-517.943812814021</v>
      </c>
      <c r="AF92" s="48" t="n">
        <f aca="false">-AE98*$F22*(AF$4&gt;In_COD)</f>
        <v>-513.123552529731</v>
      </c>
      <c r="AG92" s="48" t="n">
        <f aca="false">-AF98*$F22*(AG$4&gt;In_COD)</f>
        <v>-508.278108972811</v>
      </c>
      <c r="AH92" s="48" t="n">
        <f aca="false">-AG98*$F22*(AH$4&gt;In_COD)</f>
        <v>-503.256280588342</v>
      </c>
      <c r="AI92" s="48" t="n">
        <f aca="false">-AH98*$F22*(AI$4&gt;In_COD)</f>
        <v>-498.211946966252</v>
      </c>
      <c r="AJ92" s="48" t="n">
        <f aca="false">-AI98*$F22*(AJ$4&gt;In_COD)</f>
        <v>-493.280004329856</v>
      </c>
      <c r="AK92" s="48" t="n">
        <f aca="false">-AJ98*$F22*(AK$4&gt;In_COD)</f>
        <v>-488.028498368663</v>
      </c>
      <c r="AL92" s="48" t="n">
        <f aca="false">-AK98*$F22*(AL$4&gt;In_COD)</f>
        <v>-482.593937248541</v>
      </c>
      <c r="AM92" s="48" t="n">
        <f aca="false">-AL98*$F22*(AM$4&gt;In_COD)</f>
        <v>-477.132253869669</v>
      </c>
      <c r="AN92" s="48" t="n">
        <f aca="false">-AM98*$F22*(AN$4&gt;In_COD)</f>
        <v>-471.782494509817</v>
      </c>
      <c r="AO92" s="48" t="n">
        <f aca="false">-AN98*$F22*(AO$4&gt;In_COD)</f>
        <v>-466.248192979678</v>
      </c>
      <c r="AP92" s="48" t="n">
        <f aca="false">-AO98*$F22*(AP$4&gt;In_COD)</f>
        <v>-460.527181801719</v>
      </c>
      <c r="AQ92" s="48" t="n">
        <f aca="false">-AP98*$F22*(AQ$4&gt;In_COD)</f>
        <v>-454.775915307544</v>
      </c>
      <c r="AR92" s="48" t="n">
        <f aca="false">-AQ98*$F22*(AR$4&gt;In_COD)</f>
        <v>-449.134501434409</v>
      </c>
      <c r="AS92" s="48" t="n">
        <f aca="false">-AR98*$F22*(AS$4&gt;In_COD)</f>
        <v>-443.304796798237</v>
      </c>
      <c r="AT92" s="48" t="n">
        <f aca="false">-AS98*$F22*(AT$4&gt;In_COD)</f>
        <v>-437.284589893667</v>
      </c>
      <c r="AU92" s="48" t="n">
        <f aca="false">-AT98*$F22*(AU$4&gt;In_COD)</f>
        <v>-431.230845656275</v>
      </c>
      <c r="AV92" s="48" t="n">
        <f aca="false">-AU98*$F22*(AV$4&gt;In_COD)</f>
        <v>-425.162398995698</v>
      </c>
      <c r="AW92" s="48" t="n">
        <f aca="false">-AV98*$F22*(AW$4&gt;In_COD)</f>
        <v>-419.022677450955</v>
      </c>
      <c r="AX92" s="48" t="n">
        <f aca="false">-AW98*$F22*(AX$4&gt;In_COD)</f>
        <v>-412.688499684292</v>
      </c>
      <c r="AY92" s="48" t="n">
        <f aca="false">-AX98*$F22*(AY$4&gt;In_COD)</f>
        <v>-406.317329759698</v>
      </c>
      <c r="AZ92" s="48" t="n">
        <f aca="false">-AY98*$F22*(AZ$4&gt;In_COD)</f>
        <v>-400.051427371124</v>
      </c>
      <c r="BA92" s="48" t="n">
        <f aca="false">-AZ98*$F22*(BA$4&gt;In_COD)</f>
        <v>-393.58928467216</v>
      </c>
      <c r="BB92" s="48" t="n">
        <f aca="false">-BA98*$F22*(BB$4&gt;In_COD)</f>
        <v>-386.92859678873</v>
      </c>
      <c r="BC92" s="48" t="n">
        <f aca="false">-BB98*$F22*(BC$4&gt;In_COD)</f>
        <v>-380.227315361102</v>
      </c>
      <c r="BD92" s="48" t="n">
        <f aca="false">-BC98*$F22*(BD$4&gt;In_COD)</f>
        <v>-373.628790553763</v>
      </c>
      <c r="BE92" s="48" t="n">
        <f aca="false">-BD98*$F22*(BE$4&gt;In_COD)</f>
        <v>-366.829827721064</v>
      </c>
      <c r="BF92" s="48" t="n">
        <f aca="false">-BE98*$F22*(BF$4&gt;In_COD)</f>
        <v>-359.828072686089</v>
      </c>
      <c r="BG92" s="48" t="n">
        <f aca="false">-BF98*$F22*(BG$4&gt;In_COD)</f>
        <v>-352.781952446403</v>
      </c>
      <c r="BH92" s="48" t="n">
        <f aca="false">-BG98*$F22*(BH$4&gt;In_COD)</f>
        <v>-345.835917425197</v>
      </c>
      <c r="BI92" s="48" t="n">
        <f aca="false">-BH98*$F22*(BI$4&gt;In_COD)</f>
        <v>-338.68508325957</v>
      </c>
      <c r="BJ92" s="48" t="n">
        <f aca="false">-BI98*$F22*(BJ$4&gt;In_COD)</f>
        <v>-331.327044550561</v>
      </c>
      <c r="BK92" s="48" t="n">
        <f aca="false">-BJ98*$F22*(BK$4&gt;In_COD)</f>
        <v>-323.920690941838</v>
      </c>
      <c r="BL92" s="48" t="n">
        <f aca="false">-BK98*$F22*(BL$4&gt;In_COD)</f>
        <v>-316.488098452733</v>
      </c>
      <c r="BM92" s="48" t="n">
        <f aca="false">-BL98*$F22*(BM$4&gt;In_COD)</f>
        <v>-308.968208966828</v>
      </c>
      <c r="BN92" s="48" t="n">
        <f aca="false">-BM98*$F22*(BN$4&gt;In_COD)</f>
        <v>-301.236512625998</v>
      </c>
      <c r="BO92" s="48" t="n">
        <f aca="false">-BN98*$F22*(BO$4&gt;In_COD)</f>
        <v>-293.452348301556</v>
      </c>
      <c r="BP92" s="48" t="n">
        <f aca="false">-BO98*$F22*(BP$4&gt;In_COD)</f>
        <v>-285.762396455939</v>
      </c>
      <c r="BQ92" s="48" t="n">
        <f aca="false">-BP98*$F22*(BQ$4&gt;In_COD)</f>
        <v>-277.858384919994</v>
      </c>
      <c r="BR92" s="48" t="n">
        <f aca="false">-BQ98*$F22*(BR$4&gt;In_COD)</f>
        <v>-269.737799528155</v>
      </c>
      <c r="BS92" s="48" t="n">
        <f aca="false">-BR98*$F22*(BS$4&gt;In_COD)</f>
        <v>-261.56041482885</v>
      </c>
      <c r="BT92" s="48" t="n">
        <f aca="false">-BS98*$F22*(BT$4&gt;In_COD)</f>
        <v>-253.474041436019</v>
      </c>
      <c r="BU92" s="48" t="n">
        <f aca="false">-BT98*$F22*(BU$4&gt;In_COD)</f>
        <v>-245.168709588468</v>
      </c>
      <c r="BV92" s="48" t="n">
        <f aca="false">-BU98*$F22*(BV$4&gt;In_COD)</f>
        <v>-236.641847583852</v>
      </c>
      <c r="BW92" s="48" t="n">
        <f aca="false">-BV98*$F22*(BW$4&gt;In_COD)</f>
        <v>-228.053651367647</v>
      </c>
      <c r="BX92" s="48" t="n">
        <f aca="false">-BW98*$F22*(BX$4&gt;In_COD)</f>
        <v>-219.553071849187</v>
      </c>
      <c r="BY92" s="48" t="n">
        <f aca="false">-BX98*$F22*(BY$4&gt;In_COD)</f>
        <v>-210.828439360653</v>
      </c>
      <c r="BZ92" s="48" t="n">
        <f aca="false">-BY98*$F22*(BZ$4&gt;In_COD)</f>
        <v>-201.877122363798</v>
      </c>
      <c r="CA92" s="48" t="n">
        <f aca="false">-BZ98*$F22*(CA$4&gt;In_COD)</f>
        <v>-192.859723366031</v>
      </c>
      <c r="CB92" s="48" t="n">
        <f aca="false">-CA98*$F22*(CB$4&gt;In_COD)</f>
        <v>-183.801915490626</v>
      </c>
      <c r="CC92" s="48" t="n">
        <f aca="false">-CB98*$F22*(CC$4&gt;In_COD)</f>
        <v>-174.63772220175</v>
      </c>
      <c r="CD92" s="48" t="n">
        <f aca="false">-CC98*$F22*(CD$4&gt;In_COD)</f>
        <v>-165.24146567335</v>
      </c>
      <c r="CE92" s="48" t="n">
        <f aca="false">-CD98*$F22*(CE$4&gt;In_COD)</f>
        <v>-155.774139366078</v>
      </c>
      <c r="CF92" s="48" t="n">
        <f aca="false">-CE98*$F22*(CF$4&gt;In_COD)</f>
        <v>-146.387005354116</v>
      </c>
      <c r="CG92" s="48" t="n">
        <f aca="false">-CF98*$F22*(CG$4&gt;In_COD)</f>
        <v>-136.764987646936</v>
      </c>
      <c r="CH92" s="48" t="n">
        <f aca="false">-CG98*$F22*(CH$4&gt;In_COD)</f>
        <v>-126.905327497678</v>
      </c>
      <c r="CI92" s="48" t="n">
        <f aca="false">-CH98*$F22*(CI$4&gt;In_COD)</f>
        <v>-116.969393515637</v>
      </c>
      <c r="CJ92" s="48" t="n">
        <f aca="false">-CI98*$F22*(CJ$4&gt;In_COD)</f>
        <v>-107.109619008848</v>
      </c>
      <c r="CK92" s="48" t="n">
        <f aca="false">-CJ98*$F22*(CK$4&gt;In_COD)</f>
        <v>-97.0092220958226</v>
      </c>
      <c r="CL92" s="48" t="n">
        <f aca="false">-CK98*$F22*(CL$4&gt;In_COD)</f>
        <v>-86.6653766276166</v>
      </c>
      <c r="CM92" s="48" t="n">
        <f aca="false">-CL98*$F22*(CM$4&gt;In_COD)</f>
        <v>-76.2398097576485</v>
      </c>
      <c r="CN92" s="48" t="n">
        <f aca="false">-CM98*$F22*(CN$4&gt;In_COD)</f>
        <v>-65.8861365112914</v>
      </c>
      <c r="CO92" s="48" t="n">
        <f aca="false">-CN98*$F22*(CO$4&gt;In_COD)</f>
        <v>-55.2858674582458</v>
      </c>
      <c r="CP92" s="48" t="n">
        <f aca="false">-CO98*$F22*(CP$4&gt;In_COD)</f>
        <v>-44.4361062910146</v>
      </c>
      <c r="CQ92" s="48" t="n">
        <f aca="false">-CP98*$F22*(CQ$4&gt;In_COD)</f>
        <v>-33.4989214764959</v>
      </c>
      <c r="CR92" s="48" t="n">
        <f aca="false">-CQ98*$F22*(CR$4&gt;In_COD)</f>
        <v>-22.5039730846342</v>
      </c>
      <c r="CS92" s="48" t="n">
        <f aca="false">-CR98*$F22*(CS$4&gt;In_COD)</f>
        <v>-11.3798872516988</v>
      </c>
      <c r="CT92" s="48" t="n">
        <f aca="false">-CS98*$F22*(CT$4&gt;In_COD)</f>
        <v>-1.97957206182764E-012</v>
      </c>
      <c r="CU92" s="48" t="n">
        <f aca="false">-CT98*$F22*(CU$4&gt;In_COD)</f>
        <v>-2.00431671260049E-012</v>
      </c>
      <c r="CV92" s="48" t="n">
        <f aca="false">-CU98*$F22*(CV$4&gt;In_COD)</f>
        <v>-2.02937067150799E-012</v>
      </c>
      <c r="CW92" s="48" t="n">
        <f aca="false">-CV98*$F22*(CW$4&gt;In_COD)</f>
        <v>-2.05473780490184E-012</v>
      </c>
      <c r="CX92" s="48" t="n">
        <f aca="false">-CW98*$F22*(CX$4&gt;In_COD)</f>
        <v>-2.08042202746311E-012</v>
      </c>
      <c r="CY92" s="48" t="n">
        <f aca="false">-CX98*$F22*(CY$4&gt;In_COD)</f>
        <v>-2.1064273028064E-012</v>
      </c>
      <c r="CZ92" s="48" t="n">
        <f aca="false">-CY98*$F22*(CZ$4&gt;In_COD)</f>
        <v>-2.13275764409148E-012</v>
      </c>
      <c r="DA92" s="48" t="n">
        <f aca="false">-CZ98*$F22*(DA$4&gt;In_COD)</f>
        <v>-2.15941711464263E-012</v>
      </c>
      <c r="DB92" s="48" t="n">
        <f aca="false">-DA98*$F22*(DB$4&gt;In_COD)</f>
        <v>-2.18640982857566E-012</v>
      </c>
      <c r="DC92" s="48" t="n">
        <f aca="false">-DB98*$F22*(DC$4&gt;In_COD)</f>
        <v>-2.21373995143286E-012</v>
      </c>
      <c r="DD92" s="48" t="n">
        <f aca="false">-DC98*$F22*(DD$4&gt;In_COD)</f>
        <v>-2.24141170082577E-012</v>
      </c>
      <c r="DE92" s="48" t="n">
        <f aca="false">-DD98*$F22*(DE$4&gt;In_COD)</f>
        <v>-2.26942934708609E-012</v>
      </c>
      <c r="DF92" s="48" t="n">
        <f aca="false">-DE98*$F22*(DF$4&gt;In_COD)</f>
        <v>-2.29779721392466E-012</v>
      </c>
      <c r="DG92" s="48" t="n">
        <f aca="false">-DF98*$F22*(DG$4&gt;In_COD)</f>
        <v>-2.32651967909872E-012</v>
      </c>
      <c r="DH92" s="48" t="n">
        <f aca="false">-DG98*$F22*(DH$4&gt;In_COD)</f>
        <v>-2.35560117508746E-012</v>
      </c>
      <c r="DI92" s="48" t="n">
        <f aca="false">-DH98*$F22*(DI$4&gt;In_COD)</f>
        <v>-2.38504618977605E-012</v>
      </c>
      <c r="DJ92" s="48" t="n">
        <f aca="false">-DI98*$F22*(DJ$4&gt;In_COD)</f>
        <v>-2.41485926714825E-012</v>
      </c>
      <c r="DK92" s="48" t="n">
        <f aca="false">-DJ98*$F22*(DK$4&gt;In_COD)</f>
        <v>-2.4450450079876E-012</v>
      </c>
      <c r="DL92" s="48" t="n">
        <f aca="false">-DK98*$F22*(DL$4&gt;In_COD)</f>
        <v>-2.47560807058745E-012</v>
      </c>
      <c r="DM92" s="48" t="n">
        <f aca="false">-DL98*$F22*(DM$4&gt;In_COD)</f>
        <v>-2.50655317146979E-012</v>
      </c>
      <c r="DN92" s="48" t="n">
        <f aca="false">-DM98*$F22*(DN$4&gt;In_COD)</f>
        <v>-2.53788508611316E-012</v>
      </c>
      <c r="DO92" s="48" t="n">
        <f aca="false">-DN98*$F22*(DO$4&gt;In_COD)</f>
        <v>-2.56960864968958E-012</v>
      </c>
      <c r="DP92" s="48" t="n">
        <f aca="false">-DO98*$F22*(DP$4&gt;In_COD)</f>
        <v>-2.6017287578107E-012</v>
      </c>
      <c r="DQ92" s="48" t="n">
        <f aca="false">-DP98*$F22*(DQ$4&gt;In_COD)</f>
        <v>-2.63425036728333E-012</v>
      </c>
      <c r="DR92" s="48" t="n">
        <f aca="false">-DQ98*$F22*(DR$4&gt;In_COD)</f>
        <v>-2.66717849687437E-012</v>
      </c>
      <c r="DS92" s="48" t="n">
        <f aca="false">-DR98*$F22*(DS$4&gt;In_COD)</f>
        <v>-2.7005182280853E-012</v>
      </c>
      <c r="DT92" s="48" t="n">
        <f aca="false">-DS98*$F22*(DT$4&gt;In_COD)</f>
        <v>-2.73427470593637E-012</v>
      </c>
      <c r="DU92" s="48" t="n">
        <f aca="false">-DT98*$F22*(DU$4&gt;In_COD)</f>
        <v>-2.76845313976057E-012</v>
      </c>
      <c r="DV92" s="48" t="n">
        <f aca="false">-DU98*$F22*(DV$4&gt;In_COD)</f>
        <v>-2.80305880400758E-012</v>
      </c>
      <c r="DW92" s="48" t="n">
        <f aca="false">-DV98*$F22*(DW$4&gt;In_COD)</f>
        <v>-2.83809703905768E-012</v>
      </c>
      <c r="DX92" s="48" t="n">
        <f aca="false">-DW98*$F22*(DX$4&gt;In_COD)</f>
        <v>-2.8735732520459E-012</v>
      </c>
      <c r="DY92" s="48" t="n">
        <f aca="false">-DX98*$F22*(DY$4&gt;In_COD)</f>
        <v>-2.90949291769647E-012</v>
      </c>
      <c r="DZ92" s="48" t="n">
        <f aca="false">-DY98*$F22*(DZ$4&gt;In_COD)</f>
        <v>-2.94586157916768E-012</v>
      </c>
      <c r="EA92" s="48" t="n">
        <f aca="false">-DZ98*$F22*(EA$4&gt;In_COD)</f>
        <v>-2.98268484890727E-012</v>
      </c>
      <c r="EB92" s="48" t="n">
        <f aca="false">-EA98*$F22*(EB$4&gt;In_COD)</f>
        <v>-3.01996840951861E-012</v>
      </c>
      <c r="EC92" s="48" t="n">
        <f aca="false">-EB98*$F22*(EC$4&gt;In_COD)</f>
        <v>-3.0577180146376E-012</v>
      </c>
      <c r="ED92" s="48" t="n">
        <f aca="false">-EC98*$F22*(ED$4&gt;In_COD)</f>
        <v>-3.09593948982057E-012</v>
      </c>
      <c r="EE92" s="48" t="n">
        <f aca="false">-ED98*$F22*(EE$4&gt;In_COD)</f>
        <v>-3.13463873344332E-012</v>
      </c>
      <c r="EF92" s="48" t="n">
        <f aca="false">-EE98*$F22*(EF$4&gt;In_COD)</f>
        <v>-3.17382171761137E-012</v>
      </c>
      <c r="EG92" s="48" t="n">
        <f aca="false">-EF98*$F22*(EG$4&gt;In_COD)</f>
        <v>-3.21349448908151E-012</v>
      </c>
      <c r="EH92" s="48" t="n">
        <f aca="false">-EG98*$F22*(EH$4&gt;In_COD)</f>
        <v>-3.25366317019503E-012</v>
      </c>
      <c r="EI92" s="48" t="n">
        <f aca="false">-EH98*$F22*(EI$4&gt;In_COD)</f>
        <v>-3.29433395982246E-012</v>
      </c>
      <c r="EJ92" s="48" t="n">
        <f aca="false">-EI98*$F22*(EJ$4&gt;In_COD)</f>
        <v>-3.33551313432024E-012</v>
      </c>
      <c r="EK92" s="48" t="n">
        <f aca="false">-EJ98*$F22*(EK$4&gt;In_COD)</f>
        <v>-3.37720704849925E-012</v>
      </c>
      <c r="EL92" s="48" t="n">
        <f aca="false">-EK98*$F22*(EL$4&gt;In_COD)</f>
        <v>-3.41942213660549E-012</v>
      </c>
      <c r="EM92" s="48" t="n">
        <f aca="false">-EL98*$F22*(EM$4&gt;In_COD)</f>
        <v>-3.46216491331306E-012</v>
      </c>
      <c r="EN92" s="48" t="n">
        <f aca="false">-EM98*$F22*(EN$4&gt;In_COD)</f>
        <v>-3.50544197472947E-012</v>
      </c>
      <c r="EO92" s="48" t="n">
        <f aca="false">-EN98*$F22*(EO$4&gt;In_COD)</f>
        <v>-3.54925999941359E-012</v>
      </c>
    </row>
    <row r="93" customFormat="false" ht="15" hidden="false" customHeight="false" outlineLevel="0" collapsed="false">
      <c r="C93" s="0" t="s">
        <v>471</v>
      </c>
      <c r="D93" s="11" t="s">
        <v>33</v>
      </c>
      <c r="I93" s="48" t="n">
        <f aca="false">SUM(J93:EO93)</f>
        <v>-66084.5119239538</v>
      </c>
      <c r="J93" s="48" t="n">
        <f aca="false">-J87*$F89</f>
        <v>0</v>
      </c>
      <c r="K93" s="48" t="n">
        <f aca="false">-K87*$F89</f>
        <v>0</v>
      </c>
      <c r="L93" s="48" t="n">
        <f aca="false">-L87*$F89</f>
        <v>0</v>
      </c>
      <c r="M93" s="48" t="n">
        <f aca="false">-M87*$F89</f>
        <v>0</v>
      </c>
      <c r="N93" s="48" t="n">
        <f aca="false">-N87*$F89</f>
        <v>0</v>
      </c>
      <c r="O93" s="48" t="n">
        <f aca="false">-O87*$F89</f>
        <v>0</v>
      </c>
      <c r="P93" s="48" t="n">
        <f aca="false">-P87*$F89</f>
        <v>0</v>
      </c>
      <c r="Q93" s="48" t="n">
        <f aca="false">-Q87*$F89</f>
        <v>0</v>
      </c>
      <c r="R93" s="48" t="n">
        <f aca="false">-R87*$F89</f>
        <v>0</v>
      </c>
      <c r="S93" s="48" t="n">
        <f aca="false">-S87*$F89</f>
        <v>0</v>
      </c>
      <c r="T93" s="48" t="n">
        <f aca="false">-T87*$F89</f>
        <v>0</v>
      </c>
      <c r="U93" s="48" t="n">
        <f aca="false">-U87*$F89</f>
        <v>0</v>
      </c>
      <c r="V93" s="48" t="n">
        <f aca="false">-V87*$F89</f>
        <v>0</v>
      </c>
      <c r="W93" s="48" t="n">
        <f aca="false">-W87*$F89</f>
        <v>0</v>
      </c>
      <c r="X93" s="48" t="n">
        <f aca="false">-X87*$F89</f>
        <v>0</v>
      </c>
      <c r="Y93" s="48" t="n">
        <f aca="false">-Y87*$F89</f>
        <v>0</v>
      </c>
      <c r="Z93" s="48" t="n">
        <f aca="false">-Z87*$F89</f>
        <v>-927.287140093298</v>
      </c>
      <c r="AA93" s="48" t="n">
        <f aca="false">-AA87*$F89</f>
        <v>-913.233768213708</v>
      </c>
      <c r="AB93" s="48" t="n">
        <f aca="false">-AB87*$F89</f>
        <v>-923.058684821201</v>
      </c>
      <c r="AC93" s="48" t="n">
        <f aca="false">-AC87*$F89</f>
        <v>-932.878121437373</v>
      </c>
      <c r="AD93" s="48" t="n">
        <f aca="false">-AD87*$F89</f>
        <v>-929.569713224082</v>
      </c>
      <c r="AE93" s="48" t="n">
        <f aca="false">-AE87*$F89</f>
        <v>-903.564635557194</v>
      </c>
      <c r="AF93" s="48" t="n">
        <f aca="false">-AF87*$F89</f>
        <v>-900.759037083319</v>
      </c>
      <c r="AG93" s="48" t="n">
        <f aca="false">-AG87*$F89</f>
        <v>-910.024379730323</v>
      </c>
      <c r="AH93" s="48" t="n">
        <f aca="false">-AH87*$F89</f>
        <v>-906.802970355592</v>
      </c>
      <c r="AI93" s="48" t="n">
        <f aca="false">-AI87*$F89</f>
        <v>-892.767357877903</v>
      </c>
      <c r="AJ93" s="48" t="n">
        <f aca="false">-AJ87*$F89</f>
        <v>-913.400481225265</v>
      </c>
      <c r="AK93" s="48" t="n">
        <f aca="false">-AK87*$F89</f>
        <v>-922.793387978414</v>
      </c>
      <c r="AL93" s="48" t="n">
        <f aca="false">-AL87*$F89</f>
        <v>-919.528607558301</v>
      </c>
      <c r="AM93" s="48" t="n">
        <f aca="false">-AM87*$F89</f>
        <v>-905.1130026579</v>
      </c>
      <c r="AN93" s="48" t="n">
        <f aca="false">-AN87*$F89</f>
        <v>-914.526616920899</v>
      </c>
      <c r="AO93" s="48" t="n">
        <f aca="false">-AO87*$F89</f>
        <v>-923.929087216434</v>
      </c>
      <c r="AP93" s="48" t="n">
        <f aca="false">-AP87*$F89</f>
        <v>-920.628501335657</v>
      </c>
      <c r="AQ93" s="48" t="n">
        <f aca="false">-AQ87*$F89</f>
        <v>-906.089025158404</v>
      </c>
      <c r="AR93" s="48" t="n">
        <f aca="false">-AR87*$F89</f>
        <v>-915.51087232817</v>
      </c>
      <c r="AS93" s="48" t="n">
        <f aca="false">-AS87*$F89</f>
        <v>-924.921349163809</v>
      </c>
      <c r="AT93" s="48" t="n">
        <f aca="false">-AT87*$F89</f>
        <v>-921.584128885029</v>
      </c>
      <c r="AU93" s="48" t="n">
        <f aca="false">-AU87*$F89</f>
        <v>-916.706578502424</v>
      </c>
      <c r="AV93" s="48" t="n">
        <f aca="false">-AV87*$F89</f>
        <v>-916.340122575115</v>
      </c>
      <c r="AW93" s="48" t="n">
        <f aca="false">-AW87*$F89</f>
        <v>-925.756898783989</v>
      </c>
      <c r="AX93" s="48" t="n">
        <f aca="false">-AX87*$F89</f>
        <v>-922.382093651863</v>
      </c>
      <c r="AY93" s="48" t="n">
        <f aca="false">-AY87*$F89</f>
        <v>-907.58952084559</v>
      </c>
      <c r="AZ93" s="48" t="n">
        <f aca="false">-AZ87*$F89</f>
        <v>-917.022843288234</v>
      </c>
      <c r="BA93" s="48" t="n">
        <f aca="false">-BA87*$F89</f>
        <v>-926.444315346598</v>
      </c>
      <c r="BB93" s="48" t="n">
        <f aca="false">-BB87*$F89</f>
        <v>-923.03111099899</v>
      </c>
      <c r="BC93" s="48" t="n">
        <f aca="false">-BC87*$F89</f>
        <v>-908.109299948194</v>
      </c>
      <c r="BD93" s="48" t="n">
        <f aca="false">-BD87*$F89</f>
        <v>-917.545817169695</v>
      </c>
      <c r="BE93" s="48" t="n">
        <f aca="false">-BE87*$F89</f>
        <v>-926.970230519058</v>
      </c>
      <c r="BF93" s="48" t="n">
        <f aca="false">-BF87*$F89</f>
        <v>-923.517691860965</v>
      </c>
      <c r="BG93" s="48" t="n">
        <f aca="false">-BG87*$F89</f>
        <v>-908.464754142876</v>
      </c>
      <c r="BH93" s="48" t="n">
        <f aca="false">-BH87*$F89</f>
        <v>-917.902650675333</v>
      </c>
      <c r="BI93" s="48" t="n">
        <f aca="false">-BI87*$F89</f>
        <v>-927.328179980298</v>
      </c>
      <c r="BJ93" s="48" t="n">
        <f aca="false">-BJ87*$F89</f>
        <v>-923.835333248385</v>
      </c>
      <c r="BK93" s="48" t="n">
        <f aca="false">-BK87*$F89</f>
        <v>-918.52809007025</v>
      </c>
      <c r="BL93" s="48" t="n">
        <f aca="false">-BL87*$F89</f>
        <v>-918.079257325191</v>
      </c>
      <c r="BM93" s="48" t="n">
        <f aca="false">-BM87*$F89</f>
        <v>-927.503916233213</v>
      </c>
      <c r="BN93" s="48" t="n">
        <f aca="false">-BN87*$F89</f>
        <v>-923.969658581308</v>
      </c>
      <c r="BO93" s="48" t="n">
        <f aca="false">-BO87*$F89</f>
        <v>-908.648495950927</v>
      </c>
      <c r="BP93" s="48" t="n">
        <f aca="false">-BP87*$F89</f>
        <v>-918.083319331564</v>
      </c>
      <c r="BQ93" s="48" t="n">
        <f aca="false">-BQ87*$F89</f>
        <v>-927.505216267147</v>
      </c>
      <c r="BR93" s="48" t="n">
        <f aca="false">-BR87*$F89</f>
        <v>-923.928575472474</v>
      </c>
      <c r="BS93" s="48" t="n">
        <f aca="false">-BS87*$F89</f>
        <v>-908.470286255342</v>
      </c>
      <c r="BT93" s="48" t="n">
        <f aca="false">-BT87*$F89</f>
        <v>-917.900589240146</v>
      </c>
      <c r="BU93" s="48" t="n">
        <f aca="false">-BU87*$F89</f>
        <v>-927.317669957694</v>
      </c>
      <c r="BV93" s="48" t="n">
        <f aca="false">-BV87*$F89</f>
        <v>-923.697544880272</v>
      </c>
      <c r="BW93" s="48" t="n">
        <f aca="false">-BW87*$F89</f>
        <v>-908.100012844439</v>
      </c>
      <c r="BX93" s="48" t="n">
        <f aca="false">-BX87*$F89</f>
        <v>-917.523670931903</v>
      </c>
      <c r="BY93" s="48" t="n">
        <f aca="false">-BY87*$F89</f>
        <v>-926.933799109075</v>
      </c>
      <c r="BZ93" s="48" t="n">
        <f aca="false">-BZ87*$F89</f>
        <v>-923.269042185153</v>
      </c>
      <c r="CA93" s="48" t="n">
        <f aca="false">-CA87*$F89</f>
        <v>-917.484353398415</v>
      </c>
      <c r="CB93" s="48" t="n">
        <f aca="false">-CB87*$F89</f>
        <v>-916.937378600736</v>
      </c>
      <c r="CC93" s="48" t="n">
        <f aca="false">-CC87*$F89</f>
        <v>-926.33824447371</v>
      </c>
      <c r="CD93" s="48" t="n">
        <f aca="false">-CD87*$F89</f>
        <v>-922.62757025516</v>
      </c>
      <c r="CE93" s="48" t="n">
        <f aca="false">-CE87*$F89</f>
        <v>-906.744860323026</v>
      </c>
      <c r="CF93" s="48" t="n">
        <f aca="false">-CF87*$F89</f>
        <v>-916.148421928502</v>
      </c>
      <c r="CG93" s="48" t="n">
        <f aca="false">-CG87*$F89</f>
        <v>-925.537799587549</v>
      </c>
      <c r="CH93" s="48" t="n">
        <f aca="false">-CH87*$F89</f>
        <v>-921.780046060977</v>
      </c>
      <c r="CI93" s="48" t="n">
        <f aca="false">-CI87*$F89</f>
        <v>-905.751354058813</v>
      </c>
      <c r="CJ93" s="48" t="n">
        <f aca="false">-CJ87*$F89</f>
        <v>-915.141372050844</v>
      </c>
      <c r="CK93" s="48" t="n">
        <f aca="false">-CK87*$F89</f>
        <v>-924.5168595523</v>
      </c>
      <c r="CL93" s="48" t="n">
        <f aca="false">-CL87*$F89</f>
        <v>-920.710726225065</v>
      </c>
      <c r="CM93" s="48" t="n">
        <f aca="false">-CM87*$F89</f>
        <v>-904.533669466211</v>
      </c>
      <c r="CN93" s="48" t="n">
        <f aca="false">-CN87*$F89</f>
        <v>-913.907660754945</v>
      </c>
      <c r="CO93" s="48" t="n">
        <f aca="false">-CO87*$F89</f>
        <v>-923.266760836742</v>
      </c>
      <c r="CP93" s="48" t="n">
        <f aca="false">-CP87*$F89</f>
        <v>-919.410891452505</v>
      </c>
      <c r="CQ93" s="48" t="n">
        <f aca="false">-CQ87*$F89</f>
        <v>-913.094792825435</v>
      </c>
      <c r="CR93" s="48" t="n">
        <f aca="false">-CR87*$F89</f>
        <v>-912.430839719466</v>
      </c>
      <c r="CS93" s="48" t="n">
        <f aca="false">-CS87*$F89</f>
        <v>-921.770867387445</v>
      </c>
      <c r="CT93" s="48" t="n">
        <f aca="false">-CT87*$F89</f>
        <v>-0</v>
      </c>
      <c r="CU93" s="48" t="n">
        <f aca="false">-CU87*$F89</f>
        <v>-0</v>
      </c>
      <c r="CV93" s="48" t="n">
        <f aca="false">-CV87*$F89</f>
        <v>-0</v>
      </c>
      <c r="CW93" s="48" t="n">
        <f aca="false">-CW87*$F89</f>
        <v>-0</v>
      </c>
      <c r="CX93" s="48" t="n">
        <f aca="false">-CX87*$F89</f>
        <v>-0</v>
      </c>
      <c r="CY93" s="48" t="n">
        <f aca="false">-CY87*$F89</f>
        <v>-0</v>
      </c>
      <c r="CZ93" s="48" t="n">
        <f aca="false">-CZ87*$F89</f>
        <v>-0</v>
      </c>
      <c r="DA93" s="48" t="n">
        <f aca="false">-DA87*$F89</f>
        <v>-0</v>
      </c>
      <c r="DB93" s="48" t="n">
        <f aca="false">-DB87*$F89</f>
        <v>-0</v>
      </c>
      <c r="DC93" s="48" t="n">
        <f aca="false">-DC87*$F89</f>
        <v>-0</v>
      </c>
      <c r="DD93" s="48" t="n">
        <f aca="false">-DD87*$F89</f>
        <v>-0</v>
      </c>
      <c r="DE93" s="48" t="n">
        <f aca="false">-DE87*$F89</f>
        <v>-0</v>
      </c>
      <c r="DF93" s="48" t="n">
        <f aca="false">-DF87*$F89</f>
        <v>-0</v>
      </c>
      <c r="DG93" s="48" t="n">
        <f aca="false">-DG87*$F89</f>
        <v>-0</v>
      </c>
      <c r="DH93" s="48" t="n">
        <f aca="false">-DH87*$F89</f>
        <v>-0</v>
      </c>
      <c r="DI93" s="48" t="n">
        <f aca="false">-DI87*$F89</f>
        <v>-0</v>
      </c>
      <c r="DJ93" s="48" t="n">
        <f aca="false">-DJ87*$F89</f>
        <v>-0</v>
      </c>
      <c r="DK93" s="48" t="n">
        <f aca="false">-DK87*$F89</f>
        <v>-0</v>
      </c>
      <c r="DL93" s="48" t="n">
        <f aca="false">-DL87*$F89</f>
        <v>-0</v>
      </c>
      <c r="DM93" s="48" t="n">
        <f aca="false">-DM87*$F89</f>
        <v>-0</v>
      </c>
      <c r="DN93" s="48" t="n">
        <f aca="false">-DN87*$F89</f>
        <v>-0</v>
      </c>
      <c r="DO93" s="48" t="n">
        <f aca="false">-DO87*$F89</f>
        <v>-0</v>
      </c>
      <c r="DP93" s="48" t="n">
        <f aca="false">-DP87*$F89</f>
        <v>-0</v>
      </c>
      <c r="DQ93" s="48" t="n">
        <f aca="false">-DQ87*$F89</f>
        <v>-0</v>
      </c>
      <c r="DR93" s="48" t="n">
        <f aca="false">-DR87*$F89</f>
        <v>-0</v>
      </c>
      <c r="DS93" s="48" t="n">
        <f aca="false">-DS87*$F89</f>
        <v>-0</v>
      </c>
      <c r="DT93" s="48" t="n">
        <f aca="false">-DT87*$F89</f>
        <v>-0</v>
      </c>
      <c r="DU93" s="48" t="n">
        <f aca="false">-DU87*$F89</f>
        <v>-0</v>
      </c>
      <c r="DV93" s="48" t="n">
        <f aca="false">-DV87*$F89</f>
        <v>-0</v>
      </c>
      <c r="DW93" s="48" t="n">
        <f aca="false">-DW87*$F89</f>
        <v>-0</v>
      </c>
      <c r="DX93" s="48" t="n">
        <f aca="false">-DX87*$F89</f>
        <v>-0</v>
      </c>
      <c r="DY93" s="48" t="n">
        <f aca="false">-DY87*$F89</f>
        <v>-0</v>
      </c>
      <c r="DZ93" s="48" t="n">
        <f aca="false">-DZ87*$F89</f>
        <v>-0</v>
      </c>
      <c r="EA93" s="48" t="n">
        <f aca="false">-EA87*$F89</f>
        <v>-0</v>
      </c>
      <c r="EB93" s="48" t="n">
        <f aca="false">-EB87*$F89</f>
        <v>-0</v>
      </c>
      <c r="EC93" s="48" t="n">
        <f aca="false">-EC87*$F89</f>
        <v>-0</v>
      </c>
      <c r="ED93" s="48" t="n">
        <f aca="false">-ED87*$F89</f>
        <v>-0</v>
      </c>
      <c r="EE93" s="48" t="n">
        <f aca="false">-EE87*$F89</f>
        <v>-0</v>
      </c>
      <c r="EF93" s="48" t="n">
        <f aca="false">-EF87*$F89</f>
        <v>-0</v>
      </c>
      <c r="EG93" s="48" t="n">
        <f aca="false">-EG87*$F89</f>
        <v>-0</v>
      </c>
      <c r="EH93" s="48" t="n">
        <f aca="false">-EH87*$F89</f>
        <v>-0</v>
      </c>
      <c r="EI93" s="48" t="n">
        <f aca="false">-EI87*$F89</f>
        <v>-0</v>
      </c>
      <c r="EJ93" s="48" t="n">
        <f aca="false">-EJ87*$F89</f>
        <v>-0</v>
      </c>
      <c r="EK93" s="48" t="n">
        <f aca="false">-EK87*$F89</f>
        <v>-0</v>
      </c>
      <c r="EL93" s="48" t="n">
        <f aca="false">-EL87*$F89</f>
        <v>-0</v>
      </c>
      <c r="EM93" s="48" t="n">
        <f aca="false">-EM87*$F89</f>
        <v>-0</v>
      </c>
      <c r="EN93" s="48" t="n">
        <f aca="false">-EN87*$F89</f>
        <v>-0</v>
      </c>
      <c r="EO93" s="48" t="n">
        <f aca="false">-EO87*$F89</f>
        <v>-0</v>
      </c>
    </row>
    <row r="94" customFormat="false" ht="15" hidden="false" customHeight="false" outlineLevel="0" collapsed="false">
      <c r="C94" s="0" t="s">
        <v>472</v>
      </c>
      <c r="D94" s="11" t="s">
        <v>33</v>
      </c>
      <c r="J94" s="18" t="n">
        <f aca="false">I98</f>
        <v>0</v>
      </c>
      <c r="K94" s="18" t="n">
        <f aca="false">J98</f>
        <v>0</v>
      </c>
      <c r="L94" s="18" t="n">
        <f aca="false">K98</f>
        <v>0</v>
      </c>
      <c r="M94" s="18" t="n">
        <f aca="false">L98</f>
        <v>0</v>
      </c>
      <c r="N94" s="18" t="n">
        <f aca="false">M98</f>
        <v>0</v>
      </c>
      <c r="O94" s="18" t="n">
        <f aca="false">N98</f>
        <v>0</v>
      </c>
      <c r="P94" s="18" t="n">
        <f aca="false">O98</f>
        <v>0</v>
      </c>
      <c r="Q94" s="18" t="n">
        <f aca="false">P98</f>
        <v>0</v>
      </c>
      <c r="R94" s="18" t="n">
        <f aca="false">Q98</f>
        <v>0</v>
      </c>
      <c r="S94" s="18" t="n">
        <f aca="false">R98</f>
        <v>4485.81130136986</v>
      </c>
      <c r="T94" s="18" t="n">
        <f aca="false">S98</f>
        <v>13415.3303398973</v>
      </c>
      <c r="U94" s="18" t="n">
        <f aca="false">T98</f>
        <v>18020.0744520227</v>
      </c>
      <c r="V94" s="18" t="n">
        <f aca="false">U98</f>
        <v>22731.1366840428</v>
      </c>
      <c r="W94" s="18" t="n">
        <f aca="false">V98</f>
        <v>27501.0871939632</v>
      </c>
      <c r="X94" s="18" t="n">
        <f aca="false">W98</f>
        <v>32233.1444482713</v>
      </c>
      <c r="Y94" s="18" t="n">
        <f aca="false">X98</f>
        <v>37073.1112367514</v>
      </c>
      <c r="Z94" s="18" t="n">
        <f aca="false">Y98</f>
        <v>43397.3364285807</v>
      </c>
      <c r="AA94" s="18" t="n">
        <f aca="false">Z98</f>
        <v>43012.5159938447</v>
      </c>
      <c r="AB94" s="18" t="n">
        <f aca="false">AA98</f>
        <v>42636.938675554</v>
      </c>
      <c r="AC94" s="18" t="n">
        <f aca="false">AB98</f>
        <v>42246.8417241772</v>
      </c>
      <c r="AD94" s="18" t="n">
        <f aca="false">AC98</f>
        <v>41842.0491242921</v>
      </c>
      <c r="AE94" s="18" t="n">
        <f aca="false">AD98</f>
        <v>41435.5050251216</v>
      </c>
      <c r="AF94" s="18" t="n">
        <f aca="false">AE98</f>
        <v>41049.8842023785</v>
      </c>
      <c r="AG94" s="18" t="n">
        <f aca="false">AF98</f>
        <v>40662.2487178249</v>
      </c>
      <c r="AH94" s="18" t="n">
        <f aca="false">AG98</f>
        <v>40260.5024470674</v>
      </c>
      <c r="AI94" s="18" t="n">
        <f aca="false">AH98</f>
        <v>39856.9557573001</v>
      </c>
      <c r="AJ94" s="18" t="n">
        <f aca="false">AI98</f>
        <v>39462.4003463885</v>
      </c>
      <c r="AK94" s="18" t="n">
        <f aca="false">AJ98</f>
        <v>39042.2798694931</v>
      </c>
      <c r="AL94" s="18" t="n">
        <f aca="false">AK98</f>
        <v>38607.5149798833</v>
      </c>
      <c r="AM94" s="18" t="n">
        <f aca="false">AL98</f>
        <v>38170.5803095736</v>
      </c>
      <c r="AN94" s="18" t="n">
        <f aca="false">AM98</f>
        <v>37742.5995607853</v>
      </c>
      <c r="AO94" s="18" t="n">
        <f aca="false">AN98</f>
        <v>37299.8554383742</v>
      </c>
      <c r="AP94" s="18" t="n">
        <f aca="false">AO98</f>
        <v>36842.1745441375</v>
      </c>
      <c r="AQ94" s="18" t="n">
        <f aca="false">AP98</f>
        <v>36382.0732246035</v>
      </c>
      <c r="AR94" s="18" t="n">
        <f aca="false">AQ98</f>
        <v>35930.7601147527</v>
      </c>
      <c r="AS94" s="18" t="n">
        <f aca="false">AR98</f>
        <v>35464.3837438589</v>
      </c>
      <c r="AT94" s="18" t="n">
        <f aca="false">AS98</f>
        <v>34982.7671914933</v>
      </c>
      <c r="AU94" s="18" t="n">
        <f aca="false">AT98</f>
        <v>34498.467652502</v>
      </c>
      <c r="AV94" s="18" t="n">
        <f aca="false">AU98</f>
        <v>34012.9919196558</v>
      </c>
      <c r="AW94" s="18" t="n">
        <f aca="false">AV98</f>
        <v>33521.8141960764</v>
      </c>
      <c r="AX94" s="18" t="n">
        <f aca="false">AW98</f>
        <v>33015.0799747434</v>
      </c>
      <c r="AY94" s="18" t="n">
        <f aca="false">AX98</f>
        <v>32505.3863807758</v>
      </c>
      <c r="AZ94" s="18" t="n">
        <f aca="false">AY98</f>
        <v>32004.1141896899</v>
      </c>
      <c r="BA94" s="18" t="n">
        <f aca="false">AZ98</f>
        <v>31487.1427737728</v>
      </c>
      <c r="BB94" s="18" t="n">
        <f aca="false">BA98</f>
        <v>30954.2877430984</v>
      </c>
      <c r="BC94" s="18" t="n">
        <f aca="false">BB98</f>
        <v>30418.1852288881</v>
      </c>
      <c r="BD94" s="18" t="n">
        <f aca="false">BC98</f>
        <v>29890.303244301</v>
      </c>
      <c r="BE94" s="18" t="n">
        <f aca="false">BD98</f>
        <v>29346.3862176851</v>
      </c>
      <c r="BF94" s="18" t="n">
        <f aca="false">BE98</f>
        <v>28786.2458148871</v>
      </c>
      <c r="BG94" s="18" t="n">
        <f aca="false">BF98</f>
        <v>28222.5561957122</v>
      </c>
      <c r="BH94" s="18" t="n">
        <f aca="false">BG98</f>
        <v>27666.8733940158</v>
      </c>
      <c r="BI94" s="18" t="n">
        <f aca="false">BH98</f>
        <v>27094.8066607656</v>
      </c>
      <c r="BJ94" s="18" t="n">
        <f aca="false">BI98</f>
        <v>26506.1635640449</v>
      </c>
      <c r="BK94" s="18" t="n">
        <f aca="false">BJ98</f>
        <v>25913.6552753471</v>
      </c>
      <c r="BL94" s="18" t="n">
        <f aca="false">BK98</f>
        <v>25319.0478762187</v>
      </c>
      <c r="BM94" s="18" t="n">
        <f aca="false">BL98</f>
        <v>24717.4567173462</v>
      </c>
      <c r="BN94" s="18" t="n">
        <f aca="false">BM98</f>
        <v>24098.9210100798</v>
      </c>
      <c r="BO94" s="18" t="n">
        <f aca="false">BN98</f>
        <v>23476.1878641245</v>
      </c>
      <c r="BP94" s="18" t="n">
        <f aca="false">BO98</f>
        <v>22860.9917164751</v>
      </c>
      <c r="BQ94" s="18" t="n">
        <f aca="false">BP98</f>
        <v>22228.6707935995</v>
      </c>
      <c r="BR94" s="18" t="n">
        <f aca="false">BQ98</f>
        <v>21579.0239622524</v>
      </c>
      <c r="BS94" s="18" t="n">
        <f aca="false">BR98</f>
        <v>20924.833186308</v>
      </c>
      <c r="BT94" s="18" t="n">
        <f aca="false">BS98</f>
        <v>20277.9233148815</v>
      </c>
      <c r="BU94" s="18" t="n">
        <f aca="false">BT98</f>
        <v>19613.4967670774</v>
      </c>
      <c r="BV94" s="18" t="n">
        <f aca="false">BU98</f>
        <v>18931.3478067082</v>
      </c>
      <c r="BW94" s="18" t="n">
        <f aca="false">BV98</f>
        <v>18244.2921094118</v>
      </c>
      <c r="BX94" s="18" t="n">
        <f aca="false">BW98</f>
        <v>17564.245747935</v>
      </c>
      <c r="BY94" s="18" t="n">
        <f aca="false">BX98</f>
        <v>16866.2751488523</v>
      </c>
      <c r="BZ94" s="18" t="n">
        <f aca="false">BY98</f>
        <v>16150.1697891038</v>
      </c>
      <c r="CA94" s="18" t="n">
        <f aca="false">BZ98</f>
        <v>15428.7778692825</v>
      </c>
      <c r="CB94" s="18" t="n">
        <f aca="false">CA98</f>
        <v>14704.1532392501</v>
      </c>
      <c r="CC94" s="18" t="n">
        <f aca="false">CB98</f>
        <v>13971.01777614</v>
      </c>
      <c r="CD94" s="18" t="n">
        <f aca="false">CC98</f>
        <v>13219.317253868</v>
      </c>
      <c r="CE94" s="18" t="n">
        <f aca="false">CD98</f>
        <v>12461.9311492862</v>
      </c>
      <c r="CF94" s="18" t="n">
        <f aca="false">CE98</f>
        <v>11710.9604283293</v>
      </c>
      <c r="CG94" s="18" t="n">
        <f aca="false">CF98</f>
        <v>10941.1990117549</v>
      </c>
      <c r="CH94" s="18" t="n">
        <f aca="false">CG98</f>
        <v>10152.4261998143</v>
      </c>
      <c r="CI94" s="18" t="n">
        <f aca="false">CH98</f>
        <v>9357.55148125098</v>
      </c>
      <c r="CJ94" s="18" t="n">
        <f aca="false">CI98</f>
        <v>8568.7695207078</v>
      </c>
      <c r="CK94" s="18" t="n">
        <f aca="false">CJ98</f>
        <v>7760.7377676658</v>
      </c>
      <c r="CL94" s="18" t="n">
        <f aca="false">CK98</f>
        <v>6933.23013020933</v>
      </c>
      <c r="CM94" s="18" t="n">
        <f aca="false">CL98</f>
        <v>6099.18478061188</v>
      </c>
      <c r="CN94" s="18" t="n">
        <f aca="false">CM98</f>
        <v>5270.89092090331</v>
      </c>
      <c r="CO94" s="18" t="n">
        <f aca="false">CN98</f>
        <v>4422.86939665966</v>
      </c>
      <c r="CP94" s="18" t="n">
        <f aca="false">CO98</f>
        <v>3554.88850328117</v>
      </c>
      <c r="CQ94" s="18" t="n">
        <f aca="false">CP98</f>
        <v>2679.91371811967</v>
      </c>
      <c r="CR94" s="18" t="n">
        <f aca="false">CQ98</f>
        <v>1800.31784677074</v>
      </c>
      <c r="CS94" s="18" t="n">
        <f aca="false">CR98</f>
        <v>910.390980135904</v>
      </c>
      <c r="CT94" s="18" t="n">
        <f aca="false">CS98</f>
        <v>1.58365764946211E-010</v>
      </c>
      <c r="CU94" s="18" t="n">
        <f aca="false">CT98</f>
        <v>1.60345337008039E-010</v>
      </c>
      <c r="CV94" s="18" t="n">
        <f aca="false">CU98</f>
        <v>1.62349653720639E-010</v>
      </c>
      <c r="CW94" s="18" t="n">
        <f aca="false">CV98</f>
        <v>1.64379024392147E-010</v>
      </c>
      <c r="CX94" s="18" t="n">
        <f aca="false">CW98</f>
        <v>1.66433762197049E-010</v>
      </c>
      <c r="CY94" s="18" t="n">
        <f aca="false">CX98</f>
        <v>1.68514184224512E-010</v>
      </c>
      <c r="CZ94" s="18" t="n">
        <f aca="false">CY98</f>
        <v>1.70620611527319E-010</v>
      </c>
      <c r="DA94" s="18" t="n">
        <f aca="false">CZ98</f>
        <v>1.7275336917141E-010</v>
      </c>
      <c r="DB94" s="18" t="n">
        <f aca="false">DA98</f>
        <v>1.74912786286053E-010</v>
      </c>
      <c r="DC94" s="18" t="n">
        <f aca="false">DB98</f>
        <v>1.77099196114628E-010</v>
      </c>
      <c r="DD94" s="18" t="n">
        <f aca="false">DC98</f>
        <v>1.79312936066061E-010</v>
      </c>
      <c r="DE94" s="18" t="n">
        <f aca="false">DD98</f>
        <v>1.81554347766887E-010</v>
      </c>
      <c r="DF94" s="18" t="n">
        <f aca="false">DE98</f>
        <v>1.83823777113973E-010</v>
      </c>
      <c r="DG94" s="18" t="n">
        <f aca="false">DF98</f>
        <v>1.86121574327898E-010</v>
      </c>
      <c r="DH94" s="18" t="n">
        <f aca="false">DG98</f>
        <v>1.88448094006996E-010</v>
      </c>
      <c r="DI94" s="18" t="n">
        <f aca="false">DH98</f>
        <v>1.90803695182084E-010</v>
      </c>
      <c r="DJ94" s="18" t="n">
        <f aca="false">DI98</f>
        <v>1.9318874137186E-010</v>
      </c>
      <c r="DK94" s="18" t="n">
        <f aca="false">DJ98</f>
        <v>1.95603600639008E-010</v>
      </c>
      <c r="DL94" s="18" t="n">
        <f aca="false">DK98</f>
        <v>1.98048645646996E-010</v>
      </c>
      <c r="DM94" s="18" t="n">
        <f aca="false">DL98</f>
        <v>2.00524253717583E-010</v>
      </c>
      <c r="DN94" s="18" t="n">
        <f aca="false">DM98</f>
        <v>2.03030806889053E-010</v>
      </c>
      <c r="DO94" s="18" t="n">
        <f aca="false">DN98</f>
        <v>2.05568691975166E-010</v>
      </c>
      <c r="DP94" s="18" t="n">
        <f aca="false">DO98</f>
        <v>2.08138300624856E-010</v>
      </c>
      <c r="DQ94" s="18" t="n">
        <f aca="false">DP98</f>
        <v>2.10740029382667E-010</v>
      </c>
      <c r="DR94" s="18" t="n">
        <f aca="false">DQ98</f>
        <v>2.1337427974995E-010</v>
      </c>
      <c r="DS94" s="18" t="n">
        <f aca="false">DR98</f>
        <v>2.16041458246824E-010</v>
      </c>
      <c r="DT94" s="18" t="n">
        <f aca="false">DS98</f>
        <v>2.1874197647491E-010</v>
      </c>
      <c r="DU94" s="18" t="n">
        <f aca="false">DT98</f>
        <v>2.21476251180846E-010</v>
      </c>
      <c r="DV94" s="18" t="n">
        <f aca="false">DU98</f>
        <v>2.24244704320607E-010</v>
      </c>
      <c r="DW94" s="18" t="n">
        <f aca="false">DV98</f>
        <v>2.27047763124614E-010</v>
      </c>
      <c r="DX94" s="18" t="n">
        <f aca="false">DW98</f>
        <v>2.29885860163672E-010</v>
      </c>
      <c r="DY94" s="18" t="n">
        <f aca="false">DX98</f>
        <v>2.32759433415718E-010</v>
      </c>
      <c r="DZ94" s="18" t="n">
        <f aca="false">DY98</f>
        <v>2.35668926333414E-010</v>
      </c>
      <c r="EA94" s="18" t="n">
        <f aca="false">DZ98</f>
        <v>2.38614787912582E-010</v>
      </c>
      <c r="EB94" s="18" t="n">
        <f aca="false">EA98</f>
        <v>2.41597472761489E-010</v>
      </c>
      <c r="EC94" s="18" t="n">
        <f aca="false">EB98</f>
        <v>2.44617441171008E-010</v>
      </c>
      <c r="ED94" s="18" t="n">
        <f aca="false">EC98</f>
        <v>2.47675159185645E-010</v>
      </c>
      <c r="EE94" s="18" t="n">
        <f aca="false">ED98</f>
        <v>2.50771098675466E-010</v>
      </c>
      <c r="EF94" s="18" t="n">
        <f aca="false">EE98</f>
        <v>2.53905737408909E-010</v>
      </c>
      <c r="EG94" s="18" t="n">
        <f aca="false">EF98</f>
        <v>2.57079559126521E-010</v>
      </c>
      <c r="EH94" s="18" t="n">
        <f aca="false">EG98</f>
        <v>2.60293053615602E-010</v>
      </c>
      <c r="EI94" s="18" t="n">
        <f aca="false">EH98</f>
        <v>2.63546716785797E-010</v>
      </c>
      <c r="EJ94" s="18" t="n">
        <f aca="false">EI98</f>
        <v>2.66841050745619E-010</v>
      </c>
      <c r="EK94" s="18" t="n">
        <f aca="false">EJ98</f>
        <v>2.7017656387994E-010</v>
      </c>
      <c r="EL94" s="18" t="n">
        <f aca="false">EK98</f>
        <v>2.73553770928439E-010</v>
      </c>
      <c r="EM94" s="18" t="n">
        <f aca="false">EL98</f>
        <v>2.76973193065044E-010</v>
      </c>
      <c r="EN94" s="18" t="n">
        <f aca="false">EM98</f>
        <v>2.80435357978358E-010</v>
      </c>
      <c r="EO94" s="18" t="n">
        <f aca="false">EN98</f>
        <v>2.83940799953087E-010</v>
      </c>
    </row>
    <row r="95" customFormat="false" ht="15" hidden="false" customHeight="false" outlineLevel="0" collapsed="false">
      <c r="C95" s="0" t="s">
        <v>473</v>
      </c>
      <c r="D95" s="11" t="s">
        <v>33</v>
      </c>
      <c r="I95" s="48" t="n">
        <f aca="false">SUM(J95:EO95)</f>
        <v>41454.0902328767</v>
      </c>
      <c r="J95" s="48" t="n">
        <f aca="false">-$E89*J69</f>
        <v>0</v>
      </c>
      <c r="K95" s="48" t="n">
        <f aca="false">-$E89*K69</f>
        <v>0</v>
      </c>
      <c r="L95" s="48" t="n">
        <f aca="false">-$E89*L69</f>
        <v>0</v>
      </c>
      <c r="M95" s="48" t="n">
        <f aca="false">-$E89*M69</f>
        <v>0</v>
      </c>
      <c r="N95" s="48" t="n">
        <f aca="false">-$E89*N69</f>
        <v>0</v>
      </c>
      <c r="O95" s="48" t="n">
        <f aca="false">-$E89*O69</f>
        <v>0</v>
      </c>
      <c r="P95" s="48" t="n">
        <f aca="false">-$E89*P69</f>
        <v>0</v>
      </c>
      <c r="Q95" s="48" t="n">
        <f aca="false">-$E89*Q69</f>
        <v>0</v>
      </c>
      <c r="R95" s="48" t="n">
        <f aca="false">-$E89*R69</f>
        <v>4485.81130136986</v>
      </c>
      <c r="S95" s="48" t="n">
        <f aca="false">-$E89*S69</f>
        <v>8873.44639726028</v>
      </c>
      <c r="T95" s="48" t="n">
        <f aca="false">-$E89*T69</f>
        <v>4437.05248287671</v>
      </c>
      <c r="U95" s="48" t="n">
        <f aca="false">-$E89*U69</f>
        <v>4485.81130136986</v>
      </c>
      <c r="V95" s="48" t="n">
        <f aca="false">-$E89*V69</f>
        <v>4485.81130136986</v>
      </c>
      <c r="W95" s="48" t="n">
        <f aca="false">-$E89*W69</f>
        <v>4388.29366438356</v>
      </c>
      <c r="X95" s="48" t="n">
        <f aca="false">-$E89*X69</f>
        <v>4437.05248287671</v>
      </c>
      <c r="Y95" s="48" t="n">
        <f aca="false">-$E89*Y69</f>
        <v>5860.81130136986</v>
      </c>
      <c r="Z95" s="48" t="n">
        <f aca="false">-$E89*Z69</f>
        <v>0</v>
      </c>
      <c r="AA95" s="48" t="n">
        <f aca="false">-$E89*AA69</f>
        <v>0</v>
      </c>
      <c r="AB95" s="48" t="n">
        <f aca="false">-$E89*AB69</f>
        <v>0</v>
      </c>
      <c r="AC95" s="48" t="n">
        <f aca="false">-$E89*AC69</f>
        <v>0</v>
      </c>
      <c r="AD95" s="48" t="n">
        <f aca="false">-$E89*AD69</f>
        <v>0</v>
      </c>
      <c r="AE95" s="48" t="n">
        <f aca="false">-$E89*AE69</f>
        <v>0</v>
      </c>
      <c r="AF95" s="48" t="n">
        <f aca="false">-$E89*AF69</f>
        <v>0</v>
      </c>
      <c r="AG95" s="48" t="n">
        <f aca="false">-$E89*AG69</f>
        <v>0</v>
      </c>
      <c r="AH95" s="48" t="n">
        <f aca="false">-$E89*AH69</f>
        <v>0</v>
      </c>
      <c r="AI95" s="48" t="n">
        <f aca="false">-$E89*AI69</f>
        <v>0</v>
      </c>
      <c r="AJ95" s="48" t="n">
        <f aca="false">-$E89*AJ69</f>
        <v>0</v>
      </c>
      <c r="AK95" s="48" t="n">
        <f aca="false">-$E89*AK69</f>
        <v>0</v>
      </c>
      <c r="AL95" s="48" t="n">
        <f aca="false">-$E89*AL69</f>
        <v>0</v>
      </c>
      <c r="AM95" s="48" t="n">
        <f aca="false">-$E89*AM69</f>
        <v>0</v>
      </c>
      <c r="AN95" s="48" t="n">
        <f aca="false">-$E89*AN69</f>
        <v>0</v>
      </c>
      <c r="AO95" s="48" t="n">
        <f aca="false">-$E89*AO69</f>
        <v>0</v>
      </c>
      <c r="AP95" s="48" t="n">
        <f aca="false">-$E89*AP69</f>
        <v>0</v>
      </c>
      <c r="AQ95" s="48" t="n">
        <f aca="false">-$E89*AQ69</f>
        <v>0</v>
      </c>
      <c r="AR95" s="48" t="n">
        <f aca="false">-$E89*AR69</f>
        <v>0</v>
      </c>
      <c r="AS95" s="48" t="n">
        <f aca="false">-$E89*AS69</f>
        <v>0</v>
      </c>
      <c r="AT95" s="48" t="n">
        <f aca="false">-$E89*AT69</f>
        <v>0</v>
      </c>
      <c r="AU95" s="48" t="n">
        <f aca="false">-$E89*AU69</f>
        <v>0</v>
      </c>
      <c r="AV95" s="48" t="n">
        <f aca="false">-$E89*AV69</f>
        <v>0</v>
      </c>
      <c r="AW95" s="48" t="n">
        <f aca="false">-$E89*AW69</f>
        <v>0</v>
      </c>
      <c r="AX95" s="48" t="n">
        <f aca="false">-$E89*AX69</f>
        <v>0</v>
      </c>
      <c r="AY95" s="48" t="n">
        <f aca="false">-$E89*AY69</f>
        <v>0</v>
      </c>
      <c r="AZ95" s="48" t="n">
        <f aca="false">-$E89*AZ69</f>
        <v>0</v>
      </c>
      <c r="BA95" s="48" t="n">
        <f aca="false">-$E89*BA69</f>
        <v>0</v>
      </c>
      <c r="BB95" s="48" t="n">
        <f aca="false">-$E89*BB69</f>
        <v>0</v>
      </c>
      <c r="BC95" s="48" t="n">
        <f aca="false">-$E89*BC69</f>
        <v>0</v>
      </c>
      <c r="BD95" s="48" t="n">
        <f aca="false">-$E89*BD69</f>
        <v>0</v>
      </c>
      <c r="BE95" s="48" t="n">
        <f aca="false">-$E89*BE69</f>
        <v>0</v>
      </c>
      <c r="BF95" s="48" t="n">
        <f aca="false">-$E89*BF69</f>
        <v>0</v>
      </c>
      <c r="BG95" s="48" t="n">
        <f aca="false">-$E89*BG69</f>
        <v>0</v>
      </c>
      <c r="BH95" s="48" t="n">
        <f aca="false">-$E89*BH69</f>
        <v>0</v>
      </c>
      <c r="BI95" s="48" t="n">
        <f aca="false">-$E89*BI69</f>
        <v>0</v>
      </c>
      <c r="BJ95" s="48" t="n">
        <f aca="false">-$E89*BJ69</f>
        <v>0</v>
      </c>
      <c r="BK95" s="48" t="n">
        <f aca="false">-$E89*BK69</f>
        <v>0</v>
      </c>
      <c r="BL95" s="48" t="n">
        <f aca="false">-$E89*BL69</f>
        <v>0</v>
      </c>
      <c r="BM95" s="48" t="n">
        <f aca="false">-$E89*BM69</f>
        <v>0</v>
      </c>
      <c r="BN95" s="48" t="n">
        <f aca="false">-$E89*BN69</f>
        <v>0</v>
      </c>
      <c r="BO95" s="48" t="n">
        <f aca="false">-$E89*BO69</f>
        <v>0</v>
      </c>
      <c r="BP95" s="48" t="n">
        <f aca="false">-$E89*BP69</f>
        <v>0</v>
      </c>
      <c r="BQ95" s="48" t="n">
        <f aca="false">-$E89*BQ69</f>
        <v>0</v>
      </c>
      <c r="BR95" s="48" t="n">
        <f aca="false">-$E89*BR69</f>
        <v>0</v>
      </c>
      <c r="BS95" s="48" t="n">
        <f aca="false">-$E89*BS69</f>
        <v>0</v>
      </c>
      <c r="BT95" s="48" t="n">
        <f aca="false">-$E89*BT69</f>
        <v>0</v>
      </c>
      <c r="BU95" s="48" t="n">
        <f aca="false">-$E89*BU69</f>
        <v>0</v>
      </c>
      <c r="BV95" s="48" t="n">
        <f aca="false">-$E89*BV69</f>
        <v>0</v>
      </c>
      <c r="BW95" s="48" t="n">
        <f aca="false">-$E89*BW69</f>
        <v>0</v>
      </c>
      <c r="BX95" s="48" t="n">
        <f aca="false">-$E89*BX69</f>
        <v>0</v>
      </c>
      <c r="BY95" s="48" t="n">
        <f aca="false">-$E89*BY69</f>
        <v>0</v>
      </c>
      <c r="BZ95" s="48" t="n">
        <f aca="false">-$E89*BZ69</f>
        <v>0</v>
      </c>
      <c r="CA95" s="48" t="n">
        <f aca="false">-$E89*CA69</f>
        <v>0</v>
      </c>
      <c r="CB95" s="48" t="n">
        <f aca="false">-$E89*CB69</f>
        <v>0</v>
      </c>
      <c r="CC95" s="48" t="n">
        <f aca="false">-$E89*CC69</f>
        <v>0</v>
      </c>
      <c r="CD95" s="48" t="n">
        <f aca="false">-$E89*CD69</f>
        <v>0</v>
      </c>
      <c r="CE95" s="48" t="n">
        <f aca="false">-$E89*CE69</f>
        <v>0</v>
      </c>
      <c r="CF95" s="48" t="n">
        <f aca="false">-$E89*CF69</f>
        <v>0</v>
      </c>
      <c r="CG95" s="48" t="n">
        <f aca="false">-$E89*CG69</f>
        <v>0</v>
      </c>
      <c r="CH95" s="48" t="n">
        <f aca="false">-$E89*CH69</f>
        <v>0</v>
      </c>
      <c r="CI95" s="48" t="n">
        <f aca="false">-$E89*CI69</f>
        <v>0</v>
      </c>
      <c r="CJ95" s="48" t="n">
        <f aca="false">-$E89*CJ69</f>
        <v>0</v>
      </c>
      <c r="CK95" s="48" t="n">
        <f aca="false">-$E89*CK69</f>
        <v>0</v>
      </c>
      <c r="CL95" s="48" t="n">
        <f aca="false">-$E89*CL69</f>
        <v>0</v>
      </c>
      <c r="CM95" s="48" t="n">
        <f aca="false">-$E89*CM69</f>
        <v>0</v>
      </c>
      <c r="CN95" s="48" t="n">
        <f aca="false">-$E89*CN69</f>
        <v>0</v>
      </c>
      <c r="CO95" s="48" t="n">
        <f aca="false">-$E89*CO69</f>
        <v>0</v>
      </c>
      <c r="CP95" s="48" t="n">
        <f aca="false">-$E89*CP69</f>
        <v>0</v>
      </c>
      <c r="CQ95" s="48" t="n">
        <f aca="false">-$E89*CQ69</f>
        <v>0</v>
      </c>
      <c r="CR95" s="48" t="n">
        <f aca="false">-$E89*CR69</f>
        <v>0</v>
      </c>
      <c r="CS95" s="48" t="n">
        <f aca="false">-$E89*CS69</f>
        <v>0</v>
      </c>
      <c r="CT95" s="48" t="n">
        <f aca="false">-$E89*CT69</f>
        <v>0</v>
      </c>
      <c r="CU95" s="48" t="n">
        <f aca="false">-$E89*CU69</f>
        <v>0</v>
      </c>
      <c r="CV95" s="48" t="n">
        <f aca="false">-$E89*CV69</f>
        <v>0</v>
      </c>
      <c r="CW95" s="48" t="n">
        <f aca="false">-$E89*CW69</f>
        <v>0</v>
      </c>
      <c r="CX95" s="48" t="n">
        <f aca="false">-$E89*CX69</f>
        <v>0</v>
      </c>
      <c r="CY95" s="48" t="n">
        <f aca="false">-$E89*CY69</f>
        <v>0</v>
      </c>
      <c r="CZ95" s="48" t="n">
        <f aca="false">-$E89*CZ69</f>
        <v>0</v>
      </c>
      <c r="DA95" s="48" t="n">
        <f aca="false">-$E89*DA69</f>
        <v>0</v>
      </c>
      <c r="DB95" s="48" t="n">
        <f aca="false">-$E89*DB69</f>
        <v>0</v>
      </c>
      <c r="DC95" s="48" t="n">
        <f aca="false">-$E89*DC69</f>
        <v>0</v>
      </c>
      <c r="DD95" s="48" t="n">
        <f aca="false">-$E89*DD69</f>
        <v>0</v>
      </c>
      <c r="DE95" s="48" t="n">
        <f aca="false">-$E89*DE69</f>
        <v>0</v>
      </c>
      <c r="DF95" s="48" t="n">
        <f aca="false">-$E89*DF69</f>
        <v>0</v>
      </c>
      <c r="DG95" s="48" t="n">
        <f aca="false">-$E89*DG69</f>
        <v>0</v>
      </c>
      <c r="DH95" s="48" t="n">
        <f aca="false">-$E89*DH69</f>
        <v>0</v>
      </c>
      <c r="DI95" s="48" t="n">
        <f aca="false">-$E89*DI69</f>
        <v>0</v>
      </c>
      <c r="DJ95" s="48" t="n">
        <f aca="false">-$E89*DJ69</f>
        <v>0</v>
      </c>
      <c r="DK95" s="48" t="n">
        <f aca="false">-$E89*DK69</f>
        <v>0</v>
      </c>
      <c r="DL95" s="48" t="n">
        <f aca="false">-$E89*DL69</f>
        <v>0</v>
      </c>
      <c r="DM95" s="48" t="n">
        <f aca="false">-$E89*DM69</f>
        <v>0</v>
      </c>
      <c r="DN95" s="48" t="n">
        <f aca="false">-$E89*DN69</f>
        <v>0</v>
      </c>
      <c r="DO95" s="48" t="n">
        <f aca="false">-$E89*DO69</f>
        <v>0</v>
      </c>
      <c r="DP95" s="48" t="n">
        <f aca="false">-$E89*DP69</f>
        <v>0</v>
      </c>
      <c r="DQ95" s="48" t="n">
        <f aca="false">-$E89*DQ69</f>
        <v>0</v>
      </c>
      <c r="DR95" s="48" t="n">
        <f aca="false">-$E89*DR69</f>
        <v>0</v>
      </c>
      <c r="DS95" s="48" t="n">
        <f aca="false">-$E89*DS69</f>
        <v>0</v>
      </c>
      <c r="DT95" s="48" t="n">
        <f aca="false">-$E89*DT69</f>
        <v>0</v>
      </c>
      <c r="DU95" s="48" t="n">
        <f aca="false">-$E89*DU69</f>
        <v>0</v>
      </c>
      <c r="DV95" s="48" t="n">
        <f aca="false">-$E89*DV69</f>
        <v>0</v>
      </c>
      <c r="DW95" s="48" t="n">
        <f aca="false">-$E89*DW69</f>
        <v>0</v>
      </c>
      <c r="DX95" s="48" t="n">
        <f aca="false">-$E89*DX69</f>
        <v>0</v>
      </c>
      <c r="DY95" s="48" t="n">
        <f aca="false">-$E89*DY69</f>
        <v>0</v>
      </c>
      <c r="DZ95" s="48" t="n">
        <f aca="false">-$E89*DZ69</f>
        <v>0</v>
      </c>
      <c r="EA95" s="48" t="n">
        <f aca="false">-$E89*EA69</f>
        <v>0</v>
      </c>
      <c r="EB95" s="48" t="n">
        <f aca="false">-$E89*EB69</f>
        <v>0</v>
      </c>
      <c r="EC95" s="48" t="n">
        <f aca="false">-$E89*EC69</f>
        <v>0</v>
      </c>
      <c r="ED95" s="48" t="n">
        <f aca="false">-$E89*ED69</f>
        <v>0</v>
      </c>
      <c r="EE95" s="48" t="n">
        <f aca="false">-$E89*EE69</f>
        <v>0</v>
      </c>
      <c r="EF95" s="48" t="n">
        <f aca="false">-$E89*EF69</f>
        <v>0</v>
      </c>
      <c r="EG95" s="48" t="n">
        <f aca="false">-$E89*EG69</f>
        <v>0</v>
      </c>
      <c r="EH95" s="48" t="n">
        <f aca="false">-$E89*EH69</f>
        <v>0</v>
      </c>
      <c r="EI95" s="48" t="n">
        <f aca="false">-$E89*EI69</f>
        <v>0</v>
      </c>
      <c r="EJ95" s="48" t="n">
        <f aca="false">-$E89*EJ69</f>
        <v>0</v>
      </c>
      <c r="EK95" s="48" t="n">
        <f aca="false">-$E89*EK69</f>
        <v>0</v>
      </c>
      <c r="EL95" s="48" t="n">
        <f aca="false">-$E89*EL69</f>
        <v>0</v>
      </c>
      <c r="EM95" s="48" t="n">
        <f aca="false">-$E89*EM69</f>
        <v>0</v>
      </c>
      <c r="EN95" s="48" t="n">
        <f aca="false">-$E89*EN69</f>
        <v>0</v>
      </c>
      <c r="EO95" s="48" t="n">
        <f aca="false">-$E89*EO69</f>
        <v>0</v>
      </c>
    </row>
    <row r="96" customFormat="false" ht="15" hidden="false" customHeight="false" outlineLevel="0" collapsed="false">
      <c r="C96" s="0" t="s">
        <v>474</v>
      </c>
      <c r="D96" s="11" t="s">
        <v>33</v>
      </c>
      <c r="I96" s="48" t="n">
        <f aca="false">SUM(J96:EO96)</f>
        <v>1943.24619570398</v>
      </c>
      <c r="J96" s="48" t="n">
        <f aca="false">J94*$F22*(J$4&lt;=In_COD)</f>
        <v>0</v>
      </c>
      <c r="K96" s="48" t="n">
        <f aca="false">K94*$F22*(K$4&lt;=In_COD)</f>
        <v>0</v>
      </c>
      <c r="L96" s="48" t="n">
        <f aca="false">L94*$F22*(L$4&lt;=In_COD)</f>
        <v>0</v>
      </c>
      <c r="M96" s="48" t="n">
        <f aca="false">M94*$F22*(M$4&lt;=In_COD)</f>
        <v>0</v>
      </c>
      <c r="N96" s="48" t="n">
        <f aca="false">N94*$F22*(N$4&lt;=In_COD)</f>
        <v>0</v>
      </c>
      <c r="O96" s="48" t="n">
        <f aca="false">O94*$F22*(O$4&lt;=In_COD)</f>
        <v>0</v>
      </c>
      <c r="P96" s="48" t="n">
        <f aca="false">P94*$F22*(P$4&lt;=In_COD)</f>
        <v>0</v>
      </c>
      <c r="Q96" s="48" t="n">
        <f aca="false">Q94*$F22*(Q$4&lt;=In_COD)</f>
        <v>0</v>
      </c>
      <c r="R96" s="48" t="n">
        <f aca="false">R94*$F22*(R$4&lt;=In_COD)</f>
        <v>0</v>
      </c>
      <c r="S96" s="48" t="n">
        <f aca="false">S94*$F22*(S$4&lt;=In_COD)</f>
        <v>56.0726412671233</v>
      </c>
      <c r="T96" s="48" t="n">
        <f aca="false">T94*$F22*(T$4&lt;=In_COD)</f>
        <v>167.691629248716</v>
      </c>
      <c r="U96" s="48" t="n">
        <f aca="false">U94*$F22*(U$4&lt;=In_COD)</f>
        <v>225.250930650284</v>
      </c>
      <c r="V96" s="48" t="n">
        <f aca="false">V94*$F22*(V$4&lt;=In_COD)</f>
        <v>284.139208550536</v>
      </c>
      <c r="W96" s="48" t="n">
        <f aca="false">W94*$F22*(W$4&lt;=In_COD)</f>
        <v>343.763589924541</v>
      </c>
      <c r="X96" s="48" t="n">
        <f aca="false">X94*$F22*(X$4&lt;=In_COD)</f>
        <v>402.914305603392</v>
      </c>
      <c r="Y96" s="48" t="n">
        <f aca="false">Y94*$F22*(Y$4&lt;=In_COD)</f>
        <v>463.413890459393</v>
      </c>
      <c r="Z96" s="48" t="n">
        <f aca="false">Z94*$F22*(Z$4&lt;=In_COD)</f>
        <v>0</v>
      </c>
      <c r="AA96" s="48" t="n">
        <f aca="false">AA94*$F22*(AA$4&lt;=In_COD)</f>
        <v>0</v>
      </c>
      <c r="AB96" s="48" t="n">
        <f aca="false">AB94*$F22*(AB$4&lt;=In_COD)</f>
        <v>0</v>
      </c>
      <c r="AC96" s="48" t="n">
        <f aca="false">AC94*$F22*(AC$4&lt;=In_COD)</f>
        <v>0</v>
      </c>
      <c r="AD96" s="48" t="n">
        <f aca="false">AD94*$F22*(AD$4&lt;=In_COD)</f>
        <v>0</v>
      </c>
      <c r="AE96" s="48" t="n">
        <f aca="false">AE94*$F22*(AE$4&lt;=In_COD)</f>
        <v>0</v>
      </c>
      <c r="AF96" s="48" t="n">
        <f aca="false">AF94*$F22*(AF$4&lt;=In_COD)</f>
        <v>0</v>
      </c>
      <c r="AG96" s="48" t="n">
        <f aca="false">AG94*$F22*(AG$4&lt;=In_COD)</f>
        <v>0</v>
      </c>
      <c r="AH96" s="48" t="n">
        <f aca="false">AH94*$F22*(AH$4&lt;=In_COD)</f>
        <v>0</v>
      </c>
      <c r="AI96" s="48" t="n">
        <f aca="false">AI94*$F22*(AI$4&lt;=In_COD)</f>
        <v>0</v>
      </c>
      <c r="AJ96" s="48" t="n">
        <f aca="false">AJ94*$F22*(AJ$4&lt;=In_COD)</f>
        <v>0</v>
      </c>
      <c r="AK96" s="48" t="n">
        <f aca="false">AK94*$F22*(AK$4&lt;=In_COD)</f>
        <v>0</v>
      </c>
      <c r="AL96" s="48" t="n">
        <f aca="false">AL94*$F22*(AL$4&lt;=In_COD)</f>
        <v>0</v>
      </c>
      <c r="AM96" s="48" t="n">
        <f aca="false">AM94*$F22*(AM$4&lt;=In_COD)</f>
        <v>0</v>
      </c>
      <c r="AN96" s="48" t="n">
        <f aca="false">AN94*$F22*(AN$4&lt;=In_COD)</f>
        <v>0</v>
      </c>
      <c r="AO96" s="48" t="n">
        <f aca="false">AO94*$F22*(AO$4&lt;=In_COD)</f>
        <v>0</v>
      </c>
      <c r="AP96" s="48" t="n">
        <f aca="false">AP94*$F22*(AP$4&lt;=In_COD)</f>
        <v>0</v>
      </c>
      <c r="AQ96" s="48" t="n">
        <f aca="false">AQ94*$F22*(AQ$4&lt;=In_COD)</f>
        <v>0</v>
      </c>
      <c r="AR96" s="48" t="n">
        <f aca="false">AR94*$F22*(AR$4&lt;=In_COD)</f>
        <v>0</v>
      </c>
      <c r="AS96" s="48" t="n">
        <f aca="false">AS94*$F22*(AS$4&lt;=In_COD)</f>
        <v>0</v>
      </c>
      <c r="AT96" s="48" t="n">
        <f aca="false">AT94*$F22*(AT$4&lt;=In_COD)</f>
        <v>0</v>
      </c>
      <c r="AU96" s="48" t="n">
        <f aca="false">AU94*$F22*(AU$4&lt;=In_COD)</f>
        <v>0</v>
      </c>
      <c r="AV96" s="48" t="n">
        <f aca="false">AV94*$F22*(AV$4&lt;=In_COD)</f>
        <v>0</v>
      </c>
      <c r="AW96" s="48" t="n">
        <f aca="false">AW94*$F22*(AW$4&lt;=In_COD)</f>
        <v>0</v>
      </c>
      <c r="AX96" s="48" t="n">
        <f aca="false">AX94*$F22*(AX$4&lt;=In_COD)</f>
        <v>0</v>
      </c>
      <c r="AY96" s="48" t="n">
        <f aca="false">AY94*$F22*(AY$4&lt;=In_COD)</f>
        <v>0</v>
      </c>
      <c r="AZ96" s="48" t="n">
        <f aca="false">AZ94*$F22*(AZ$4&lt;=In_COD)</f>
        <v>0</v>
      </c>
      <c r="BA96" s="48" t="n">
        <f aca="false">BA94*$F22*(BA$4&lt;=In_COD)</f>
        <v>0</v>
      </c>
      <c r="BB96" s="48" t="n">
        <f aca="false">BB94*$F22*(BB$4&lt;=In_COD)</f>
        <v>0</v>
      </c>
      <c r="BC96" s="48" t="n">
        <f aca="false">BC94*$F22*(BC$4&lt;=In_COD)</f>
        <v>0</v>
      </c>
      <c r="BD96" s="48" t="n">
        <f aca="false">BD94*$F22*(BD$4&lt;=In_COD)</f>
        <v>0</v>
      </c>
      <c r="BE96" s="48" t="n">
        <f aca="false">BE94*$F22*(BE$4&lt;=In_COD)</f>
        <v>0</v>
      </c>
      <c r="BF96" s="48" t="n">
        <f aca="false">BF94*$F22*(BF$4&lt;=In_COD)</f>
        <v>0</v>
      </c>
      <c r="BG96" s="48" t="n">
        <f aca="false">BG94*$F22*(BG$4&lt;=In_COD)</f>
        <v>0</v>
      </c>
      <c r="BH96" s="48" t="n">
        <f aca="false">BH94*$F22*(BH$4&lt;=In_COD)</f>
        <v>0</v>
      </c>
      <c r="BI96" s="48" t="n">
        <f aca="false">BI94*$F22*(BI$4&lt;=In_COD)</f>
        <v>0</v>
      </c>
      <c r="BJ96" s="48" t="n">
        <f aca="false">BJ94*$F22*(BJ$4&lt;=In_COD)</f>
        <v>0</v>
      </c>
      <c r="BK96" s="48" t="n">
        <f aca="false">BK94*$F22*(BK$4&lt;=In_COD)</f>
        <v>0</v>
      </c>
      <c r="BL96" s="48" t="n">
        <f aca="false">BL94*$F22*(BL$4&lt;=In_COD)</f>
        <v>0</v>
      </c>
      <c r="BM96" s="48" t="n">
        <f aca="false">BM94*$F22*(BM$4&lt;=In_COD)</f>
        <v>0</v>
      </c>
      <c r="BN96" s="48" t="n">
        <f aca="false">BN94*$F22*(BN$4&lt;=In_COD)</f>
        <v>0</v>
      </c>
      <c r="BO96" s="48" t="n">
        <f aca="false">BO94*$F22*(BO$4&lt;=In_COD)</f>
        <v>0</v>
      </c>
      <c r="BP96" s="48" t="n">
        <f aca="false">BP94*$F22*(BP$4&lt;=In_COD)</f>
        <v>0</v>
      </c>
      <c r="BQ96" s="48" t="n">
        <f aca="false">BQ94*$F22*(BQ$4&lt;=In_COD)</f>
        <v>0</v>
      </c>
      <c r="BR96" s="48" t="n">
        <f aca="false">BR94*$F22*(BR$4&lt;=In_COD)</f>
        <v>0</v>
      </c>
      <c r="BS96" s="48" t="n">
        <f aca="false">BS94*$F22*(BS$4&lt;=In_COD)</f>
        <v>0</v>
      </c>
      <c r="BT96" s="48" t="n">
        <f aca="false">BT94*$F22*(BT$4&lt;=In_COD)</f>
        <v>0</v>
      </c>
      <c r="BU96" s="48" t="n">
        <f aca="false">BU94*$F22*(BU$4&lt;=In_COD)</f>
        <v>0</v>
      </c>
      <c r="BV96" s="48" t="n">
        <f aca="false">BV94*$F22*(BV$4&lt;=In_COD)</f>
        <v>0</v>
      </c>
      <c r="BW96" s="48" t="n">
        <f aca="false">BW94*$F22*(BW$4&lt;=In_COD)</f>
        <v>0</v>
      </c>
      <c r="BX96" s="48" t="n">
        <f aca="false">BX94*$F22*(BX$4&lt;=In_COD)</f>
        <v>0</v>
      </c>
      <c r="BY96" s="48" t="n">
        <f aca="false">BY94*$F22*(BY$4&lt;=In_COD)</f>
        <v>0</v>
      </c>
      <c r="BZ96" s="48" t="n">
        <f aca="false">BZ94*$F22*(BZ$4&lt;=In_COD)</f>
        <v>0</v>
      </c>
      <c r="CA96" s="48" t="n">
        <f aca="false">CA94*$F22*(CA$4&lt;=In_COD)</f>
        <v>0</v>
      </c>
      <c r="CB96" s="48" t="n">
        <f aca="false">CB94*$F22*(CB$4&lt;=In_COD)</f>
        <v>0</v>
      </c>
      <c r="CC96" s="48" t="n">
        <f aca="false">CC94*$F22*(CC$4&lt;=In_COD)</f>
        <v>0</v>
      </c>
      <c r="CD96" s="48" t="n">
        <f aca="false">CD94*$F22*(CD$4&lt;=In_COD)</f>
        <v>0</v>
      </c>
      <c r="CE96" s="48" t="n">
        <f aca="false">CE94*$F22*(CE$4&lt;=In_COD)</f>
        <v>0</v>
      </c>
      <c r="CF96" s="48" t="n">
        <f aca="false">CF94*$F22*(CF$4&lt;=In_COD)</f>
        <v>0</v>
      </c>
      <c r="CG96" s="48" t="n">
        <f aca="false">CG94*$F22*(CG$4&lt;=In_COD)</f>
        <v>0</v>
      </c>
      <c r="CH96" s="48" t="n">
        <f aca="false">CH94*$F22*(CH$4&lt;=In_COD)</f>
        <v>0</v>
      </c>
      <c r="CI96" s="48" t="n">
        <f aca="false">CI94*$F22*(CI$4&lt;=In_COD)</f>
        <v>0</v>
      </c>
      <c r="CJ96" s="48" t="n">
        <f aca="false">CJ94*$F22*(CJ$4&lt;=In_COD)</f>
        <v>0</v>
      </c>
      <c r="CK96" s="48" t="n">
        <f aca="false">CK94*$F22*(CK$4&lt;=In_COD)</f>
        <v>0</v>
      </c>
      <c r="CL96" s="48" t="n">
        <f aca="false">CL94*$F22*(CL$4&lt;=In_COD)</f>
        <v>0</v>
      </c>
      <c r="CM96" s="48" t="n">
        <f aca="false">CM94*$F22*(CM$4&lt;=In_COD)</f>
        <v>0</v>
      </c>
      <c r="CN96" s="48" t="n">
        <f aca="false">CN94*$F22*(CN$4&lt;=In_COD)</f>
        <v>0</v>
      </c>
      <c r="CO96" s="48" t="n">
        <f aca="false">CO94*$F22*(CO$4&lt;=In_COD)</f>
        <v>0</v>
      </c>
      <c r="CP96" s="48" t="n">
        <f aca="false">CP94*$F22*(CP$4&lt;=In_COD)</f>
        <v>0</v>
      </c>
      <c r="CQ96" s="48" t="n">
        <f aca="false">CQ94*$F22*(CQ$4&lt;=In_COD)</f>
        <v>0</v>
      </c>
      <c r="CR96" s="48" t="n">
        <f aca="false">CR94*$F22*(CR$4&lt;=In_COD)</f>
        <v>0</v>
      </c>
      <c r="CS96" s="48" t="n">
        <f aca="false">CS94*$F22*(CS$4&lt;=In_COD)</f>
        <v>0</v>
      </c>
      <c r="CT96" s="48" t="n">
        <f aca="false">CT94*$F22*(CT$4&lt;=In_COD)</f>
        <v>0</v>
      </c>
      <c r="CU96" s="48" t="n">
        <f aca="false">CU94*$F22*(CU$4&lt;=In_COD)</f>
        <v>0</v>
      </c>
      <c r="CV96" s="48" t="n">
        <f aca="false">CV94*$F22*(CV$4&lt;=In_COD)</f>
        <v>0</v>
      </c>
      <c r="CW96" s="48" t="n">
        <f aca="false">CW94*$F22*(CW$4&lt;=In_COD)</f>
        <v>0</v>
      </c>
      <c r="CX96" s="48" t="n">
        <f aca="false">CX94*$F22*(CX$4&lt;=In_COD)</f>
        <v>0</v>
      </c>
      <c r="CY96" s="48" t="n">
        <f aca="false">CY94*$F22*(CY$4&lt;=In_COD)</f>
        <v>0</v>
      </c>
      <c r="CZ96" s="48" t="n">
        <f aca="false">CZ94*$F22*(CZ$4&lt;=In_COD)</f>
        <v>0</v>
      </c>
      <c r="DA96" s="48" t="n">
        <f aca="false">DA94*$F22*(DA$4&lt;=In_COD)</f>
        <v>0</v>
      </c>
      <c r="DB96" s="48" t="n">
        <f aca="false">DB94*$F22*(DB$4&lt;=In_COD)</f>
        <v>0</v>
      </c>
      <c r="DC96" s="48" t="n">
        <f aca="false">DC94*$F22*(DC$4&lt;=In_COD)</f>
        <v>0</v>
      </c>
      <c r="DD96" s="48" t="n">
        <f aca="false">DD94*$F22*(DD$4&lt;=In_COD)</f>
        <v>0</v>
      </c>
      <c r="DE96" s="48" t="n">
        <f aca="false">DE94*$F22*(DE$4&lt;=In_COD)</f>
        <v>0</v>
      </c>
      <c r="DF96" s="48" t="n">
        <f aca="false">DF94*$F22*(DF$4&lt;=In_COD)</f>
        <v>0</v>
      </c>
      <c r="DG96" s="48" t="n">
        <f aca="false">DG94*$F22*(DG$4&lt;=In_COD)</f>
        <v>0</v>
      </c>
      <c r="DH96" s="48" t="n">
        <f aca="false">DH94*$F22*(DH$4&lt;=In_COD)</f>
        <v>0</v>
      </c>
      <c r="DI96" s="48" t="n">
        <f aca="false">DI94*$F22*(DI$4&lt;=In_COD)</f>
        <v>0</v>
      </c>
      <c r="DJ96" s="48" t="n">
        <f aca="false">DJ94*$F22*(DJ$4&lt;=In_COD)</f>
        <v>0</v>
      </c>
      <c r="DK96" s="48" t="n">
        <f aca="false">DK94*$F22*(DK$4&lt;=In_COD)</f>
        <v>0</v>
      </c>
      <c r="DL96" s="48" t="n">
        <f aca="false">DL94*$F22*(DL$4&lt;=In_COD)</f>
        <v>0</v>
      </c>
      <c r="DM96" s="48" t="n">
        <f aca="false">DM94*$F22*(DM$4&lt;=In_COD)</f>
        <v>0</v>
      </c>
      <c r="DN96" s="48" t="n">
        <f aca="false">DN94*$F22*(DN$4&lt;=In_COD)</f>
        <v>0</v>
      </c>
      <c r="DO96" s="48" t="n">
        <f aca="false">DO94*$F22*(DO$4&lt;=In_COD)</f>
        <v>0</v>
      </c>
      <c r="DP96" s="48" t="n">
        <f aca="false">DP94*$F22*(DP$4&lt;=In_COD)</f>
        <v>0</v>
      </c>
      <c r="DQ96" s="48" t="n">
        <f aca="false">DQ94*$F22*(DQ$4&lt;=In_COD)</f>
        <v>0</v>
      </c>
      <c r="DR96" s="48" t="n">
        <f aca="false">DR94*$F22*(DR$4&lt;=In_COD)</f>
        <v>0</v>
      </c>
      <c r="DS96" s="48" t="n">
        <f aca="false">DS94*$F22*(DS$4&lt;=In_COD)</f>
        <v>0</v>
      </c>
      <c r="DT96" s="48" t="n">
        <f aca="false">DT94*$F22*(DT$4&lt;=In_COD)</f>
        <v>0</v>
      </c>
      <c r="DU96" s="48" t="n">
        <f aca="false">DU94*$F22*(DU$4&lt;=In_COD)</f>
        <v>0</v>
      </c>
      <c r="DV96" s="48" t="n">
        <f aca="false">DV94*$F22*(DV$4&lt;=In_COD)</f>
        <v>0</v>
      </c>
      <c r="DW96" s="48" t="n">
        <f aca="false">DW94*$F22*(DW$4&lt;=In_COD)</f>
        <v>0</v>
      </c>
      <c r="DX96" s="48" t="n">
        <f aca="false">DX94*$F22*(DX$4&lt;=In_COD)</f>
        <v>0</v>
      </c>
      <c r="DY96" s="48" t="n">
        <f aca="false">DY94*$F22*(DY$4&lt;=In_COD)</f>
        <v>0</v>
      </c>
      <c r="DZ96" s="48" t="n">
        <f aca="false">DZ94*$F22*(DZ$4&lt;=In_COD)</f>
        <v>0</v>
      </c>
      <c r="EA96" s="48" t="n">
        <f aca="false">EA94*$F22*(EA$4&lt;=In_COD)</f>
        <v>0</v>
      </c>
      <c r="EB96" s="48" t="n">
        <f aca="false">EB94*$F22*(EB$4&lt;=In_COD)</f>
        <v>0</v>
      </c>
      <c r="EC96" s="48" t="n">
        <f aca="false">EC94*$F22*(EC$4&lt;=In_COD)</f>
        <v>0</v>
      </c>
      <c r="ED96" s="48" t="n">
        <f aca="false">ED94*$F22*(ED$4&lt;=In_COD)</f>
        <v>0</v>
      </c>
      <c r="EE96" s="48" t="n">
        <f aca="false">EE94*$F22*(EE$4&lt;=In_COD)</f>
        <v>0</v>
      </c>
      <c r="EF96" s="48" t="n">
        <f aca="false">EF94*$F22*(EF$4&lt;=In_COD)</f>
        <v>0</v>
      </c>
      <c r="EG96" s="48" t="n">
        <f aca="false">EG94*$F22*(EG$4&lt;=In_COD)</f>
        <v>0</v>
      </c>
      <c r="EH96" s="48" t="n">
        <f aca="false">EH94*$F22*(EH$4&lt;=In_COD)</f>
        <v>0</v>
      </c>
      <c r="EI96" s="48" t="n">
        <f aca="false">EI94*$F22*(EI$4&lt;=In_COD)</f>
        <v>0</v>
      </c>
      <c r="EJ96" s="48" t="n">
        <f aca="false">EJ94*$F22*(EJ$4&lt;=In_COD)</f>
        <v>0</v>
      </c>
      <c r="EK96" s="48" t="n">
        <f aca="false">EK94*$F22*(EK$4&lt;=In_COD)</f>
        <v>0</v>
      </c>
      <c r="EL96" s="48" t="n">
        <f aca="false">EL94*$F22*(EL$4&lt;=In_COD)</f>
        <v>0</v>
      </c>
      <c r="EM96" s="48" t="n">
        <f aca="false">EM94*$F22*(EM$4&lt;=In_COD)</f>
        <v>0</v>
      </c>
      <c r="EN96" s="48" t="n">
        <f aca="false">EN94*$F22*(EN$4&lt;=In_COD)</f>
        <v>0</v>
      </c>
      <c r="EO96" s="48" t="n">
        <f aca="false">EO94*$F22*(EO$4&lt;=In_COD)</f>
        <v>0</v>
      </c>
    </row>
    <row r="97" customFormat="false" ht="15" hidden="false" customHeight="false" outlineLevel="0" collapsed="false">
      <c r="C97" s="0" t="s">
        <v>475</v>
      </c>
      <c r="D97" s="11" t="s">
        <v>33</v>
      </c>
      <c r="I97" s="48" t="n">
        <f aca="false">SUM(J97:EO97)</f>
        <v>-43397.3364285804</v>
      </c>
      <c r="J97" s="48" t="n">
        <f aca="false">J93-J92</f>
        <v>0</v>
      </c>
      <c r="K97" s="48" t="n">
        <f aca="false">K93-K92</f>
        <v>0</v>
      </c>
      <c r="L97" s="48" t="n">
        <f aca="false">L93-L92</f>
        <v>0</v>
      </c>
      <c r="M97" s="48" t="n">
        <f aca="false">M93-M92</f>
        <v>0</v>
      </c>
      <c r="N97" s="48" t="n">
        <f aca="false">N93-N92</f>
        <v>0</v>
      </c>
      <c r="O97" s="48" t="n">
        <f aca="false">O93-O92</f>
        <v>0</v>
      </c>
      <c r="P97" s="48" t="n">
        <f aca="false">P93-P92</f>
        <v>0</v>
      </c>
      <c r="Q97" s="48" t="n">
        <f aca="false">Q93-Q92</f>
        <v>0</v>
      </c>
      <c r="R97" s="48" t="n">
        <f aca="false">R93-R92</f>
        <v>0</v>
      </c>
      <c r="S97" s="48" t="n">
        <f aca="false">S93-S92</f>
        <v>0</v>
      </c>
      <c r="T97" s="48" t="n">
        <f aca="false">T93-T92</f>
        <v>0</v>
      </c>
      <c r="U97" s="48" t="n">
        <f aca="false">U93-U92</f>
        <v>0</v>
      </c>
      <c r="V97" s="48" t="n">
        <f aca="false">V93-V92</f>
        <v>0</v>
      </c>
      <c r="W97" s="48" t="n">
        <f aca="false">W93-W92</f>
        <v>0</v>
      </c>
      <c r="X97" s="48" t="n">
        <f aca="false">X93-X92</f>
        <v>0</v>
      </c>
      <c r="Y97" s="48" t="n">
        <f aca="false">Y93-Y92</f>
        <v>0</v>
      </c>
      <c r="Z97" s="48" t="n">
        <f aca="false">Z93-Z92</f>
        <v>-384.820434736039</v>
      </c>
      <c r="AA97" s="48" t="n">
        <f aca="false">AA93-AA92</f>
        <v>-375.577318290649</v>
      </c>
      <c r="AB97" s="48" t="n">
        <f aca="false">AB93-AB92</f>
        <v>-390.096951376776</v>
      </c>
      <c r="AC97" s="48" t="n">
        <f aca="false">AC93-AC92</f>
        <v>-404.792599885157</v>
      </c>
      <c r="AD97" s="48" t="n">
        <f aca="false">AD93-AD92</f>
        <v>-406.544099170431</v>
      </c>
      <c r="AE97" s="48" t="n">
        <f aca="false">AE93-AE92</f>
        <v>-385.620822743173</v>
      </c>
      <c r="AF97" s="48" t="n">
        <f aca="false">AF93-AF92</f>
        <v>-387.635484553588</v>
      </c>
      <c r="AG97" s="48" t="n">
        <f aca="false">AG93-AG92</f>
        <v>-401.746270757512</v>
      </c>
      <c r="AH97" s="48" t="n">
        <f aca="false">AH93-AH92</f>
        <v>-403.54668976725</v>
      </c>
      <c r="AI97" s="48" t="n">
        <f aca="false">AI93-AI92</f>
        <v>-394.555410911652</v>
      </c>
      <c r="AJ97" s="48" t="n">
        <f aca="false">AJ93-AJ92</f>
        <v>-420.120476895409</v>
      </c>
      <c r="AK97" s="48" t="n">
        <f aca="false">AK93-AK92</f>
        <v>-434.764889609751</v>
      </c>
      <c r="AL97" s="48" t="n">
        <f aca="false">AL93-AL92</f>
        <v>-436.93467030976</v>
      </c>
      <c r="AM97" s="48" t="n">
        <f aca="false">AM93-AM92</f>
        <v>-427.98074878823</v>
      </c>
      <c r="AN97" s="48" t="n">
        <f aca="false">AN93-AN92</f>
        <v>-442.744122411082</v>
      </c>
      <c r="AO97" s="48" t="n">
        <f aca="false">AO93-AO92</f>
        <v>-457.680894236756</v>
      </c>
      <c r="AP97" s="48" t="n">
        <f aca="false">AP93-AP92</f>
        <v>-460.101319533939</v>
      </c>
      <c r="AQ97" s="48" t="n">
        <f aca="false">AQ93-AQ92</f>
        <v>-451.313109850859</v>
      </c>
      <c r="AR97" s="48" t="n">
        <f aca="false">AR93-AR92</f>
        <v>-466.376370893762</v>
      </c>
      <c r="AS97" s="48" t="n">
        <f aca="false">AS93-AS92</f>
        <v>-481.616552365572</v>
      </c>
      <c r="AT97" s="48" t="n">
        <f aca="false">AT93-AT92</f>
        <v>-484.299538991362</v>
      </c>
      <c r="AU97" s="48" t="n">
        <f aca="false">AU93-AU92</f>
        <v>-485.475732846149</v>
      </c>
      <c r="AV97" s="48" t="n">
        <f aca="false">AV93-AV92</f>
        <v>-491.177723579417</v>
      </c>
      <c r="AW97" s="48" t="n">
        <f aca="false">AW93-AW92</f>
        <v>-506.734221333033</v>
      </c>
      <c r="AX97" s="48" t="n">
        <f aca="false">AX93-AX92</f>
        <v>-509.693593967571</v>
      </c>
      <c r="AY97" s="48" t="n">
        <f aca="false">AY93-AY92</f>
        <v>-501.272191085892</v>
      </c>
      <c r="AZ97" s="48" t="n">
        <f aca="false">AZ93-AZ92</f>
        <v>-516.97141591711</v>
      </c>
      <c r="BA97" s="48" t="n">
        <f aca="false">BA93-BA92</f>
        <v>-532.855030674437</v>
      </c>
      <c r="BB97" s="48" t="n">
        <f aca="false">BB93-BB92</f>
        <v>-536.102514210261</v>
      </c>
      <c r="BC97" s="48" t="n">
        <f aca="false">BC93-BC92</f>
        <v>-527.881984587093</v>
      </c>
      <c r="BD97" s="48" t="n">
        <f aca="false">BD93-BD92</f>
        <v>-543.917026615932</v>
      </c>
      <c r="BE97" s="48" t="n">
        <f aca="false">BE93-BE92</f>
        <v>-560.140402797994</v>
      </c>
      <c r="BF97" s="48" t="n">
        <f aca="false">BF93-BF92</f>
        <v>-563.689619174876</v>
      </c>
      <c r="BG97" s="48" t="n">
        <f aca="false">BG93-BG92</f>
        <v>-555.682801696473</v>
      </c>
      <c r="BH97" s="48" t="n">
        <f aca="false">BH93-BH92</f>
        <v>-572.066733250136</v>
      </c>
      <c r="BI97" s="48" t="n">
        <f aca="false">BI93-BI92</f>
        <v>-588.643096720728</v>
      </c>
      <c r="BJ97" s="48" t="n">
        <f aca="false">BJ93-BJ92</f>
        <v>-592.508288697823</v>
      </c>
      <c r="BK97" s="48" t="n">
        <f aca="false">BK93-BK92</f>
        <v>-594.607399128412</v>
      </c>
      <c r="BL97" s="48" t="n">
        <f aca="false">BL93-BL92</f>
        <v>-601.591158872457</v>
      </c>
      <c r="BM97" s="48" t="n">
        <f aca="false">BM93-BM92</f>
        <v>-618.535707266385</v>
      </c>
      <c r="BN97" s="48" t="n">
        <f aca="false">BN93-BN92</f>
        <v>-622.73314595531</v>
      </c>
      <c r="BO97" s="48" t="n">
        <f aca="false">BO93-BO92</f>
        <v>-615.19614764937</v>
      </c>
      <c r="BP97" s="48" t="n">
        <f aca="false">BP93-BP92</f>
        <v>-632.320922875625</v>
      </c>
      <c r="BQ97" s="48" t="n">
        <f aca="false">BQ93-BQ92</f>
        <v>-649.646831347153</v>
      </c>
      <c r="BR97" s="48" t="n">
        <f aca="false">BR93-BR92</f>
        <v>-654.190775944319</v>
      </c>
      <c r="BS97" s="48" t="n">
        <f aca="false">BS93-BS92</f>
        <v>-646.909871426492</v>
      </c>
      <c r="BT97" s="48" t="n">
        <f aca="false">BT93-BT92</f>
        <v>-664.426547804127</v>
      </c>
      <c r="BU97" s="48" t="n">
        <f aca="false">BU93-BU92</f>
        <v>-682.148960369226</v>
      </c>
      <c r="BV97" s="48" t="n">
        <f aca="false">BV93-BV92</f>
        <v>-687.05569729642</v>
      </c>
      <c r="BW97" s="48" t="n">
        <f aca="false">BW93-BW92</f>
        <v>-680.046361476792</v>
      </c>
      <c r="BX97" s="48" t="n">
        <f aca="false">BX93-BX92</f>
        <v>-697.970599082715</v>
      </c>
      <c r="BY97" s="48" t="n">
        <f aca="false">BY93-BY92</f>
        <v>-716.105359748422</v>
      </c>
      <c r="BZ97" s="48" t="n">
        <f aca="false">BZ93-BZ92</f>
        <v>-721.391919821355</v>
      </c>
      <c r="CA97" s="48" t="n">
        <f aca="false">CA93-CA92</f>
        <v>-724.624630032384</v>
      </c>
      <c r="CB97" s="48" t="n">
        <f aca="false">CB93-CB92</f>
        <v>-733.135463110109</v>
      </c>
      <c r="CC97" s="48" t="n">
        <f aca="false">CC93-CC92</f>
        <v>-751.700522271961</v>
      </c>
      <c r="CD97" s="48" t="n">
        <f aca="false">CD93-CD92</f>
        <v>-757.386104581809</v>
      </c>
      <c r="CE97" s="48" t="n">
        <f aca="false">CE93-CE92</f>
        <v>-750.970720956948</v>
      </c>
      <c r="CF97" s="48" t="n">
        <f aca="false">CF93-CF92</f>
        <v>-769.761416574386</v>
      </c>
      <c r="CG97" s="48" t="n">
        <f aca="false">CG93-CG92</f>
        <v>-788.772811940612</v>
      </c>
      <c r="CH97" s="48" t="n">
        <f aca="false">CH93-CH92</f>
        <v>-794.874718563298</v>
      </c>
      <c r="CI97" s="48" t="n">
        <f aca="false">CI93-CI92</f>
        <v>-788.781960543176</v>
      </c>
      <c r="CJ97" s="48" t="n">
        <f aca="false">CJ93-CJ92</f>
        <v>-808.031753041997</v>
      </c>
      <c r="CK97" s="48" t="n">
        <f aca="false">CK93-CK92</f>
        <v>-827.507637456477</v>
      </c>
      <c r="CL97" s="48" t="n">
        <f aca="false">CL93-CL92</f>
        <v>-834.045349597448</v>
      </c>
      <c r="CM97" s="48" t="n">
        <f aca="false">CM93-CM92</f>
        <v>-828.293859708562</v>
      </c>
      <c r="CN97" s="48" t="n">
        <f aca="false">CN93-CN92</f>
        <v>-848.021524243654</v>
      </c>
      <c r="CO97" s="48" t="n">
        <f aca="false">CO93-CO92</f>
        <v>-867.980893378496</v>
      </c>
      <c r="CP97" s="48" t="n">
        <f aca="false">CP93-CP92</f>
        <v>-874.97478516149</v>
      </c>
      <c r="CQ97" s="48" t="n">
        <f aca="false">CQ93-CQ92</f>
        <v>-879.595871348939</v>
      </c>
      <c r="CR97" s="48" t="n">
        <f aca="false">CR93-CR92</f>
        <v>-889.926866634832</v>
      </c>
      <c r="CS97" s="48" t="n">
        <f aca="false">CS93-CS92</f>
        <v>-910.390980135746</v>
      </c>
      <c r="CT97" s="48" t="n">
        <f aca="false">CT93-CT92</f>
        <v>1.97957206182764E-012</v>
      </c>
      <c r="CU97" s="48" t="n">
        <f aca="false">CU93-CU92</f>
        <v>2.00431671260049E-012</v>
      </c>
      <c r="CV97" s="48" t="n">
        <f aca="false">CV93-CV92</f>
        <v>2.02937067150799E-012</v>
      </c>
      <c r="CW97" s="48" t="n">
        <f aca="false">CW93-CW92</f>
        <v>2.05473780490184E-012</v>
      </c>
      <c r="CX97" s="48" t="n">
        <f aca="false">CX93-CX92</f>
        <v>2.08042202746311E-012</v>
      </c>
      <c r="CY97" s="48" t="n">
        <f aca="false">CY93-CY92</f>
        <v>2.1064273028064E-012</v>
      </c>
      <c r="CZ97" s="48" t="n">
        <f aca="false">CZ93-CZ92</f>
        <v>2.13275764409148E-012</v>
      </c>
      <c r="DA97" s="48" t="n">
        <f aca="false">DA93-DA92</f>
        <v>2.15941711464263E-012</v>
      </c>
      <c r="DB97" s="48" t="n">
        <f aca="false">DB93-DB92</f>
        <v>2.18640982857566E-012</v>
      </c>
      <c r="DC97" s="48" t="n">
        <f aca="false">DC93-DC92</f>
        <v>2.21373995143286E-012</v>
      </c>
      <c r="DD97" s="48" t="n">
        <f aca="false">DD93-DD92</f>
        <v>2.24141170082577E-012</v>
      </c>
      <c r="DE97" s="48" t="n">
        <f aca="false">DE93-DE92</f>
        <v>2.26942934708609E-012</v>
      </c>
      <c r="DF97" s="48" t="n">
        <f aca="false">DF93-DF92</f>
        <v>2.29779721392466E-012</v>
      </c>
      <c r="DG97" s="48" t="n">
        <f aca="false">DG93-DG92</f>
        <v>2.32651967909872E-012</v>
      </c>
      <c r="DH97" s="48" t="n">
        <f aca="false">DH93-DH92</f>
        <v>2.35560117508746E-012</v>
      </c>
      <c r="DI97" s="48" t="n">
        <f aca="false">DI93-DI92</f>
        <v>2.38504618977605E-012</v>
      </c>
      <c r="DJ97" s="48" t="n">
        <f aca="false">DJ93-DJ92</f>
        <v>2.41485926714825E-012</v>
      </c>
      <c r="DK97" s="48" t="n">
        <f aca="false">DK93-DK92</f>
        <v>2.4450450079876E-012</v>
      </c>
      <c r="DL97" s="48" t="n">
        <f aca="false">DL93-DL92</f>
        <v>2.47560807058745E-012</v>
      </c>
      <c r="DM97" s="48" t="n">
        <f aca="false">DM93-DM92</f>
        <v>2.50655317146979E-012</v>
      </c>
      <c r="DN97" s="48" t="n">
        <f aca="false">DN93-DN92</f>
        <v>2.53788508611316E-012</v>
      </c>
      <c r="DO97" s="48" t="n">
        <f aca="false">DO93-DO92</f>
        <v>2.56960864968958E-012</v>
      </c>
      <c r="DP97" s="48" t="n">
        <f aca="false">DP93-DP92</f>
        <v>2.6017287578107E-012</v>
      </c>
      <c r="DQ97" s="48" t="n">
        <f aca="false">DQ93-DQ92</f>
        <v>2.63425036728333E-012</v>
      </c>
      <c r="DR97" s="48" t="n">
        <f aca="false">DR93-DR92</f>
        <v>2.66717849687437E-012</v>
      </c>
      <c r="DS97" s="48" t="n">
        <f aca="false">DS93-DS92</f>
        <v>2.7005182280853E-012</v>
      </c>
      <c r="DT97" s="48" t="n">
        <f aca="false">DT93-DT92</f>
        <v>2.73427470593637E-012</v>
      </c>
      <c r="DU97" s="48" t="n">
        <f aca="false">DU93-DU92</f>
        <v>2.76845313976057E-012</v>
      </c>
      <c r="DV97" s="48" t="n">
        <f aca="false">DV93-DV92</f>
        <v>2.80305880400758E-012</v>
      </c>
      <c r="DW97" s="48" t="n">
        <f aca="false">DW93-DW92</f>
        <v>2.83809703905768E-012</v>
      </c>
      <c r="DX97" s="48" t="n">
        <f aca="false">DX93-DX92</f>
        <v>2.8735732520459E-012</v>
      </c>
      <c r="DY97" s="48" t="n">
        <f aca="false">DY93-DY92</f>
        <v>2.90949291769647E-012</v>
      </c>
      <c r="DZ97" s="48" t="n">
        <f aca="false">DZ93-DZ92</f>
        <v>2.94586157916768E-012</v>
      </c>
      <c r="EA97" s="48" t="n">
        <f aca="false">EA93-EA92</f>
        <v>2.98268484890727E-012</v>
      </c>
      <c r="EB97" s="48" t="n">
        <f aca="false">EB93-EB92</f>
        <v>3.01996840951861E-012</v>
      </c>
      <c r="EC97" s="48" t="n">
        <f aca="false">EC93-EC92</f>
        <v>3.0577180146376E-012</v>
      </c>
      <c r="ED97" s="48" t="n">
        <f aca="false">ED93-ED92</f>
        <v>3.09593948982057E-012</v>
      </c>
      <c r="EE97" s="48" t="n">
        <f aca="false">EE93-EE92</f>
        <v>3.13463873344332E-012</v>
      </c>
      <c r="EF97" s="48" t="n">
        <f aca="false">EF93-EF92</f>
        <v>3.17382171761137E-012</v>
      </c>
      <c r="EG97" s="48" t="n">
        <f aca="false">EG93-EG92</f>
        <v>3.21349448908151E-012</v>
      </c>
      <c r="EH97" s="48" t="n">
        <f aca="false">EH93-EH92</f>
        <v>3.25366317019503E-012</v>
      </c>
      <c r="EI97" s="48" t="n">
        <f aca="false">EI93-EI92</f>
        <v>3.29433395982246E-012</v>
      </c>
      <c r="EJ97" s="48" t="n">
        <f aca="false">EJ93-EJ92</f>
        <v>3.33551313432024E-012</v>
      </c>
      <c r="EK97" s="48" t="n">
        <f aca="false">EK93-EK92</f>
        <v>3.37720704849925E-012</v>
      </c>
      <c r="EL97" s="48" t="n">
        <f aca="false">EL93-EL92</f>
        <v>3.41942213660549E-012</v>
      </c>
      <c r="EM97" s="48" t="n">
        <f aca="false">EM93-EM92</f>
        <v>3.46216491331306E-012</v>
      </c>
      <c r="EN97" s="48" t="n">
        <f aca="false">EN93-EN92</f>
        <v>3.50544197472947E-012</v>
      </c>
      <c r="EO97" s="48" t="n">
        <f aca="false">EO93-EO92</f>
        <v>3.54925999941359E-012</v>
      </c>
    </row>
    <row r="98" customFormat="false" ht="15" hidden="false" customHeight="false" outlineLevel="0" collapsed="false">
      <c r="C98" s="25" t="s">
        <v>476</v>
      </c>
      <c r="D98" s="11" t="s">
        <v>33</v>
      </c>
      <c r="E98" s="57" t="n">
        <f aca="false">SUMIF($J$4:$EO$4,In_COD,$J98:$EO98)</f>
        <v>43397.3364285807</v>
      </c>
      <c r="I98" s="59"/>
      <c r="J98" s="57" t="n">
        <f aca="false">SUM(J94:J97)</f>
        <v>0</v>
      </c>
      <c r="K98" s="57" t="n">
        <f aca="false">SUM(K94:K97)</f>
        <v>0</v>
      </c>
      <c r="L98" s="57" t="n">
        <f aca="false">SUM(L94:L97)</f>
        <v>0</v>
      </c>
      <c r="M98" s="57" t="n">
        <f aca="false">SUM(M94:M97)</f>
        <v>0</v>
      </c>
      <c r="N98" s="57" t="n">
        <f aca="false">SUM(N94:N97)</f>
        <v>0</v>
      </c>
      <c r="O98" s="57" t="n">
        <f aca="false">SUM(O94:O97)</f>
        <v>0</v>
      </c>
      <c r="P98" s="57" t="n">
        <f aca="false">SUM(P94:P97)</f>
        <v>0</v>
      </c>
      <c r="Q98" s="57" t="n">
        <f aca="false">SUM(Q94:Q97)</f>
        <v>0</v>
      </c>
      <c r="R98" s="57" t="n">
        <f aca="false">SUM(R94:R97)</f>
        <v>4485.81130136986</v>
      </c>
      <c r="S98" s="57" t="n">
        <f aca="false">SUM(S94:S97)</f>
        <v>13415.3303398973</v>
      </c>
      <c r="T98" s="57" t="n">
        <f aca="false">SUM(T94:T97)</f>
        <v>18020.0744520227</v>
      </c>
      <c r="U98" s="57" t="n">
        <f aca="false">SUM(U94:U97)</f>
        <v>22731.1366840428</v>
      </c>
      <c r="V98" s="57" t="n">
        <f aca="false">SUM(V94:V97)</f>
        <v>27501.0871939632</v>
      </c>
      <c r="W98" s="57" t="n">
        <f aca="false">SUM(W94:W97)</f>
        <v>32233.1444482713</v>
      </c>
      <c r="X98" s="57" t="n">
        <f aca="false">SUM(X94:X97)</f>
        <v>37073.1112367514</v>
      </c>
      <c r="Y98" s="57" t="n">
        <f aca="false">SUM(Y94:Y97)</f>
        <v>43397.3364285807</v>
      </c>
      <c r="Z98" s="57" t="n">
        <f aca="false">SUM(Z94:Z97)</f>
        <v>43012.5159938447</v>
      </c>
      <c r="AA98" s="57" t="n">
        <f aca="false">SUM(AA94:AA97)</f>
        <v>42636.938675554</v>
      </c>
      <c r="AB98" s="57" t="n">
        <f aca="false">SUM(AB94:AB97)</f>
        <v>42246.8417241772</v>
      </c>
      <c r="AC98" s="57" t="n">
        <f aca="false">SUM(AC94:AC97)</f>
        <v>41842.0491242921</v>
      </c>
      <c r="AD98" s="57" t="n">
        <f aca="false">SUM(AD94:AD97)</f>
        <v>41435.5050251216</v>
      </c>
      <c r="AE98" s="57" t="n">
        <f aca="false">SUM(AE94:AE97)</f>
        <v>41049.8842023785</v>
      </c>
      <c r="AF98" s="57" t="n">
        <f aca="false">SUM(AF94:AF97)</f>
        <v>40662.2487178249</v>
      </c>
      <c r="AG98" s="57" t="n">
        <f aca="false">SUM(AG94:AG97)</f>
        <v>40260.5024470674</v>
      </c>
      <c r="AH98" s="57" t="n">
        <f aca="false">SUM(AH94:AH97)</f>
        <v>39856.9557573001</v>
      </c>
      <c r="AI98" s="57" t="n">
        <f aca="false">SUM(AI94:AI97)</f>
        <v>39462.4003463885</v>
      </c>
      <c r="AJ98" s="57" t="n">
        <f aca="false">SUM(AJ94:AJ97)</f>
        <v>39042.2798694931</v>
      </c>
      <c r="AK98" s="57" t="n">
        <f aca="false">SUM(AK94:AK97)</f>
        <v>38607.5149798833</v>
      </c>
      <c r="AL98" s="57" t="n">
        <f aca="false">SUM(AL94:AL97)</f>
        <v>38170.5803095736</v>
      </c>
      <c r="AM98" s="57" t="n">
        <f aca="false">SUM(AM94:AM97)</f>
        <v>37742.5995607853</v>
      </c>
      <c r="AN98" s="57" t="n">
        <f aca="false">SUM(AN94:AN97)</f>
        <v>37299.8554383742</v>
      </c>
      <c r="AO98" s="57" t="n">
        <f aca="false">SUM(AO94:AO97)</f>
        <v>36842.1745441375</v>
      </c>
      <c r="AP98" s="57" t="n">
        <f aca="false">SUM(AP94:AP97)</f>
        <v>36382.0732246035</v>
      </c>
      <c r="AQ98" s="57" t="n">
        <f aca="false">SUM(AQ94:AQ97)</f>
        <v>35930.7601147527</v>
      </c>
      <c r="AR98" s="57" t="n">
        <f aca="false">SUM(AR94:AR97)</f>
        <v>35464.3837438589</v>
      </c>
      <c r="AS98" s="57" t="n">
        <f aca="false">SUM(AS94:AS97)</f>
        <v>34982.7671914933</v>
      </c>
      <c r="AT98" s="57" t="n">
        <f aca="false">SUM(AT94:AT97)</f>
        <v>34498.467652502</v>
      </c>
      <c r="AU98" s="57" t="n">
        <f aca="false">SUM(AU94:AU97)</f>
        <v>34012.9919196558</v>
      </c>
      <c r="AV98" s="57" t="n">
        <f aca="false">SUM(AV94:AV97)</f>
        <v>33521.8141960764</v>
      </c>
      <c r="AW98" s="57" t="n">
        <f aca="false">SUM(AW94:AW97)</f>
        <v>33015.0799747434</v>
      </c>
      <c r="AX98" s="57" t="n">
        <f aca="false">SUM(AX94:AX97)</f>
        <v>32505.3863807758</v>
      </c>
      <c r="AY98" s="57" t="n">
        <f aca="false">SUM(AY94:AY97)</f>
        <v>32004.1141896899</v>
      </c>
      <c r="AZ98" s="57" t="n">
        <f aca="false">SUM(AZ94:AZ97)</f>
        <v>31487.1427737728</v>
      </c>
      <c r="BA98" s="57" t="n">
        <f aca="false">SUM(BA94:BA97)</f>
        <v>30954.2877430984</v>
      </c>
      <c r="BB98" s="57" t="n">
        <f aca="false">SUM(BB94:BB97)</f>
        <v>30418.1852288881</v>
      </c>
      <c r="BC98" s="57" t="n">
        <f aca="false">SUM(BC94:BC97)</f>
        <v>29890.303244301</v>
      </c>
      <c r="BD98" s="57" t="n">
        <f aca="false">SUM(BD94:BD97)</f>
        <v>29346.3862176851</v>
      </c>
      <c r="BE98" s="57" t="n">
        <f aca="false">SUM(BE94:BE97)</f>
        <v>28786.2458148871</v>
      </c>
      <c r="BF98" s="57" t="n">
        <f aca="false">SUM(BF94:BF97)</f>
        <v>28222.5561957122</v>
      </c>
      <c r="BG98" s="57" t="n">
        <f aca="false">SUM(BG94:BG97)</f>
        <v>27666.8733940158</v>
      </c>
      <c r="BH98" s="57" t="n">
        <f aca="false">SUM(BH94:BH97)</f>
        <v>27094.8066607656</v>
      </c>
      <c r="BI98" s="57" t="n">
        <f aca="false">SUM(BI94:BI97)</f>
        <v>26506.1635640449</v>
      </c>
      <c r="BJ98" s="57" t="n">
        <f aca="false">SUM(BJ94:BJ97)</f>
        <v>25913.6552753471</v>
      </c>
      <c r="BK98" s="57" t="n">
        <f aca="false">SUM(BK94:BK97)</f>
        <v>25319.0478762187</v>
      </c>
      <c r="BL98" s="57" t="n">
        <f aca="false">SUM(BL94:BL97)</f>
        <v>24717.4567173462</v>
      </c>
      <c r="BM98" s="57" t="n">
        <f aca="false">SUM(BM94:BM97)</f>
        <v>24098.9210100798</v>
      </c>
      <c r="BN98" s="57" t="n">
        <f aca="false">SUM(BN94:BN97)</f>
        <v>23476.1878641245</v>
      </c>
      <c r="BO98" s="57" t="n">
        <f aca="false">SUM(BO94:BO97)</f>
        <v>22860.9917164751</v>
      </c>
      <c r="BP98" s="57" t="n">
        <f aca="false">SUM(BP94:BP97)</f>
        <v>22228.6707935995</v>
      </c>
      <c r="BQ98" s="57" t="n">
        <f aca="false">SUM(BQ94:BQ97)</f>
        <v>21579.0239622524</v>
      </c>
      <c r="BR98" s="57" t="n">
        <f aca="false">SUM(BR94:BR97)</f>
        <v>20924.833186308</v>
      </c>
      <c r="BS98" s="57" t="n">
        <f aca="false">SUM(BS94:BS97)</f>
        <v>20277.9233148815</v>
      </c>
      <c r="BT98" s="57" t="n">
        <f aca="false">SUM(BT94:BT97)</f>
        <v>19613.4967670774</v>
      </c>
      <c r="BU98" s="57" t="n">
        <f aca="false">SUM(BU94:BU97)</f>
        <v>18931.3478067082</v>
      </c>
      <c r="BV98" s="57" t="n">
        <f aca="false">SUM(BV94:BV97)</f>
        <v>18244.2921094118</v>
      </c>
      <c r="BW98" s="57" t="n">
        <f aca="false">SUM(BW94:BW97)</f>
        <v>17564.245747935</v>
      </c>
      <c r="BX98" s="57" t="n">
        <f aca="false">SUM(BX94:BX97)</f>
        <v>16866.2751488523</v>
      </c>
      <c r="BY98" s="57" t="n">
        <f aca="false">SUM(BY94:BY97)</f>
        <v>16150.1697891038</v>
      </c>
      <c r="BZ98" s="57" t="n">
        <f aca="false">SUM(BZ94:BZ97)</f>
        <v>15428.7778692825</v>
      </c>
      <c r="CA98" s="57" t="n">
        <f aca="false">SUM(CA94:CA97)</f>
        <v>14704.1532392501</v>
      </c>
      <c r="CB98" s="57" t="n">
        <f aca="false">SUM(CB94:CB97)</f>
        <v>13971.01777614</v>
      </c>
      <c r="CC98" s="57" t="n">
        <f aca="false">SUM(CC94:CC97)</f>
        <v>13219.317253868</v>
      </c>
      <c r="CD98" s="57" t="n">
        <f aca="false">SUM(CD94:CD97)</f>
        <v>12461.9311492862</v>
      </c>
      <c r="CE98" s="57" t="n">
        <f aca="false">SUM(CE94:CE97)</f>
        <v>11710.9604283293</v>
      </c>
      <c r="CF98" s="57" t="n">
        <f aca="false">SUM(CF94:CF97)</f>
        <v>10941.1990117549</v>
      </c>
      <c r="CG98" s="57" t="n">
        <f aca="false">SUM(CG94:CG97)</f>
        <v>10152.4261998143</v>
      </c>
      <c r="CH98" s="57" t="n">
        <f aca="false">SUM(CH94:CH97)</f>
        <v>9357.55148125098</v>
      </c>
      <c r="CI98" s="57" t="n">
        <f aca="false">SUM(CI94:CI97)</f>
        <v>8568.7695207078</v>
      </c>
      <c r="CJ98" s="57" t="n">
        <f aca="false">SUM(CJ94:CJ97)</f>
        <v>7760.7377676658</v>
      </c>
      <c r="CK98" s="57" t="n">
        <f aca="false">SUM(CK94:CK97)</f>
        <v>6933.23013020933</v>
      </c>
      <c r="CL98" s="57" t="n">
        <f aca="false">SUM(CL94:CL97)</f>
        <v>6099.18478061188</v>
      </c>
      <c r="CM98" s="57" t="n">
        <f aca="false">SUM(CM94:CM97)</f>
        <v>5270.89092090331</v>
      </c>
      <c r="CN98" s="57" t="n">
        <f aca="false">SUM(CN94:CN97)</f>
        <v>4422.86939665966</v>
      </c>
      <c r="CO98" s="57" t="n">
        <f aca="false">SUM(CO94:CO97)</f>
        <v>3554.88850328117</v>
      </c>
      <c r="CP98" s="57" t="n">
        <f aca="false">SUM(CP94:CP97)</f>
        <v>2679.91371811967</v>
      </c>
      <c r="CQ98" s="57" t="n">
        <f aca="false">SUM(CQ94:CQ97)</f>
        <v>1800.31784677074</v>
      </c>
      <c r="CR98" s="57" t="n">
        <f aca="false">SUM(CR94:CR97)</f>
        <v>910.390980135904</v>
      </c>
      <c r="CS98" s="57" t="n">
        <f aca="false">SUM(CS94:CS97)</f>
        <v>1.58365764946211E-010</v>
      </c>
      <c r="CT98" s="57" t="n">
        <f aca="false">SUM(CT94:CT97)</f>
        <v>1.60345337008039E-010</v>
      </c>
      <c r="CU98" s="57" t="n">
        <f aca="false">SUM(CU94:CU97)</f>
        <v>1.62349653720639E-010</v>
      </c>
      <c r="CV98" s="57" t="n">
        <f aca="false">SUM(CV94:CV97)</f>
        <v>1.64379024392147E-010</v>
      </c>
      <c r="CW98" s="57" t="n">
        <f aca="false">SUM(CW94:CW97)</f>
        <v>1.66433762197049E-010</v>
      </c>
      <c r="CX98" s="57" t="n">
        <f aca="false">SUM(CX94:CX97)</f>
        <v>1.68514184224512E-010</v>
      </c>
      <c r="CY98" s="57" t="n">
        <f aca="false">SUM(CY94:CY97)</f>
        <v>1.70620611527319E-010</v>
      </c>
      <c r="CZ98" s="57" t="n">
        <f aca="false">SUM(CZ94:CZ97)</f>
        <v>1.7275336917141E-010</v>
      </c>
      <c r="DA98" s="57" t="n">
        <f aca="false">SUM(DA94:DA97)</f>
        <v>1.74912786286053E-010</v>
      </c>
      <c r="DB98" s="57" t="n">
        <f aca="false">SUM(DB94:DB97)</f>
        <v>1.77099196114628E-010</v>
      </c>
      <c r="DC98" s="57" t="n">
        <f aca="false">SUM(DC94:DC97)</f>
        <v>1.79312936066061E-010</v>
      </c>
      <c r="DD98" s="57" t="n">
        <f aca="false">SUM(DD94:DD97)</f>
        <v>1.81554347766887E-010</v>
      </c>
      <c r="DE98" s="57" t="n">
        <f aca="false">SUM(DE94:DE97)</f>
        <v>1.83823777113973E-010</v>
      </c>
      <c r="DF98" s="57" t="n">
        <f aca="false">SUM(DF94:DF97)</f>
        <v>1.86121574327898E-010</v>
      </c>
      <c r="DG98" s="57" t="n">
        <f aca="false">SUM(DG94:DG97)</f>
        <v>1.88448094006996E-010</v>
      </c>
      <c r="DH98" s="57" t="n">
        <f aca="false">SUM(DH94:DH97)</f>
        <v>1.90803695182084E-010</v>
      </c>
      <c r="DI98" s="57" t="n">
        <f aca="false">SUM(DI94:DI97)</f>
        <v>1.9318874137186E-010</v>
      </c>
      <c r="DJ98" s="57" t="n">
        <f aca="false">SUM(DJ94:DJ97)</f>
        <v>1.95603600639008E-010</v>
      </c>
      <c r="DK98" s="57" t="n">
        <f aca="false">SUM(DK94:DK97)</f>
        <v>1.98048645646996E-010</v>
      </c>
      <c r="DL98" s="57" t="n">
        <f aca="false">SUM(DL94:DL97)</f>
        <v>2.00524253717583E-010</v>
      </c>
      <c r="DM98" s="57" t="n">
        <f aca="false">SUM(DM94:DM97)</f>
        <v>2.03030806889053E-010</v>
      </c>
      <c r="DN98" s="57" t="n">
        <f aca="false">SUM(DN94:DN97)</f>
        <v>2.05568691975166E-010</v>
      </c>
      <c r="DO98" s="57" t="n">
        <f aca="false">SUM(DO94:DO97)</f>
        <v>2.08138300624856E-010</v>
      </c>
      <c r="DP98" s="57" t="n">
        <f aca="false">SUM(DP94:DP97)</f>
        <v>2.10740029382667E-010</v>
      </c>
      <c r="DQ98" s="57" t="n">
        <f aca="false">SUM(DQ94:DQ97)</f>
        <v>2.1337427974995E-010</v>
      </c>
      <c r="DR98" s="57" t="n">
        <f aca="false">SUM(DR94:DR97)</f>
        <v>2.16041458246824E-010</v>
      </c>
      <c r="DS98" s="57" t="n">
        <f aca="false">SUM(DS94:DS97)</f>
        <v>2.1874197647491E-010</v>
      </c>
      <c r="DT98" s="57" t="n">
        <f aca="false">SUM(DT94:DT97)</f>
        <v>2.21476251180846E-010</v>
      </c>
      <c r="DU98" s="57" t="n">
        <f aca="false">SUM(DU94:DU97)</f>
        <v>2.24244704320607E-010</v>
      </c>
      <c r="DV98" s="57" t="n">
        <f aca="false">SUM(DV94:DV97)</f>
        <v>2.27047763124614E-010</v>
      </c>
      <c r="DW98" s="57" t="n">
        <f aca="false">SUM(DW94:DW97)</f>
        <v>2.29885860163672E-010</v>
      </c>
      <c r="DX98" s="57" t="n">
        <f aca="false">SUM(DX94:DX97)</f>
        <v>2.32759433415718E-010</v>
      </c>
      <c r="DY98" s="57" t="n">
        <f aca="false">SUM(DY94:DY97)</f>
        <v>2.35668926333414E-010</v>
      </c>
      <c r="DZ98" s="57" t="n">
        <f aca="false">SUM(DZ94:DZ97)</f>
        <v>2.38614787912582E-010</v>
      </c>
      <c r="EA98" s="57" t="n">
        <f aca="false">SUM(EA94:EA97)</f>
        <v>2.41597472761489E-010</v>
      </c>
      <c r="EB98" s="57" t="n">
        <f aca="false">SUM(EB94:EB97)</f>
        <v>2.44617441171008E-010</v>
      </c>
      <c r="EC98" s="57" t="n">
        <f aca="false">SUM(EC94:EC97)</f>
        <v>2.47675159185645E-010</v>
      </c>
      <c r="ED98" s="57" t="n">
        <f aca="false">SUM(ED94:ED97)</f>
        <v>2.50771098675466E-010</v>
      </c>
      <c r="EE98" s="57" t="n">
        <f aca="false">SUM(EE94:EE97)</f>
        <v>2.53905737408909E-010</v>
      </c>
      <c r="EF98" s="57" t="n">
        <f aca="false">SUM(EF94:EF97)</f>
        <v>2.57079559126521E-010</v>
      </c>
      <c r="EG98" s="57" t="n">
        <f aca="false">SUM(EG94:EG97)</f>
        <v>2.60293053615602E-010</v>
      </c>
      <c r="EH98" s="57" t="n">
        <f aca="false">SUM(EH94:EH97)</f>
        <v>2.63546716785797E-010</v>
      </c>
      <c r="EI98" s="57" t="n">
        <f aca="false">SUM(EI94:EI97)</f>
        <v>2.66841050745619E-010</v>
      </c>
      <c r="EJ98" s="57" t="n">
        <f aca="false">SUM(EJ94:EJ97)</f>
        <v>2.7017656387994E-010</v>
      </c>
      <c r="EK98" s="57" t="n">
        <f aca="false">SUM(EK94:EK97)</f>
        <v>2.73553770928439E-010</v>
      </c>
      <c r="EL98" s="57" t="n">
        <f aca="false">SUM(EL94:EL97)</f>
        <v>2.76973193065044E-010</v>
      </c>
      <c r="EM98" s="57" t="n">
        <f aca="false">SUM(EM94:EM97)</f>
        <v>2.80435357978358E-010</v>
      </c>
      <c r="EN98" s="57" t="n">
        <f aca="false">SUM(EN94:EN97)</f>
        <v>2.83940799953087E-010</v>
      </c>
      <c r="EO98" s="57" t="n">
        <f aca="false">SUM(EO94:EO97)</f>
        <v>2.87490059952501E-010</v>
      </c>
    </row>
    <row r="99" customFormat="false" ht="15" hidden="false" customHeight="false" outlineLevel="0" collapsed="false">
      <c r="C99" s="0" t="s">
        <v>477</v>
      </c>
      <c r="D99" s="11" t="s">
        <v>33</v>
      </c>
      <c r="I99" s="48" t="n">
        <f aca="false">SUM(J99:EO99)</f>
        <v>-759.453387500162</v>
      </c>
      <c r="J99" s="48" t="n">
        <f aca="false">-In_Upfront_Fee*$E98*(J94=0)*(J95&gt;0)</f>
        <v>-0</v>
      </c>
      <c r="K99" s="48" t="n">
        <f aca="false">-In_Upfront_Fee*$E98*(K94=0)*(K95&gt;0)</f>
        <v>-0</v>
      </c>
      <c r="L99" s="48" t="n">
        <f aca="false">-In_Upfront_Fee*$E98*(L94=0)*(L95&gt;0)</f>
        <v>-0</v>
      </c>
      <c r="M99" s="48" t="n">
        <f aca="false">-In_Upfront_Fee*$E98*(M94=0)*(M95&gt;0)</f>
        <v>-0</v>
      </c>
      <c r="N99" s="48" t="n">
        <f aca="false">-In_Upfront_Fee*$E98*(N94=0)*(N95&gt;0)</f>
        <v>-0</v>
      </c>
      <c r="O99" s="48" t="n">
        <f aca="false">-In_Upfront_Fee*$E98*(O94=0)*(O95&gt;0)</f>
        <v>-0</v>
      </c>
      <c r="P99" s="48" t="n">
        <f aca="false">-In_Upfront_Fee*$E98*(P94=0)*(P95&gt;0)</f>
        <v>-0</v>
      </c>
      <c r="Q99" s="48" t="n">
        <f aca="false">-In_Upfront_Fee*$E98*(Q94=0)*(Q95&gt;0)</f>
        <v>-0</v>
      </c>
      <c r="R99" s="48" t="n">
        <f aca="false">-In_Upfront_Fee*$E98*(R94=0)*(R95&gt;0)</f>
        <v>-759.453387500162</v>
      </c>
      <c r="S99" s="48" t="n">
        <f aca="false">-In_Upfront_Fee*$E98*(S94=0)*(S95&gt;0)</f>
        <v>-0</v>
      </c>
      <c r="T99" s="48" t="n">
        <f aca="false">-In_Upfront_Fee*$E98*(T94=0)*(T95&gt;0)</f>
        <v>-0</v>
      </c>
      <c r="U99" s="48" t="n">
        <f aca="false">-In_Upfront_Fee*$E98*(U94=0)*(U95&gt;0)</f>
        <v>-0</v>
      </c>
      <c r="V99" s="48" t="n">
        <f aca="false">-In_Upfront_Fee*$E98*(V94=0)*(V95&gt;0)</f>
        <v>-0</v>
      </c>
      <c r="W99" s="48" t="n">
        <f aca="false">-In_Upfront_Fee*$E98*(W94=0)*(W95&gt;0)</f>
        <v>-0</v>
      </c>
      <c r="X99" s="48" t="n">
        <f aca="false">-In_Upfront_Fee*$E98*(X94=0)*(X95&gt;0)</f>
        <v>-0</v>
      </c>
      <c r="Y99" s="48" t="n">
        <f aca="false">-In_Upfront_Fee*$E98*(Y94=0)*(Y95&gt;0)</f>
        <v>-0</v>
      </c>
      <c r="Z99" s="48" t="n">
        <f aca="false">-In_Upfront_Fee*$E98*(Z94=0)*(Z95&gt;0)</f>
        <v>-0</v>
      </c>
      <c r="AA99" s="48" t="n">
        <f aca="false">-In_Upfront_Fee*$E98*(AA94=0)*(AA95&gt;0)</f>
        <v>-0</v>
      </c>
      <c r="AB99" s="48" t="n">
        <f aca="false">-In_Upfront_Fee*$E98*(AB94=0)*(AB95&gt;0)</f>
        <v>-0</v>
      </c>
      <c r="AC99" s="48" t="n">
        <f aca="false">-In_Upfront_Fee*$E98*(AC94=0)*(AC95&gt;0)</f>
        <v>-0</v>
      </c>
      <c r="AD99" s="48" t="n">
        <f aca="false">-In_Upfront_Fee*$E98*(AD94=0)*(AD95&gt;0)</f>
        <v>-0</v>
      </c>
      <c r="AE99" s="48" t="n">
        <f aca="false">-In_Upfront_Fee*$E98*(AE94=0)*(AE95&gt;0)</f>
        <v>-0</v>
      </c>
      <c r="AF99" s="48" t="n">
        <f aca="false">-In_Upfront_Fee*$E98*(AF94=0)*(AF95&gt;0)</f>
        <v>-0</v>
      </c>
      <c r="AG99" s="48" t="n">
        <f aca="false">-In_Upfront_Fee*$E98*(AG94=0)*(AG95&gt;0)</f>
        <v>-0</v>
      </c>
      <c r="AH99" s="48" t="n">
        <f aca="false">-In_Upfront_Fee*$E98*(AH94=0)*(AH95&gt;0)</f>
        <v>-0</v>
      </c>
      <c r="AI99" s="48" t="n">
        <f aca="false">-In_Upfront_Fee*$E98*(AI94=0)*(AI95&gt;0)</f>
        <v>-0</v>
      </c>
      <c r="AJ99" s="48" t="n">
        <f aca="false">-In_Upfront_Fee*$E98*(AJ94=0)*(AJ95&gt;0)</f>
        <v>-0</v>
      </c>
      <c r="AK99" s="48" t="n">
        <f aca="false">-In_Upfront_Fee*$E98*(AK94=0)*(AK95&gt;0)</f>
        <v>-0</v>
      </c>
      <c r="AL99" s="48" t="n">
        <f aca="false">-In_Upfront_Fee*$E98*(AL94=0)*(AL95&gt;0)</f>
        <v>-0</v>
      </c>
      <c r="AM99" s="48" t="n">
        <f aca="false">-In_Upfront_Fee*$E98*(AM94=0)*(AM95&gt;0)</f>
        <v>-0</v>
      </c>
      <c r="AN99" s="48" t="n">
        <f aca="false">-In_Upfront_Fee*$E98*(AN94=0)*(AN95&gt;0)</f>
        <v>-0</v>
      </c>
      <c r="AO99" s="48" t="n">
        <f aca="false">-In_Upfront_Fee*$E98*(AO94=0)*(AO95&gt;0)</f>
        <v>-0</v>
      </c>
      <c r="AP99" s="48" t="n">
        <f aca="false">-In_Upfront_Fee*$E98*(AP94=0)*(AP95&gt;0)</f>
        <v>-0</v>
      </c>
      <c r="AQ99" s="48" t="n">
        <f aca="false">-In_Upfront_Fee*$E98*(AQ94=0)*(AQ95&gt;0)</f>
        <v>-0</v>
      </c>
      <c r="AR99" s="48" t="n">
        <f aca="false">-In_Upfront_Fee*$E98*(AR94=0)*(AR95&gt;0)</f>
        <v>-0</v>
      </c>
      <c r="AS99" s="48" t="n">
        <f aca="false">-In_Upfront_Fee*$E98*(AS94=0)*(AS95&gt;0)</f>
        <v>-0</v>
      </c>
      <c r="AT99" s="48" t="n">
        <f aca="false">-In_Upfront_Fee*$E98*(AT94=0)*(AT95&gt;0)</f>
        <v>-0</v>
      </c>
      <c r="AU99" s="48" t="n">
        <f aca="false">-In_Upfront_Fee*$E98*(AU94=0)*(AU95&gt;0)</f>
        <v>-0</v>
      </c>
      <c r="AV99" s="48" t="n">
        <f aca="false">-In_Upfront_Fee*$E98*(AV94=0)*(AV95&gt;0)</f>
        <v>-0</v>
      </c>
      <c r="AW99" s="48" t="n">
        <f aca="false">-In_Upfront_Fee*$E98*(AW94=0)*(AW95&gt;0)</f>
        <v>-0</v>
      </c>
      <c r="AX99" s="48" t="n">
        <f aca="false">-In_Upfront_Fee*$E98*(AX94=0)*(AX95&gt;0)</f>
        <v>-0</v>
      </c>
      <c r="AY99" s="48" t="n">
        <f aca="false">-In_Upfront_Fee*$E98*(AY94=0)*(AY95&gt;0)</f>
        <v>-0</v>
      </c>
      <c r="AZ99" s="48" t="n">
        <f aca="false">-In_Upfront_Fee*$E98*(AZ94=0)*(AZ95&gt;0)</f>
        <v>-0</v>
      </c>
      <c r="BA99" s="48" t="n">
        <f aca="false">-In_Upfront_Fee*$E98*(BA94=0)*(BA95&gt;0)</f>
        <v>-0</v>
      </c>
      <c r="BB99" s="48" t="n">
        <f aca="false">-In_Upfront_Fee*$E98*(BB94=0)*(BB95&gt;0)</f>
        <v>-0</v>
      </c>
      <c r="BC99" s="48" t="n">
        <f aca="false">-In_Upfront_Fee*$E98*(BC94=0)*(BC95&gt;0)</f>
        <v>-0</v>
      </c>
      <c r="BD99" s="48" t="n">
        <f aca="false">-In_Upfront_Fee*$E98*(BD94=0)*(BD95&gt;0)</f>
        <v>-0</v>
      </c>
      <c r="BE99" s="48" t="n">
        <f aca="false">-In_Upfront_Fee*$E98*(BE94=0)*(BE95&gt;0)</f>
        <v>-0</v>
      </c>
      <c r="BF99" s="48" t="n">
        <f aca="false">-In_Upfront_Fee*$E98*(BF94=0)*(BF95&gt;0)</f>
        <v>-0</v>
      </c>
      <c r="BG99" s="48" t="n">
        <f aca="false">-In_Upfront_Fee*$E98*(BG94=0)*(BG95&gt;0)</f>
        <v>-0</v>
      </c>
      <c r="BH99" s="48" t="n">
        <f aca="false">-In_Upfront_Fee*$E98*(BH94=0)*(BH95&gt;0)</f>
        <v>-0</v>
      </c>
      <c r="BI99" s="48" t="n">
        <f aca="false">-In_Upfront_Fee*$E98*(BI94=0)*(BI95&gt;0)</f>
        <v>-0</v>
      </c>
      <c r="BJ99" s="48" t="n">
        <f aca="false">-In_Upfront_Fee*$E98*(BJ94=0)*(BJ95&gt;0)</f>
        <v>-0</v>
      </c>
      <c r="BK99" s="48" t="n">
        <f aca="false">-In_Upfront_Fee*$E98*(BK94=0)*(BK95&gt;0)</f>
        <v>-0</v>
      </c>
      <c r="BL99" s="48" t="n">
        <f aca="false">-In_Upfront_Fee*$E98*(BL94=0)*(BL95&gt;0)</f>
        <v>-0</v>
      </c>
      <c r="BM99" s="48" t="n">
        <f aca="false">-In_Upfront_Fee*$E98*(BM94=0)*(BM95&gt;0)</f>
        <v>-0</v>
      </c>
      <c r="BN99" s="48" t="n">
        <f aca="false">-In_Upfront_Fee*$E98*(BN94=0)*(BN95&gt;0)</f>
        <v>-0</v>
      </c>
      <c r="BO99" s="48" t="n">
        <f aca="false">-In_Upfront_Fee*$E98*(BO94=0)*(BO95&gt;0)</f>
        <v>-0</v>
      </c>
      <c r="BP99" s="48" t="n">
        <f aca="false">-In_Upfront_Fee*$E98*(BP94=0)*(BP95&gt;0)</f>
        <v>-0</v>
      </c>
      <c r="BQ99" s="48" t="n">
        <f aca="false">-In_Upfront_Fee*$E98*(BQ94=0)*(BQ95&gt;0)</f>
        <v>-0</v>
      </c>
      <c r="BR99" s="48" t="n">
        <f aca="false">-In_Upfront_Fee*$E98*(BR94=0)*(BR95&gt;0)</f>
        <v>-0</v>
      </c>
      <c r="BS99" s="48" t="n">
        <f aca="false">-In_Upfront_Fee*$E98*(BS94=0)*(BS95&gt;0)</f>
        <v>-0</v>
      </c>
      <c r="BT99" s="48" t="n">
        <f aca="false">-In_Upfront_Fee*$E98*(BT94=0)*(BT95&gt;0)</f>
        <v>-0</v>
      </c>
      <c r="BU99" s="48" t="n">
        <f aca="false">-In_Upfront_Fee*$E98*(BU94=0)*(BU95&gt;0)</f>
        <v>-0</v>
      </c>
      <c r="BV99" s="48" t="n">
        <f aca="false">-In_Upfront_Fee*$E98*(BV94=0)*(BV95&gt;0)</f>
        <v>-0</v>
      </c>
      <c r="BW99" s="48" t="n">
        <f aca="false">-In_Upfront_Fee*$E98*(BW94=0)*(BW95&gt;0)</f>
        <v>-0</v>
      </c>
      <c r="BX99" s="48" t="n">
        <f aca="false">-In_Upfront_Fee*$E98*(BX94=0)*(BX95&gt;0)</f>
        <v>-0</v>
      </c>
      <c r="BY99" s="48" t="n">
        <f aca="false">-In_Upfront_Fee*$E98*(BY94=0)*(BY95&gt;0)</f>
        <v>-0</v>
      </c>
      <c r="BZ99" s="48" t="n">
        <f aca="false">-In_Upfront_Fee*$E98*(BZ94=0)*(BZ95&gt;0)</f>
        <v>-0</v>
      </c>
      <c r="CA99" s="48" t="n">
        <f aca="false">-In_Upfront_Fee*$E98*(CA94=0)*(CA95&gt;0)</f>
        <v>-0</v>
      </c>
      <c r="CB99" s="48" t="n">
        <f aca="false">-In_Upfront_Fee*$E98*(CB94=0)*(CB95&gt;0)</f>
        <v>-0</v>
      </c>
      <c r="CC99" s="48" t="n">
        <f aca="false">-In_Upfront_Fee*$E98*(CC94=0)*(CC95&gt;0)</f>
        <v>-0</v>
      </c>
      <c r="CD99" s="48" t="n">
        <f aca="false">-In_Upfront_Fee*$E98*(CD94=0)*(CD95&gt;0)</f>
        <v>-0</v>
      </c>
      <c r="CE99" s="48" t="n">
        <f aca="false">-In_Upfront_Fee*$E98*(CE94=0)*(CE95&gt;0)</f>
        <v>-0</v>
      </c>
      <c r="CF99" s="48" t="n">
        <f aca="false">-In_Upfront_Fee*$E98*(CF94=0)*(CF95&gt;0)</f>
        <v>-0</v>
      </c>
      <c r="CG99" s="48" t="n">
        <f aca="false">-In_Upfront_Fee*$E98*(CG94=0)*(CG95&gt;0)</f>
        <v>-0</v>
      </c>
      <c r="CH99" s="48" t="n">
        <f aca="false">-In_Upfront_Fee*$E98*(CH94=0)*(CH95&gt;0)</f>
        <v>-0</v>
      </c>
      <c r="CI99" s="48" t="n">
        <f aca="false">-In_Upfront_Fee*$E98*(CI94=0)*(CI95&gt;0)</f>
        <v>-0</v>
      </c>
      <c r="CJ99" s="48" t="n">
        <f aca="false">-In_Upfront_Fee*$E98*(CJ94=0)*(CJ95&gt;0)</f>
        <v>-0</v>
      </c>
      <c r="CK99" s="48" t="n">
        <f aca="false">-In_Upfront_Fee*$E98*(CK94=0)*(CK95&gt;0)</f>
        <v>-0</v>
      </c>
      <c r="CL99" s="48" t="n">
        <f aca="false">-In_Upfront_Fee*$E98*(CL94=0)*(CL95&gt;0)</f>
        <v>-0</v>
      </c>
      <c r="CM99" s="48" t="n">
        <f aca="false">-In_Upfront_Fee*$E98*(CM94=0)*(CM95&gt;0)</f>
        <v>-0</v>
      </c>
      <c r="CN99" s="48" t="n">
        <f aca="false">-In_Upfront_Fee*$E98*(CN94=0)*(CN95&gt;0)</f>
        <v>-0</v>
      </c>
      <c r="CO99" s="48" t="n">
        <f aca="false">-In_Upfront_Fee*$E98*(CO94=0)*(CO95&gt;0)</f>
        <v>-0</v>
      </c>
      <c r="CP99" s="48" t="n">
        <f aca="false">-In_Upfront_Fee*$E98*(CP94=0)*(CP95&gt;0)</f>
        <v>-0</v>
      </c>
      <c r="CQ99" s="48" t="n">
        <f aca="false">-In_Upfront_Fee*$E98*(CQ94=0)*(CQ95&gt;0)</f>
        <v>-0</v>
      </c>
      <c r="CR99" s="48" t="n">
        <f aca="false">-In_Upfront_Fee*$E98*(CR94=0)*(CR95&gt;0)</f>
        <v>-0</v>
      </c>
      <c r="CS99" s="48" t="n">
        <f aca="false">-In_Upfront_Fee*$E98*(CS94=0)*(CS95&gt;0)</f>
        <v>-0</v>
      </c>
      <c r="CT99" s="48" t="n">
        <f aca="false">-In_Upfront_Fee*$E98*(CT94=0)*(CT95&gt;0)</f>
        <v>-0</v>
      </c>
      <c r="CU99" s="48" t="n">
        <f aca="false">-In_Upfront_Fee*$E98*(CU94=0)*(CU95&gt;0)</f>
        <v>-0</v>
      </c>
      <c r="CV99" s="48" t="n">
        <f aca="false">-In_Upfront_Fee*$E98*(CV94=0)*(CV95&gt;0)</f>
        <v>-0</v>
      </c>
      <c r="CW99" s="48" t="n">
        <f aca="false">-In_Upfront_Fee*$E98*(CW94=0)*(CW95&gt;0)</f>
        <v>-0</v>
      </c>
      <c r="CX99" s="48" t="n">
        <f aca="false">-In_Upfront_Fee*$E98*(CX94=0)*(CX95&gt;0)</f>
        <v>-0</v>
      </c>
      <c r="CY99" s="48" t="n">
        <f aca="false">-In_Upfront_Fee*$E98*(CY94=0)*(CY95&gt;0)</f>
        <v>-0</v>
      </c>
      <c r="CZ99" s="48" t="n">
        <f aca="false">-In_Upfront_Fee*$E98*(CZ94=0)*(CZ95&gt;0)</f>
        <v>-0</v>
      </c>
      <c r="DA99" s="48" t="n">
        <f aca="false">-In_Upfront_Fee*$E98*(DA94=0)*(DA95&gt;0)</f>
        <v>-0</v>
      </c>
      <c r="DB99" s="48" t="n">
        <f aca="false">-In_Upfront_Fee*$E98*(DB94=0)*(DB95&gt;0)</f>
        <v>-0</v>
      </c>
      <c r="DC99" s="48" t="n">
        <f aca="false">-In_Upfront_Fee*$E98*(DC94=0)*(DC95&gt;0)</f>
        <v>-0</v>
      </c>
      <c r="DD99" s="48" t="n">
        <f aca="false">-In_Upfront_Fee*$E98*(DD94=0)*(DD95&gt;0)</f>
        <v>-0</v>
      </c>
      <c r="DE99" s="48" t="n">
        <f aca="false">-In_Upfront_Fee*$E98*(DE94=0)*(DE95&gt;0)</f>
        <v>-0</v>
      </c>
      <c r="DF99" s="48" t="n">
        <f aca="false">-In_Upfront_Fee*$E98*(DF94=0)*(DF95&gt;0)</f>
        <v>-0</v>
      </c>
      <c r="DG99" s="48" t="n">
        <f aca="false">-In_Upfront_Fee*$E98*(DG94=0)*(DG95&gt;0)</f>
        <v>-0</v>
      </c>
      <c r="DH99" s="48" t="n">
        <f aca="false">-In_Upfront_Fee*$E98*(DH94=0)*(DH95&gt;0)</f>
        <v>-0</v>
      </c>
      <c r="DI99" s="48" t="n">
        <f aca="false">-In_Upfront_Fee*$E98*(DI94=0)*(DI95&gt;0)</f>
        <v>-0</v>
      </c>
      <c r="DJ99" s="48" t="n">
        <f aca="false">-In_Upfront_Fee*$E98*(DJ94=0)*(DJ95&gt;0)</f>
        <v>-0</v>
      </c>
      <c r="DK99" s="48" t="n">
        <f aca="false">-In_Upfront_Fee*$E98*(DK94=0)*(DK95&gt;0)</f>
        <v>-0</v>
      </c>
      <c r="DL99" s="48" t="n">
        <f aca="false">-In_Upfront_Fee*$E98*(DL94=0)*(DL95&gt;0)</f>
        <v>-0</v>
      </c>
      <c r="DM99" s="48" t="n">
        <f aca="false">-In_Upfront_Fee*$E98*(DM94=0)*(DM95&gt;0)</f>
        <v>-0</v>
      </c>
      <c r="DN99" s="48" t="n">
        <f aca="false">-In_Upfront_Fee*$E98*(DN94=0)*(DN95&gt;0)</f>
        <v>-0</v>
      </c>
      <c r="DO99" s="48" t="n">
        <f aca="false">-In_Upfront_Fee*$E98*(DO94=0)*(DO95&gt;0)</f>
        <v>-0</v>
      </c>
      <c r="DP99" s="48" t="n">
        <f aca="false">-In_Upfront_Fee*$E98*(DP94=0)*(DP95&gt;0)</f>
        <v>-0</v>
      </c>
      <c r="DQ99" s="48" t="n">
        <f aca="false">-In_Upfront_Fee*$E98*(DQ94=0)*(DQ95&gt;0)</f>
        <v>-0</v>
      </c>
      <c r="DR99" s="48" t="n">
        <f aca="false">-In_Upfront_Fee*$E98*(DR94=0)*(DR95&gt;0)</f>
        <v>-0</v>
      </c>
      <c r="DS99" s="48" t="n">
        <f aca="false">-In_Upfront_Fee*$E98*(DS94=0)*(DS95&gt;0)</f>
        <v>-0</v>
      </c>
      <c r="DT99" s="48" t="n">
        <f aca="false">-In_Upfront_Fee*$E98*(DT94=0)*(DT95&gt;0)</f>
        <v>-0</v>
      </c>
      <c r="DU99" s="48" t="n">
        <f aca="false">-In_Upfront_Fee*$E98*(DU94=0)*(DU95&gt;0)</f>
        <v>-0</v>
      </c>
      <c r="DV99" s="48" t="n">
        <f aca="false">-In_Upfront_Fee*$E98*(DV94=0)*(DV95&gt;0)</f>
        <v>-0</v>
      </c>
      <c r="DW99" s="48" t="n">
        <f aca="false">-In_Upfront_Fee*$E98*(DW94=0)*(DW95&gt;0)</f>
        <v>-0</v>
      </c>
      <c r="DX99" s="48" t="n">
        <f aca="false">-In_Upfront_Fee*$E98*(DX94=0)*(DX95&gt;0)</f>
        <v>-0</v>
      </c>
      <c r="DY99" s="48" t="n">
        <f aca="false">-In_Upfront_Fee*$E98*(DY94=0)*(DY95&gt;0)</f>
        <v>-0</v>
      </c>
      <c r="DZ99" s="48" t="n">
        <f aca="false">-In_Upfront_Fee*$E98*(DZ94=0)*(DZ95&gt;0)</f>
        <v>-0</v>
      </c>
      <c r="EA99" s="48" t="n">
        <f aca="false">-In_Upfront_Fee*$E98*(EA94=0)*(EA95&gt;0)</f>
        <v>-0</v>
      </c>
      <c r="EB99" s="48" t="n">
        <f aca="false">-In_Upfront_Fee*$E98*(EB94=0)*(EB95&gt;0)</f>
        <v>-0</v>
      </c>
      <c r="EC99" s="48" t="n">
        <f aca="false">-In_Upfront_Fee*$E98*(EC94=0)*(EC95&gt;0)</f>
        <v>-0</v>
      </c>
      <c r="ED99" s="48" t="n">
        <f aca="false">-In_Upfront_Fee*$E98*(ED94=0)*(ED95&gt;0)</f>
        <v>-0</v>
      </c>
      <c r="EE99" s="48" t="n">
        <f aca="false">-In_Upfront_Fee*$E98*(EE94=0)*(EE95&gt;0)</f>
        <v>-0</v>
      </c>
      <c r="EF99" s="48" t="n">
        <f aca="false">-In_Upfront_Fee*$E98*(EF94=0)*(EF95&gt;0)</f>
        <v>-0</v>
      </c>
      <c r="EG99" s="48" t="n">
        <f aca="false">-In_Upfront_Fee*$E98*(EG94=0)*(EG95&gt;0)</f>
        <v>-0</v>
      </c>
      <c r="EH99" s="48" t="n">
        <f aca="false">-In_Upfront_Fee*$E98*(EH94=0)*(EH95&gt;0)</f>
        <v>-0</v>
      </c>
      <c r="EI99" s="48" t="n">
        <f aca="false">-In_Upfront_Fee*$E98*(EI94=0)*(EI95&gt;0)</f>
        <v>-0</v>
      </c>
      <c r="EJ99" s="48" t="n">
        <f aca="false">-In_Upfront_Fee*$E98*(EJ94=0)*(EJ95&gt;0)</f>
        <v>-0</v>
      </c>
      <c r="EK99" s="48" t="n">
        <f aca="false">-In_Upfront_Fee*$E98*(EK94=0)*(EK95&gt;0)</f>
        <v>-0</v>
      </c>
      <c r="EL99" s="48" t="n">
        <f aca="false">-In_Upfront_Fee*$E98*(EL94=0)*(EL95&gt;0)</f>
        <v>-0</v>
      </c>
      <c r="EM99" s="48" t="n">
        <f aca="false">-In_Upfront_Fee*$E98*(EM94=0)*(EM95&gt;0)</f>
        <v>-0</v>
      </c>
      <c r="EN99" s="48" t="n">
        <f aca="false">-In_Upfront_Fee*$E98*(EN94=0)*(EN95&gt;0)</f>
        <v>-0</v>
      </c>
      <c r="EO99" s="48" t="n">
        <f aca="false">-In_Upfront_Fee*$E98*(EO94=0)*(EO95&gt;0)</f>
        <v>-0</v>
      </c>
    </row>
    <row r="100" customFormat="false" ht="15" hidden="false" customHeight="false" outlineLevel="0" collapsed="false">
      <c r="C100" s="0" t="s">
        <v>478</v>
      </c>
      <c r="D100" s="11" t="s">
        <v>33</v>
      </c>
      <c r="I100" s="48" t="n">
        <f aca="false">SUM(J100:EO100)</f>
        <v>-405.26981433054</v>
      </c>
      <c r="J100" s="48" t="n">
        <f aca="false">-In_Commitment_Fee*($I95-SUM($J95:J95)+J95)*J$6*(J12&gt;0)</f>
        <v>-0</v>
      </c>
      <c r="K100" s="48" t="n">
        <f aca="false">-In_Commitment_Fee*($I95-SUM($J95:K95)+K95)*K$6*(K12&gt;0)</f>
        <v>-0</v>
      </c>
      <c r="L100" s="48" t="n">
        <f aca="false">-In_Commitment_Fee*($I95-SUM($J95:L95)+L95)*L$6*(L12&gt;0)</f>
        <v>-0</v>
      </c>
      <c r="M100" s="48" t="n">
        <f aca="false">-In_Commitment_Fee*($I95-SUM($J95:M95)+M95)*M$6*(M12&gt;0)</f>
        <v>-0</v>
      </c>
      <c r="N100" s="48" t="n">
        <f aca="false">-In_Commitment_Fee*($I95-SUM($J95:N95)+N95)*N$6*(N12&gt;0)</f>
        <v>-0</v>
      </c>
      <c r="O100" s="48" t="n">
        <f aca="false">-In_Commitment_Fee*($I95-SUM($J95:O95)+O95)*O$6*(O12&gt;0)</f>
        <v>-0</v>
      </c>
      <c r="P100" s="48" t="n">
        <f aca="false">-In_Commitment_Fee*($I95-SUM($J95:P95)+P95)*P$6*(P12&gt;0)</f>
        <v>-0</v>
      </c>
      <c r="Q100" s="48" t="n">
        <f aca="false">-In_Commitment_Fee*($I95-SUM($J95:Q95)+Q95)*Q$6*(Q12&gt;0)</f>
        <v>-0</v>
      </c>
      <c r="R100" s="48" t="n">
        <f aca="false">-In_Commitment_Fee*($I95-SUM($J95:R95)+R95)*R$6*(R12&gt;0)</f>
        <v>-94.0383197611559</v>
      </c>
      <c r="S100" s="48" t="n">
        <f aca="false">-In_Commitment_Fee*($I95-SUM($J95:S95)+S95)*S$6*(S12&gt;0)</f>
        <v>-82.0391943411522</v>
      </c>
      <c r="T100" s="48" t="n">
        <f aca="false">-In_Commitment_Fee*($I95-SUM($J95:T95)+T95)*T$6*(T12&gt;0)</f>
        <v>-63.0401858782135</v>
      </c>
      <c r="U100" s="48" t="n">
        <f aca="false">-In_Commitment_Fee*($I95-SUM($J95:U95)+U95)*U$6*(U12&gt;0)</f>
        <v>-53.6675120069431</v>
      </c>
      <c r="V100" s="48" t="n">
        <f aca="false">-In_Commitment_Fee*($I95-SUM($J95:V95)+V95)*V$6*(V12&gt;0)</f>
        <v>-43.4914797945205</v>
      </c>
      <c r="W100" s="48" t="n">
        <f aca="false">-In_Commitment_Fee*($I95-SUM($J95:W95)+W95)*W$6*(W12&gt;0)</f>
        <v>-32.5911987216175</v>
      </c>
      <c r="X100" s="48" t="n">
        <f aca="false">-In_Commitment_Fee*($I95-SUM($J95:X95)+X95)*X$6*(X12&gt;0)</f>
        <v>-23.1067135323231</v>
      </c>
      <c r="Y100" s="48" t="n">
        <f aca="false">-In_Commitment_Fee*($I95-SUM($J95:Y95)+Y95)*Y$6*(Y12&gt;0)</f>
        <v>-13.2952102946144</v>
      </c>
      <c r="Z100" s="48" t="n">
        <f aca="false">-In_Commitment_Fee*($I95-SUM($J95:Z95)+Z95)*Z$6*(Z12&gt;0)</f>
        <v>-0</v>
      </c>
      <c r="AA100" s="48" t="n">
        <f aca="false">-In_Commitment_Fee*($I95-SUM($J95:AA95)+AA95)*AA$6*(AA12&gt;0)</f>
        <v>-0</v>
      </c>
      <c r="AB100" s="48" t="n">
        <f aca="false">-In_Commitment_Fee*($I95-SUM($J95:AB95)+AB95)*AB$6*(AB12&gt;0)</f>
        <v>-0</v>
      </c>
      <c r="AC100" s="48" t="n">
        <f aca="false">-In_Commitment_Fee*($I95-SUM($J95:AC95)+AC95)*AC$6*(AC12&gt;0)</f>
        <v>-0</v>
      </c>
      <c r="AD100" s="48" t="n">
        <f aca="false">-In_Commitment_Fee*($I95-SUM($J95:AD95)+AD95)*AD$6*(AD12&gt;0)</f>
        <v>-0</v>
      </c>
      <c r="AE100" s="48" t="n">
        <f aca="false">-In_Commitment_Fee*($I95-SUM($J95:AE95)+AE95)*AE$6*(AE12&gt;0)</f>
        <v>-0</v>
      </c>
      <c r="AF100" s="48" t="n">
        <f aca="false">-In_Commitment_Fee*($I95-SUM($J95:AF95)+AF95)*AF$6*(AF12&gt;0)</f>
        <v>-0</v>
      </c>
      <c r="AG100" s="48" t="n">
        <f aca="false">-In_Commitment_Fee*($I95-SUM($J95:AG95)+AG95)*AG$6*(AG12&gt;0)</f>
        <v>-0</v>
      </c>
      <c r="AH100" s="48" t="n">
        <f aca="false">-In_Commitment_Fee*($I95-SUM($J95:AH95)+AH95)*AH$6*(AH12&gt;0)</f>
        <v>-0</v>
      </c>
      <c r="AI100" s="48" t="n">
        <f aca="false">-In_Commitment_Fee*($I95-SUM($J95:AI95)+AI95)*AI$6*(AI12&gt;0)</f>
        <v>-0</v>
      </c>
      <c r="AJ100" s="48" t="n">
        <f aca="false">-In_Commitment_Fee*($I95-SUM($J95:AJ95)+AJ95)*AJ$6*(AJ12&gt;0)</f>
        <v>-0</v>
      </c>
      <c r="AK100" s="48" t="n">
        <f aca="false">-In_Commitment_Fee*($I95-SUM($J95:AK95)+AK95)*AK$6*(AK12&gt;0)</f>
        <v>-0</v>
      </c>
      <c r="AL100" s="48" t="n">
        <f aca="false">-In_Commitment_Fee*($I95-SUM($J95:AL95)+AL95)*AL$6*(AL12&gt;0)</f>
        <v>-0</v>
      </c>
      <c r="AM100" s="48" t="n">
        <f aca="false">-In_Commitment_Fee*($I95-SUM($J95:AM95)+AM95)*AM$6*(AM12&gt;0)</f>
        <v>-0</v>
      </c>
      <c r="AN100" s="48" t="n">
        <f aca="false">-In_Commitment_Fee*($I95-SUM($J95:AN95)+AN95)*AN$6*(AN12&gt;0)</f>
        <v>-0</v>
      </c>
      <c r="AO100" s="48" t="n">
        <f aca="false">-In_Commitment_Fee*($I95-SUM($J95:AO95)+AO95)*AO$6*(AO12&gt;0)</f>
        <v>-0</v>
      </c>
      <c r="AP100" s="48" t="n">
        <f aca="false">-In_Commitment_Fee*($I95-SUM($J95:AP95)+AP95)*AP$6*(AP12&gt;0)</f>
        <v>-0</v>
      </c>
      <c r="AQ100" s="48" t="n">
        <f aca="false">-In_Commitment_Fee*($I95-SUM($J95:AQ95)+AQ95)*AQ$6*(AQ12&gt;0)</f>
        <v>-0</v>
      </c>
      <c r="AR100" s="48" t="n">
        <f aca="false">-In_Commitment_Fee*($I95-SUM($J95:AR95)+AR95)*AR$6*(AR12&gt;0)</f>
        <v>-0</v>
      </c>
      <c r="AS100" s="48" t="n">
        <f aca="false">-In_Commitment_Fee*($I95-SUM($J95:AS95)+AS95)*AS$6*(AS12&gt;0)</f>
        <v>-0</v>
      </c>
      <c r="AT100" s="48" t="n">
        <f aca="false">-In_Commitment_Fee*($I95-SUM($J95:AT95)+AT95)*AT$6*(AT12&gt;0)</f>
        <v>-0</v>
      </c>
      <c r="AU100" s="48" t="n">
        <f aca="false">-In_Commitment_Fee*($I95-SUM($J95:AU95)+AU95)*AU$6*(AU12&gt;0)</f>
        <v>-0</v>
      </c>
      <c r="AV100" s="48" t="n">
        <f aca="false">-In_Commitment_Fee*($I95-SUM($J95:AV95)+AV95)*AV$6*(AV12&gt;0)</f>
        <v>-0</v>
      </c>
      <c r="AW100" s="48" t="n">
        <f aca="false">-In_Commitment_Fee*($I95-SUM($J95:AW95)+AW95)*AW$6*(AW12&gt;0)</f>
        <v>-0</v>
      </c>
      <c r="AX100" s="48" t="n">
        <f aca="false">-In_Commitment_Fee*($I95-SUM($J95:AX95)+AX95)*AX$6*(AX12&gt;0)</f>
        <v>-0</v>
      </c>
      <c r="AY100" s="48" t="n">
        <f aca="false">-In_Commitment_Fee*($I95-SUM($J95:AY95)+AY95)*AY$6*(AY12&gt;0)</f>
        <v>-0</v>
      </c>
      <c r="AZ100" s="48" t="n">
        <f aca="false">-In_Commitment_Fee*($I95-SUM($J95:AZ95)+AZ95)*AZ$6*(AZ12&gt;0)</f>
        <v>-0</v>
      </c>
      <c r="BA100" s="48" t="n">
        <f aca="false">-In_Commitment_Fee*($I95-SUM($J95:BA95)+BA95)*BA$6*(BA12&gt;0)</f>
        <v>-0</v>
      </c>
      <c r="BB100" s="48" t="n">
        <f aca="false">-In_Commitment_Fee*($I95-SUM($J95:BB95)+BB95)*BB$6*(BB12&gt;0)</f>
        <v>-0</v>
      </c>
      <c r="BC100" s="48" t="n">
        <f aca="false">-In_Commitment_Fee*($I95-SUM($J95:BC95)+BC95)*BC$6*(BC12&gt;0)</f>
        <v>-0</v>
      </c>
      <c r="BD100" s="48" t="n">
        <f aca="false">-In_Commitment_Fee*($I95-SUM($J95:BD95)+BD95)*BD$6*(BD12&gt;0)</f>
        <v>-0</v>
      </c>
      <c r="BE100" s="48" t="n">
        <f aca="false">-In_Commitment_Fee*($I95-SUM($J95:BE95)+BE95)*BE$6*(BE12&gt;0)</f>
        <v>-0</v>
      </c>
      <c r="BF100" s="48" t="n">
        <f aca="false">-In_Commitment_Fee*($I95-SUM($J95:BF95)+BF95)*BF$6*(BF12&gt;0)</f>
        <v>-0</v>
      </c>
      <c r="BG100" s="48" t="n">
        <f aca="false">-In_Commitment_Fee*($I95-SUM($J95:BG95)+BG95)*BG$6*(BG12&gt;0)</f>
        <v>-0</v>
      </c>
      <c r="BH100" s="48" t="n">
        <f aca="false">-In_Commitment_Fee*($I95-SUM($J95:BH95)+BH95)*BH$6*(BH12&gt;0)</f>
        <v>-0</v>
      </c>
      <c r="BI100" s="48" t="n">
        <f aca="false">-In_Commitment_Fee*($I95-SUM($J95:BI95)+BI95)*BI$6*(BI12&gt;0)</f>
        <v>-0</v>
      </c>
      <c r="BJ100" s="48" t="n">
        <f aca="false">-In_Commitment_Fee*($I95-SUM($J95:BJ95)+BJ95)*BJ$6*(BJ12&gt;0)</f>
        <v>-0</v>
      </c>
      <c r="BK100" s="48" t="n">
        <f aca="false">-In_Commitment_Fee*($I95-SUM($J95:BK95)+BK95)*BK$6*(BK12&gt;0)</f>
        <v>-0</v>
      </c>
      <c r="BL100" s="48" t="n">
        <f aca="false">-In_Commitment_Fee*($I95-SUM($J95:BL95)+BL95)*BL$6*(BL12&gt;0)</f>
        <v>-0</v>
      </c>
      <c r="BM100" s="48" t="n">
        <f aca="false">-In_Commitment_Fee*($I95-SUM($J95:BM95)+BM95)*BM$6*(BM12&gt;0)</f>
        <v>-0</v>
      </c>
      <c r="BN100" s="48" t="n">
        <f aca="false">-In_Commitment_Fee*($I95-SUM($J95:BN95)+BN95)*BN$6*(BN12&gt;0)</f>
        <v>-0</v>
      </c>
      <c r="BO100" s="48" t="n">
        <f aca="false">-In_Commitment_Fee*($I95-SUM($J95:BO95)+BO95)*BO$6*(BO12&gt;0)</f>
        <v>-0</v>
      </c>
      <c r="BP100" s="48" t="n">
        <f aca="false">-In_Commitment_Fee*($I95-SUM($J95:BP95)+BP95)*BP$6*(BP12&gt;0)</f>
        <v>-0</v>
      </c>
      <c r="BQ100" s="48" t="n">
        <f aca="false">-In_Commitment_Fee*($I95-SUM($J95:BQ95)+BQ95)*BQ$6*(BQ12&gt;0)</f>
        <v>-0</v>
      </c>
      <c r="BR100" s="48" t="n">
        <f aca="false">-In_Commitment_Fee*($I95-SUM($J95:BR95)+BR95)*BR$6*(BR12&gt;0)</f>
        <v>-0</v>
      </c>
      <c r="BS100" s="48" t="n">
        <f aca="false">-In_Commitment_Fee*($I95-SUM($J95:BS95)+BS95)*BS$6*(BS12&gt;0)</f>
        <v>-0</v>
      </c>
      <c r="BT100" s="48" t="n">
        <f aca="false">-In_Commitment_Fee*($I95-SUM($J95:BT95)+BT95)*BT$6*(BT12&gt;0)</f>
        <v>-0</v>
      </c>
      <c r="BU100" s="48" t="n">
        <f aca="false">-In_Commitment_Fee*($I95-SUM($J95:BU95)+BU95)*BU$6*(BU12&gt;0)</f>
        <v>-0</v>
      </c>
      <c r="BV100" s="48" t="n">
        <f aca="false">-In_Commitment_Fee*($I95-SUM($J95:BV95)+BV95)*BV$6*(BV12&gt;0)</f>
        <v>-0</v>
      </c>
      <c r="BW100" s="48" t="n">
        <f aca="false">-In_Commitment_Fee*($I95-SUM($J95:BW95)+BW95)*BW$6*(BW12&gt;0)</f>
        <v>-0</v>
      </c>
      <c r="BX100" s="48" t="n">
        <f aca="false">-In_Commitment_Fee*($I95-SUM($J95:BX95)+BX95)*BX$6*(BX12&gt;0)</f>
        <v>-0</v>
      </c>
      <c r="BY100" s="48" t="n">
        <f aca="false">-In_Commitment_Fee*($I95-SUM($J95:BY95)+BY95)*BY$6*(BY12&gt;0)</f>
        <v>-0</v>
      </c>
      <c r="BZ100" s="48" t="n">
        <f aca="false">-In_Commitment_Fee*($I95-SUM($J95:BZ95)+BZ95)*BZ$6*(BZ12&gt;0)</f>
        <v>-0</v>
      </c>
      <c r="CA100" s="48" t="n">
        <f aca="false">-In_Commitment_Fee*($I95-SUM($J95:CA95)+CA95)*CA$6*(CA12&gt;0)</f>
        <v>-0</v>
      </c>
      <c r="CB100" s="48" t="n">
        <f aca="false">-In_Commitment_Fee*($I95-SUM($J95:CB95)+CB95)*CB$6*(CB12&gt;0)</f>
        <v>-0</v>
      </c>
      <c r="CC100" s="48" t="n">
        <f aca="false">-In_Commitment_Fee*($I95-SUM($J95:CC95)+CC95)*CC$6*(CC12&gt;0)</f>
        <v>-0</v>
      </c>
      <c r="CD100" s="48" t="n">
        <f aca="false">-In_Commitment_Fee*($I95-SUM($J95:CD95)+CD95)*CD$6*(CD12&gt;0)</f>
        <v>-0</v>
      </c>
      <c r="CE100" s="48" t="n">
        <f aca="false">-In_Commitment_Fee*($I95-SUM($J95:CE95)+CE95)*CE$6*(CE12&gt;0)</f>
        <v>-0</v>
      </c>
      <c r="CF100" s="48" t="n">
        <f aca="false">-In_Commitment_Fee*($I95-SUM($J95:CF95)+CF95)*CF$6*(CF12&gt;0)</f>
        <v>-0</v>
      </c>
      <c r="CG100" s="48" t="n">
        <f aca="false">-In_Commitment_Fee*($I95-SUM($J95:CG95)+CG95)*CG$6*(CG12&gt;0)</f>
        <v>-0</v>
      </c>
      <c r="CH100" s="48" t="n">
        <f aca="false">-In_Commitment_Fee*($I95-SUM($J95:CH95)+CH95)*CH$6*(CH12&gt;0)</f>
        <v>-0</v>
      </c>
      <c r="CI100" s="48" t="n">
        <f aca="false">-In_Commitment_Fee*($I95-SUM($J95:CI95)+CI95)*CI$6*(CI12&gt;0)</f>
        <v>-0</v>
      </c>
      <c r="CJ100" s="48" t="n">
        <f aca="false">-In_Commitment_Fee*($I95-SUM($J95:CJ95)+CJ95)*CJ$6*(CJ12&gt;0)</f>
        <v>-0</v>
      </c>
      <c r="CK100" s="48" t="n">
        <f aca="false">-In_Commitment_Fee*($I95-SUM($J95:CK95)+CK95)*CK$6*(CK12&gt;0)</f>
        <v>-0</v>
      </c>
      <c r="CL100" s="48" t="n">
        <f aca="false">-In_Commitment_Fee*($I95-SUM($J95:CL95)+CL95)*CL$6*(CL12&gt;0)</f>
        <v>-0</v>
      </c>
      <c r="CM100" s="48" t="n">
        <f aca="false">-In_Commitment_Fee*($I95-SUM($J95:CM95)+CM95)*CM$6*(CM12&gt;0)</f>
        <v>-0</v>
      </c>
      <c r="CN100" s="48" t="n">
        <f aca="false">-In_Commitment_Fee*($I95-SUM($J95:CN95)+CN95)*CN$6*(CN12&gt;0)</f>
        <v>-0</v>
      </c>
      <c r="CO100" s="48" t="n">
        <f aca="false">-In_Commitment_Fee*($I95-SUM($J95:CO95)+CO95)*CO$6*(CO12&gt;0)</f>
        <v>-0</v>
      </c>
      <c r="CP100" s="48" t="n">
        <f aca="false">-In_Commitment_Fee*($I95-SUM($J95:CP95)+CP95)*CP$6*(CP12&gt;0)</f>
        <v>-0</v>
      </c>
      <c r="CQ100" s="48" t="n">
        <f aca="false">-In_Commitment_Fee*($I95-SUM($J95:CQ95)+CQ95)*CQ$6*(CQ12&gt;0)</f>
        <v>-0</v>
      </c>
      <c r="CR100" s="48" t="n">
        <f aca="false">-In_Commitment_Fee*($I95-SUM($J95:CR95)+CR95)*CR$6*(CR12&gt;0)</f>
        <v>-0</v>
      </c>
      <c r="CS100" s="48" t="n">
        <f aca="false">-In_Commitment_Fee*($I95-SUM($J95:CS95)+CS95)*CS$6*(CS12&gt;0)</f>
        <v>-0</v>
      </c>
      <c r="CT100" s="48" t="n">
        <f aca="false">-In_Commitment_Fee*($I95-SUM($J95:CT95)+CT95)*CT$6*(CT12&gt;0)</f>
        <v>-0</v>
      </c>
      <c r="CU100" s="48" t="n">
        <f aca="false">-In_Commitment_Fee*($I95-SUM($J95:CU95)+CU95)*CU$6*(CU12&gt;0)</f>
        <v>-0</v>
      </c>
      <c r="CV100" s="48" t="n">
        <f aca="false">-In_Commitment_Fee*($I95-SUM($J95:CV95)+CV95)*CV$6*(CV12&gt;0)</f>
        <v>-0</v>
      </c>
      <c r="CW100" s="48" t="n">
        <f aca="false">-In_Commitment_Fee*($I95-SUM($J95:CW95)+CW95)*CW$6*(CW12&gt;0)</f>
        <v>-0</v>
      </c>
      <c r="CX100" s="48" t="n">
        <f aca="false">-In_Commitment_Fee*($I95-SUM($J95:CX95)+CX95)*CX$6*(CX12&gt;0)</f>
        <v>-0</v>
      </c>
      <c r="CY100" s="48" t="n">
        <f aca="false">-In_Commitment_Fee*($I95-SUM($J95:CY95)+CY95)*CY$6*(CY12&gt;0)</f>
        <v>-0</v>
      </c>
      <c r="CZ100" s="48" t="n">
        <f aca="false">-In_Commitment_Fee*($I95-SUM($J95:CZ95)+CZ95)*CZ$6*(CZ12&gt;0)</f>
        <v>-0</v>
      </c>
      <c r="DA100" s="48" t="n">
        <f aca="false">-In_Commitment_Fee*($I95-SUM($J95:DA95)+DA95)*DA$6*(DA12&gt;0)</f>
        <v>-0</v>
      </c>
      <c r="DB100" s="48" t="n">
        <f aca="false">-In_Commitment_Fee*($I95-SUM($J95:DB95)+DB95)*DB$6*(DB12&gt;0)</f>
        <v>-0</v>
      </c>
      <c r="DC100" s="48" t="n">
        <f aca="false">-In_Commitment_Fee*($I95-SUM($J95:DC95)+DC95)*DC$6*(DC12&gt;0)</f>
        <v>-0</v>
      </c>
      <c r="DD100" s="48" t="n">
        <f aca="false">-In_Commitment_Fee*($I95-SUM($J95:DD95)+DD95)*DD$6*(DD12&gt;0)</f>
        <v>-0</v>
      </c>
      <c r="DE100" s="48" t="n">
        <f aca="false">-In_Commitment_Fee*($I95-SUM($J95:DE95)+DE95)*DE$6*(DE12&gt;0)</f>
        <v>-0</v>
      </c>
      <c r="DF100" s="48" t="n">
        <f aca="false">-In_Commitment_Fee*($I95-SUM($J95:DF95)+DF95)*DF$6*(DF12&gt;0)</f>
        <v>-0</v>
      </c>
      <c r="DG100" s="48" t="n">
        <f aca="false">-In_Commitment_Fee*($I95-SUM($J95:DG95)+DG95)*DG$6*(DG12&gt;0)</f>
        <v>-0</v>
      </c>
      <c r="DH100" s="48" t="n">
        <f aca="false">-In_Commitment_Fee*($I95-SUM($J95:DH95)+DH95)*DH$6*(DH12&gt;0)</f>
        <v>-0</v>
      </c>
      <c r="DI100" s="48" t="n">
        <f aca="false">-In_Commitment_Fee*($I95-SUM($J95:DI95)+DI95)*DI$6*(DI12&gt;0)</f>
        <v>-0</v>
      </c>
      <c r="DJ100" s="48" t="n">
        <f aca="false">-In_Commitment_Fee*($I95-SUM($J95:DJ95)+DJ95)*DJ$6*(DJ12&gt;0)</f>
        <v>-0</v>
      </c>
      <c r="DK100" s="48" t="n">
        <f aca="false">-In_Commitment_Fee*($I95-SUM($J95:DK95)+DK95)*DK$6*(DK12&gt;0)</f>
        <v>-0</v>
      </c>
      <c r="DL100" s="48" t="n">
        <f aca="false">-In_Commitment_Fee*($I95-SUM($J95:DL95)+DL95)*DL$6*(DL12&gt;0)</f>
        <v>-0</v>
      </c>
      <c r="DM100" s="48" t="n">
        <f aca="false">-In_Commitment_Fee*($I95-SUM($J95:DM95)+DM95)*DM$6*(DM12&gt;0)</f>
        <v>-0</v>
      </c>
      <c r="DN100" s="48" t="n">
        <f aca="false">-In_Commitment_Fee*($I95-SUM($J95:DN95)+DN95)*DN$6*(DN12&gt;0)</f>
        <v>-0</v>
      </c>
      <c r="DO100" s="48" t="n">
        <f aca="false">-In_Commitment_Fee*($I95-SUM($J95:DO95)+DO95)*DO$6*(DO12&gt;0)</f>
        <v>-0</v>
      </c>
      <c r="DP100" s="48" t="n">
        <f aca="false">-In_Commitment_Fee*($I95-SUM($J95:DP95)+DP95)*DP$6*(DP12&gt;0)</f>
        <v>-0</v>
      </c>
      <c r="DQ100" s="48" t="n">
        <f aca="false">-In_Commitment_Fee*($I95-SUM($J95:DQ95)+DQ95)*DQ$6*(DQ12&gt;0)</f>
        <v>-0</v>
      </c>
      <c r="DR100" s="48" t="n">
        <f aca="false">-In_Commitment_Fee*($I95-SUM($J95:DR95)+DR95)*DR$6*(DR12&gt;0)</f>
        <v>-0</v>
      </c>
      <c r="DS100" s="48" t="n">
        <f aca="false">-In_Commitment_Fee*($I95-SUM($J95:DS95)+DS95)*DS$6*(DS12&gt;0)</f>
        <v>-0</v>
      </c>
      <c r="DT100" s="48" t="n">
        <f aca="false">-In_Commitment_Fee*($I95-SUM($J95:DT95)+DT95)*DT$6*(DT12&gt;0)</f>
        <v>-0</v>
      </c>
      <c r="DU100" s="48" t="n">
        <f aca="false">-In_Commitment_Fee*($I95-SUM($J95:DU95)+DU95)*DU$6*(DU12&gt;0)</f>
        <v>-0</v>
      </c>
      <c r="DV100" s="48" t="n">
        <f aca="false">-In_Commitment_Fee*($I95-SUM($J95:DV95)+DV95)*DV$6*(DV12&gt;0)</f>
        <v>-0</v>
      </c>
      <c r="DW100" s="48" t="n">
        <f aca="false">-In_Commitment_Fee*($I95-SUM($J95:DW95)+DW95)*DW$6*(DW12&gt;0)</f>
        <v>-0</v>
      </c>
      <c r="DX100" s="48" t="n">
        <f aca="false">-In_Commitment_Fee*($I95-SUM($J95:DX95)+DX95)*DX$6*(DX12&gt;0)</f>
        <v>-0</v>
      </c>
      <c r="DY100" s="48" t="n">
        <f aca="false">-In_Commitment_Fee*($I95-SUM($J95:DY95)+DY95)*DY$6*(DY12&gt;0)</f>
        <v>-0</v>
      </c>
      <c r="DZ100" s="48" t="n">
        <f aca="false">-In_Commitment_Fee*($I95-SUM($J95:DZ95)+DZ95)*DZ$6*(DZ12&gt;0)</f>
        <v>-0</v>
      </c>
      <c r="EA100" s="48" t="n">
        <f aca="false">-In_Commitment_Fee*($I95-SUM($J95:EA95)+EA95)*EA$6*(EA12&gt;0)</f>
        <v>-0</v>
      </c>
      <c r="EB100" s="48" t="n">
        <f aca="false">-In_Commitment_Fee*($I95-SUM($J95:EB95)+EB95)*EB$6*(EB12&gt;0)</f>
        <v>-0</v>
      </c>
      <c r="EC100" s="48" t="n">
        <f aca="false">-In_Commitment_Fee*($I95-SUM($J95:EC95)+EC95)*EC$6*(EC12&gt;0)</f>
        <v>-0</v>
      </c>
      <c r="ED100" s="48" t="n">
        <f aca="false">-In_Commitment_Fee*($I95-SUM($J95:ED95)+ED95)*ED$6*(ED12&gt;0)</f>
        <v>-0</v>
      </c>
      <c r="EE100" s="48" t="n">
        <f aca="false">-In_Commitment_Fee*($I95-SUM($J95:EE95)+EE95)*EE$6*(EE12&gt;0)</f>
        <v>-0</v>
      </c>
      <c r="EF100" s="48" t="n">
        <f aca="false">-In_Commitment_Fee*($I95-SUM($J95:EF95)+EF95)*EF$6*(EF12&gt;0)</f>
        <v>-0</v>
      </c>
      <c r="EG100" s="48" t="n">
        <f aca="false">-In_Commitment_Fee*($I95-SUM($J95:EG95)+EG95)*EG$6*(EG12&gt;0)</f>
        <v>-0</v>
      </c>
      <c r="EH100" s="48" t="n">
        <f aca="false">-In_Commitment_Fee*($I95-SUM($J95:EH95)+EH95)*EH$6*(EH12&gt;0)</f>
        <v>-0</v>
      </c>
      <c r="EI100" s="48" t="n">
        <f aca="false">-In_Commitment_Fee*($I95-SUM($J95:EI95)+EI95)*EI$6*(EI12&gt;0)</f>
        <v>-0</v>
      </c>
      <c r="EJ100" s="48" t="n">
        <f aca="false">-In_Commitment_Fee*($I95-SUM($J95:EJ95)+EJ95)*EJ$6*(EJ12&gt;0)</f>
        <v>-0</v>
      </c>
      <c r="EK100" s="48" t="n">
        <f aca="false">-In_Commitment_Fee*($I95-SUM($J95:EK95)+EK95)*EK$6*(EK12&gt;0)</f>
        <v>-0</v>
      </c>
      <c r="EL100" s="48" t="n">
        <f aca="false">-In_Commitment_Fee*($I95-SUM($J95:EL95)+EL95)*EL$6*(EL12&gt;0)</f>
        <v>-0</v>
      </c>
      <c r="EM100" s="48" t="n">
        <f aca="false">-In_Commitment_Fee*($I95-SUM($J95:EM95)+EM95)*EM$6*(EM12&gt;0)</f>
        <v>-0</v>
      </c>
      <c r="EN100" s="48" t="n">
        <f aca="false">-In_Commitment_Fee*($I95-SUM($J95:EN95)+EN95)*EN$6*(EN12&gt;0)</f>
        <v>-0</v>
      </c>
      <c r="EO100" s="48" t="n">
        <f aca="false">-In_Commitment_Fee*($I95-SUM($J95:EO95)+EO95)*EO$6*(EO12&gt;0)</f>
        <v>-0</v>
      </c>
    </row>
    <row r="101" customFormat="false" ht="15" hidden="false" customHeight="false" outlineLevel="0" collapsed="false">
      <c r="C101" s="0" t="s">
        <v>479</v>
      </c>
      <c r="D101" s="11" t="s">
        <v>33</v>
      </c>
      <c r="E101" s="48" t="n">
        <f aca="false">-SUMIFS($J93:$EO93,$J$4:$EO$4,"&gt;"&amp;In_COD,$J$4:$EO$4,"&lt;="&amp;EDATE(In_COD,In_DSRA_Months))</f>
        <v>927.287140093298</v>
      </c>
      <c r="I101" s="48" t="n">
        <f aca="false">SUM(J101:EO101)</f>
        <v>0</v>
      </c>
      <c r="J101" s="48" t="n">
        <f aca="false">$E101*(J19-J14)</f>
        <v>0</v>
      </c>
      <c r="K101" s="48" t="n">
        <f aca="false">$E101*(K19-K14)</f>
        <v>0</v>
      </c>
      <c r="L101" s="48" t="n">
        <f aca="false">$E101*(L19-L14)</f>
        <v>0</v>
      </c>
      <c r="M101" s="48" t="n">
        <f aca="false">$E101*(M19-M14)</f>
        <v>0</v>
      </c>
      <c r="N101" s="48" t="n">
        <f aca="false">$E101*(N19-N14)</f>
        <v>0</v>
      </c>
      <c r="O101" s="48" t="n">
        <f aca="false">$E101*(O19-O14)</f>
        <v>0</v>
      </c>
      <c r="P101" s="48" t="n">
        <f aca="false">$E101*(P19-P14)</f>
        <v>0</v>
      </c>
      <c r="Q101" s="48" t="n">
        <f aca="false">$E101*(Q19-Q14)</f>
        <v>0</v>
      </c>
      <c r="R101" s="48" t="n">
        <f aca="false">$E101*(R19-R14)</f>
        <v>0</v>
      </c>
      <c r="S101" s="48" t="n">
        <f aca="false">$E101*(S19-S14)</f>
        <v>0</v>
      </c>
      <c r="T101" s="48" t="n">
        <f aca="false">$E101*(T19-T14)</f>
        <v>0</v>
      </c>
      <c r="U101" s="48" t="n">
        <f aca="false">$E101*(U19-U14)</f>
        <v>0</v>
      </c>
      <c r="V101" s="48" t="n">
        <f aca="false">$E101*(V19-V14)</f>
        <v>0</v>
      </c>
      <c r="W101" s="48" t="n">
        <f aca="false">$E101*(W19-W14)</f>
        <v>0</v>
      </c>
      <c r="X101" s="48" t="n">
        <f aca="false">$E101*(X19-X14)</f>
        <v>0</v>
      </c>
      <c r="Y101" s="48" t="n">
        <f aca="false">$E101*(Y19-Y14)</f>
        <v>-927.287140093298</v>
      </c>
      <c r="Z101" s="48" t="n">
        <f aca="false">$E101*(Z19-Z14)</f>
        <v>0</v>
      </c>
      <c r="AA101" s="48" t="n">
        <f aca="false">$E101*(AA19-AA14)</f>
        <v>0</v>
      </c>
      <c r="AB101" s="48" t="n">
        <f aca="false">$E101*(AB19-AB14)</f>
        <v>0</v>
      </c>
      <c r="AC101" s="48" t="n">
        <f aca="false">$E101*(AC19-AC14)</f>
        <v>0</v>
      </c>
      <c r="AD101" s="48" t="n">
        <f aca="false">$E101*(AD19-AD14)</f>
        <v>0</v>
      </c>
      <c r="AE101" s="48" t="n">
        <f aca="false">$E101*(AE19-AE14)</f>
        <v>0</v>
      </c>
      <c r="AF101" s="48" t="n">
        <f aca="false">$E101*(AF19-AF14)</f>
        <v>0</v>
      </c>
      <c r="AG101" s="48" t="n">
        <f aca="false">$E101*(AG19-AG14)</f>
        <v>0</v>
      </c>
      <c r="AH101" s="48" t="n">
        <f aca="false">$E101*(AH19-AH14)</f>
        <v>0</v>
      </c>
      <c r="AI101" s="48" t="n">
        <f aca="false">$E101*(AI19-AI14)</f>
        <v>0</v>
      </c>
      <c r="AJ101" s="48" t="n">
        <f aca="false">$E101*(AJ19-AJ14)</f>
        <v>0</v>
      </c>
      <c r="AK101" s="48" t="n">
        <f aca="false">$E101*(AK19-AK14)</f>
        <v>0</v>
      </c>
      <c r="AL101" s="48" t="n">
        <f aca="false">$E101*(AL19-AL14)</f>
        <v>0</v>
      </c>
      <c r="AM101" s="48" t="n">
        <f aca="false">$E101*(AM19-AM14)</f>
        <v>0</v>
      </c>
      <c r="AN101" s="48" t="n">
        <f aca="false">$E101*(AN19-AN14)</f>
        <v>0</v>
      </c>
      <c r="AO101" s="48" t="n">
        <f aca="false">$E101*(AO19-AO14)</f>
        <v>0</v>
      </c>
      <c r="AP101" s="48" t="n">
        <f aca="false">$E101*(AP19-AP14)</f>
        <v>0</v>
      </c>
      <c r="AQ101" s="48" t="n">
        <f aca="false">$E101*(AQ19-AQ14)</f>
        <v>0</v>
      </c>
      <c r="AR101" s="48" t="n">
        <f aca="false">$E101*(AR19-AR14)</f>
        <v>0</v>
      </c>
      <c r="AS101" s="48" t="n">
        <f aca="false">$E101*(AS19-AS14)</f>
        <v>0</v>
      </c>
      <c r="AT101" s="48" t="n">
        <f aca="false">$E101*(AT19-AT14)</f>
        <v>0</v>
      </c>
      <c r="AU101" s="48" t="n">
        <f aca="false">$E101*(AU19-AU14)</f>
        <v>0</v>
      </c>
      <c r="AV101" s="48" t="n">
        <f aca="false">$E101*(AV19-AV14)</f>
        <v>0</v>
      </c>
      <c r="AW101" s="48" t="n">
        <f aca="false">$E101*(AW19-AW14)</f>
        <v>0</v>
      </c>
      <c r="AX101" s="48" t="n">
        <f aca="false">$E101*(AX19-AX14)</f>
        <v>0</v>
      </c>
      <c r="AY101" s="48" t="n">
        <f aca="false">$E101*(AY19-AY14)</f>
        <v>0</v>
      </c>
      <c r="AZ101" s="48" t="n">
        <f aca="false">$E101*(AZ19-AZ14)</f>
        <v>0</v>
      </c>
      <c r="BA101" s="48" t="n">
        <f aca="false">$E101*(BA19-BA14)</f>
        <v>0</v>
      </c>
      <c r="BB101" s="48" t="n">
        <f aca="false">$E101*(BB19-BB14)</f>
        <v>0</v>
      </c>
      <c r="BC101" s="48" t="n">
        <f aca="false">$E101*(BC19-BC14)</f>
        <v>0</v>
      </c>
      <c r="BD101" s="48" t="n">
        <f aca="false">$E101*(BD19-BD14)</f>
        <v>0</v>
      </c>
      <c r="BE101" s="48" t="n">
        <f aca="false">$E101*(BE19-BE14)</f>
        <v>0</v>
      </c>
      <c r="BF101" s="48" t="n">
        <f aca="false">$E101*(BF19-BF14)</f>
        <v>0</v>
      </c>
      <c r="BG101" s="48" t="n">
        <f aca="false">$E101*(BG19-BG14)</f>
        <v>0</v>
      </c>
      <c r="BH101" s="48" t="n">
        <f aca="false">$E101*(BH19-BH14)</f>
        <v>0</v>
      </c>
      <c r="BI101" s="48" t="n">
        <f aca="false">$E101*(BI19-BI14)</f>
        <v>0</v>
      </c>
      <c r="BJ101" s="48" t="n">
        <f aca="false">$E101*(BJ19-BJ14)</f>
        <v>0</v>
      </c>
      <c r="BK101" s="48" t="n">
        <f aca="false">$E101*(BK19-BK14)</f>
        <v>0</v>
      </c>
      <c r="BL101" s="48" t="n">
        <f aca="false">$E101*(BL19-BL14)</f>
        <v>0</v>
      </c>
      <c r="BM101" s="48" t="n">
        <f aca="false">$E101*(BM19-BM14)</f>
        <v>0</v>
      </c>
      <c r="BN101" s="48" t="n">
        <f aca="false">$E101*(BN19-BN14)</f>
        <v>0</v>
      </c>
      <c r="BO101" s="48" t="n">
        <f aca="false">$E101*(BO19-BO14)</f>
        <v>0</v>
      </c>
      <c r="BP101" s="48" t="n">
        <f aca="false">$E101*(BP19-BP14)</f>
        <v>0</v>
      </c>
      <c r="BQ101" s="48" t="n">
        <f aca="false">$E101*(BQ19-BQ14)</f>
        <v>0</v>
      </c>
      <c r="BR101" s="48" t="n">
        <f aca="false">$E101*(BR19-BR14)</f>
        <v>0</v>
      </c>
      <c r="BS101" s="48" t="n">
        <f aca="false">$E101*(BS19-BS14)</f>
        <v>0</v>
      </c>
      <c r="BT101" s="48" t="n">
        <f aca="false">$E101*(BT19-BT14)</f>
        <v>0</v>
      </c>
      <c r="BU101" s="48" t="n">
        <f aca="false">$E101*(BU19-BU14)</f>
        <v>0</v>
      </c>
      <c r="BV101" s="48" t="n">
        <f aca="false">$E101*(BV19-BV14)</f>
        <v>0</v>
      </c>
      <c r="BW101" s="48" t="n">
        <f aca="false">$E101*(BW19-BW14)</f>
        <v>0</v>
      </c>
      <c r="BX101" s="48" t="n">
        <f aca="false">$E101*(BX19-BX14)</f>
        <v>0</v>
      </c>
      <c r="BY101" s="48" t="n">
        <f aca="false">$E101*(BY19-BY14)</f>
        <v>0</v>
      </c>
      <c r="BZ101" s="48" t="n">
        <f aca="false">$E101*(BZ19-BZ14)</f>
        <v>0</v>
      </c>
      <c r="CA101" s="48" t="n">
        <f aca="false">$E101*(CA19-CA14)</f>
        <v>0</v>
      </c>
      <c r="CB101" s="48" t="n">
        <f aca="false">$E101*(CB19-CB14)</f>
        <v>0</v>
      </c>
      <c r="CC101" s="48" t="n">
        <f aca="false">$E101*(CC19-CC14)</f>
        <v>0</v>
      </c>
      <c r="CD101" s="48" t="n">
        <f aca="false">$E101*(CD19-CD14)</f>
        <v>0</v>
      </c>
      <c r="CE101" s="48" t="n">
        <f aca="false">$E101*(CE19-CE14)</f>
        <v>0</v>
      </c>
      <c r="CF101" s="48" t="n">
        <f aca="false">$E101*(CF19-CF14)</f>
        <v>0</v>
      </c>
      <c r="CG101" s="48" t="n">
        <f aca="false">$E101*(CG19-CG14)</f>
        <v>0</v>
      </c>
      <c r="CH101" s="48" t="n">
        <f aca="false">$E101*(CH19-CH14)</f>
        <v>0</v>
      </c>
      <c r="CI101" s="48" t="n">
        <f aca="false">$E101*(CI19-CI14)</f>
        <v>0</v>
      </c>
      <c r="CJ101" s="48" t="n">
        <f aca="false">$E101*(CJ19-CJ14)</f>
        <v>0</v>
      </c>
      <c r="CK101" s="48" t="n">
        <f aca="false">$E101*(CK19-CK14)</f>
        <v>0</v>
      </c>
      <c r="CL101" s="48" t="n">
        <f aca="false">$E101*(CL19-CL14)</f>
        <v>0</v>
      </c>
      <c r="CM101" s="48" t="n">
        <f aca="false">$E101*(CM19-CM14)</f>
        <v>0</v>
      </c>
      <c r="CN101" s="48" t="n">
        <f aca="false">$E101*(CN19-CN14)</f>
        <v>0</v>
      </c>
      <c r="CO101" s="48" t="n">
        <f aca="false">$E101*(CO19-CO14)</f>
        <v>0</v>
      </c>
      <c r="CP101" s="48" t="n">
        <f aca="false">$E101*(CP19-CP14)</f>
        <v>0</v>
      </c>
      <c r="CQ101" s="48" t="n">
        <f aca="false">$E101*(CQ19-CQ14)</f>
        <v>0</v>
      </c>
      <c r="CR101" s="48" t="n">
        <f aca="false">$E101*(CR19-CR14)</f>
        <v>0</v>
      </c>
      <c r="CS101" s="48" t="n">
        <f aca="false">$E101*(CS19-CS14)</f>
        <v>927.287140093298</v>
      </c>
      <c r="CT101" s="48" t="n">
        <f aca="false">$E101*(CT19-CT14)</f>
        <v>0</v>
      </c>
      <c r="CU101" s="48" t="n">
        <f aca="false">$E101*(CU19-CU14)</f>
        <v>0</v>
      </c>
      <c r="CV101" s="48" t="n">
        <f aca="false">$E101*(CV19-CV14)</f>
        <v>0</v>
      </c>
      <c r="CW101" s="48" t="n">
        <f aca="false">$E101*(CW19-CW14)</f>
        <v>0</v>
      </c>
      <c r="CX101" s="48" t="n">
        <f aca="false">$E101*(CX19-CX14)</f>
        <v>0</v>
      </c>
      <c r="CY101" s="48" t="n">
        <f aca="false">$E101*(CY19-CY14)</f>
        <v>0</v>
      </c>
      <c r="CZ101" s="48" t="n">
        <f aca="false">$E101*(CZ19-CZ14)</f>
        <v>0</v>
      </c>
      <c r="DA101" s="48" t="n">
        <f aca="false">$E101*(DA19-DA14)</f>
        <v>0</v>
      </c>
      <c r="DB101" s="48" t="n">
        <f aca="false">$E101*(DB19-DB14)</f>
        <v>0</v>
      </c>
      <c r="DC101" s="48" t="n">
        <f aca="false">$E101*(DC19-DC14)</f>
        <v>0</v>
      </c>
      <c r="DD101" s="48" t="n">
        <f aca="false">$E101*(DD19-DD14)</f>
        <v>0</v>
      </c>
      <c r="DE101" s="48" t="n">
        <f aca="false">$E101*(DE19-DE14)</f>
        <v>0</v>
      </c>
      <c r="DF101" s="48" t="n">
        <f aca="false">$E101*(DF19-DF14)</f>
        <v>0</v>
      </c>
      <c r="DG101" s="48" t="n">
        <f aca="false">$E101*(DG19-DG14)</f>
        <v>0</v>
      </c>
      <c r="DH101" s="48" t="n">
        <f aca="false">$E101*(DH19-DH14)</f>
        <v>0</v>
      </c>
      <c r="DI101" s="48" t="n">
        <f aca="false">$E101*(DI19-DI14)</f>
        <v>0</v>
      </c>
      <c r="DJ101" s="48" t="n">
        <f aca="false">$E101*(DJ19-DJ14)</f>
        <v>0</v>
      </c>
      <c r="DK101" s="48" t="n">
        <f aca="false">$E101*(DK19-DK14)</f>
        <v>0</v>
      </c>
      <c r="DL101" s="48" t="n">
        <f aca="false">$E101*(DL19-DL14)</f>
        <v>0</v>
      </c>
      <c r="DM101" s="48" t="n">
        <f aca="false">$E101*(DM19-DM14)</f>
        <v>0</v>
      </c>
      <c r="DN101" s="48" t="n">
        <f aca="false">$E101*(DN19-DN14)</f>
        <v>0</v>
      </c>
      <c r="DO101" s="48" t="n">
        <f aca="false">$E101*(DO19-DO14)</f>
        <v>0</v>
      </c>
      <c r="DP101" s="48" t="n">
        <f aca="false">$E101*(DP19-DP14)</f>
        <v>0</v>
      </c>
      <c r="DQ101" s="48" t="n">
        <f aca="false">$E101*(DQ19-DQ14)</f>
        <v>0</v>
      </c>
      <c r="DR101" s="48" t="n">
        <f aca="false">$E101*(DR19-DR14)</f>
        <v>0</v>
      </c>
      <c r="DS101" s="48" t="n">
        <f aca="false">$E101*(DS19-DS14)</f>
        <v>0</v>
      </c>
      <c r="DT101" s="48" t="n">
        <f aca="false">$E101*(DT19-DT14)</f>
        <v>0</v>
      </c>
      <c r="DU101" s="48" t="n">
        <f aca="false">$E101*(DU19-DU14)</f>
        <v>0</v>
      </c>
      <c r="DV101" s="48" t="n">
        <f aca="false">$E101*(DV19-DV14)</f>
        <v>0</v>
      </c>
      <c r="DW101" s="48" t="n">
        <f aca="false">$E101*(DW19-DW14)</f>
        <v>0</v>
      </c>
      <c r="DX101" s="48" t="n">
        <f aca="false">$E101*(DX19-DX14)</f>
        <v>0</v>
      </c>
      <c r="DY101" s="48" t="n">
        <f aca="false">$E101*(DY19-DY14)</f>
        <v>0</v>
      </c>
      <c r="DZ101" s="48" t="n">
        <f aca="false">$E101*(DZ19-DZ14)</f>
        <v>0</v>
      </c>
      <c r="EA101" s="48" t="n">
        <f aca="false">$E101*(EA19-EA14)</f>
        <v>0</v>
      </c>
      <c r="EB101" s="48" t="n">
        <f aca="false">$E101*(EB19-EB14)</f>
        <v>0</v>
      </c>
      <c r="EC101" s="48" t="n">
        <f aca="false">$E101*(EC19-EC14)</f>
        <v>0</v>
      </c>
      <c r="ED101" s="48" t="n">
        <f aca="false">$E101*(ED19-ED14)</f>
        <v>0</v>
      </c>
      <c r="EE101" s="48" t="n">
        <f aca="false">$E101*(EE19-EE14)</f>
        <v>0</v>
      </c>
      <c r="EF101" s="48" t="n">
        <f aca="false">$E101*(EF19-EF14)</f>
        <v>0</v>
      </c>
      <c r="EG101" s="48" t="n">
        <f aca="false">$E101*(EG19-EG14)</f>
        <v>0</v>
      </c>
      <c r="EH101" s="48" t="n">
        <f aca="false">$E101*(EH19-EH14)</f>
        <v>0</v>
      </c>
      <c r="EI101" s="48" t="n">
        <f aca="false">$E101*(EI19-EI14)</f>
        <v>0</v>
      </c>
      <c r="EJ101" s="48" t="n">
        <f aca="false">$E101*(EJ19-EJ14)</f>
        <v>0</v>
      </c>
      <c r="EK101" s="48" t="n">
        <f aca="false">$E101*(EK19-EK14)</f>
        <v>0</v>
      </c>
      <c r="EL101" s="48" t="n">
        <f aca="false">$E101*(EL19-EL14)</f>
        <v>0</v>
      </c>
      <c r="EM101" s="48" t="n">
        <f aca="false">$E101*(EM19-EM14)</f>
        <v>0</v>
      </c>
      <c r="EN101" s="48" t="n">
        <f aca="false">$E101*(EN19-EN14)</f>
        <v>0</v>
      </c>
      <c r="EO101" s="48" t="n">
        <f aca="false">$E101*(EO19-EO14)</f>
        <v>0</v>
      </c>
    </row>
    <row r="102" customFormat="false" ht="15" hidden="false" customHeight="false" outlineLevel="0" collapsed="false">
      <c r="C102" s="0" t="s">
        <v>480</v>
      </c>
      <c r="D102" s="11" t="s">
        <v>13</v>
      </c>
      <c r="E102" s="53" t="n">
        <f aca="false">MIN($J102:$EO102)</f>
        <v>2.48397400954815</v>
      </c>
      <c r="J102" s="53" t="str">
        <f aca="false">IF(J93&lt;0,J86/-J93,"")</f>
        <v/>
      </c>
      <c r="K102" s="53" t="str">
        <f aca="false">IF(K93&lt;0,K86/-K93,"")</f>
        <v/>
      </c>
      <c r="L102" s="53" t="str">
        <f aca="false">IF(L93&lt;0,L86/-L93,"")</f>
        <v/>
      </c>
      <c r="M102" s="53" t="str">
        <f aca="false">IF(M93&lt;0,M86/-M93,"")</f>
        <v/>
      </c>
      <c r="N102" s="53" t="str">
        <f aca="false">IF(N93&lt;0,N86/-N93,"")</f>
        <v/>
      </c>
      <c r="O102" s="53" t="str">
        <f aca="false">IF(O93&lt;0,O86/-O93,"")</f>
        <v/>
      </c>
      <c r="P102" s="53" t="str">
        <f aca="false">IF(P93&lt;0,P86/-P93,"")</f>
        <v/>
      </c>
      <c r="Q102" s="53" t="str">
        <f aca="false">IF(Q93&lt;0,Q86/-Q93,"")</f>
        <v/>
      </c>
      <c r="R102" s="53" t="str">
        <f aca="false">IF(R93&lt;0,R86/-R93,"")</f>
        <v/>
      </c>
      <c r="S102" s="53" t="str">
        <f aca="false">IF(S93&lt;0,S86/-S93,"")</f>
        <v/>
      </c>
      <c r="T102" s="53" t="str">
        <f aca="false">IF(T93&lt;0,T86/-T93,"")</f>
        <v/>
      </c>
      <c r="U102" s="53" t="str">
        <f aca="false">IF(U93&lt;0,U86/-U93,"")</f>
        <v/>
      </c>
      <c r="V102" s="53" t="str">
        <f aca="false">IF(V93&lt;0,V86/-V93,"")</f>
        <v/>
      </c>
      <c r="W102" s="53" t="str">
        <f aca="false">IF(W93&lt;0,W86/-W93,"")</f>
        <v/>
      </c>
      <c r="X102" s="53" t="str">
        <f aca="false">IF(X93&lt;0,X86/-X93,"")</f>
        <v/>
      </c>
      <c r="Y102" s="53" t="str">
        <f aca="false">IF(Y93&lt;0,Y86/-Y93,"")</f>
        <v/>
      </c>
      <c r="Z102" s="53" t="n">
        <f aca="false">IF(Z93&lt;0,Z86/-Z93,"")</f>
        <v>2.48397400954815</v>
      </c>
      <c r="AA102" s="53" t="n">
        <f aca="false">IF(AA93&lt;0,AA86/-AA93,"")</f>
        <v>2.48397400954815</v>
      </c>
      <c r="AB102" s="53" t="n">
        <f aca="false">IF(AB93&lt;0,AB86/-AB93,"")</f>
        <v>2.48397400954815</v>
      </c>
      <c r="AC102" s="53" t="n">
        <f aca="false">IF(AC93&lt;0,AC86/-AC93,"")</f>
        <v>2.48397400954815</v>
      </c>
      <c r="AD102" s="53" t="n">
        <f aca="false">IF(AD93&lt;0,AD86/-AD93,"")</f>
        <v>2.48397400954815</v>
      </c>
      <c r="AE102" s="53" t="n">
        <f aca="false">IF(AE93&lt;0,AE86/-AE93,"")</f>
        <v>2.48397400954815</v>
      </c>
      <c r="AF102" s="53" t="n">
        <f aca="false">IF(AF93&lt;0,AF86/-AF93,"")</f>
        <v>2.48397400954815</v>
      </c>
      <c r="AG102" s="53" t="n">
        <f aca="false">IF(AG93&lt;0,AG86/-AG93,"")</f>
        <v>2.48397400954815</v>
      </c>
      <c r="AH102" s="53" t="n">
        <f aca="false">IF(AH93&lt;0,AH86/-AH93,"")</f>
        <v>2.48397400954815</v>
      </c>
      <c r="AI102" s="53" t="n">
        <f aca="false">IF(AI93&lt;0,AI86/-AI93,"")</f>
        <v>2.48397400954815</v>
      </c>
      <c r="AJ102" s="53" t="n">
        <f aca="false">IF(AJ93&lt;0,AJ86/-AJ93,"")</f>
        <v>2.48397400954815</v>
      </c>
      <c r="AK102" s="53" t="n">
        <f aca="false">IF(AK93&lt;0,AK86/-AK93,"")</f>
        <v>2.48397400954815</v>
      </c>
      <c r="AL102" s="53" t="n">
        <f aca="false">IF(AL93&lt;0,AL86/-AL93,"")</f>
        <v>2.48397400954815</v>
      </c>
      <c r="AM102" s="53" t="n">
        <f aca="false">IF(AM93&lt;0,AM86/-AM93,"")</f>
        <v>2.48397400954815</v>
      </c>
      <c r="AN102" s="53" t="n">
        <f aca="false">IF(AN93&lt;0,AN86/-AN93,"")</f>
        <v>2.48397400954815</v>
      </c>
      <c r="AO102" s="53" t="n">
        <f aca="false">IF(AO93&lt;0,AO86/-AO93,"")</f>
        <v>2.48397400954815</v>
      </c>
      <c r="AP102" s="53" t="n">
        <f aca="false">IF(AP93&lt;0,AP86/-AP93,"")</f>
        <v>2.48397400954815</v>
      </c>
      <c r="AQ102" s="53" t="n">
        <f aca="false">IF(AQ93&lt;0,AQ86/-AQ93,"")</f>
        <v>2.48397400954815</v>
      </c>
      <c r="AR102" s="53" t="n">
        <f aca="false">IF(AR93&lt;0,AR86/-AR93,"")</f>
        <v>2.48397400954815</v>
      </c>
      <c r="AS102" s="53" t="n">
        <f aca="false">IF(AS93&lt;0,AS86/-AS93,"")</f>
        <v>2.48397400954815</v>
      </c>
      <c r="AT102" s="53" t="n">
        <f aca="false">IF(AT93&lt;0,AT86/-AT93,"")</f>
        <v>2.48397400954815</v>
      </c>
      <c r="AU102" s="53" t="n">
        <f aca="false">IF(AU93&lt;0,AU86/-AU93,"")</f>
        <v>2.48397400954815</v>
      </c>
      <c r="AV102" s="53" t="n">
        <f aca="false">IF(AV93&lt;0,AV86/-AV93,"")</f>
        <v>2.48397400954815</v>
      </c>
      <c r="AW102" s="53" t="n">
        <f aca="false">IF(AW93&lt;0,AW86/-AW93,"")</f>
        <v>2.48397400954815</v>
      </c>
      <c r="AX102" s="53" t="n">
        <f aca="false">IF(AX93&lt;0,AX86/-AX93,"")</f>
        <v>2.48397400954815</v>
      </c>
      <c r="AY102" s="53" t="n">
        <f aca="false">IF(AY93&lt;0,AY86/-AY93,"")</f>
        <v>2.48397400954815</v>
      </c>
      <c r="AZ102" s="53" t="n">
        <f aca="false">IF(AZ93&lt;0,AZ86/-AZ93,"")</f>
        <v>2.48397400954815</v>
      </c>
      <c r="BA102" s="53" t="n">
        <f aca="false">IF(BA93&lt;0,BA86/-BA93,"")</f>
        <v>2.48397400954815</v>
      </c>
      <c r="BB102" s="53" t="n">
        <f aca="false">IF(BB93&lt;0,BB86/-BB93,"")</f>
        <v>2.48397400954815</v>
      </c>
      <c r="BC102" s="53" t="n">
        <f aca="false">IF(BC93&lt;0,BC86/-BC93,"")</f>
        <v>2.48397400954815</v>
      </c>
      <c r="BD102" s="53" t="n">
        <f aca="false">IF(BD93&lt;0,BD86/-BD93,"")</f>
        <v>2.48397400954815</v>
      </c>
      <c r="BE102" s="53" t="n">
        <f aca="false">IF(BE93&lt;0,BE86/-BE93,"")</f>
        <v>2.48397400954815</v>
      </c>
      <c r="BF102" s="53" t="n">
        <f aca="false">IF(BF93&lt;0,BF86/-BF93,"")</f>
        <v>2.48397400954815</v>
      </c>
      <c r="BG102" s="53" t="n">
        <f aca="false">IF(BG93&lt;0,BG86/-BG93,"")</f>
        <v>2.48397400954815</v>
      </c>
      <c r="BH102" s="53" t="n">
        <f aca="false">IF(BH93&lt;0,BH86/-BH93,"")</f>
        <v>2.48397400954815</v>
      </c>
      <c r="BI102" s="53" t="n">
        <f aca="false">IF(BI93&lt;0,BI86/-BI93,"")</f>
        <v>2.48397400954815</v>
      </c>
      <c r="BJ102" s="53" t="n">
        <f aca="false">IF(BJ93&lt;0,BJ86/-BJ93,"")</f>
        <v>2.48397400954815</v>
      </c>
      <c r="BK102" s="53" t="n">
        <f aca="false">IF(BK93&lt;0,BK86/-BK93,"")</f>
        <v>2.48397400954815</v>
      </c>
      <c r="BL102" s="53" t="n">
        <f aca="false">IF(BL93&lt;0,BL86/-BL93,"")</f>
        <v>2.48397400954815</v>
      </c>
      <c r="BM102" s="53" t="n">
        <f aca="false">IF(BM93&lt;0,BM86/-BM93,"")</f>
        <v>2.48397400954815</v>
      </c>
      <c r="BN102" s="53" t="n">
        <f aca="false">IF(BN93&lt;0,BN86/-BN93,"")</f>
        <v>2.48397400954815</v>
      </c>
      <c r="BO102" s="53" t="n">
        <f aca="false">IF(BO93&lt;0,BO86/-BO93,"")</f>
        <v>2.48397400954815</v>
      </c>
      <c r="BP102" s="53" t="n">
        <f aca="false">IF(BP93&lt;0,BP86/-BP93,"")</f>
        <v>2.48397400954815</v>
      </c>
      <c r="BQ102" s="53" t="n">
        <f aca="false">IF(BQ93&lt;0,BQ86/-BQ93,"")</f>
        <v>2.48397400954815</v>
      </c>
      <c r="BR102" s="53" t="n">
        <f aca="false">IF(BR93&lt;0,BR86/-BR93,"")</f>
        <v>2.48397400954815</v>
      </c>
      <c r="BS102" s="53" t="n">
        <f aca="false">IF(BS93&lt;0,BS86/-BS93,"")</f>
        <v>2.48397400954815</v>
      </c>
      <c r="BT102" s="53" t="n">
        <f aca="false">IF(BT93&lt;0,BT86/-BT93,"")</f>
        <v>2.48397400954815</v>
      </c>
      <c r="BU102" s="53" t="n">
        <f aca="false">IF(BU93&lt;0,BU86/-BU93,"")</f>
        <v>2.48397400954815</v>
      </c>
      <c r="BV102" s="53" t="n">
        <f aca="false">IF(BV93&lt;0,BV86/-BV93,"")</f>
        <v>2.48397400954815</v>
      </c>
      <c r="BW102" s="53" t="n">
        <f aca="false">IF(BW93&lt;0,BW86/-BW93,"")</f>
        <v>2.48397400954815</v>
      </c>
      <c r="BX102" s="53" t="n">
        <f aca="false">IF(BX93&lt;0,BX86/-BX93,"")</f>
        <v>2.48397400954815</v>
      </c>
      <c r="BY102" s="53" t="n">
        <f aca="false">IF(BY93&lt;0,BY86/-BY93,"")</f>
        <v>2.48397400954815</v>
      </c>
      <c r="BZ102" s="53" t="n">
        <f aca="false">IF(BZ93&lt;0,BZ86/-BZ93,"")</f>
        <v>2.48397400954815</v>
      </c>
      <c r="CA102" s="53" t="n">
        <f aca="false">IF(CA93&lt;0,CA86/-CA93,"")</f>
        <v>2.48397400954815</v>
      </c>
      <c r="CB102" s="53" t="n">
        <f aca="false">IF(CB93&lt;0,CB86/-CB93,"")</f>
        <v>2.48397400954815</v>
      </c>
      <c r="CC102" s="53" t="n">
        <f aca="false">IF(CC93&lt;0,CC86/-CC93,"")</f>
        <v>2.48397400954815</v>
      </c>
      <c r="CD102" s="53" t="n">
        <f aca="false">IF(CD93&lt;0,CD86/-CD93,"")</f>
        <v>2.48397400954815</v>
      </c>
      <c r="CE102" s="53" t="n">
        <f aca="false">IF(CE93&lt;0,CE86/-CE93,"")</f>
        <v>2.48397400954815</v>
      </c>
      <c r="CF102" s="53" t="n">
        <f aca="false">IF(CF93&lt;0,CF86/-CF93,"")</f>
        <v>2.48397400954815</v>
      </c>
      <c r="CG102" s="53" t="n">
        <f aca="false">IF(CG93&lt;0,CG86/-CG93,"")</f>
        <v>2.48397400954815</v>
      </c>
      <c r="CH102" s="53" t="n">
        <f aca="false">IF(CH93&lt;0,CH86/-CH93,"")</f>
        <v>2.48397400954815</v>
      </c>
      <c r="CI102" s="53" t="n">
        <f aca="false">IF(CI93&lt;0,CI86/-CI93,"")</f>
        <v>2.48397400954815</v>
      </c>
      <c r="CJ102" s="53" t="n">
        <f aca="false">IF(CJ93&lt;0,CJ86/-CJ93,"")</f>
        <v>2.48397400954815</v>
      </c>
      <c r="CK102" s="53" t="n">
        <f aca="false">IF(CK93&lt;0,CK86/-CK93,"")</f>
        <v>2.48397400954815</v>
      </c>
      <c r="CL102" s="53" t="n">
        <f aca="false">IF(CL93&lt;0,CL86/-CL93,"")</f>
        <v>2.48397400954815</v>
      </c>
      <c r="CM102" s="53" t="n">
        <f aca="false">IF(CM93&lt;0,CM86/-CM93,"")</f>
        <v>2.48397400954815</v>
      </c>
      <c r="CN102" s="53" t="n">
        <f aca="false">IF(CN93&lt;0,CN86/-CN93,"")</f>
        <v>2.48397400954815</v>
      </c>
      <c r="CO102" s="53" t="n">
        <f aca="false">IF(CO93&lt;0,CO86/-CO93,"")</f>
        <v>2.48397400954815</v>
      </c>
      <c r="CP102" s="53" t="n">
        <f aca="false">IF(CP93&lt;0,CP86/-CP93,"")</f>
        <v>2.48397400954815</v>
      </c>
      <c r="CQ102" s="53" t="n">
        <f aca="false">IF(CQ93&lt;0,CQ86/-CQ93,"")</f>
        <v>2.48397400954815</v>
      </c>
      <c r="CR102" s="53" t="n">
        <f aca="false">IF(CR93&lt;0,CR86/-CR93,"")</f>
        <v>2.48397400954815</v>
      </c>
      <c r="CS102" s="53" t="n">
        <f aca="false">IF(CS93&lt;0,CS86/-CS93,"")</f>
        <v>2.48397400954815</v>
      </c>
      <c r="CT102" s="53" t="str">
        <f aca="false">IF(CT93&lt;0,CT86/-CT93,"")</f>
        <v/>
      </c>
      <c r="CU102" s="53" t="str">
        <f aca="false">IF(CU93&lt;0,CU86/-CU93,"")</f>
        <v/>
      </c>
      <c r="CV102" s="53" t="str">
        <f aca="false">IF(CV93&lt;0,CV86/-CV93,"")</f>
        <v/>
      </c>
      <c r="CW102" s="53" t="str">
        <f aca="false">IF(CW93&lt;0,CW86/-CW93,"")</f>
        <v/>
      </c>
      <c r="CX102" s="53" t="str">
        <f aca="false">IF(CX93&lt;0,CX86/-CX93,"")</f>
        <v/>
      </c>
      <c r="CY102" s="53" t="str">
        <f aca="false">IF(CY93&lt;0,CY86/-CY93,"")</f>
        <v/>
      </c>
      <c r="CZ102" s="53" t="str">
        <f aca="false">IF(CZ93&lt;0,CZ86/-CZ93,"")</f>
        <v/>
      </c>
      <c r="DA102" s="53" t="str">
        <f aca="false">IF(DA93&lt;0,DA86/-DA93,"")</f>
        <v/>
      </c>
      <c r="DB102" s="53" t="str">
        <f aca="false">IF(DB93&lt;0,DB86/-DB93,"")</f>
        <v/>
      </c>
      <c r="DC102" s="53" t="str">
        <f aca="false">IF(DC93&lt;0,DC86/-DC93,"")</f>
        <v/>
      </c>
      <c r="DD102" s="53" t="str">
        <f aca="false">IF(DD93&lt;0,DD86/-DD93,"")</f>
        <v/>
      </c>
      <c r="DE102" s="53" t="str">
        <f aca="false">IF(DE93&lt;0,DE86/-DE93,"")</f>
        <v/>
      </c>
      <c r="DF102" s="53" t="str">
        <f aca="false">IF(DF93&lt;0,DF86/-DF93,"")</f>
        <v/>
      </c>
      <c r="DG102" s="53" t="str">
        <f aca="false">IF(DG93&lt;0,DG86/-DG93,"")</f>
        <v/>
      </c>
      <c r="DH102" s="53" t="str">
        <f aca="false">IF(DH93&lt;0,DH86/-DH93,"")</f>
        <v/>
      </c>
      <c r="DI102" s="53" t="str">
        <f aca="false">IF(DI93&lt;0,DI86/-DI93,"")</f>
        <v/>
      </c>
      <c r="DJ102" s="53" t="str">
        <f aca="false">IF(DJ93&lt;0,DJ86/-DJ93,"")</f>
        <v/>
      </c>
      <c r="DK102" s="53" t="str">
        <f aca="false">IF(DK93&lt;0,DK86/-DK93,"")</f>
        <v/>
      </c>
      <c r="DL102" s="53" t="str">
        <f aca="false">IF(DL93&lt;0,DL86/-DL93,"")</f>
        <v/>
      </c>
      <c r="DM102" s="53" t="str">
        <f aca="false">IF(DM93&lt;0,DM86/-DM93,"")</f>
        <v/>
      </c>
      <c r="DN102" s="53" t="str">
        <f aca="false">IF(DN93&lt;0,DN86/-DN93,"")</f>
        <v/>
      </c>
      <c r="DO102" s="53" t="str">
        <f aca="false">IF(DO93&lt;0,DO86/-DO93,"")</f>
        <v/>
      </c>
      <c r="DP102" s="53" t="str">
        <f aca="false">IF(DP93&lt;0,DP86/-DP93,"")</f>
        <v/>
      </c>
      <c r="DQ102" s="53" t="str">
        <f aca="false">IF(DQ93&lt;0,DQ86/-DQ93,"")</f>
        <v/>
      </c>
      <c r="DR102" s="53" t="str">
        <f aca="false">IF(DR93&lt;0,DR86/-DR93,"")</f>
        <v/>
      </c>
      <c r="DS102" s="53" t="str">
        <f aca="false">IF(DS93&lt;0,DS86/-DS93,"")</f>
        <v/>
      </c>
      <c r="DT102" s="53" t="str">
        <f aca="false">IF(DT93&lt;0,DT86/-DT93,"")</f>
        <v/>
      </c>
      <c r="DU102" s="53" t="str">
        <f aca="false">IF(DU93&lt;0,DU86/-DU93,"")</f>
        <v/>
      </c>
      <c r="DV102" s="53" t="str">
        <f aca="false">IF(DV93&lt;0,DV86/-DV93,"")</f>
        <v/>
      </c>
      <c r="DW102" s="53" t="str">
        <f aca="false">IF(DW93&lt;0,DW86/-DW93,"")</f>
        <v/>
      </c>
      <c r="DX102" s="53" t="str">
        <f aca="false">IF(DX93&lt;0,DX86/-DX93,"")</f>
        <v/>
      </c>
      <c r="DY102" s="53" t="str">
        <f aca="false">IF(DY93&lt;0,DY86/-DY93,"")</f>
        <v/>
      </c>
      <c r="DZ102" s="53" t="str">
        <f aca="false">IF(DZ93&lt;0,DZ86/-DZ93,"")</f>
        <v/>
      </c>
      <c r="EA102" s="53" t="str">
        <f aca="false">IF(EA93&lt;0,EA86/-EA93,"")</f>
        <v/>
      </c>
      <c r="EB102" s="53" t="str">
        <f aca="false">IF(EB93&lt;0,EB86/-EB93,"")</f>
        <v/>
      </c>
      <c r="EC102" s="53" t="str">
        <f aca="false">IF(EC93&lt;0,EC86/-EC93,"")</f>
        <v/>
      </c>
      <c r="ED102" s="53" t="str">
        <f aca="false">IF(ED93&lt;0,ED86/-ED93,"")</f>
        <v/>
      </c>
      <c r="EE102" s="53" t="str">
        <f aca="false">IF(EE93&lt;0,EE86/-EE93,"")</f>
        <v/>
      </c>
      <c r="EF102" s="53" t="str">
        <f aca="false">IF(EF93&lt;0,EF86/-EF93,"")</f>
        <v/>
      </c>
      <c r="EG102" s="53" t="str">
        <f aca="false">IF(EG93&lt;0,EG86/-EG93,"")</f>
        <v/>
      </c>
      <c r="EH102" s="53" t="str">
        <f aca="false">IF(EH93&lt;0,EH86/-EH93,"")</f>
        <v/>
      </c>
      <c r="EI102" s="53" t="str">
        <f aca="false">IF(EI93&lt;0,EI86/-EI93,"")</f>
        <v/>
      </c>
      <c r="EJ102" s="53" t="str">
        <f aca="false">IF(EJ93&lt;0,EJ86/-EJ93,"")</f>
        <v/>
      </c>
      <c r="EK102" s="53" t="str">
        <f aca="false">IF(EK93&lt;0,EK86/-EK93,"")</f>
        <v/>
      </c>
      <c r="EL102" s="53" t="str">
        <f aca="false">IF(EL93&lt;0,EL86/-EL93,"")</f>
        <v/>
      </c>
      <c r="EM102" s="53" t="str">
        <f aca="false">IF(EM93&lt;0,EM86/-EM93,"")</f>
        <v/>
      </c>
      <c r="EN102" s="53" t="str">
        <f aca="false">IF(EN93&lt;0,EN86/-EN93,"")</f>
        <v/>
      </c>
      <c r="EO102" s="53" t="str">
        <f aca="false">IF(EO93&lt;0,EO86/-EO93,"")</f>
        <v/>
      </c>
    </row>
    <row r="104" customFormat="false" ht="15" hidden="false" customHeight="false" outlineLevel="0" collapsed="false">
      <c r="A104" s="9" t="s">
        <v>13</v>
      </c>
      <c r="B104" s="9"/>
      <c r="C104" s="9" t="s">
        <v>481</v>
      </c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</row>
    <row r="105" customFormat="false" ht="15" hidden="false" customHeight="false" outlineLevel="0" collapsed="false">
      <c r="C105" s="0" t="s">
        <v>482</v>
      </c>
      <c r="D105" s="11" t="s">
        <v>33</v>
      </c>
      <c r="E105" s="48" t="n">
        <f aca="false">$I96-($I67+$I57+$I68+$I54+$I47+$I48+$I49)</f>
        <v>83080.7577025533</v>
      </c>
      <c r="I105" s="48" t="n">
        <f aca="false">SUM(J105:EO105)</f>
        <v>-83080.7577025533</v>
      </c>
      <c r="J105" s="48" t="n">
        <f aca="false">-$E105*J20</f>
        <v>-0</v>
      </c>
      <c r="K105" s="48" t="n">
        <f aca="false">-$E105*K20</f>
        <v>-0</v>
      </c>
      <c r="L105" s="48" t="n">
        <f aca="false">-$E105*L20</f>
        <v>-0</v>
      </c>
      <c r="M105" s="48" t="n">
        <f aca="false">-$E105*M20</f>
        <v>-0</v>
      </c>
      <c r="N105" s="48" t="n">
        <f aca="false">-$E105*N20</f>
        <v>-0</v>
      </c>
      <c r="O105" s="48" t="n">
        <f aca="false">-$E105*O20</f>
        <v>-0</v>
      </c>
      <c r="P105" s="48" t="n">
        <f aca="false">-$E105*P20</f>
        <v>-0</v>
      </c>
      <c r="Q105" s="48" t="n">
        <f aca="false">-$E105*Q20</f>
        <v>-0</v>
      </c>
      <c r="R105" s="48" t="n">
        <f aca="false">-$E105*R20</f>
        <v>-0</v>
      </c>
      <c r="S105" s="48" t="n">
        <f aca="false">-$E105*S20</f>
        <v>-0</v>
      </c>
      <c r="T105" s="48" t="n">
        <f aca="false">-$E105*T20</f>
        <v>-0</v>
      </c>
      <c r="U105" s="48" t="n">
        <f aca="false">-$E105*U20</f>
        <v>-0</v>
      </c>
      <c r="V105" s="48" t="n">
        <f aca="false">-$E105*V20</f>
        <v>-0</v>
      </c>
      <c r="W105" s="48" t="n">
        <f aca="false">-$E105*W20</f>
        <v>-0</v>
      </c>
      <c r="X105" s="48" t="n">
        <f aca="false">-$E105*X20</f>
        <v>-0</v>
      </c>
      <c r="Y105" s="48" t="n">
        <f aca="false">-$E105*Y20</f>
        <v>-0</v>
      </c>
      <c r="Z105" s="48" t="n">
        <f aca="false">-$E105*Z20</f>
        <v>-1046.32850220875</v>
      </c>
      <c r="AA105" s="48" t="n">
        <f aca="false">-$E105*AA20</f>
        <v>-1023.5822304216</v>
      </c>
      <c r="AB105" s="48" t="n">
        <f aca="false">-$E105*AB20</f>
        <v>-1034.95536631517</v>
      </c>
      <c r="AC105" s="48" t="n">
        <f aca="false">-$E105*AC20</f>
        <v>-1046.32850220875</v>
      </c>
      <c r="AD105" s="48" t="n">
        <f aca="false">-$E105*AD20</f>
        <v>-1046.32850220875</v>
      </c>
      <c r="AE105" s="48" t="n">
        <f aca="false">-$E105*AE20</f>
        <v>-1034.95536631517</v>
      </c>
      <c r="AF105" s="48" t="n">
        <f aca="false">-$E105*AF20</f>
        <v>-1034.95536631517</v>
      </c>
      <c r="AG105" s="48" t="n">
        <f aca="false">-$E105*AG20</f>
        <v>-1046.32850220875</v>
      </c>
      <c r="AH105" s="48" t="n">
        <f aca="false">-$E105*AH20</f>
        <v>-1046.32850220875</v>
      </c>
      <c r="AI105" s="48" t="n">
        <f aca="false">-$E105*AI20</f>
        <v>-1023.5822304216</v>
      </c>
      <c r="AJ105" s="48" t="n">
        <f aca="false">-$E105*AJ20</f>
        <v>-1034.95536631517</v>
      </c>
      <c r="AK105" s="48" t="n">
        <f aca="false">-$E105*AK20</f>
        <v>-1046.32850220875</v>
      </c>
      <c r="AL105" s="48" t="n">
        <f aca="false">-$E105*AL20</f>
        <v>-1046.32850220875</v>
      </c>
      <c r="AM105" s="48" t="n">
        <f aca="false">-$E105*AM20</f>
        <v>-1023.5822304216</v>
      </c>
      <c r="AN105" s="48" t="n">
        <f aca="false">-$E105*AN20</f>
        <v>-1034.95536631517</v>
      </c>
      <c r="AO105" s="48" t="n">
        <f aca="false">-$E105*AO20</f>
        <v>-1046.32850220875</v>
      </c>
      <c r="AP105" s="48" t="n">
        <f aca="false">-$E105*AP20</f>
        <v>-1046.32850220875</v>
      </c>
      <c r="AQ105" s="48" t="n">
        <f aca="false">-$E105*AQ20</f>
        <v>-1023.5822304216</v>
      </c>
      <c r="AR105" s="48" t="n">
        <f aca="false">-$E105*AR20</f>
        <v>-1034.95536631517</v>
      </c>
      <c r="AS105" s="48" t="n">
        <f aca="false">-$E105*AS20</f>
        <v>-1046.32850220875</v>
      </c>
      <c r="AT105" s="48" t="n">
        <f aca="false">-$E105*AT20</f>
        <v>-1046.32850220875</v>
      </c>
      <c r="AU105" s="48" t="n">
        <f aca="false">-$E105*AU20</f>
        <v>-1034.95536631517</v>
      </c>
      <c r="AV105" s="48" t="n">
        <f aca="false">-$E105*AV20</f>
        <v>-1034.95536631517</v>
      </c>
      <c r="AW105" s="48" t="n">
        <f aca="false">-$E105*AW20</f>
        <v>-1046.32850220875</v>
      </c>
      <c r="AX105" s="48" t="n">
        <f aca="false">-$E105*AX20</f>
        <v>-1046.32850220875</v>
      </c>
      <c r="AY105" s="48" t="n">
        <f aca="false">-$E105*AY20</f>
        <v>-1023.5822304216</v>
      </c>
      <c r="AZ105" s="48" t="n">
        <f aca="false">-$E105*AZ20</f>
        <v>-1034.95536631517</v>
      </c>
      <c r="BA105" s="48" t="n">
        <f aca="false">-$E105*BA20</f>
        <v>-1046.32850220875</v>
      </c>
      <c r="BB105" s="48" t="n">
        <f aca="false">-$E105*BB20</f>
        <v>-1046.32850220875</v>
      </c>
      <c r="BC105" s="48" t="n">
        <f aca="false">-$E105*BC20</f>
        <v>-1023.5822304216</v>
      </c>
      <c r="BD105" s="48" t="n">
        <f aca="false">-$E105*BD20</f>
        <v>-1034.95536631517</v>
      </c>
      <c r="BE105" s="48" t="n">
        <f aca="false">-$E105*BE20</f>
        <v>-1046.32850220875</v>
      </c>
      <c r="BF105" s="48" t="n">
        <f aca="false">-$E105*BF20</f>
        <v>-1046.32850220875</v>
      </c>
      <c r="BG105" s="48" t="n">
        <f aca="false">-$E105*BG20</f>
        <v>-1023.5822304216</v>
      </c>
      <c r="BH105" s="48" t="n">
        <f aca="false">-$E105*BH20</f>
        <v>-1034.95536631517</v>
      </c>
      <c r="BI105" s="48" t="n">
        <f aca="false">-$E105*BI20</f>
        <v>-1046.32850220875</v>
      </c>
      <c r="BJ105" s="48" t="n">
        <f aca="false">-$E105*BJ20</f>
        <v>-1046.32850220875</v>
      </c>
      <c r="BK105" s="48" t="n">
        <f aca="false">-$E105*BK20</f>
        <v>-1034.95536631517</v>
      </c>
      <c r="BL105" s="48" t="n">
        <f aca="false">-$E105*BL20</f>
        <v>-1034.95536631517</v>
      </c>
      <c r="BM105" s="48" t="n">
        <f aca="false">-$E105*BM20</f>
        <v>-1046.32850220875</v>
      </c>
      <c r="BN105" s="48" t="n">
        <f aca="false">-$E105*BN20</f>
        <v>-1046.32850220875</v>
      </c>
      <c r="BO105" s="48" t="n">
        <f aca="false">-$E105*BO20</f>
        <v>-1023.5822304216</v>
      </c>
      <c r="BP105" s="48" t="n">
        <f aca="false">-$E105*BP20</f>
        <v>-1034.95536631517</v>
      </c>
      <c r="BQ105" s="48" t="n">
        <f aca="false">-$E105*BQ20</f>
        <v>-1046.32850220875</v>
      </c>
      <c r="BR105" s="48" t="n">
        <f aca="false">-$E105*BR20</f>
        <v>-1046.32850220875</v>
      </c>
      <c r="BS105" s="48" t="n">
        <f aca="false">-$E105*BS20</f>
        <v>-1023.5822304216</v>
      </c>
      <c r="BT105" s="48" t="n">
        <f aca="false">-$E105*BT20</f>
        <v>-1034.95536631517</v>
      </c>
      <c r="BU105" s="48" t="n">
        <f aca="false">-$E105*BU20</f>
        <v>-1046.32850220875</v>
      </c>
      <c r="BV105" s="48" t="n">
        <f aca="false">-$E105*BV20</f>
        <v>-1046.32850220875</v>
      </c>
      <c r="BW105" s="48" t="n">
        <f aca="false">-$E105*BW20</f>
        <v>-1023.5822304216</v>
      </c>
      <c r="BX105" s="48" t="n">
        <f aca="false">-$E105*BX20</f>
        <v>-1034.95536631517</v>
      </c>
      <c r="BY105" s="48" t="n">
        <f aca="false">-$E105*BY20</f>
        <v>-1046.32850220875</v>
      </c>
      <c r="BZ105" s="48" t="n">
        <f aca="false">-$E105*BZ20</f>
        <v>-1046.32850220875</v>
      </c>
      <c r="CA105" s="48" t="n">
        <f aca="false">-$E105*CA20</f>
        <v>-1034.95536631517</v>
      </c>
      <c r="CB105" s="48" t="n">
        <f aca="false">-$E105*CB20</f>
        <v>-1034.95536631517</v>
      </c>
      <c r="CC105" s="48" t="n">
        <f aca="false">-$E105*CC20</f>
        <v>-1046.32850220875</v>
      </c>
      <c r="CD105" s="48" t="n">
        <f aca="false">-$E105*CD20</f>
        <v>-1046.32850220875</v>
      </c>
      <c r="CE105" s="48" t="n">
        <f aca="false">-$E105*CE20</f>
        <v>-1023.5822304216</v>
      </c>
      <c r="CF105" s="48" t="n">
        <f aca="false">-$E105*CF20</f>
        <v>-1034.95536631517</v>
      </c>
      <c r="CG105" s="48" t="n">
        <f aca="false">-$E105*CG20</f>
        <v>-1046.32850220875</v>
      </c>
      <c r="CH105" s="48" t="n">
        <f aca="false">-$E105*CH20</f>
        <v>-1046.32850220875</v>
      </c>
      <c r="CI105" s="48" t="n">
        <f aca="false">-$E105*CI20</f>
        <v>-1023.5822304216</v>
      </c>
      <c r="CJ105" s="48" t="n">
        <f aca="false">-$E105*CJ20</f>
        <v>-1034.95536631517</v>
      </c>
      <c r="CK105" s="48" t="n">
        <f aca="false">-$E105*CK20</f>
        <v>-1046.32850220875</v>
      </c>
      <c r="CL105" s="48" t="n">
        <f aca="false">-$E105*CL20</f>
        <v>-1046.32850220875</v>
      </c>
      <c r="CM105" s="48" t="n">
        <f aca="false">-$E105*CM20</f>
        <v>-1023.5822304216</v>
      </c>
      <c r="CN105" s="48" t="n">
        <f aca="false">-$E105*CN20</f>
        <v>-1034.95536631517</v>
      </c>
      <c r="CO105" s="48" t="n">
        <f aca="false">-$E105*CO20</f>
        <v>-1046.32850220875</v>
      </c>
      <c r="CP105" s="48" t="n">
        <f aca="false">-$E105*CP20</f>
        <v>-1046.32850220875</v>
      </c>
      <c r="CQ105" s="48" t="n">
        <f aca="false">-$E105*CQ20</f>
        <v>-1034.95536631517</v>
      </c>
      <c r="CR105" s="48" t="n">
        <f aca="false">-$E105*CR20</f>
        <v>-1034.95536631517</v>
      </c>
      <c r="CS105" s="48" t="n">
        <f aca="false">-$E105*CS20</f>
        <v>-1046.32850220875</v>
      </c>
      <c r="CT105" s="48" t="n">
        <f aca="false">-$E105*CT20</f>
        <v>-1046.32850220875</v>
      </c>
      <c r="CU105" s="48" t="n">
        <f aca="false">-$E105*CU20</f>
        <v>-1023.5822304216</v>
      </c>
      <c r="CV105" s="48" t="n">
        <f aca="false">-$E105*CV20</f>
        <v>-1034.95536631517</v>
      </c>
      <c r="CW105" s="48" t="n">
        <f aca="false">-$E105*CW20</f>
        <v>-1046.32850220875</v>
      </c>
      <c r="CX105" s="48" t="n">
        <f aca="false">-$E105*CX20</f>
        <v>-1046.32850220875</v>
      </c>
      <c r="CY105" s="48" t="n">
        <f aca="false">-$E105*CY20</f>
        <v>-1023.5822304216</v>
      </c>
      <c r="CZ105" s="48" t="n">
        <f aca="false">-$E105*CZ20</f>
        <v>-1034.95536631517</v>
      </c>
      <c r="DA105" s="48" t="n">
        <f aca="false">-$E105*DA20</f>
        <v>-1046.32850220875</v>
      </c>
      <c r="DB105" s="48" t="n">
        <f aca="false">-$E105*DB20</f>
        <v>-0</v>
      </c>
      <c r="DC105" s="48" t="n">
        <f aca="false">-$E105*DC20</f>
        <v>-0</v>
      </c>
      <c r="DD105" s="48" t="n">
        <f aca="false">-$E105*DD20</f>
        <v>-0</v>
      </c>
      <c r="DE105" s="48" t="n">
        <f aca="false">-$E105*DE20</f>
        <v>-0</v>
      </c>
      <c r="DF105" s="48" t="n">
        <f aca="false">-$E105*DF20</f>
        <v>-0</v>
      </c>
      <c r="DG105" s="48" t="n">
        <f aca="false">-$E105*DG20</f>
        <v>-0</v>
      </c>
      <c r="DH105" s="48" t="n">
        <f aca="false">-$E105*DH20</f>
        <v>-0</v>
      </c>
      <c r="DI105" s="48" t="n">
        <f aca="false">-$E105*DI20</f>
        <v>-0</v>
      </c>
      <c r="DJ105" s="48" t="n">
        <f aca="false">-$E105*DJ20</f>
        <v>-0</v>
      </c>
      <c r="DK105" s="48" t="n">
        <f aca="false">-$E105*DK20</f>
        <v>-0</v>
      </c>
      <c r="DL105" s="48" t="n">
        <f aca="false">-$E105*DL20</f>
        <v>-0</v>
      </c>
      <c r="DM105" s="48" t="n">
        <f aca="false">-$E105*DM20</f>
        <v>-0</v>
      </c>
      <c r="DN105" s="48" t="n">
        <f aca="false">-$E105*DN20</f>
        <v>-0</v>
      </c>
      <c r="DO105" s="48" t="n">
        <f aca="false">-$E105*DO20</f>
        <v>-0</v>
      </c>
      <c r="DP105" s="48" t="n">
        <f aca="false">-$E105*DP20</f>
        <v>-0</v>
      </c>
      <c r="DQ105" s="48" t="n">
        <f aca="false">-$E105*DQ20</f>
        <v>-0</v>
      </c>
      <c r="DR105" s="48" t="n">
        <f aca="false">-$E105*DR20</f>
        <v>-0</v>
      </c>
      <c r="DS105" s="48" t="n">
        <f aca="false">-$E105*DS20</f>
        <v>-0</v>
      </c>
      <c r="DT105" s="48" t="n">
        <f aca="false">-$E105*DT20</f>
        <v>-0</v>
      </c>
      <c r="DU105" s="48" t="n">
        <f aca="false">-$E105*DU20</f>
        <v>-0</v>
      </c>
      <c r="DV105" s="48" t="n">
        <f aca="false">-$E105*DV20</f>
        <v>-0</v>
      </c>
      <c r="DW105" s="48" t="n">
        <f aca="false">-$E105*DW20</f>
        <v>-0</v>
      </c>
      <c r="DX105" s="48" t="n">
        <f aca="false">-$E105*DX20</f>
        <v>-0</v>
      </c>
      <c r="DY105" s="48" t="n">
        <f aca="false">-$E105*DY20</f>
        <v>-0</v>
      </c>
      <c r="DZ105" s="48" t="n">
        <f aca="false">-$E105*DZ20</f>
        <v>-0</v>
      </c>
      <c r="EA105" s="48" t="n">
        <f aca="false">-$E105*EA20</f>
        <v>-0</v>
      </c>
      <c r="EB105" s="48" t="n">
        <f aca="false">-$E105*EB20</f>
        <v>-0</v>
      </c>
      <c r="EC105" s="48" t="n">
        <f aca="false">-$E105*EC20</f>
        <v>-0</v>
      </c>
      <c r="ED105" s="48" t="n">
        <f aca="false">-$E105*ED20</f>
        <v>-0</v>
      </c>
      <c r="EE105" s="48" t="n">
        <f aca="false">-$E105*EE20</f>
        <v>-0</v>
      </c>
      <c r="EF105" s="48" t="n">
        <f aca="false">-$E105*EF20</f>
        <v>-0</v>
      </c>
      <c r="EG105" s="48" t="n">
        <f aca="false">-$E105*EG20</f>
        <v>-0</v>
      </c>
      <c r="EH105" s="48" t="n">
        <f aca="false">-$E105*EH20</f>
        <v>-0</v>
      </c>
      <c r="EI105" s="48" t="n">
        <f aca="false">-$E105*EI20</f>
        <v>-0</v>
      </c>
      <c r="EJ105" s="48" t="n">
        <f aca="false">-$E105*EJ20</f>
        <v>-0</v>
      </c>
      <c r="EK105" s="48" t="n">
        <f aca="false">-$E105*EK20</f>
        <v>-0</v>
      </c>
      <c r="EL105" s="48" t="n">
        <f aca="false">-$E105*EL20</f>
        <v>-0</v>
      </c>
      <c r="EM105" s="48" t="n">
        <f aca="false">-$E105*EM20</f>
        <v>-0</v>
      </c>
      <c r="EN105" s="48" t="n">
        <f aca="false">-$E105*EN20</f>
        <v>-0</v>
      </c>
      <c r="EO105" s="48" t="n">
        <f aca="false">-$E105*EO20</f>
        <v>-0</v>
      </c>
    </row>
    <row r="106" customFormat="false" ht="15" hidden="false" customHeight="false" outlineLevel="0" collapsed="false">
      <c r="C106" s="0" t="s">
        <v>483</v>
      </c>
      <c r="D106" s="11" t="s">
        <v>33</v>
      </c>
      <c r="I106" s="48" t="n">
        <f aca="false">SUM(J106:EO106)</f>
        <v>187609.540202044</v>
      </c>
      <c r="J106" s="48" t="n">
        <f aca="false">J82+J105+J92+J99+J100+J51+J58</f>
        <v>-12.8099380746857</v>
      </c>
      <c r="K106" s="48" t="n">
        <f aca="false">K82+K105+K92+K99+K100+K51+K58</f>
        <v>-19.6746856821167</v>
      </c>
      <c r="L106" s="48" t="n">
        <f aca="false">L82+L105+L92+L99+L100+L51+L58</f>
        <v>-33.1554888346782</v>
      </c>
      <c r="M106" s="48" t="n">
        <f aca="false">M82+M105+M92+M99+M100+M51+M58</f>
        <v>-33.5198348658285</v>
      </c>
      <c r="N106" s="48" t="n">
        <f aca="false">N82+N105+N92+N99+N100+N51+N58</f>
        <v>-33.5198348658285</v>
      </c>
      <c r="O106" s="48" t="n">
        <f aca="false">O82+O105+O92+O99+O100+O51+O58</f>
        <v>-33.1554888346782</v>
      </c>
      <c r="P106" s="48" t="n">
        <f aca="false">P82+P105+P92+P99+P100+P51+P58</f>
        <v>-33.1554888346782</v>
      </c>
      <c r="Q106" s="48" t="n">
        <f aca="false">Q82+Q105+Q92+Q99+Q100+Q51+Q58</f>
        <v>-33.5198348658285</v>
      </c>
      <c r="R106" s="48" t="n">
        <f aca="false">R82+R105+R92+R99+R100+R51+R58</f>
        <v>-928.575842568013</v>
      </c>
      <c r="S106" s="48" t="n">
        <f aca="false">S82+S105+S92+S99+S100+S51+S58</f>
        <v>-156.507584054135</v>
      </c>
      <c r="T106" s="48" t="n">
        <f aca="false">T82+T105+T92+T99+T100+T51+T58</f>
        <v>-138.336002143563</v>
      </c>
      <c r="U106" s="48" t="n">
        <f aca="false">U82+U105+U92+U99+U100+U51+U58</f>
        <v>-129.790754824659</v>
      </c>
      <c r="V106" s="48" t="n">
        <f aca="false">V82+V105+V92+V99+V100+V51+V58</f>
        <v>-119.614722612237</v>
      </c>
      <c r="W106" s="48" t="n">
        <f aca="false">W82+W105+W92+W99+W100+W51+W58</f>
        <v>-108.101519607337</v>
      </c>
      <c r="X106" s="48" t="n">
        <f aca="false">X82+X105+X92+X99+X100+X51+X58</f>
        <v>-99.4560379834396</v>
      </c>
      <c r="Y106" s="48" t="n">
        <f aca="false">Y82+Y105+Y92+Y99+Y100+Y51+Y58</f>
        <v>-90.4835383111278</v>
      </c>
      <c r="Z106" s="48" t="n">
        <f aca="false">Z82+Z105+Z92+Z99+Z100+Z51+Z58</f>
        <v>772.499403042138</v>
      </c>
      <c r="AA106" s="48" t="n">
        <f aca="false">AA82+AA105+AA92+AA99+AA100+AA51+AA58</f>
        <v>764.551637340443</v>
      </c>
      <c r="AB106" s="48" t="n">
        <f aca="false">AB82+AB105+AB92+AB99+AB100+AB51+AB58</f>
        <v>783.715332566449</v>
      </c>
      <c r="AC106" s="48" t="n">
        <f aca="false">AC82+AC105+AC92+AC99+AC100+AC51+AC58</f>
        <v>803.060523206031</v>
      </c>
      <c r="AD106" s="48" t="n">
        <f aca="false">AD82+AD105+AD92+AD99+AD100+AD51+AD58</f>
        <v>799.64636913444</v>
      </c>
      <c r="AE106" s="48" t="n">
        <f aca="false">AE82+AE105+AE92+AE99+AE100+AE51+AE58</f>
        <v>806.218702228297</v>
      </c>
      <c r="AF106" s="48" t="n">
        <f aca="false">AF82+AF105+AF92+AF99+AF100+AF51+AF58</f>
        <v>811.038962512587</v>
      </c>
      <c r="AG106" s="48" t="n">
        <f aca="false">AG82+AG105+AG92+AG99+AG100+AG51+AG58</f>
        <v>830.435642498543</v>
      </c>
      <c r="AH106" s="48" t="n">
        <f aca="false">AH82+AH105+AH92+AH99+AH100+AH51+AH58</f>
        <v>826.9296792321</v>
      </c>
      <c r="AI106" s="48" t="n">
        <f aca="false">AI82+AI105+AI92+AI99+AI100+AI51+AI58</f>
        <v>818.607924886888</v>
      </c>
      <c r="AJ106" s="48" t="n">
        <f aca="false">AJ82+AJ105+AJ92+AJ99+AJ100+AJ51+AJ58</f>
        <v>871.326688267441</v>
      </c>
      <c r="AK106" s="48" t="n">
        <f aca="false">AK82+AK105+AK92+AK99+AK100+AK51+AK58</f>
        <v>891.573872169264</v>
      </c>
      <c r="AL106" s="48" t="n">
        <f aca="false">AL82+AL105+AL92+AL99+AL100+AL51+AL58</f>
        <v>888.426732651239</v>
      </c>
      <c r="AM106" s="48" t="n">
        <f aca="false">AM82+AM105+AM92+AM99+AM100+AM51+AM58</f>
        <v>879.485517664774</v>
      </c>
      <c r="AN106" s="48" t="n">
        <f aca="false">AN82+AN105+AN92+AN99+AN100+AN51+AN58</f>
        <v>899.908807819455</v>
      </c>
      <c r="AO106" s="48" t="n">
        <f aca="false">AO82+AO105+AO92+AO99+AO100+AO51+AO58</f>
        <v>920.516640144421</v>
      </c>
      <c r="AP106" s="48" t="n">
        <f aca="false">AP82+AP105+AP92+AP99+AP100+AP51+AP58</f>
        <v>917.601865595978</v>
      </c>
      <c r="AQ106" s="48" t="n">
        <f aca="false">AQ82+AQ105+AQ92+AQ99+AQ100+AQ51+AQ58</f>
        <v>908.63934482489</v>
      </c>
      <c r="AR106" s="48" t="n">
        <f aca="false">AR82+AR105+AR92+AR99+AR100+AR51+AR58</f>
        <v>929.429817143942</v>
      </c>
      <c r="AS106" s="48" t="n">
        <f aca="false">AS82+AS105+AS92+AS99+AS100+AS51+AS58</f>
        <v>950.408580226029</v>
      </c>
      <c r="AT106" s="48" t="n">
        <f aca="false">AT82+AT105+AT92+AT99+AT100+AT51+AT58</f>
        <v>947.738743129487</v>
      </c>
      <c r="AU106" s="48" t="n">
        <f aca="false">AU82+AU105+AU92+AU99+AU100+AU51+AU58</f>
        <v>953.987180482792</v>
      </c>
      <c r="AV106" s="48" t="n">
        <f aca="false">AV82+AV105+AV92+AV99+AV100+AV51+AV58</f>
        <v>960.055627143369</v>
      </c>
      <c r="AW106" s="48" t="n">
        <f aca="false">AW82+AW105+AW92+AW99+AW100+AW51+AW58</f>
        <v>981.41752479953</v>
      </c>
      <c r="AX106" s="48" t="n">
        <f aca="false">AX82+AX105+AX92+AX99+AX100+AX51+AX58</f>
        <v>979.007230130316</v>
      </c>
      <c r="AY106" s="48" t="n">
        <f aca="false">AY82+AY105+AY92+AY99+AY100+AY51+AY58</f>
        <v>970.034377573379</v>
      </c>
      <c r="AZ106" s="48" t="n">
        <f aca="false">AZ82+AZ105+AZ92+AZ99+AZ100+AZ51+AZ58</f>
        <v>991.593076710098</v>
      </c>
      <c r="BA106" s="48" t="n">
        <f aca="false">BA82+BA105+BA92+BA99+BA100+BA51+BA58</f>
        <v>1013.34801615721</v>
      </c>
      <c r="BB106" s="48" t="n">
        <f aca="false">BB82+BB105+BB92+BB99+BB100+BB51+BB58</f>
        <v>1011.20963615096</v>
      </c>
      <c r="BC106" s="48" t="n">
        <f aca="false">BC82+BC105+BC92+BC99+BC100+BC51+BC58</f>
        <v>1002.24747425591</v>
      </c>
      <c r="BD106" s="48" t="n">
        <f aca="false">BD82+BD105+BD92+BD99+BD100+BD51+BD58</f>
        <v>1024.20683005899</v>
      </c>
      <c r="BE106" s="48" t="n">
        <f aca="false">BE82+BE105+BE92+BE99+BE100+BE51+BE58</f>
        <v>1046.36662388743</v>
      </c>
      <c r="BF106" s="48" t="n">
        <f aca="false">BF82+BF105+BF92+BF99+BF100+BF51+BF58</f>
        <v>1044.51455181838</v>
      </c>
      <c r="BG106" s="48" t="n">
        <f aca="false">BG82+BG105+BG92+BG99+BG100+BG51+BG58</f>
        <v>1035.57488825102</v>
      </c>
      <c r="BH106" s="48" t="n">
        <f aca="false">BH82+BH105+BH92+BH99+BH100+BH51+BH58</f>
        <v>1057.94711039109</v>
      </c>
      <c r="BI106" s="48" t="n">
        <f aca="false">BI82+BI105+BI92+BI99+BI100+BI51+BI58</f>
        <v>1080.52413167558</v>
      </c>
      <c r="BJ106" s="48" t="n">
        <f aca="false">BJ82+BJ105+BJ92+BJ99+BJ100+BJ51+BJ58</f>
        <v>1078.97342368451</v>
      </c>
      <c r="BK106" s="48" t="n">
        <f aca="false">BK82+BK105+BK92+BK99+BK100+BK51+BK58</f>
        <v>1085.55746531446</v>
      </c>
      <c r="BL106" s="48" t="n">
        <f aca="false">BL82+BL105+BL92+BL99+BL100+BL51+BL58</f>
        <v>1092.99005780357</v>
      </c>
      <c r="BM106" s="48" t="n">
        <f aca="false">BM82+BM105+BM92+BM99+BM100+BM51+BM58</f>
        <v>1115.99871823734</v>
      </c>
      <c r="BN106" s="48" t="n">
        <f aca="false">BN82+BN105+BN92+BN99+BN100+BN51+BN58</f>
        <v>1114.76659140258</v>
      </c>
      <c r="BO106" s="48" t="n">
        <f aca="false">BO82+BO105+BO92+BO99+BO100+BO51+BO58</f>
        <v>1105.91137533394</v>
      </c>
      <c r="BP106" s="48" t="n">
        <f aca="false">BP82+BP105+BP92+BP99+BP100+BP51+BP58</f>
        <v>1129.14981299773</v>
      </c>
      <c r="BQ106" s="48" t="n">
        <f aca="false">BQ82+BQ105+BQ92+BQ99+BQ100+BQ51+BQ58</f>
        <v>1152.60231035185</v>
      </c>
      <c r="BR106" s="48" t="n">
        <f aca="false">BR82+BR105+BR92+BR99+BR100+BR51+BR58</f>
        <v>1151.70384284171</v>
      </c>
      <c r="BS106" s="48" t="n">
        <f aca="false">BS82+BS105+BS92+BS99+BS100+BS51+BS58</f>
        <v>1142.91051088761</v>
      </c>
      <c r="BT106" s="48" t="n">
        <f aca="false">BT82+BT105+BT92+BT99+BT100+BT51+BT58</f>
        <v>1166.6021167884</v>
      </c>
      <c r="BU106" s="48" t="n">
        <f aca="false">BU82+BU105+BU92+BU99+BU100+BU51+BU58</f>
        <v>1190.51268114391</v>
      </c>
      <c r="BV106" s="48" t="n">
        <f aca="false">BV82+BV105+BV92+BV99+BV100+BV51+BV58</f>
        <v>1189.96511102742</v>
      </c>
      <c r="BW106" s="48" t="n">
        <f aca="false">BW82+BW105+BW92+BW99+BW100+BW51+BW58</f>
        <v>1181.24817433713</v>
      </c>
      <c r="BX106" s="48" t="n">
        <f aca="false">BX82+BX105+BX92+BX99+BX100+BX51+BX58</f>
        <v>1205.40766303009</v>
      </c>
      <c r="BY106" s="48" t="n">
        <f aca="false">BY82+BY105+BY92+BY99+BY100+BY51+BY58</f>
        <v>1229.79120469312</v>
      </c>
      <c r="BZ106" s="48" t="n">
        <f aca="false">BZ82+BZ105+BZ92+BZ99+BZ100+BZ51+BZ58</f>
        <v>1229.61256474785</v>
      </c>
      <c r="CA106" s="48" t="n">
        <f aca="false">CA82+CA105+CA92+CA99+CA100+CA51+CA58</f>
        <v>1236.69670391463</v>
      </c>
      <c r="CB106" s="48" t="n">
        <f aca="false">CB82+CB105+CB92+CB99+CB100+CB51+CB58</f>
        <v>1245.75451179004</v>
      </c>
      <c r="CC106" s="48" t="n">
        <f aca="false">CC82+CC105+CC92+CC99+CC100+CC51+CC58</f>
        <v>1270.62811636771</v>
      </c>
      <c r="CD106" s="48" t="n">
        <f aca="false">CD82+CD105+CD92+CD99+CD100+CD51+CD58</f>
        <v>1270.83874955786</v>
      </c>
      <c r="CE106" s="48" t="n">
        <f aca="false">CE82+CE105+CE92+CE99+CE100+CE51+CE58</f>
        <v>1262.32270181882</v>
      </c>
      <c r="CF106" s="48" t="n">
        <f aca="false">CF82+CF105+CF92+CF99+CF100+CF51+CF58</f>
        <v>1287.4664673995</v>
      </c>
      <c r="CG106" s="48" t="n">
        <f aca="false">CG82+CG105+CG92+CG99+CG100+CG51+CG58</f>
        <v>1312.8451166754</v>
      </c>
      <c r="CH106" s="48" t="n">
        <f aca="false">CH82+CH105+CH92+CH99+CH100+CH51+CH58</f>
        <v>1313.46334968125</v>
      </c>
      <c r="CI106" s="48" t="n">
        <f aca="false">CI82+CI105+CI92+CI99+CI100+CI51+CI58</f>
        <v>1305.07199842097</v>
      </c>
      <c r="CJ106" s="48" t="n">
        <f aca="false">CJ82+CJ105+CJ92+CJ99+CJ100+CJ51+CJ58</f>
        <v>1330.73223283817</v>
      </c>
      <c r="CK106" s="48" t="n">
        <f aca="false">CK82+CK105+CK92+CK99+CK100+CK51+CK58</f>
        <v>1356.6330896616</v>
      </c>
      <c r="CL106" s="48" t="n">
        <f aca="false">CL82+CL105+CL92+CL99+CL100+CL51+CL58</f>
        <v>1357.679571081</v>
      </c>
      <c r="CM106" s="48" t="n">
        <f aca="false">CM82+CM105+CM92+CM99+CM100+CM51+CM58</f>
        <v>1349.43068886587</v>
      </c>
      <c r="CN106" s="48" t="n">
        <f aca="false">CN82+CN105+CN92+CN99+CN100+CN51+CN58</f>
        <v>1375.62514543027</v>
      </c>
      <c r="CO106" s="48" t="n">
        <f aca="false">CO82+CO105+CO92+CO99+CO100+CO51+CO58</f>
        <v>1402.06619780135</v>
      </c>
      <c r="CP106" s="48" t="n">
        <f aca="false">CP82+CP105+CP92+CP99+CP100+CP51+CP58</f>
        <v>1403.56252936909</v>
      </c>
      <c r="CQ106" s="48" t="n">
        <f aca="false">CQ82+CQ105+CQ92+CQ99+CQ100+CQ51+CQ58</f>
        <v>1411.35228922405</v>
      </c>
      <c r="CR106" s="48" t="n">
        <f aca="false">CR82+CR105+CR92+CR99+CR100+CR51+CR58</f>
        <v>1422.34723761591</v>
      </c>
      <c r="CS106" s="48" t="n">
        <f aca="false">CS82+CS105+CS92+CS99+CS100+CS51+CS58</f>
        <v>1449.34880928072</v>
      </c>
      <c r="CT106" s="48" t="n">
        <f aca="false">CT82+CT105+CT92+CT99+CT100+CT51+CT58</f>
        <v>1451.31907734168</v>
      </c>
      <c r="CU106" s="48" t="n">
        <f aca="false">CU82+CU105+CU92+CU99+CU100+CU51+CU58</f>
        <v>1431.94036090531</v>
      </c>
      <c r="CV106" s="48" t="n">
        <f aca="false">CV82+CV105+CV92+CV99+CV100+CV51+CV58</f>
        <v>1447.85080935981</v>
      </c>
      <c r="CW106" s="48" t="n">
        <f aca="false">CW82+CW105+CW92+CW99+CW100+CW51+CW58</f>
        <v>1463.76125781431</v>
      </c>
      <c r="CX106" s="48" t="n">
        <f aca="false">CX82+CX105+CX92+CX99+CX100+CX51+CX58</f>
        <v>1454.29532974987</v>
      </c>
      <c r="CY106" s="48" t="n">
        <f aca="false">CY82+CY105+CY92+CY99+CY100+CY51+CY58</f>
        <v>1434.55941677741</v>
      </c>
      <c r="CZ106" s="48" t="n">
        <f aca="false">CZ82+CZ105+CZ92+CZ99+CZ100+CZ51+CZ58</f>
        <v>1450.49896585272</v>
      </c>
      <c r="DA106" s="48" t="n">
        <f aca="false">DA82+DA105+DA92+DA99+DA100+DA51+DA58</f>
        <v>1466.43851492802</v>
      </c>
      <c r="DB106" s="48" t="n">
        <f aca="false">DB82+DB105+DB92+DB99+DB100+DB51+DB58</f>
        <v>2503.24466583138</v>
      </c>
      <c r="DC106" s="48" t="n">
        <f aca="false">DC82+DC105+DC92+DC99+DC100+DC51+DC58</f>
        <v>2460.4018457948</v>
      </c>
      <c r="DD106" s="48" t="n">
        <f aca="false">DD82+DD105+DD92+DD99+DD100+DD51+DD58</f>
        <v>2487.73964408141</v>
      </c>
      <c r="DE106" s="48" t="n">
        <f aca="false">DE82+DE105+DE92+DE99+DE100+DE51+DE58</f>
        <v>2515.07744236801</v>
      </c>
      <c r="DF106" s="48" t="n">
        <f aca="false">DF82+DF105+DF92+DF99+DF100+DF51+DF58</f>
        <v>2505.49855853058</v>
      </c>
      <c r="DG106" s="48" t="n">
        <f aca="false">DG82+DG105+DG92+DG99+DG100+DG51+DG58</f>
        <v>2489.65041143909</v>
      </c>
      <c r="DH106" s="48" t="n">
        <f aca="false">DH82+DH105+DH92+DH99+DH100+DH51+DH58</f>
        <v>2489.65041143909</v>
      </c>
      <c r="DI106" s="48" t="n">
        <f aca="false">DI82+DI105+DI92+DI99+DI100+DI51+DI58</f>
        <v>2517.00920716919</v>
      </c>
      <c r="DJ106" s="48" t="n">
        <f aca="false">DJ82+DJ105+DJ92+DJ99+DJ100+DJ51+DJ58</f>
        <v>2507.37368674959</v>
      </c>
      <c r="DK106" s="48" t="n">
        <f aca="false">DK82+DK105+DK92+DK99+DK100+DK51+DK58</f>
        <v>2463.79908392978</v>
      </c>
      <c r="DL106" s="48" t="n">
        <f aca="false">DL82+DL105+DL92+DL99+DL100+DL51+DL58</f>
        <v>2491.17462930678</v>
      </c>
      <c r="DM106" s="48" t="n">
        <f aca="false">DM82+DM105+DM92+DM99+DM100+DM51+DM58</f>
        <v>2518.55017468377</v>
      </c>
      <c r="DN106" s="48" t="n">
        <f aca="false">DN82+DN105+DN92+DN99+DN100+DN51+DN58</f>
        <v>2508.85791904168</v>
      </c>
      <c r="DO106" s="48" t="n">
        <f aca="false">DO82+DO105+DO92+DO99+DO100+DO51+DO58</f>
        <v>2464.91206834606</v>
      </c>
      <c r="DP106" s="48" t="n">
        <f aca="false">DP82+DP105+DP92+DP99+DP100+DP51+DP58</f>
        <v>2492.29998021657</v>
      </c>
      <c r="DQ106" s="48" t="n">
        <f aca="false">DQ82+DQ105+DQ92+DQ99+DQ100+DQ51+DQ58</f>
        <v>2519.68789208708</v>
      </c>
      <c r="DR106" s="48" t="n">
        <f aca="false">DR82+DR105+DR92+DR99+DR100+DR51+DR58</f>
        <v>2509.93880816482</v>
      </c>
      <c r="DS106" s="48" t="n">
        <f aca="false">DS82+DS105+DS92+DS99+DS100+DS51+DS58</f>
        <v>2465.61807007059</v>
      </c>
      <c r="DT106" s="48" t="n">
        <f aca="false">DT82+DT105+DT92+DT99+DT100+DT51+DT58</f>
        <v>2493.0138264047</v>
      </c>
      <c r="DU106" s="48" t="n">
        <f aca="false">DU82+DU105+DU92+DU99+DU100+DU51+DU58</f>
        <v>2520.40958273882</v>
      </c>
      <c r="DV106" s="48" t="n">
        <f aca="false">DV82+DV105+DV92+DV99+DV100+DV51+DV58</f>
        <v>2510.60358323846</v>
      </c>
      <c r="DW106" s="48" t="n">
        <f aca="false">DW82+DW105+DW92+DW99+DW100+DW51+DW58</f>
        <v>2493.30320185874</v>
      </c>
      <c r="DX106" s="48" t="n">
        <f aca="false">DX82+DX105+DX92+DX99+DX100+DX51+DX58</f>
        <v>2493.30320185874</v>
      </c>
      <c r="DY106" s="48" t="n">
        <f aca="false">DY82+DY105+DY92+DY99+DY100+DY51+DY58</f>
        <v>2520.7021381429</v>
      </c>
      <c r="DZ106" s="48" t="n">
        <f aca="false">DZ82+DZ105+DZ92+DZ99+DZ100+DZ51+DZ58</f>
        <v>2510.83914170753</v>
      </c>
      <c r="EA106" s="48" t="n">
        <f aca="false">EA82+EA105+EA92+EA99+EA100+EA51+EA58</f>
        <v>2465.75749862902</v>
      </c>
      <c r="EB106" s="48" t="n">
        <f aca="false">EB82+EB105+EB92+EB99+EB100+EB51+EB58</f>
        <v>2493.15480416934</v>
      </c>
      <c r="EC106" s="48" t="n">
        <f aca="false">EC82+EC105+EC92+EC99+EC100+EC51+EC58</f>
        <v>2520.55210970967</v>
      </c>
      <c r="ED106" s="48" t="n">
        <f aca="false">ED82+ED105+ED92+ED99+ED100+ED51+ED58</f>
        <v>2510.63204110907</v>
      </c>
      <c r="EE106" s="48" t="n">
        <f aca="false">EE82+EE105+EE92+EE99+EE100+EE51+EE58</f>
        <v>2465.16427204806</v>
      </c>
      <c r="EF106" s="48" t="n">
        <f aca="false">EF82+EF105+EF92+EF99+EF100+EF51+EF58</f>
        <v>2492.55498618193</v>
      </c>
      <c r="EG106" s="48" t="n">
        <f aca="false">EG82+EG105+EG92+EG99+EG100+EG51+EG58</f>
        <v>2519.9457003158</v>
      </c>
      <c r="EH106" s="48" t="n">
        <f aca="false">EH82+EH105+EH92+EH99+EH100+EH51+EH58</f>
        <v>2509.96849063659</v>
      </c>
      <c r="EI106" s="48" t="n">
        <f aca="false">EI82+EI105+EI92+EI99+EI100+EI51+EI58</f>
        <v>2464.11073922956</v>
      </c>
      <c r="EJ106" s="48" t="n">
        <f aca="false">EJ82+EJ105+EJ92+EJ99+EJ100+EJ51+EJ58</f>
        <v>2491.48974744322</v>
      </c>
      <c r="EK106" s="48" t="n">
        <f aca="false">EK82+EK105+EK92+EK99+EK100+EK51+EK58</f>
        <v>2518.86875565688</v>
      </c>
      <c r="EL106" s="48" t="n">
        <f aca="false">EL82+EL105+EL92+EL99+EL100+EL51+EL58</f>
        <v>2508.83434249719</v>
      </c>
      <c r="EM106" s="48" t="n">
        <f aca="false">EM82+EM105+EM92+EM99+EM100+EM51+EM58</f>
        <v>2489.94472543768</v>
      </c>
      <c r="EN106" s="48" t="n">
        <f aca="false">EN82+EN105+EN92+EN99+EN100+EN51+EN58</f>
        <v>2489.94472543768</v>
      </c>
      <c r="EO106" s="48" t="n">
        <f aca="false">EO82+EO105+EO92+EO99+EO100+EO51+EO58</f>
        <v>2517.30675538754</v>
      </c>
    </row>
    <row r="107" customFormat="false" ht="15" hidden="false" customHeight="false" outlineLevel="0" collapsed="false">
      <c r="C107" s="0" t="s">
        <v>484</v>
      </c>
      <c r="D107" s="11" t="s">
        <v>33</v>
      </c>
      <c r="J107" s="18" t="n">
        <f aca="false">I111</f>
        <v>0</v>
      </c>
      <c r="K107" s="18" t="n">
        <f aca="false">J111</f>
        <v>12.8099380746857</v>
      </c>
      <c r="L107" s="18" t="n">
        <f aca="false">K111</f>
        <v>32.4846237568024</v>
      </c>
      <c r="M107" s="18" t="n">
        <f aca="false">L111</f>
        <v>65.6401125914806</v>
      </c>
      <c r="N107" s="18" t="n">
        <f aca="false">M111</f>
        <v>99.1599474573091</v>
      </c>
      <c r="O107" s="18" t="n">
        <f aca="false">N111</f>
        <v>132.679782323138</v>
      </c>
      <c r="P107" s="18" t="n">
        <f aca="false">O111</f>
        <v>165.835271157816</v>
      </c>
      <c r="Q107" s="18" t="n">
        <f aca="false">P111</f>
        <v>198.990759992494</v>
      </c>
      <c r="R107" s="18" t="n">
        <f aca="false">Q111</f>
        <v>232.510594858322</v>
      </c>
      <c r="S107" s="18" t="n">
        <f aca="false">R111</f>
        <v>1161.08643742634</v>
      </c>
      <c r="T107" s="18" t="n">
        <f aca="false">S111</f>
        <v>1317.59402148047</v>
      </c>
      <c r="U107" s="18" t="n">
        <f aca="false">T111</f>
        <v>1455.93002362403</v>
      </c>
      <c r="V107" s="18" t="n">
        <f aca="false">U111</f>
        <v>1585.72077844869</v>
      </c>
      <c r="W107" s="18" t="n">
        <f aca="false">V111</f>
        <v>1705.33550106093</v>
      </c>
      <c r="X107" s="18" t="n">
        <f aca="false">W111</f>
        <v>1813.43702066827</v>
      </c>
      <c r="Y107" s="18" t="n">
        <f aca="false">X111</f>
        <v>1912.89305865171</v>
      </c>
      <c r="Z107" s="18" t="n">
        <f aca="false">Y111</f>
        <v>2003.37659696283</v>
      </c>
      <c r="AA107" s="18" t="n">
        <f aca="false">Z111</f>
        <v>1617.12689544177</v>
      </c>
      <c r="AB107" s="18" t="n">
        <f aca="false">AA111</f>
        <v>1234.85107677154</v>
      </c>
      <c r="AC107" s="18" t="n">
        <f aca="false">AB111</f>
        <v>842.99341048832</v>
      </c>
      <c r="AD107" s="18" t="n">
        <f aca="false">AC111</f>
        <v>441.463148885304</v>
      </c>
      <c r="AE107" s="18" t="n">
        <f aca="false">AD111</f>
        <v>41.6399643180844</v>
      </c>
      <c r="AF107" s="18" t="n">
        <f aca="false">AE111</f>
        <v>0</v>
      </c>
      <c r="AG107" s="18" t="n">
        <f aca="false">AF111</f>
        <v>0</v>
      </c>
      <c r="AH107" s="18" t="n">
        <f aca="false">AG111</f>
        <v>0</v>
      </c>
      <c r="AI107" s="18" t="n">
        <f aca="false">AH111</f>
        <v>0</v>
      </c>
      <c r="AJ107" s="18" t="n">
        <f aca="false">AI111</f>
        <v>0</v>
      </c>
      <c r="AK107" s="18" t="n">
        <f aca="false">AJ111</f>
        <v>0</v>
      </c>
      <c r="AL107" s="18" t="n">
        <f aca="false">AK111</f>
        <v>0</v>
      </c>
      <c r="AM107" s="18" t="n">
        <f aca="false">AL111</f>
        <v>0</v>
      </c>
      <c r="AN107" s="18" t="n">
        <f aca="false">AM111</f>
        <v>0</v>
      </c>
      <c r="AO107" s="18" t="n">
        <f aca="false">AN111</f>
        <v>0</v>
      </c>
      <c r="AP107" s="18" t="n">
        <f aca="false">AO111</f>
        <v>0</v>
      </c>
      <c r="AQ107" s="18" t="n">
        <f aca="false">AP111</f>
        <v>0</v>
      </c>
      <c r="AR107" s="18" t="n">
        <f aca="false">AQ111</f>
        <v>0</v>
      </c>
      <c r="AS107" s="18" t="n">
        <f aca="false">AR111</f>
        <v>0</v>
      </c>
      <c r="AT107" s="18" t="n">
        <f aca="false">AS111</f>
        <v>0</v>
      </c>
      <c r="AU107" s="18" t="n">
        <f aca="false">AT111</f>
        <v>0</v>
      </c>
      <c r="AV107" s="18" t="n">
        <f aca="false">AU111</f>
        <v>0</v>
      </c>
      <c r="AW107" s="18" t="n">
        <f aca="false">AV111</f>
        <v>0</v>
      </c>
      <c r="AX107" s="18" t="n">
        <f aca="false">AW111</f>
        <v>0</v>
      </c>
      <c r="AY107" s="18" t="n">
        <f aca="false">AX111</f>
        <v>0</v>
      </c>
      <c r="AZ107" s="18" t="n">
        <f aca="false">AY111</f>
        <v>0</v>
      </c>
      <c r="BA107" s="18" t="n">
        <f aca="false">AZ111</f>
        <v>0</v>
      </c>
      <c r="BB107" s="18" t="n">
        <f aca="false">BA111</f>
        <v>0</v>
      </c>
      <c r="BC107" s="18" t="n">
        <f aca="false">BB111</f>
        <v>0</v>
      </c>
      <c r="BD107" s="18" t="n">
        <f aca="false">BC111</f>
        <v>0</v>
      </c>
      <c r="BE107" s="18" t="n">
        <f aca="false">BD111</f>
        <v>0</v>
      </c>
      <c r="BF107" s="18" t="n">
        <f aca="false">BE111</f>
        <v>0</v>
      </c>
      <c r="BG107" s="18" t="n">
        <f aca="false">BF111</f>
        <v>0</v>
      </c>
      <c r="BH107" s="18" t="n">
        <f aca="false">BG111</f>
        <v>0</v>
      </c>
      <c r="BI107" s="18" t="n">
        <f aca="false">BH111</f>
        <v>0</v>
      </c>
      <c r="BJ107" s="18" t="n">
        <f aca="false">BI111</f>
        <v>0</v>
      </c>
      <c r="BK107" s="18" t="n">
        <f aca="false">BJ111</f>
        <v>0</v>
      </c>
      <c r="BL107" s="18" t="n">
        <f aca="false">BK111</f>
        <v>0</v>
      </c>
      <c r="BM107" s="18" t="n">
        <f aca="false">BL111</f>
        <v>0</v>
      </c>
      <c r="BN107" s="18" t="n">
        <f aca="false">BM111</f>
        <v>0</v>
      </c>
      <c r="BO107" s="18" t="n">
        <f aca="false">BN111</f>
        <v>0</v>
      </c>
      <c r="BP107" s="18" t="n">
        <f aca="false">BO111</f>
        <v>0</v>
      </c>
      <c r="BQ107" s="18" t="n">
        <f aca="false">BP111</f>
        <v>0</v>
      </c>
      <c r="BR107" s="18" t="n">
        <f aca="false">BQ111</f>
        <v>0</v>
      </c>
      <c r="BS107" s="18" t="n">
        <f aca="false">BR111</f>
        <v>0</v>
      </c>
      <c r="BT107" s="18" t="n">
        <f aca="false">BS111</f>
        <v>0</v>
      </c>
      <c r="BU107" s="18" t="n">
        <f aca="false">BT111</f>
        <v>0</v>
      </c>
      <c r="BV107" s="18" t="n">
        <f aca="false">BU111</f>
        <v>0</v>
      </c>
      <c r="BW107" s="18" t="n">
        <f aca="false">BV111</f>
        <v>0</v>
      </c>
      <c r="BX107" s="18" t="n">
        <f aca="false">BW111</f>
        <v>0</v>
      </c>
      <c r="BY107" s="18" t="n">
        <f aca="false">BX111</f>
        <v>0</v>
      </c>
      <c r="BZ107" s="18" t="n">
        <f aca="false">BY111</f>
        <v>0</v>
      </c>
      <c r="CA107" s="18" t="n">
        <f aca="false">BZ111</f>
        <v>0</v>
      </c>
      <c r="CB107" s="18" t="n">
        <f aca="false">CA111</f>
        <v>0</v>
      </c>
      <c r="CC107" s="18" t="n">
        <f aca="false">CB111</f>
        <v>0</v>
      </c>
      <c r="CD107" s="18" t="n">
        <f aca="false">CC111</f>
        <v>0</v>
      </c>
      <c r="CE107" s="18" t="n">
        <f aca="false">CD111</f>
        <v>0</v>
      </c>
      <c r="CF107" s="18" t="n">
        <f aca="false">CE111</f>
        <v>0</v>
      </c>
      <c r="CG107" s="18" t="n">
        <f aca="false">CF111</f>
        <v>0</v>
      </c>
      <c r="CH107" s="18" t="n">
        <f aca="false">CG111</f>
        <v>0</v>
      </c>
      <c r="CI107" s="18" t="n">
        <f aca="false">CH111</f>
        <v>0</v>
      </c>
      <c r="CJ107" s="18" t="n">
        <f aca="false">CI111</f>
        <v>0</v>
      </c>
      <c r="CK107" s="18" t="n">
        <f aca="false">CJ111</f>
        <v>0</v>
      </c>
      <c r="CL107" s="18" t="n">
        <f aca="false">CK111</f>
        <v>0</v>
      </c>
      <c r="CM107" s="18" t="n">
        <f aca="false">CL111</f>
        <v>0</v>
      </c>
      <c r="CN107" s="18" t="n">
        <f aca="false">CM111</f>
        <v>0</v>
      </c>
      <c r="CO107" s="18" t="n">
        <f aca="false">CN111</f>
        <v>0</v>
      </c>
      <c r="CP107" s="18" t="n">
        <f aca="false">CO111</f>
        <v>0</v>
      </c>
      <c r="CQ107" s="18" t="n">
        <f aca="false">CP111</f>
        <v>0</v>
      </c>
      <c r="CR107" s="18" t="n">
        <f aca="false">CQ111</f>
        <v>0</v>
      </c>
      <c r="CS107" s="18" t="n">
        <f aca="false">CR111</f>
        <v>0</v>
      </c>
      <c r="CT107" s="18" t="n">
        <f aca="false">CS111</f>
        <v>0</v>
      </c>
      <c r="CU107" s="18" t="n">
        <f aca="false">CT111</f>
        <v>0</v>
      </c>
      <c r="CV107" s="18" t="n">
        <f aca="false">CU111</f>
        <v>0</v>
      </c>
      <c r="CW107" s="18" t="n">
        <f aca="false">CV111</f>
        <v>0</v>
      </c>
      <c r="CX107" s="18" t="n">
        <f aca="false">CW111</f>
        <v>0</v>
      </c>
      <c r="CY107" s="18" t="n">
        <f aca="false">CX111</f>
        <v>0</v>
      </c>
      <c r="CZ107" s="18" t="n">
        <f aca="false">CY111</f>
        <v>0</v>
      </c>
      <c r="DA107" s="18" t="n">
        <f aca="false">CZ111</f>
        <v>0</v>
      </c>
      <c r="DB107" s="18" t="n">
        <f aca="false">DA111</f>
        <v>0</v>
      </c>
      <c r="DC107" s="18" t="n">
        <f aca="false">DB111</f>
        <v>0</v>
      </c>
      <c r="DD107" s="18" t="n">
        <f aca="false">DC111</f>
        <v>0</v>
      </c>
      <c r="DE107" s="18" t="n">
        <f aca="false">DD111</f>
        <v>0</v>
      </c>
      <c r="DF107" s="18" t="n">
        <f aca="false">DE111</f>
        <v>0</v>
      </c>
      <c r="DG107" s="18" t="n">
        <f aca="false">DF111</f>
        <v>0</v>
      </c>
      <c r="DH107" s="18" t="n">
        <f aca="false">DG111</f>
        <v>0</v>
      </c>
      <c r="DI107" s="18" t="n">
        <f aca="false">DH111</f>
        <v>0</v>
      </c>
      <c r="DJ107" s="18" t="n">
        <f aca="false">DI111</f>
        <v>0</v>
      </c>
      <c r="DK107" s="18" t="n">
        <f aca="false">DJ111</f>
        <v>0</v>
      </c>
      <c r="DL107" s="18" t="n">
        <f aca="false">DK111</f>
        <v>0</v>
      </c>
      <c r="DM107" s="18" t="n">
        <f aca="false">DL111</f>
        <v>0</v>
      </c>
      <c r="DN107" s="18" t="n">
        <f aca="false">DM111</f>
        <v>0</v>
      </c>
      <c r="DO107" s="18" t="n">
        <f aca="false">DN111</f>
        <v>0</v>
      </c>
      <c r="DP107" s="18" t="n">
        <f aca="false">DO111</f>
        <v>0</v>
      </c>
      <c r="DQ107" s="18" t="n">
        <f aca="false">DP111</f>
        <v>0</v>
      </c>
      <c r="DR107" s="18" t="n">
        <f aca="false">DQ111</f>
        <v>0</v>
      </c>
      <c r="DS107" s="18" t="n">
        <f aca="false">DR111</f>
        <v>0</v>
      </c>
      <c r="DT107" s="18" t="n">
        <f aca="false">DS111</f>
        <v>0</v>
      </c>
      <c r="DU107" s="18" t="n">
        <f aca="false">DT111</f>
        <v>0</v>
      </c>
      <c r="DV107" s="18" t="n">
        <f aca="false">DU111</f>
        <v>0</v>
      </c>
      <c r="DW107" s="18" t="n">
        <f aca="false">DV111</f>
        <v>0</v>
      </c>
      <c r="DX107" s="18" t="n">
        <f aca="false">DW111</f>
        <v>0</v>
      </c>
      <c r="DY107" s="18" t="n">
        <f aca="false">DX111</f>
        <v>0</v>
      </c>
      <c r="DZ107" s="18" t="n">
        <f aca="false">DY111</f>
        <v>0</v>
      </c>
      <c r="EA107" s="18" t="n">
        <f aca="false">DZ111</f>
        <v>0</v>
      </c>
      <c r="EB107" s="18" t="n">
        <f aca="false">EA111</f>
        <v>0</v>
      </c>
      <c r="EC107" s="18" t="n">
        <f aca="false">EB111</f>
        <v>0</v>
      </c>
      <c r="ED107" s="18" t="n">
        <f aca="false">EC111</f>
        <v>0</v>
      </c>
      <c r="EE107" s="18" t="n">
        <f aca="false">ED111</f>
        <v>0</v>
      </c>
      <c r="EF107" s="18" t="n">
        <f aca="false">EE111</f>
        <v>0</v>
      </c>
      <c r="EG107" s="18" t="n">
        <f aca="false">EF111</f>
        <v>0</v>
      </c>
      <c r="EH107" s="18" t="n">
        <f aca="false">EG111</f>
        <v>0</v>
      </c>
      <c r="EI107" s="18" t="n">
        <f aca="false">EH111</f>
        <v>0</v>
      </c>
      <c r="EJ107" s="18" t="n">
        <f aca="false">EI111</f>
        <v>0</v>
      </c>
      <c r="EK107" s="18" t="n">
        <f aca="false">EJ111</f>
        <v>0</v>
      </c>
      <c r="EL107" s="18" t="n">
        <f aca="false">EK111</f>
        <v>0</v>
      </c>
      <c r="EM107" s="18" t="n">
        <f aca="false">EL111</f>
        <v>0</v>
      </c>
      <c r="EN107" s="18" t="n">
        <f aca="false">EM111</f>
        <v>0</v>
      </c>
      <c r="EO107" s="18" t="n">
        <f aca="false">EN111</f>
        <v>0</v>
      </c>
    </row>
    <row r="108" customFormat="false" ht="15" hidden="false" customHeight="false" outlineLevel="0" collapsed="false">
      <c r="C108" s="0" t="s">
        <v>485</v>
      </c>
      <c r="D108" s="11" t="s">
        <v>33</v>
      </c>
      <c r="I108" s="48" t="n">
        <f aca="false">SUM(J108:EO108)</f>
        <v>2003.37659696283</v>
      </c>
      <c r="J108" s="48" t="n">
        <f aca="false">MAX(0,-J106)</f>
        <v>12.8099380746857</v>
      </c>
      <c r="K108" s="48" t="n">
        <f aca="false">MAX(0,-K106)</f>
        <v>19.6746856821167</v>
      </c>
      <c r="L108" s="48" t="n">
        <f aca="false">MAX(0,-L106)</f>
        <v>33.1554888346782</v>
      </c>
      <c r="M108" s="48" t="n">
        <f aca="false">MAX(0,-M106)</f>
        <v>33.5198348658285</v>
      </c>
      <c r="N108" s="48" t="n">
        <f aca="false">MAX(0,-N106)</f>
        <v>33.5198348658285</v>
      </c>
      <c r="O108" s="48" t="n">
        <f aca="false">MAX(0,-O106)</f>
        <v>33.1554888346782</v>
      </c>
      <c r="P108" s="48" t="n">
        <f aca="false">MAX(0,-P106)</f>
        <v>33.1554888346782</v>
      </c>
      <c r="Q108" s="48" t="n">
        <f aca="false">MAX(0,-Q106)</f>
        <v>33.5198348658285</v>
      </c>
      <c r="R108" s="48" t="n">
        <f aca="false">MAX(0,-R106)</f>
        <v>928.575842568013</v>
      </c>
      <c r="S108" s="48" t="n">
        <f aca="false">MAX(0,-S106)</f>
        <v>156.507584054135</v>
      </c>
      <c r="T108" s="48" t="n">
        <f aca="false">MAX(0,-T106)</f>
        <v>138.336002143563</v>
      </c>
      <c r="U108" s="48" t="n">
        <f aca="false">MAX(0,-U106)</f>
        <v>129.790754824659</v>
      </c>
      <c r="V108" s="48" t="n">
        <f aca="false">MAX(0,-V106)</f>
        <v>119.614722612237</v>
      </c>
      <c r="W108" s="48" t="n">
        <f aca="false">MAX(0,-W106)</f>
        <v>108.101519607337</v>
      </c>
      <c r="X108" s="48" t="n">
        <f aca="false">MAX(0,-X106)</f>
        <v>99.4560379834396</v>
      </c>
      <c r="Y108" s="48" t="n">
        <f aca="false">MAX(0,-Y106)</f>
        <v>90.4835383111278</v>
      </c>
      <c r="Z108" s="48" t="n">
        <f aca="false">MAX(0,-Z106)</f>
        <v>0</v>
      </c>
      <c r="AA108" s="48" t="n">
        <f aca="false">MAX(0,-AA106)</f>
        <v>0</v>
      </c>
      <c r="AB108" s="48" t="n">
        <f aca="false">MAX(0,-AB106)</f>
        <v>0</v>
      </c>
      <c r="AC108" s="48" t="n">
        <f aca="false">MAX(0,-AC106)</f>
        <v>0</v>
      </c>
      <c r="AD108" s="48" t="n">
        <f aca="false">MAX(0,-AD106)</f>
        <v>0</v>
      </c>
      <c r="AE108" s="48" t="n">
        <f aca="false">MAX(0,-AE106)</f>
        <v>0</v>
      </c>
      <c r="AF108" s="48" t="n">
        <f aca="false">MAX(0,-AF106)</f>
        <v>0</v>
      </c>
      <c r="AG108" s="48" t="n">
        <f aca="false">MAX(0,-AG106)</f>
        <v>0</v>
      </c>
      <c r="AH108" s="48" t="n">
        <f aca="false">MAX(0,-AH106)</f>
        <v>0</v>
      </c>
      <c r="AI108" s="48" t="n">
        <f aca="false">MAX(0,-AI106)</f>
        <v>0</v>
      </c>
      <c r="AJ108" s="48" t="n">
        <f aca="false">MAX(0,-AJ106)</f>
        <v>0</v>
      </c>
      <c r="AK108" s="48" t="n">
        <f aca="false">MAX(0,-AK106)</f>
        <v>0</v>
      </c>
      <c r="AL108" s="48" t="n">
        <f aca="false">MAX(0,-AL106)</f>
        <v>0</v>
      </c>
      <c r="AM108" s="48" t="n">
        <f aca="false">MAX(0,-AM106)</f>
        <v>0</v>
      </c>
      <c r="AN108" s="48" t="n">
        <f aca="false">MAX(0,-AN106)</f>
        <v>0</v>
      </c>
      <c r="AO108" s="48" t="n">
        <f aca="false">MAX(0,-AO106)</f>
        <v>0</v>
      </c>
      <c r="AP108" s="48" t="n">
        <f aca="false">MAX(0,-AP106)</f>
        <v>0</v>
      </c>
      <c r="AQ108" s="48" t="n">
        <f aca="false">MAX(0,-AQ106)</f>
        <v>0</v>
      </c>
      <c r="AR108" s="48" t="n">
        <f aca="false">MAX(0,-AR106)</f>
        <v>0</v>
      </c>
      <c r="AS108" s="48" t="n">
        <f aca="false">MAX(0,-AS106)</f>
        <v>0</v>
      </c>
      <c r="AT108" s="48" t="n">
        <f aca="false">MAX(0,-AT106)</f>
        <v>0</v>
      </c>
      <c r="AU108" s="48" t="n">
        <f aca="false">MAX(0,-AU106)</f>
        <v>0</v>
      </c>
      <c r="AV108" s="48" t="n">
        <f aca="false">MAX(0,-AV106)</f>
        <v>0</v>
      </c>
      <c r="AW108" s="48" t="n">
        <f aca="false">MAX(0,-AW106)</f>
        <v>0</v>
      </c>
      <c r="AX108" s="48" t="n">
        <f aca="false">MAX(0,-AX106)</f>
        <v>0</v>
      </c>
      <c r="AY108" s="48" t="n">
        <f aca="false">MAX(0,-AY106)</f>
        <v>0</v>
      </c>
      <c r="AZ108" s="48" t="n">
        <f aca="false">MAX(0,-AZ106)</f>
        <v>0</v>
      </c>
      <c r="BA108" s="48" t="n">
        <f aca="false">MAX(0,-BA106)</f>
        <v>0</v>
      </c>
      <c r="BB108" s="48" t="n">
        <f aca="false">MAX(0,-BB106)</f>
        <v>0</v>
      </c>
      <c r="BC108" s="48" t="n">
        <f aca="false">MAX(0,-BC106)</f>
        <v>0</v>
      </c>
      <c r="BD108" s="48" t="n">
        <f aca="false">MAX(0,-BD106)</f>
        <v>0</v>
      </c>
      <c r="BE108" s="48" t="n">
        <f aca="false">MAX(0,-BE106)</f>
        <v>0</v>
      </c>
      <c r="BF108" s="48" t="n">
        <f aca="false">MAX(0,-BF106)</f>
        <v>0</v>
      </c>
      <c r="BG108" s="48" t="n">
        <f aca="false">MAX(0,-BG106)</f>
        <v>0</v>
      </c>
      <c r="BH108" s="48" t="n">
        <f aca="false">MAX(0,-BH106)</f>
        <v>0</v>
      </c>
      <c r="BI108" s="48" t="n">
        <f aca="false">MAX(0,-BI106)</f>
        <v>0</v>
      </c>
      <c r="BJ108" s="48" t="n">
        <f aca="false">MAX(0,-BJ106)</f>
        <v>0</v>
      </c>
      <c r="BK108" s="48" t="n">
        <f aca="false">MAX(0,-BK106)</f>
        <v>0</v>
      </c>
      <c r="BL108" s="48" t="n">
        <f aca="false">MAX(0,-BL106)</f>
        <v>0</v>
      </c>
      <c r="BM108" s="48" t="n">
        <f aca="false">MAX(0,-BM106)</f>
        <v>0</v>
      </c>
      <c r="BN108" s="48" t="n">
        <f aca="false">MAX(0,-BN106)</f>
        <v>0</v>
      </c>
      <c r="BO108" s="48" t="n">
        <f aca="false">MAX(0,-BO106)</f>
        <v>0</v>
      </c>
      <c r="BP108" s="48" t="n">
        <f aca="false">MAX(0,-BP106)</f>
        <v>0</v>
      </c>
      <c r="BQ108" s="48" t="n">
        <f aca="false">MAX(0,-BQ106)</f>
        <v>0</v>
      </c>
      <c r="BR108" s="48" t="n">
        <f aca="false">MAX(0,-BR106)</f>
        <v>0</v>
      </c>
      <c r="BS108" s="48" t="n">
        <f aca="false">MAX(0,-BS106)</f>
        <v>0</v>
      </c>
      <c r="BT108" s="48" t="n">
        <f aca="false">MAX(0,-BT106)</f>
        <v>0</v>
      </c>
      <c r="BU108" s="48" t="n">
        <f aca="false">MAX(0,-BU106)</f>
        <v>0</v>
      </c>
      <c r="BV108" s="48" t="n">
        <f aca="false">MAX(0,-BV106)</f>
        <v>0</v>
      </c>
      <c r="BW108" s="48" t="n">
        <f aca="false">MAX(0,-BW106)</f>
        <v>0</v>
      </c>
      <c r="BX108" s="48" t="n">
        <f aca="false">MAX(0,-BX106)</f>
        <v>0</v>
      </c>
      <c r="BY108" s="48" t="n">
        <f aca="false">MAX(0,-BY106)</f>
        <v>0</v>
      </c>
      <c r="BZ108" s="48" t="n">
        <f aca="false">MAX(0,-BZ106)</f>
        <v>0</v>
      </c>
      <c r="CA108" s="48" t="n">
        <f aca="false">MAX(0,-CA106)</f>
        <v>0</v>
      </c>
      <c r="CB108" s="48" t="n">
        <f aca="false">MAX(0,-CB106)</f>
        <v>0</v>
      </c>
      <c r="CC108" s="48" t="n">
        <f aca="false">MAX(0,-CC106)</f>
        <v>0</v>
      </c>
      <c r="CD108" s="48" t="n">
        <f aca="false">MAX(0,-CD106)</f>
        <v>0</v>
      </c>
      <c r="CE108" s="48" t="n">
        <f aca="false">MAX(0,-CE106)</f>
        <v>0</v>
      </c>
      <c r="CF108" s="48" t="n">
        <f aca="false">MAX(0,-CF106)</f>
        <v>0</v>
      </c>
      <c r="CG108" s="48" t="n">
        <f aca="false">MAX(0,-CG106)</f>
        <v>0</v>
      </c>
      <c r="CH108" s="48" t="n">
        <f aca="false">MAX(0,-CH106)</f>
        <v>0</v>
      </c>
      <c r="CI108" s="48" t="n">
        <f aca="false">MAX(0,-CI106)</f>
        <v>0</v>
      </c>
      <c r="CJ108" s="48" t="n">
        <f aca="false">MAX(0,-CJ106)</f>
        <v>0</v>
      </c>
      <c r="CK108" s="48" t="n">
        <f aca="false">MAX(0,-CK106)</f>
        <v>0</v>
      </c>
      <c r="CL108" s="48" t="n">
        <f aca="false">MAX(0,-CL106)</f>
        <v>0</v>
      </c>
      <c r="CM108" s="48" t="n">
        <f aca="false">MAX(0,-CM106)</f>
        <v>0</v>
      </c>
      <c r="CN108" s="48" t="n">
        <f aca="false">MAX(0,-CN106)</f>
        <v>0</v>
      </c>
      <c r="CO108" s="48" t="n">
        <f aca="false">MAX(0,-CO106)</f>
        <v>0</v>
      </c>
      <c r="CP108" s="48" t="n">
        <f aca="false">MAX(0,-CP106)</f>
        <v>0</v>
      </c>
      <c r="CQ108" s="48" t="n">
        <f aca="false">MAX(0,-CQ106)</f>
        <v>0</v>
      </c>
      <c r="CR108" s="48" t="n">
        <f aca="false">MAX(0,-CR106)</f>
        <v>0</v>
      </c>
      <c r="CS108" s="48" t="n">
        <f aca="false">MAX(0,-CS106)</f>
        <v>0</v>
      </c>
      <c r="CT108" s="48" t="n">
        <f aca="false">MAX(0,-CT106)</f>
        <v>0</v>
      </c>
      <c r="CU108" s="48" t="n">
        <f aca="false">MAX(0,-CU106)</f>
        <v>0</v>
      </c>
      <c r="CV108" s="48" t="n">
        <f aca="false">MAX(0,-CV106)</f>
        <v>0</v>
      </c>
      <c r="CW108" s="48" t="n">
        <f aca="false">MAX(0,-CW106)</f>
        <v>0</v>
      </c>
      <c r="CX108" s="48" t="n">
        <f aca="false">MAX(0,-CX106)</f>
        <v>0</v>
      </c>
      <c r="CY108" s="48" t="n">
        <f aca="false">MAX(0,-CY106)</f>
        <v>0</v>
      </c>
      <c r="CZ108" s="48" t="n">
        <f aca="false">MAX(0,-CZ106)</f>
        <v>0</v>
      </c>
      <c r="DA108" s="48" t="n">
        <f aca="false">MAX(0,-DA106)</f>
        <v>0</v>
      </c>
      <c r="DB108" s="48" t="n">
        <f aca="false">MAX(0,-DB106)</f>
        <v>0</v>
      </c>
      <c r="DC108" s="48" t="n">
        <f aca="false">MAX(0,-DC106)</f>
        <v>0</v>
      </c>
      <c r="DD108" s="48" t="n">
        <f aca="false">MAX(0,-DD106)</f>
        <v>0</v>
      </c>
      <c r="DE108" s="48" t="n">
        <f aca="false">MAX(0,-DE106)</f>
        <v>0</v>
      </c>
      <c r="DF108" s="48" t="n">
        <f aca="false">MAX(0,-DF106)</f>
        <v>0</v>
      </c>
      <c r="DG108" s="48" t="n">
        <f aca="false">MAX(0,-DG106)</f>
        <v>0</v>
      </c>
      <c r="DH108" s="48" t="n">
        <f aca="false">MAX(0,-DH106)</f>
        <v>0</v>
      </c>
      <c r="DI108" s="48" t="n">
        <f aca="false">MAX(0,-DI106)</f>
        <v>0</v>
      </c>
      <c r="DJ108" s="48" t="n">
        <f aca="false">MAX(0,-DJ106)</f>
        <v>0</v>
      </c>
      <c r="DK108" s="48" t="n">
        <f aca="false">MAX(0,-DK106)</f>
        <v>0</v>
      </c>
      <c r="DL108" s="48" t="n">
        <f aca="false">MAX(0,-DL106)</f>
        <v>0</v>
      </c>
      <c r="DM108" s="48" t="n">
        <f aca="false">MAX(0,-DM106)</f>
        <v>0</v>
      </c>
      <c r="DN108" s="48" t="n">
        <f aca="false">MAX(0,-DN106)</f>
        <v>0</v>
      </c>
      <c r="DO108" s="48" t="n">
        <f aca="false">MAX(0,-DO106)</f>
        <v>0</v>
      </c>
      <c r="DP108" s="48" t="n">
        <f aca="false">MAX(0,-DP106)</f>
        <v>0</v>
      </c>
      <c r="DQ108" s="48" t="n">
        <f aca="false">MAX(0,-DQ106)</f>
        <v>0</v>
      </c>
      <c r="DR108" s="48" t="n">
        <f aca="false">MAX(0,-DR106)</f>
        <v>0</v>
      </c>
      <c r="DS108" s="48" t="n">
        <f aca="false">MAX(0,-DS106)</f>
        <v>0</v>
      </c>
      <c r="DT108" s="48" t="n">
        <f aca="false">MAX(0,-DT106)</f>
        <v>0</v>
      </c>
      <c r="DU108" s="48" t="n">
        <f aca="false">MAX(0,-DU106)</f>
        <v>0</v>
      </c>
      <c r="DV108" s="48" t="n">
        <f aca="false">MAX(0,-DV106)</f>
        <v>0</v>
      </c>
      <c r="DW108" s="48" t="n">
        <f aca="false">MAX(0,-DW106)</f>
        <v>0</v>
      </c>
      <c r="DX108" s="48" t="n">
        <f aca="false">MAX(0,-DX106)</f>
        <v>0</v>
      </c>
      <c r="DY108" s="48" t="n">
        <f aca="false">MAX(0,-DY106)</f>
        <v>0</v>
      </c>
      <c r="DZ108" s="48" t="n">
        <f aca="false">MAX(0,-DZ106)</f>
        <v>0</v>
      </c>
      <c r="EA108" s="48" t="n">
        <f aca="false">MAX(0,-EA106)</f>
        <v>0</v>
      </c>
      <c r="EB108" s="48" t="n">
        <f aca="false">MAX(0,-EB106)</f>
        <v>0</v>
      </c>
      <c r="EC108" s="48" t="n">
        <f aca="false">MAX(0,-EC106)</f>
        <v>0</v>
      </c>
      <c r="ED108" s="48" t="n">
        <f aca="false">MAX(0,-ED106)</f>
        <v>0</v>
      </c>
      <c r="EE108" s="48" t="n">
        <f aca="false">MAX(0,-EE106)</f>
        <v>0</v>
      </c>
      <c r="EF108" s="48" t="n">
        <f aca="false">MAX(0,-EF106)</f>
        <v>0</v>
      </c>
      <c r="EG108" s="48" t="n">
        <f aca="false">MAX(0,-EG106)</f>
        <v>0</v>
      </c>
      <c r="EH108" s="48" t="n">
        <f aca="false">MAX(0,-EH106)</f>
        <v>0</v>
      </c>
      <c r="EI108" s="48" t="n">
        <f aca="false">MAX(0,-EI106)</f>
        <v>0</v>
      </c>
      <c r="EJ108" s="48" t="n">
        <f aca="false">MAX(0,-EJ106)</f>
        <v>0</v>
      </c>
      <c r="EK108" s="48" t="n">
        <f aca="false">MAX(0,-EK106)</f>
        <v>0</v>
      </c>
      <c r="EL108" s="48" t="n">
        <f aca="false">MAX(0,-EL106)</f>
        <v>0</v>
      </c>
      <c r="EM108" s="48" t="n">
        <f aca="false">MAX(0,-EM106)</f>
        <v>0</v>
      </c>
      <c r="EN108" s="48" t="n">
        <f aca="false">MAX(0,-EN106)</f>
        <v>0</v>
      </c>
      <c r="EO108" s="48" t="n">
        <f aca="false">MAX(0,-EO106)</f>
        <v>0</v>
      </c>
    </row>
    <row r="109" customFormat="false" ht="15" hidden="false" customHeight="false" outlineLevel="0" collapsed="false">
      <c r="C109" s="0" t="s">
        <v>486</v>
      </c>
      <c r="D109" s="11" t="s">
        <v>33</v>
      </c>
      <c r="I109" s="48" t="n">
        <f aca="false">SUM(J109:EO109)</f>
        <v>-2003.37659696283</v>
      </c>
      <c r="J109" s="48" t="n">
        <f aca="false">-MIN(J107,In_Loss_Cap*MAX(0,J106))</f>
        <v>-0</v>
      </c>
      <c r="K109" s="48" t="n">
        <f aca="false">-MIN(K107,In_Loss_Cap*MAX(0,K106))</f>
        <v>-0</v>
      </c>
      <c r="L109" s="48" t="n">
        <f aca="false">-MIN(L107,In_Loss_Cap*MAX(0,L106))</f>
        <v>-0</v>
      </c>
      <c r="M109" s="48" t="n">
        <f aca="false">-MIN(M107,In_Loss_Cap*MAX(0,M106))</f>
        <v>-0</v>
      </c>
      <c r="N109" s="48" t="n">
        <f aca="false">-MIN(N107,In_Loss_Cap*MAX(0,N106))</f>
        <v>-0</v>
      </c>
      <c r="O109" s="48" t="n">
        <f aca="false">-MIN(O107,In_Loss_Cap*MAX(0,O106))</f>
        <v>-0</v>
      </c>
      <c r="P109" s="48" t="n">
        <f aca="false">-MIN(P107,In_Loss_Cap*MAX(0,P106))</f>
        <v>-0</v>
      </c>
      <c r="Q109" s="48" t="n">
        <f aca="false">-MIN(Q107,In_Loss_Cap*MAX(0,Q106))</f>
        <v>-0</v>
      </c>
      <c r="R109" s="48" t="n">
        <f aca="false">-MIN(R107,In_Loss_Cap*MAX(0,R106))</f>
        <v>-0</v>
      </c>
      <c r="S109" s="48" t="n">
        <f aca="false">-MIN(S107,In_Loss_Cap*MAX(0,S106))</f>
        <v>-0</v>
      </c>
      <c r="T109" s="48" t="n">
        <f aca="false">-MIN(T107,In_Loss_Cap*MAX(0,T106))</f>
        <v>-0</v>
      </c>
      <c r="U109" s="48" t="n">
        <f aca="false">-MIN(U107,In_Loss_Cap*MAX(0,U106))</f>
        <v>-0</v>
      </c>
      <c r="V109" s="48" t="n">
        <f aca="false">-MIN(V107,In_Loss_Cap*MAX(0,V106))</f>
        <v>-0</v>
      </c>
      <c r="W109" s="48" t="n">
        <f aca="false">-MIN(W107,In_Loss_Cap*MAX(0,W106))</f>
        <v>-0</v>
      </c>
      <c r="X109" s="48" t="n">
        <f aca="false">-MIN(X107,In_Loss_Cap*MAX(0,X106))</f>
        <v>-0</v>
      </c>
      <c r="Y109" s="48" t="n">
        <f aca="false">-MIN(Y107,In_Loss_Cap*MAX(0,Y106))</f>
        <v>-0</v>
      </c>
      <c r="Z109" s="48" t="n">
        <f aca="false">-MIN(Z107,In_Loss_Cap*MAX(0,Z106))</f>
        <v>-386.249701521069</v>
      </c>
      <c r="AA109" s="48" t="n">
        <f aca="false">-MIN(AA107,In_Loss_Cap*MAX(0,AA106))</f>
        <v>-382.275818670222</v>
      </c>
      <c r="AB109" s="48" t="n">
        <f aca="false">-MIN(AB107,In_Loss_Cap*MAX(0,AB106))</f>
        <v>-391.857666283224</v>
      </c>
      <c r="AC109" s="48" t="n">
        <f aca="false">-MIN(AC107,In_Loss_Cap*MAX(0,AC106))</f>
        <v>-401.530261603016</v>
      </c>
      <c r="AD109" s="48" t="n">
        <f aca="false">-MIN(AD107,In_Loss_Cap*MAX(0,AD106))</f>
        <v>-399.82318456722</v>
      </c>
      <c r="AE109" s="48" t="n">
        <f aca="false">-MIN(AE107,In_Loss_Cap*MAX(0,AE106))</f>
        <v>-41.6399643180844</v>
      </c>
      <c r="AF109" s="48" t="n">
        <f aca="false">-MIN(AF107,In_Loss_Cap*MAX(0,AF106))</f>
        <v>-0</v>
      </c>
      <c r="AG109" s="48" t="n">
        <f aca="false">-MIN(AG107,In_Loss_Cap*MAX(0,AG106))</f>
        <v>-0</v>
      </c>
      <c r="AH109" s="48" t="n">
        <f aca="false">-MIN(AH107,In_Loss_Cap*MAX(0,AH106))</f>
        <v>-0</v>
      </c>
      <c r="AI109" s="48" t="n">
        <f aca="false">-MIN(AI107,In_Loss_Cap*MAX(0,AI106))</f>
        <v>-0</v>
      </c>
      <c r="AJ109" s="48" t="n">
        <f aca="false">-MIN(AJ107,In_Loss_Cap*MAX(0,AJ106))</f>
        <v>-0</v>
      </c>
      <c r="AK109" s="48" t="n">
        <f aca="false">-MIN(AK107,In_Loss_Cap*MAX(0,AK106))</f>
        <v>-0</v>
      </c>
      <c r="AL109" s="48" t="n">
        <f aca="false">-MIN(AL107,In_Loss_Cap*MAX(0,AL106))</f>
        <v>-0</v>
      </c>
      <c r="AM109" s="48" t="n">
        <f aca="false">-MIN(AM107,In_Loss_Cap*MAX(0,AM106))</f>
        <v>-0</v>
      </c>
      <c r="AN109" s="48" t="n">
        <f aca="false">-MIN(AN107,In_Loss_Cap*MAX(0,AN106))</f>
        <v>-0</v>
      </c>
      <c r="AO109" s="48" t="n">
        <f aca="false">-MIN(AO107,In_Loss_Cap*MAX(0,AO106))</f>
        <v>-0</v>
      </c>
      <c r="AP109" s="48" t="n">
        <f aca="false">-MIN(AP107,In_Loss_Cap*MAX(0,AP106))</f>
        <v>-0</v>
      </c>
      <c r="AQ109" s="48" t="n">
        <f aca="false">-MIN(AQ107,In_Loss_Cap*MAX(0,AQ106))</f>
        <v>-0</v>
      </c>
      <c r="AR109" s="48" t="n">
        <f aca="false">-MIN(AR107,In_Loss_Cap*MAX(0,AR106))</f>
        <v>-0</v>
      </c>
      <c r="AS109" s="48" t="n">
        <f aca="false">-MIN(AS107,In_Loss_Cap*MAX(0,AS106))</f>
        <v>-0</v>
      </c>
      <c r="AT109" s="48" t="n">
        <f aca="false">-MIN(AT107,In_Loss_Cap*MAX(0,AT106))</f>
        <v>-0</v>
      </c>
      <c r="AU109" s="48" t="n">
        <f aca="false">-MIN(AU107,In_Loss_Cap*MAX(0,AU106))</f>
        <v>-0</v>
      </c>
      <c r="AV109" s="48" t="n">
        <f aca="false">-MIN(AV107,In_Loss_Cap*MAX(0,AV106))</f>
        <v>-0</v>
      </c>
      <c r="AW109" s="48" t="n">
        <f aca="false">-MIN(AW107,In_Loss_Cap*MAX(0,AW106))</f>
        <v>-0</v>
      </c>
      <c r="AX109" s="48" t="n">
        <f aca="false">-MIN(AX107,In_Loss_Cap*MAX(0,AX106))</f>
        <v>-0</v>
      </c>
      <c r="AY109" s="48" t="n">
        <f aca="false">-MIN(AY107,In_Loss_Cap*MAX(0,AY106))</f>
        <v>-0</v>
      </c>
      <c r="AZ109" s="48" t="n">
        <f aca="false">-MIN(AZ107,In_Loss_Cap*MAX(0,AZ106))</f>
        <v>-0</v>
      </c>
      <c r="BA109" s="48" t="n">
        <f aca="false">-MIN(BA107,In_Loss_Cap*MAX(0,BA106))</f>
        <v>-0</v>
      </c>
      <c r="BB109" s="48" t="n">
        <f aca="false">-MIN(BB107,In_Loss_Cap*MAX(0,BB106))</f>
        <v>-0</v>
      </c>
      <c r="BC109" s="48" t="n">
        <f aca="false">-MIN(BC107,In_Loss_Cap*MAX(0,BC106))</f>
        <v>-0</v>
      </c>
      <c r="BD109" s="48" t="n">
        <f aca="false">-MIN(BD107,In_Loss_Cap*MAX(0,BD106))</f>
        <v>-0</v>
      </c>
      <c r="BE109" s="48" t="n">
        <f aca="false">-MIN(BE107,In_Loss_Cap*MAX(0,BE106))</f>
        <v>-0</v>
      </c>
      <c r="BF109" s="48" t="n">
        <f aca="false">-MIN(BF107,In_Loss_Cap*MAX(0,BF106))</f>
        <v>-0</v>
      </c>
      <c r="BG109" s="48" t="n">
        <f aca="false">-MIN(BG107,In_Loss_Cap*MAX(0,BG106))</f>
        <v>-0</v>
      </c>
      <c r="BH109" s="48" t="n">
        <f aca="false">-MIN(BH107,In_Loss_Cap*MAX(0,BH106))</f>
        <v>-0</v>
      </c>
      <c r="BI109" s="48" t="n">
        <f aca="false">-MIN(BI107,In_Loss_Cap*MAX(0,BI106))</f>
        <v>-0</v>
      </c>
      <c r="BJ109" s="48" t="n">
        <f aca="false">-MIN(BJ107,In_Loss_Cap*MAX(0,BJ106))</f>
        <v>-0</v>
      </c>
      <c r="BK109" s="48" t="n">
        <f aca="false">-MIN(BK107,In_Loss_Cap*MAX(0,BK106))</f>
        <v>-0</v>
      </c>
      <c r="BL109" s="48" t="n">
        <f aca="false">-MIN(BL107,In_Loss_Cap*MAX(0,BL106))</f>
        <v>-0</v>
      </c>
      <c r="BM109" s="48" t="n">
        <f aca="false">-MIN(BM107,In_Loss_Cap*MAX(0,BM106))</f>
        <v>-0</v>
      </c>
      <c r="BN109" s="48" t="n">
        <f aca="false">-MIN(BN107,In_Loss_Cap*MAX(0,BN106))</f>
        <v>-0</v>
      </c>
      <c r="BO109" s="48" t="n">
        <f aca="false">-MIN(BO107,In_Loss_Cap*MAX(0,BO106))</f>
        <v>-0</v>
      </c>
      <c r="BP109" s="48" t="n">
        <f aca="false">-MIN(BP107,In_Loss_Cap*MAX(0,BP106))</f>
        <v>-0</v>
      </c>
      <c r="BQ109" s="48" t="n">
        <f aca="false">-MIN(BQ107,In_Loss_Cap*MAX(0,BQ106))</f>
        <v>-0</v>
      </c>
      <c r="BR109" s="48" t="n">
        <f aca="false">-MIN(BR107,In_Loss_Cap*MAX(0,BR106))</f>
        <v>-0</v>
      </c>
      <c r="BS109" s="48" t="n">
        <f aca="false">-MIN(BS107,In_Loss_Cap*MAX(0,BS106))</f>
        <v>-0</v>
      </c>
      <c r="BT109" s="48" t="n">
        <f aca="false">-MIN(BT107,In_Loss_Cap*MAX(0,BT106))</f>
        <v>-0</v>
      </c>
      <c r="BU109" s="48" t="n">
        <f aca="false">-MIN(BU107,In_Loss_Cap*MAX(0,BU106))</f>
        <v>-0</v>
      </c>
      <c r="BV109" s="48" t="n">
        <f aca="false">-MIN(BV107,In_Loss_Cap*MAX(0,BV106))</f>
        <v>-0</v>
      </c>
      <c r="BW109" s="48" t="n">
        <f aca="false">-MIN(BW107,In_Loss_Cap*MAX(0,BW106))</f>
        <v>-0</v>
      </c>
      <c r="BX109" s="48" t="n">
        <f aca="false">-MIN(BX107,In_Loss_Cap*MAX(0,BX106))</f>
        <v>-0</v>
      </c>
      <c r="BY109" s="48" t="n">
        <f aca="false">-MIN(BY107,In_Loss_Cap*MAX(0,BY106))</f>
        <v>-0</v>
      </c>
      <c r="BZ109" s="48" t="n">
        <f aca="false">-MIN(BZ107,In_Loss_Cap*MAX(0,BZ106))</f>
        <v>-0</v>
      </c>
      <c r="CA109" s="48" t="n">
        <f aca="false">-MIN(CA107,In_Loss_Cap*MAX(0,CA106))</f>
        <v>-0</v>
      </c>
      <c r="CB109" s="48" t="n">
        <f aca="false">-MIN(CB107,In_Loss_Cap*MAX(0,CB106))</f>
        <v>-0</v>
      </c>
      <c r="CC109" s="48" t="n">
        <f aca="false">-MIN(CC107,In_Loss_Cap*MAX(0,CC106))</f>
        <v>-0</v>
      </c>
      <c r="CD109" s="48" t="n">
        <f aca="false">-MIN(CD107,In_Loss_Cap*MAX(0,CD106))</f>
        <v>-0</v>
      </c>
      <c r="CE109" s="48" t="n">
        <f aca="false">-MIN(CE107,In_Loss_Cap*MAX(0,CE106))</f>
        <v>-0</v>
      </c>
      <c r="CF109" s="48" t="n">
        <f aca="false">-MIN(CF107,In_Loss_Cap*MAX(0,CF106))</f>
        <v>-0</v>
      </c>
      <c r="CG109" s="48" t="n">
        <f aca="false">-MIN(CG107,In_Loss_Cap*MAX(0,CG106))</f>
        <v>-0</v>
      </c>
      <c r="CH109" s="48" t="n">
        <f aca="false">-MIN(CH107,In_Loss_Cap*MAX(0,CH106))</f>
        <v>-0</v>
      </c>
      <c r="CI109" s="48" t="n">
        <f aca="false">-MIN(CI107,In_Loss_Cap*MAX(0,CI106))</f>
        <v>-0</v>
      </c>
      <c r="CJ109" s="48" t="n">
        <f aca="false">-MIN(CJ107,In_Loss_Cap*MAX(0,CJ106))</f>
        <v>-0</v>
      </c>
      <c r="CK109" s="48" t="n">
        <f aca="false">-MIN(CK107,In_Loss_Cap*MAX(0,CK106))</f>
        <v>-0</v>
      </c>
      <c r="CL109" s="48" t="n">
        <f aca="false">-MIN(CL107,In_Loss_Cap*MAX(0,CL106))</f>
        <v>-0</v>
      </c>
      <c r="CM109" s="48" t="n">
        <f aca="false">-MIN(CM107,In_Loss_Cap*MAX(0,CM106))</f>
        <v>-0</v>
      </c>
      <c r="CN109" s="48" t="n">
        <f aca="false">-MIN(CN107,In_Loss_Cap*MAX(0,CN106))</f>
        <v>-0</v>
      </c>
      <c r="CO109" s="48" t="n">
        <f aca="false">-MIN(CO107,In_Loss_Cap*MAX(0,CO106))</f>
        <v>-0</v>
      </c>
      <c r="CP109" s="48" t="n">
        <f aca="false">-MIN(CP107,In_Loss_Cap*MAX(0,CP106))</f>
        <v>-0</v>
      </c>
      <c r="CQ109" s="48" t="n">
        <f aca="false">-MIN(CQ107,In_Loss_Cap*MAX(0,CQ106))</f>
        <v>-0</v>
      </c>
      <c r="CR109" s="48" t="n">
        <f aca="false">-MIN(CR107,In_Loss_Cap*MAX(0,CR106))</f>
        <v>-0</v>
      </c>
      <c r="CS109" s="48" t="n">
        <f aca="false">-MIN(CS107,In_Loss_Cap*MAX(0,CS106))</f>
        <v>-0</v>
      </c>
      <c r="CT109" s="48" t="n">
        <f aca="false">-MIN(CT107,In_Loss_Cap*MAX(0,CT106))</f>
        <v>-0</v>
      </c>
      <c r="CU109" s="48" t="n">
        <f aca="false">-MIN(CU107,In_Loss_Cap*MAX(0,CU106))</f>
        <v>-0</v>
      </c>
      <c r="CV109" s="48" t="n">
        <f aca="false">-MIN(CV107,In_Loss_Cap*MAX(0,CV106))</f>
        <v>-0</v>
      </c>
      <c r="CW109" s="48" t="n">
        <f aca="false">-MIN(CW107,In_Loss_Cap*MAX(0,CW106))</f>
        <v>-0</v>
      </c>
      <c r="CX109" s="48" t="n">
        <f aca="false">-MIN(CX107,In_Loss_Cap*MAX(0,CX106))</f>
        <v>-0</v>
      </c>
      <c r="CY109" s="48" t="n">
        <f aca="false">-MIN(CY107,In_Loss_Cap*MAX(0,CY106))</f>
        <v>-0</v>
      </c>
      <c r="CZ109" s="48" t="n">
        <f aca="false">-MIN(CZ107,In_Loss_Cap*MAX(0,CZ106))</f>
        <v>-0</v>
      </c>
      <c r="DA109" s="48" t="n">
        <f aca="false">-MIN(DA107,In_Loss_Cap*MAX(0,DA106))</f>
        <v>-0</v>
      </c>
      <c r="DB109" s="48" t="n">
        <f aca="false">-MIN(DB107,In_Loss_Cap*MAX(0,DB106))</f>
        <v>-0</v>
      </c>
      <c r="DC109" s="48" t="n">
        <f aca="false">-MIN(DC107,In_Loss_Cap*MAX(0,DC106))</f>
        <v>-0</v>
      </c>
      <c r="DD109" s="48" t="n">
        <f aca="false">-MIN(DD107,In_Loss_Cap*MAX(0,DD106))</f>
        <v>-0</v>
      </c>
      <c r="DE109" s="48" t="n">
        <f aca="false">-MIN(DE107,In_Loss_Cap*MAX(0,DE106))</f>
        <v>-0</v>
      </c>
      <c r="DF109" s="48" t="n">
        <f aca="false">-MIN(DF107,In_Loss_Cap*MAX(0,DF106))</f>
        <v>-0</v>
      </c>
      <c r="DG109" s="48" t="n">
        <f aca="false">-MIN(DG107,In_Loss_Cap*MAX(0,DG106))</f>
        <v>-0</v>
      </c>
      <c r="DH109" s="48" t="n">
        <f aca="false">-MIN(DH107,In_Loss_Cap*MAX(0,DH106))</f>
        <v>-0</v>
      </c>
      <c r="DI109" s="48" t="n">
        <f aca="false">-MIN(DI107,In_Loss_Cap*MAX(0,DI106))</f>
        <v>-0</v>
      </c>
      <c r="DJ109" s="48" t="n">
        <f aca="false">-MIN(DJ107,In_Loss_Cap*MAX(0,DJ106))</f>
        <v>-0</v>
      </c>
      <c r="DK109" s="48" t="n">
        <f aca="false">-MIN(DK107,In_Loss_Cap*MAX(0,DK106))</f>
        <v>-0</v>
      </c>
      <c r="DL109" s="48" t="n">
        <f aca="false">-MIN(DL107,In_Loss_Cap*MAX(0,DL106))</f>
        <v>-0</v>
      </c>
      <c r="DM109" s="48" t="n">
        <f aca="false">-MIN(DM107,In_Loss_Cap*MAX(0,DM106))</f>
        <v>-0</v>
      </c>
      <c r="DN109" s="48" t="n">
        <f aca="false">-MIN(DN107,In_Loss_Cap*MAX(0,DN106))</f>
        <v>-0</v>
      </c>
      <c r="DO109" s="48" t="n">
        <f aca="false">-MIN(DO107,In_Loss_Cap*MAX(0,DO106))</f>
        <v>-0</v>
      </c>
      <c r="DP109" s="48" t="n">
        <f aca="false">-MIN(DP107,In_Loss_Cap*MAX(0,DP106))</f>
        <v>-0</v>
      </c>
      <c r="DQ109" s="48" t="n">
        <f aca="false">-MIN(DQ107,In_Loss_Cap*MAX(0,DQ106))</f>
        <v>-0</v>
      </c>
      <c r="DR109" s="48" t="n">
        <f aca="false">-MIN(DR107,In_Loss_Cap*MAX(0,DR106))</f>
        <v>-0</v>
      </c>
      <c r="DS109" s="48" t="n">
        <f aca="false">-MIN(DS107,In_Loss_Cap*MAX(0,DS106))</f>
        <v>-0</v>
      </c>
      <c r="DT109" s="48" t="n">
        <f aca="false">-MIN(DT107,In_Loss_Cap*MAX(0,DT106))</f>
        <v>-0</v>
      </c>
      <c r="DU109" s="48" t="n">
        <f aca="false">-MIN(DU107,In_Loss_Cap*MAX(0,DU106))</f>
        <v>-0</v>
      </c>
      <c r="DV109" s="48" t="n">
        <f aca="false">-MIN(DV107,In_Loss_Cap*MAX(0,DV106))</f>
        <v>-0</v>
      </c>
      <c r="DW109" s="48" t="n">
        <f aca="false">-MIN(DW107,In_Loss_Cap*MAX(0,DW106))</f>
        <v>-0</v>
      </c>
      <c r="DX109" s="48" t="n">
        <f aca="false">-MIN(DX107,In_Loss_Cap*MAX(0,DX106))</f>
        <v>-0</v>
      </c>
      <c r="DY109" s="48" t="n">
        <f aca="false">-MIN(DY107,In_Loss_Cap*MAX(0,DY106))</f>
        <v>-0</v>
      </c>
      <c r="DZ109" s="48" t="n">
        <f aca="false">-MIN(DZ107,In_Loss_Cap*MAX(0,DZ106))</f>
        <v>-0</v>
      </c>
      <c r="EA109" s="48" t="n">
        <f aca="false">-MIN(EA107,In_Loss_Cap*MAX(0,EA106))</f>
        <v>-0</v>
      </c>
      <c r="EB109" s="48" t="n">
        <f aca="false">-MIN(EB107,In_Loss_Cap*MAX(0,EB106))</f>
        <v>-0</v>
      </c>
      <c r="EC109" s="48" t="n">
        <f aca="false">-MIN(EC107,In_Loss_Cap*MAX(0,EC106))</f>
        <v>-0</v>
      </c>
      <c r="ED109" s="48" t="n">
        <f aca="false">-MIN(ED107,In_Loss_Cap*MAX(0,ED106))</f>
        <v>-0</v>
      </c>
      <c r="EE109" s="48" t="n">
        <f aca="false">-MIN(EE107,In_Loss_Cap*MAX(0,EE106))</f>
        <v>-0</v>
      </c>
      <c r="EF109" s="48" t="n">
        <f aca="false">-MIN(EF107,In_Loss_Cap*MAX(0,EF106))</f>
        <v>-0</v>
      </c>
      <c r="EG109" s="48" t="n">
        <f aca="false">-MIN(EG107,In_Loss_Cap*MAX(0,EG106))</f>
        <v>-0</v>
      </c>
      <c r="EH109" s="48" t="n">
        <f aca="false">-MIN(EH107,In_Loss_Cap*MAX(0,EH106))</f>
        <v>-0</v>
      </c>
      <c r="EI109" s="48" t="n">
        <f aca="false">-MIN(EI107,In_Loss_Cap*MAX(0,EI106))</f>
        <v>-0</v>
      </c>
      <c r="EJ109" s="48" t="n">
        <f aca="false">-MIN(EJ107,In_Loss_Cap*MAX(0,EJ106))</f>
        <v>-0</v>
      </c>
      <c r="EK109" s="48" t="n">
        <f aca="false">-MIN(EK107,In_Loss_Cap*MAX(0,EK106))</f>
        <v>-0</v>
      </c>
      <c r="EL109" s="48" t="n">
        <f aca="false">-MIN(EL107,In_Loss_Cap*MAX(0,EL106))</f>
        <v>-0</v>
      </c>
      <c r="EM109" s="48" t="n">
        <f aca="false">-MIN(EM107,In_Loss_Cap*MAX(0,EM106))</f>
        <v>-0</v>
      </c>
      <c r="EN109" s="48" t="n">
        <f aca="false">-MIN(EN107,In_Loss_Cap*MAX(0,EN106))</f>
        <v>-0</v>
      </c>
      <c r="EO109" s="48" t="n">
        <f aca="false">-MIN(EO107,In_Loss_Cap*MAX(0,EO106))</f>
        <v>-0</v>
      </c>
    </row>
    <row r="110" customFormat="false" ht="15" hidden="false" customHeight="false" outlineLevel="0" collapsed="false">
      <c r="C110" s="0" t="s">
        <v>487</v>
      </c>
      <c r="D110" s="11" t="s">
        <v>33</v>
      </c>
      <c r="E110" s="46" t="n">
        <f aca="false">EDATE(In_NTP,In_Loss_Years*Months_In_Year)</f>
        <v>48852</v>
      </c>
      <c r="I110" s="48" t="n">
        <f aca="false">SUM(J110:EO110)</f>
        <v>0</v>
      </c>
      <c r="J110" s="48" t="n">
        <f aca="false">-(J107+J108+J109)*N(AND(J$3&lt;=$E110,J$4&gt;=$E110))</f>
        <v>-0</v>
      </c>
      <c r="K110" s="48" t="n">
        <f aca="false">-(K107+K108+K109)*N(AND(K$3&lt;=$E110,K$4&gt;=$E110))</f>
        <v>-0</v>
      </c>
      <c r="L110" s="48" t="n">
        <f aca="false">-(L107+L108+L109)*N(AND(L$3&lt;=$E110,L$4&gt;=$E110))</f>
        <v>-0</v>
      </c>
      <c r="M110" s="48" t="n">
        <f aca="false">-(M107+M108+M109)*N(AND(M$3&lt;=$E110,M$4&gt;=$E110))</f>
        <v>-0</v>
      </c>
      <c r="N110" s="48" t="n">
        <f aca="false">-(N107+N108+N109)*N(AND(N$3&lt;=$E110,N$4&gt;=$E110))</f>
        <v>-0</v>
      </c>
      <c r="O110" s="48" t="n">
        <f aca="false">-(O107+O108+O109)*N(AND(O$3&lt;=$E110,O$4&gt;=$E110))</f>
        <v>-0</v>
      </c>
      <c r="P110" s="48" t="n">
        <f aca="false">-(P107+P108+P109)*N(AND(P$3&lt;=$E110,P$4&gt;=$E110))</f>
        <v>-0</v>
      </c>
      <c r="Q110" s="48" t="n">
        <f aca="false">-(Q107+Q108+Q109)*N(AND(Q$3&lt;=$E110,Q$4&gt;=$E110))</f>
        <v>-0</v>
      </c>
      <c r="R110" s="48" t="n">
        <f aca="false">-(R107+R108+R109)*N(AND(R$3&lt;=$E110,R$4&gt;=$E110))</f>
        <v>-0</v>
      </c>
      <c r="S110" s="48" t="n">
        <f aca="false">-(S107+S108+S109)*N(AND(S$3&lt;=$E110,S$4&gt;=$E110))</f>
        <v>-0</v>
      </c>
      <c r="T110" s="48" t="n">
        <f aca="false">-(T107+T108+T109)*N(AND(T$3&lt;=$E110,T$4&gt;=$E110))</f>
        <v>-0</v>
      </c>
      <c r="U110" s="48" t="n">
        <f aca="false">-(U107+U108+U109)*N(AND(U$3&lt;=$E110,U$4&gt;=$E110))</f>
        <v>-0</v>
      </c>
      <c r="V110" s="48" t="n">
        <f aca="false">-(V107+V108+V109)*N(AND(V$3&lt;=$E110,V$4&gt;=$E110))</f>
        <v>-0</v>
      </c>
      <c r="W110" s="48" t="n">
        <f aca="false">-(W107+W108+W109)*N(AND(W$3&lt;=$E110,W$4&gt;=$E110))</f>
        <v>-0</v>
      </c>
      <c r="X110" s="48" t="n">
        <f aca="false">-(X107+X108+X109)*N(AND(X$3&lt;=$E110,X$4&gt;=$E110))</f>
        <v>-0</v>
      </c>
      <c r="Y110" s="48" t="n">
        <f aca="false">-(Y107+Y108+Y109)*N(AND(Y$3&lt;=$E110,Y$4&gt;=$E110))</f>
        <v>-0</v>
      </c>
      <c r="Z110" s="48" t="n">
        <f aca="false">-(Z107+Z108+Z109)*N(AND(Z$3&lt;=$E110,Z$4&gt;=$E110))</f>
        <v>-0</v>
      </c>
      <c r="AA110" s="48" t="n">
        <f aca="false">-(AA107+AA108+AA109)*N(AND(AA$3&lt;=$E110,AA$4&gt;=$E110))</f>
        <v>-0</v>
      </c>
      <c r="AB110" s="48" t="n">
        <f aca="false">-(AB107+AB108+AB109)*N(AND(AB$3&lt;=$E110,AB$4&gt;=$E110))</f>
        <v>-0</v>
      </c>
      <c r="AC110" s="48" t="n">
        <f aca="false">-(AC107+AC108+AC109)*N(AND(AC$3&lt;=$E110,AC$4&gt;=$E110))</f>
        <v>-0</v>
      </c>
      <c r="AD110" s="48" t="n">
        <f aca="false">-(AD107+AD108+AD109)*N(AND(AD$3&lt;=$E110,AD$4&gt;=$E110))</f>
        <v>-0</v>
      </c>
      <c r="AE110" s="48" t="n">
        <f aca="false">-(AE107+AE108+AE109)*N(AND(AE$3&lt;=$E110,AE$4&gt;=$E110))</f>
        <v>-0</v>
      </c>
      <c r="AF110" s="48" t="n">
        <f aca="false">-(AF107+AF108+AF109)*N(AND(AF$3&lt;=$E110,AF$4&gt;=$E110))</f>
        <v>-0</v>
      </c>
      <c r="AG110" s="48" t="n">
        <f aca="false">-(AG107+AG108+AG109)*N(AND(AG$3&lt;=$E110,AG$4&gt;=$E110))</f>
        <v>-0</v>
      </c>
      <c r="AH110" s="48" t="n">
        <f aca="false">-(AH107+AH108+AH109)*N(AND(AH$3&lt;=$E110,AH$4&gt;=$E110))</f>
        <v>-0</v>
      </c>
      <c r="AI110" s="48" t="n">
        <f aca="false">-(AI107+AI108+AI109)*N(AND(AI$3&lt;=$E110,AI$4&gt;=$E110))</f>
        <v>-0</v>
      </c>
      <c r="AJ110" s="48" t="n">
        <f aca="false">-(AJ107+AJ108+AJ109)*N(AND(AJ$3&lt;=$E110,AJ$4&gt;=$E110))</f>
        <v>-0</v>
      </c>
      <c r="AK110" s="48" t="n">
        <f aca="false">-(AK107+AK108+AK109)*N(AND(AK$3&lt;=$E110,AK$4&gt;=$E110))</f>
        <v>-0</v>
      </c>
      <c r="AL110" s="48" t="n">
        <f aca="false">-(AL107+AL108+AL109)*N(AND(AL$3&lt;=$E110,AL$4&gt;=$E110))</f>
        <v>-0</v>
      </c>
      <c r="AM110" s="48" t="n">
        <f aca="false">-(AM107+AM108+AM109)*N(AND(AM$3&lt;=$E110,AM$4&gt;=$E110))</f>
        <v>-0</v>
      </c>
      <c r="AN110" s="48" t="n">
        <f aca="false">-(AN107+AN108+AN109)*N(AND(AN$3&lt;=$E110,AN$4&gt;=$E110))</f>
        <v>-0</v>
      </c>
      <c r="AO110" s="48" t="n">
        <f aca="false">-(AO107+AO108+AO109)*N(AND(AO$3&lt;=$E110,AO$4&gt;=$E110))</f>
        <v>-0</v>
      </c>
      <c r="AP110" s="48" t="n">
        <f aca="false">-(AP107+AP108+AP109)*N(AND(AP$3&lt;=$E110,AP$4&gt;=$E110))</f>
        <v>-0</v>
      </c>
      <c r="AQ110" s="48" t="n">
        <f aca="false">-(AQ107+AQ108+AQ109)*N(AND(AQ$3&lt;=$E110,AQ$4&gt;=$E110))</f>
        <v>-0</v>
      </c>
      <c r="AR110" s="48" t="n">
        <f aca="false">-(AR107+AR108+AR109)*N(AND(AR$3&lt;=$E110,AR$4&gt;=$E110))</f>
        <v>-0</v>
      </c>
      <c r="AS110" s="48" t="n">
        <f aca="false">-(AS107+AS108+AS109)*N(AND(AS$3&lt;=$E110,AS$4&gt;=$E110))</f>
        <v>-0</v>
      </c>
      <c r="AT110" s="48" t="n">
        <f aca="false">-(AT107+AT108+AT109)*N(AND(AT$3&lt;=$E110,AT$4&gt;=$E110))</f>
        <v>-0</v>
      </c>
      <c r="AU110" s="48" t="n">
        <f aca="false">-(AU107+AU108+AU109)*N(AND(AU$3&lt;=$E110,AU$4&gt;=$E110))</f>
        <v>-0</v>
      </c>
      <c r="AV110" s="48" t="n">
        <f aca="false">-(AV107+AV108+AV109)*N(AND(AV$3&lt;=$E110,AV$4&gt;=$E110))</f>
        <v>-0</v>
      </c>
      <c r="AW110" s="48" t="n">
        <f aca="false">-(AW107+AW108+AW109)*N(AND(AW$3&lt;=$E110,AW$4&gt;=$E110))</f>
        <v>-0</v>
      </c>
      <c r="AX110" s="48" t="n">
        <f aca="false">-(AX107+AX108+AX109)*N(AND(AX$3&lt;=$E110,AX$4&gt;=$E110))</f>
        <v>-0</v>
      </c>
      <c r="AY110" s="48" t="n">
        <f aca="false">-(AY107+AY108+AY109)*N(AND(AY$3&lt;=$E110,AY$4&gt;=$E110))</f>
        <v>-0</v>
      </c>
      <c r="AZ110" s="48" t="n">
        <f aca="false">-(AZ107+AZ108+AZ109)*N(AND(AZ$3&lt;=$E110,AZ$4&gt;=$E110))</f>
        <v>-0</v>
      </c>
      <c r="BA110" s="48" t="n">
        <f aca="false">-(BA107+BA108+BA109)*N(AND(BA$3&lt;=$E110,BA$4&gt;=$E110))</f>
        <v>-0</v>
      </c>
      <c r="BB110" s="48" t="n">
        <f aca="false">-(BB107+BB108+BB109)*N(AND(BB$3&lt;=$E110,BB$4&gt;=$E110))</f>
        <v>-0</v>
      </c>
      <c r="BC110" s="48" t="n">
        <f aca="false">-(BC107+BC108+BC109)*N(AND(BC$3&lt;=$E110,BC$4&gt;=$E110))</f>
        <v>-0</v>
      </c>
      <c r="BD110" s="48" t="n">
        <f aca="false">-(BD107+BD108+BD109)*N(AND(BD$3&lt;=$E110,BD$4&gt;=$E110))</f>
        <v>-0</v>
      </c>
      <c r="BE110" s="48" t="n">
        <f aca="false">-(BE107+BE108+BE109)*N(AND(BE$3&lt;=$E110,BE$4&gt;=$E110))</f>
        <v>-0</v>
      </c>
      <c r="BF110" s="48" t="n">
        <f aca="false">-(BF107+BF108+BF109)*N(AND(BF$3&lt;=$E110,BF$4&gt;=$E110))</f>
        <v>-0</v>
      </c>
      <c r="BG110" s="48" t="n">
        <f aca="false">-(BG107+BG108+BG109)*N(AND(BG$3&lt;=$E110,BG$4&gt;=$E110))</f>
        <v>-0</v>
      </c>
      <c r="BH110" s="48" t="n">
        <f aca="false">-(BH107+BH108+BH109)*N(AND(BH$3&lt;=$E110,BH$4&gt;=$E110))</f>
        <v>-0</v>
      </c>
      <c r="BI110" s="48" t="n">
        <f aca="false">-(BI107+BI108+BI109)*N(AND(BI$3&lt;=$E110,BI$4&gt;=$E110))</f>
        <v>-0</v>
      </c>
      <c r="BJ110" s="48" t="n">
        <f aca="false">-(BJ107+BJ108+BJ109)*N(AND(BJ$3&lt;=$E110,BJ$4&gt;=$E110))</f>
        <v>-0</v>
      </c>
      <c r="BK110" s="48" t="n">
        <f aca="false">-(BK107+BK108+BK109)*N(AND(BK$3&lt;=$E110,BK$4&gt;=$E110))</f>
        <v>-0</v>
      </c>
      <c r="BL110" s="48" t="n">
        <f aca="false">-(BL107+BL108+BL109)*N(AND(BL$3&lt;=$E110,BL$4&gt;=$E110))</f>
        <v>-0</v>
      </c>
      <c r="BM110" s="48" t="n">
        <f aca="false">-(BM107+BM108+BM109)*N(AND(BM$3&lt;=$E110,BM$4&gt;=$E110))</f>
        <v>-0</v>
      </c>
      <c r="BN110" s="48" t="n">
        <f aca="false">-(BN107+BN108+BN109)*N(AND(BN$3&lt;=$E110,BN$4&gt;=$E110))</f>
        <v>-0</v>
      </c>
      <c r="BO110" s="48" t="n">
        <f aca="false">-(BO107+BO108+BO109)*N(AND(BO$3&lt;=$E110,BO$4&gt;=$E110))</f>
        <v>-0</v>
      </c>
      <c r="BP110" s="48" t="n">
        <f aca="false">-(BP107+BP108+BP109)*N(AND(BP$3&lt;=$E110,BP$4&gt;=$E110))</f>
        <v>-0</v>
      </c>
      <c r="BQ110" s="48" t="n">
        <f aca="false">-(BQ107+BQ108+BQ109)*N(AND(BQ$3&lt;=$E110,BQ$4&gt;=$E110))</f>
        <v>-0</v>
      </c>
      <c r="BR110" s="48" t="n">
        <f aca="false">-(BR107+BR108+BR109)*N(AND(BR$3&lt;=$E110,BR$4&gt;=$E110))</f>
        <v>-0</v>
      </c>
      <c r="BS110" s="48" t="n">
        <f aca="false">-(BS107+BS108+BS109)*N(AND(BS$3&lt;=$E110,BS$4&gt;=$E110))</f>
        <v>-0</v>
      </c>
      <c r="BT110" s="48" t="n">
        <f aca="false">-(BT107+BT108+BT109)*N(AND(BT$3&lt;=$E110,BT$4&gt;=$E110))</f>
        <v>-0</v>
      </c>
      <c r="BU110" s="48" t="n">
        <f aca="false">-(BU107+BU108+BU109)*N(AND(BU$3&lt;=$E110,BU$4&gt;=$E110))</f>
        <v>-0</v>
      </c>
      <c r="BV110" s="48" t="n">
        <f aca="false">-(BV107+BV108+BV109)*N(AND(BV$3&lt;=$E110,BV$4&gt;=$E110))</f>
        <v>-0</v>
      </c>
      <c r="BW110" s="48" t="n">
        <f aca="false">-(BW107+BW108+BW109)*N(AND(BW$3&lt;=$E110,BW$4&gt;=$E110))</f>
        <v>-0</v>
      </c>
      <c r="BX110" s="48" t="n">
        <f aca="false">-(BX107+BX108+BX109)*N(AND(BX$3&lt;=$E110,BX$4&gt;=$E110))</f>
        <v>-0</v>
      </c>
      <c r="BY110" s="48" t="n">
        <f aca="false">-(BY107+BY108+BY109)*N(AND(BY$3&lt;=$E110,BY$4&gt;=$E110))</f>
        <v>-0</v>
      </c>
      <c r="BZ110" s="48" t="n">
        <f aca="false">-(BZ107+BZ108+BZ109)*N(AND(BZ$3&lt;=$E110,BZ$4&gt;=$E110))</f>
        <v>-0</v>
      </c>
      <c r="CA110" s="48" t="n">
        <f aca="false">-(CA107+CA108+CA109)*N(AND(CA$3&lt;=$E110,CA$4&gt;=$E110))</f>
        <v>-0</v>
      </c>
      <c r="CB110" s="48" t="n">
        <f aca="false">-(CB107+CB108+CB109)*N(AND(CB$3&lt;=$E110,CB$4&gt;=$E110))</f>
        <v>-0</v>
      </c>
      <c r="CC110" s="48" t="n">
        <f aca="false">-(CC107+CC108+CC109)*N(AND(CC$3&lt;=$E110,CC$4&gt;=$E110))</f>
        <v>-0</v>
      </c>
      <c r="CD110" s="48" t="n">
        <f aca="false">-(CD107+CD108+CD109)*N(AND(CD$3&lt;=$E110,CD$4&gt;=$E110))</f>
        <v>-0</v>
      </c>
      <c r="CE110" s="48" t="n">
        <f aca="false">-(CE107+CE108+CE109)*N(AND(CE$3&lt;=$E110,CE$4&gt;=$E110))</f>
        <v>-0</v>
      </c>
      <c r="CF110" s="48" t="n">
        <f aca="false">-(CF107+CF108+CF109)*N(AND(CF$3&lt;=$E110,CF$4&gt;=$E110))</f>
        <v>-0</v>
      </c>
      <c r="CG110" s="48" t="n">
        <f aca="false">-(CG107+CG108+CG109)*N(AND(CG$3&lt;=$E110,CG$4&gt;=$E110))</f>
        <v>-0</v>
      </c>
      <c r="CH110" s="48" t="n">
        <f aca="false">-(CH107+CH108+CH109)*N(AND(CH$3&lt;=$E110,CH$4&gt;=$E110))</f>
        <v>-0</v>
      </c>
      <c r="CI110" s="48" t="n">
        <f aca="false">-(CI107+CI108+CI109)*N(AND(CI$3&lt;=$E110,CI$4&gt;=$E110))</f>
        <v>-0</v>
      </c>
      <c r="CJ110" s="48" t="n">
        <f aca="false">-(CJ107+CJ108+CJ109)*N(AND(CJ$3&lt;=$E110,CJ$4&gt;=$E110))</f>
        <v>-0</v>
      </c>
      <c r="CK110" s="48" t="n">
        <f aca="false">-(CK107+CK108+CK109)*N(AND(CK$3&lt;=$E110,CK$4&gt;=$E110))</f>
        <v>-0</v>
      </c>
      <c r="CL110" s="48" t="n">
        <f aca="false">-(CL107+CL108+CL109)*N(AND(CL$3&lt;=$E110,CL$4&gt;=$E110))</f>
        <v>-0</v>
      </c>
      <c r="CM110" s="48" t="n">
        <f aca="false">-(CM107+CM108+CM109)*N(AND(CM$3&lt;=$E110,CM$4&gt;=$E110))</f>
        <v>-0</v>
      </c>
      <c r="CN110" s="48" t="n">
        <f aca="false">-(CN107+CN108+CN109)*N(AND(CN$3&lt;=$E110,CN$4&gt;=$E110))</f>
        <v>-0</v>
      </c>
      <c r="CO110" s="48" t="n">
        <f aca="false">-(CO107+CO108+CO109)*N(AND(CO$3&lt;=$E110,CO$4&gt;=$E110))</f>
        <v>-0</v>
      </c>
      <c r="CP110" s="48" t="n">
        <f aca="false">-(CP107+CP108+CP109)*N(AND(CP$3&lt;=$E110,CP$4&gt;=$E110))</f>
        <v>-0</v>
      </c>
      <c r="CQ110" s="48" t="n">
        <f aca="false">-(CQ107+CQ108+CQ109)*N(AND(CQ$3&lt;=$E110,CQ$4&gt;=$E110))</f>
        <v>-0</v>
      </c>
      <c r="CR110" s="48" t="n">
        <f aca="false">-(CR107+CR108+CR109)*N(AND(CR$3&lt;=$E110,CR$4&gt;=$E110))</f>
        <v>-0</v>
      </c>
      <c r="CS110" s="48" t="n">
        <f aca="false">-(CS107+CS108+CS109)*N(AND(CS$3&lt;=$E110,CS$4&gt;=$E110))</f>
        <v>-0</v>
      </c>
      <c r="CT110" s="48" t="n">
        <f aca="false">-(CT107+CT108+CT109)*N(AND(CT$3&lt;=$E110,CT$4&gt;=$E110))</f>
        <v>-0</v>
      </c>
      <c r="CU110" s="48" t="n">
        <f aca="false">-(CU107+CU108+CU109)*N(AND(CU$3&lt;=$E110,CU$4&gt;=$E110))</f>
        <v>-0</v>
      </c>
      <c r="CV110" s="48" t="n">
        <f aca="false">-(CV107+CV108+CV109)*N(AND(CV$3&lt;=$E110,CV$4&gt;=$E110))</f>
        <v>-0</v>
      </c>
      <c r="CW110" s="48" t="n">
        <f aca="false">-(CW107+CW108+CW109)*N(AND(CW$3&lt;=$E110,CW$4&gt;=$E110))</f>
        <v>-0</v>
      </c>
      <c r="CX110" s="48" t="n">
        <f aca="false">-(CX107+CX108+CX109)*N(AND(CX$3&lt;=$E110,CX$4&gt;=$E110))</f>
        <v>-0</v>
      </c>
      <c r="CY110" s="48" t="n">
        <f aca="false">-(CY107+CY108+CY109)*N(AND(CY$3&lt;=$E110,CY$4&gt;=$E110))</f>
        <v>-0</v>
      </c>
      <c r="CZ110" s="48" t="n">
        <f aca="false">-(CZ107+CZ108+CZ109)*N(AND(CZ$3&lt;=$E110,CZ$4&gt;=$E110))</f>
        <v>-0</v>
      </c>
      <c r="DA110" s="48" t="n">
        <f aca="false">-(DA107+DA108+DA109)*N(AND(DA$3&lt;=$E110,DA$4&gt;=$E110))</f>
        <v>-0</v>
      </c>
      <c r="DB110" s="48" t="n">
        <f aca="false">-(DB107+DB108+DB109)*N(AND(DB$3&lt;=$E110,DB$4&gt;=$E110))</f>
        <v>-0</v>
      </c>
      <c r="DC110" s="48" t="n">
        <f aca="false">-(DC107+DC108+DC109)*N(AND(DC$3&lt;=$E110,DC$4&gt;=$E110))</f>
        <v>-0</v>
      </c>
      <c r="DD110" s="48" t="n">
        <f aca="false">-(DD107+DD108+DD109)*N(AND(DD$3&lt;=$E110,DD$4&gt;=$E110))</f>
        <v>-0</v>
      </c>
      <c r="DE110" s="48" t="n">
        <f aca="false">-(DE107+DE108+DE109)*N(AND(DE$3&lt;=$E110,DE$4&gt;=$E110))</f>
        <v>-0</v>
      </c>
      <c r="DF110" s="48" t="n">
        <f aca="false">-(DF107+DF108+DF109)*N(AND(DF$3&lt;=$E110,DF$4&gt;=$E110))</f>
        <v>-0</v>
      </c>
      <c r="DG110" s="48" t="n">
        <f aca="false">-(DG107+DG108+DG109)*N(AND(DG$3&lt;=$E110,DG$4&gt;=$E110))</f>
        <v>-0</v>
      </c>
      <c r="DH110" s="48" t="n">
        <f aca="false">-(DH107+DH108+DH109)*N(AND(DH$3&lt;=$E110,DH$4&gt;=$E110))</f>
        <v>-0</v>
      </c>
      <c r="DI110" s="48" t="n">
        <f aca="false">-(DI107+DI108+DI109)*N(AND(DI$3&lt;=$E110,DI$4&gt;=$E110))</f>
        <v>-0</v>
      </c>
      <c r="DJ110" s="48" t="n">
        <f aca="false">-(DJ107+DJ108+DJ109)*N(AND(DJ$3&lt;=$E110,DJ$4&gt;=$E110))</f>
        <v>-0</v>
      </c>
      <c r="DK110" s="48" t="n">
        <f aca="false">-(DK107+DK108+DK109)*N(AND(DK$3&lt;=$E110,DK$4&gt;=$E110))</f>
        <v>-0</v>
      </c>
      <c r="DL110" s="48" t="n">
        <f aca="false">-(DL107+DL108+DL109)*N(AND(DL$3&lt;=$E110,DL$4&gt;=$E110))</f>
        <v>-0</v>
      </c>
      <c r="DM110" s="48" t="n">
        <f aca="false">-(DM107+DM108+DM109)*N(AND(DM$3&lt;=$E110,DM$4&gt;=$E110))</f>
        <v>-0</v>
      </c>
      <c r="DN110" s="48" t="n">
        <f aca="false">-(DN107+DN108+DN109)*N(AND(DN$3&lt;=$E110,DN$4&gt;=$E110))</f>
        <v>-0</v>
      </c>
      <c r="DO110" s="48" t="n">
        <f aca="false">-(DO107+DO108+DO109)*N(AND(DO$3&lt;=$E110,DO$4&gt;=$E110))</f>
        <v>-0</v>
      </c>
      <c r="DP110" s="48" t="n">
        <f aca="false">-(DP107+DP108+DP109)*N(AND(DP$3&lt;=$E110,DP$4&gt;=$E110))</f>
        <v>-0</v>
      </c>
      <c r="DQ110" s="48" t="n">
        <f aca="false">-(DQ107+DQ108+DQ109)*N(AND(DQ$3&lt;=$E110,DQ$4&gt;=$E110))</f>
        <v>-0</v>
      </c>
      <c r="DR110" s="48" t="n">
        <f aca="false">-(DR107+DR108+DR109)*N(AND(DR$3&lt;=$E110,DR$4&gt;=$E110))</f>
        <v>-0</v>
      </c>
      <c r="DS110" s="48" t="n">
        <f aca="false">-(DS107+DS108+DS109)*N(AND(DS$3&lt;=$E110,DS$4&gt;=$E110))</f>
        <v>-0</v>
      </c>
      <c r="DT110" s="48" t="n">
        <f aca="false">-(DT107+DT108+DT109)*N(AND(DT$3&lt;=$E110,DT$4&gt;=$E110))</f>
        <v>-0</v>
      </c>
      <c r="DU110" s="48" t="n">
        <f aca="false">-(DU107+DU108+DU109)*N(AND(DU$3&lt;=$E110,DU$4&gt;=$E110))</f>
        <v>-0</v>
      </c>
      <c r="DV110" s="48" t="n">
        <f aca="false">-(DV107+DV108+DV109)*N(AND(DV$3&lt;=$E110,DV$4&gt;=$E110))</f>
        <v>-0</v>
      </c>
      <c r="DW110" s="48" t="n">
        <f aca="false">-(DW107+DW108+DW109)*N(AND(DW$3&lt;=$E110,DW$4&gt;=$E110))</f>
        <v>-0</v>
      </c>
      <c r="DX110" s="48" t="n">
        <f aca="false">-(DX107+DX108+DX109)*N(AND(DX$3&lt;=$E110,DX$4&gt;=$E110))</f>
        <v>-0</v>
      </c>
      <c r="DY110" s="48" t="n">
        <f aca="false">-(DY107+DY108+DY109)*N(AND(DY$3&lt;=$E110,DY$4&gt;=$E110))</f>
        <v>-0</v>
      </c>
      <c r="DZ110" s="48" t="n">
        <f aca="false">-(DZ107+DZ108+DZ109)*N(AND(DZ$3&lt;=$E110,DZ$4&gt;=$E110))</f>
        <v>-0</v>
      </c>
      <c r="EA110" s="48" t="n">
        <f aca="false">-(EA107+EA108+EA109)*N(AND(EA$3&lt;=$E110,EA$4&gt;=$E110))</f>
        <v>-0</v>
      </c>
      <c r="EB110" s="48" t="n">
        <f aca="false">-(EB107+EB108+EB109)*N(AND(EB$3&lt;=$E110,EB$4&gt;=$E110))</f>
        <v>-0</v>
      </c>
      <c r="EC110" s="48" t="n">
        <f aca="false">-(EC107+EC108+EC109)*N(AND(EC$3&lt;=$E110,EC$4&gt;=$E110))</f>
        <v>-0</v>
      </c>
      <c r="ED110" s="48" t="n">
        <f aca="false">-(ED107+ED108+ED109)*N(AND(ED$3&lt;=$E110,ED$4&gt;=$E110))</f>
        <v>-0</v>
      </c>
      <c r="EE110" s="48" t="n">
        <f aca="false">-(EE107+EE108+EE109)*N(AND(EE$3&lt;=$E110,EE$4&gt;=$E110))</f>
        <v>-0</v>
      </c>
      <c r="EF110" s="48" t="n">
        <f aca="false">-(EF107+EF108+EF109)*N(AND(EF$3&lt;=$E110,EF$4&gt;=$E110))</f>
        <v>-0</v>
      </c>
      <c r="EG110" s="48" t="n">
        <f aca="false">-(EG107+EG108+EG109)*N(AND(EG$3&lt;=$E110,EG$4&gt;=$E110))</f>
        <v>-0</v>
      </c>
      <c r="EH110" s="48" t="n">
        <f aca="false">-(EH107+EH108+EH109)*N(AND(EH$3&lt;=$E110,EH$4&gt;=$E110))</f>
        <v>-0</v>
      </c>
      <c r="EI110" s="48" t="n">
        <f aca="false">-(EI107+EI108+EI109)*N(AND(EI$3&lt;=$E110,EI$4&gt;=$E110))</f>
        <v>-0</v>
      </c>
      <c r="EJ110" s="48" t="n">
        <f aca="false">-(EJ107+EJ108+EJ109)*N(AND(EJ$3&lt;=$E110,EJ$4&gt;=$E110))</f>
        <v>-0</v>
      </c>
      <c r="EK110" s="48" t="n">
        <f aca="false">-(EK107+EK108+EK109)*N(AND(EK$3&lt;=$E110,EK$4&gt;=$E110))</f>
        <v>-0</v>
      </c>
      <c r="EL110" s="48" t="n">
        <f aca="false">-(EL107+EL108+EL109)*N(AND(EL$3&lt;=$E110,EL$4&gt;=$E110))</f>
        <v>-0</v>
      </c>
      <c r="EM110" s="48" t="n">
        <f aca="false">-(EM107+EM108+EM109)*N(AND(EM$3&lt;=$E110,EM$4&gt;=$E110))</f>
        <v>-0</v>
      </c>
      <c r="EN110" s="48" t="n">
        <f aca="false">-(EN107+EN108+EN109)*N(AND(EN$3&lt;=$E110,EN$4&gt;=$E110))</f>
        <v>-0</v>
      </c>
      <c r="EO110" s="48" t="n">
        <f aca="false">-(EO107+EO108+EO109)*N(AND(EO$3&lt;=$E110,EO$4&gt;=$E110))</f>
        <v>-0</v>
      </c>
    </row>
    <row r="111" customFormat="false" ht="15" hidden="false" customHeight="false" outlineLevel="0" collapsed="false">
      <c r="C111" s="0" t="s">
        <v>488</v>
      </c>
      <c r="D111" s="11" t="s">
        <v>33</v>
      </c>
      <c r="I111" s="59"/>
      <c r="J111" s="48" t="n">
        <f aca="false">SUM(J107:J110)</f>
        <v>12.8099380746857</v>
      </c>
      <c r="K111" s="48" t="n">
        <f aca="false">SUM(K107:K110)</f>
        <v>32.4846237568024</v>
      </c>
      <c r="L111" s="48" t="n">
        <f aca="false">SUM(L107:L110)</f>
        <v>65.6401125914806</v>
      </c>
      <c r="M111" s="48" t="n">
        <f aca="false">SUM(M107:M110)</f>
        <v>99.1599474573091</v>
      </c>
      <c r="N111" s="48" t="n">
        <f aca="false">SUM(N107:N110)</f>
        <v>132.679782323138</v>
      </c>
      <c r="O111" s="48" t="n">
        <f aca="false">SUM(O107:O110)</f>
        <v>165.835271157816</v>
      </c>
      <c r="P111" s="48" t="n">
        <f aca="false">SUM(P107:P110)</f>
        <v>198.990759992494</v>
      </c>
      <c r="Q111" s="48" t="n">
        <f aca="false">SUM(Q107:Q110)</f>
        <v>232.510594858322</v>
      </c>
      <c r="R111" s="48" t="n">
        <f aca="false">SUM(R107:R110)</f>
        <v>1161.08643742634</v>
      </c>
      <c r="S111" s="48" t="n">
        <f aca="false">SUM(S107:S110)</f>
        <v>1317.59402148047</v>
      </c>
      <c r="T111" s="48" t="n">
        <f aca="false">SUM(T107:T110)</f>
        <v>1455.93002362403</v>
      </c>
      <c r="U111" s="48" t="n">
        <f aca="false">SUM(U107:U110)</f>
        <v>1585.72077844869</v>
      </c>
      <c r="V111" s="48" t="n">
        <f aca="false">SUM(V107:V110)</f>
        <v>1705.33550106093</v>
      </c>
      <c r="W111" s="48" t="n">
        <f aca="false">SUM(W107:W110)</f>
        <v>1813.43702066827</v>
      </c>
      <c r="X111" s="48" t="n">
        <f aca="false">SUM(X107:X110)</f>
        <v>1912.89305865171</v>
      </c>
      <c r="Y111" s="48" t="n">
        <f aca="false">SUM(Y107:Y110)</f>
        <v>2003.37659696283</v>
      </c>
      <c r="Z111" s="48" t="n">
        <f aca="false">SUM(Z107:Z110)</f>
        <v>1617.12689544177</v>
      </c>
      <c r="AA111" s="48" t="n">
        <f aca="false">SUM(AA107:AA110)</f>
        <v>1234.85107677154</v>
      </c>
      <c r="AB111" s="48" t="n">
        <f aca="false">SUM(AB107:AB110)</f>
        <v>842.99341048832</v>
      </c>
      <c r="AC111" s="48" t="n">
        <f aca="false">SUM(AC107:AC110)</f>
        <v>441.463148885304</v>
      </c>
      <c r="AD111" s="48" t="n">
        <f aca="false">SUM(AD107:AD110)</f>
        <v>41.6399643180844</v>
      </c>
      <c r="AE111" s="48" t="n">
        <f aca="false">SUM(AE107:AE110)</f>
        <v>0</v>
      </c>
      <c r="AF111" s="48" t="n">
        <f aca="false">SUM(AF107:AF110)</f>
        <v>0</v>
      </c>
      <c r="AG111" s="48" t="n">
        <f aca="false">SUM(AG107:AG110)</f>
        <v>0</v>
      </c>
      <c r="AH111" s="48" t="n">
        <f aca="false">SUM(AH107:AH110)</f>
        <v>0</v>
      </c>
      <c r="AI111" s="48" t="n">
        <f aca="false">SUM(AI107:AI110)</f>
        <v>0</v>
      </c>
      <c r="AJ111" s="48" t="n">
        <f aca="false">SUM(AJ107:AJ110)</f>
        <v>0</v>
      </c>
      <c r="AK111" s="48" t="n">
        <f aca="false">SUM(AK107:AK110)</f>
        <v>0</v>
      </c>
      <c r="AL111" s="48" t="n">
        <f aca="false">SUM(AL107:AL110)</f>
        <v>0</v>
      </c>
      <c r="AM111" s="48" t="n">
        <f aca="false">SUM(AM107:AM110)</f>
        <v>0</v>
      </c>
      <c r="AN111" s="48" t="n">
        <f aca="false">SUM(AN107:AN110)</f>
        <v>0</v>
      </c>
      <c r="AO111" s="48" t="n">
        <f aca="false">SUM(AO107:AO110)</f>
        <v>0</v>
      </c>
      <c r="AP111" s="48" t="n">
        <f aca="false">SUM(AP107:AP110)</f>
        <v>0</v>
      </c>
      <c r="AQ111" s="48" t="n">
        <f aca="false">SUM(AQ107:AQ110)</f>
        <v>0</v>
      </c>
      <c r="AR111" s="48" t="n">
        <f aca="false">SUM(AR107:AR110)</f>
        <v>0</v>
      </c>
      <c r="AS111" s="48" t="n">
        <f aca="false">SUM(AS107:AS110)</f>
        <v>0</v>
      </c>
      <c r="AT111" s="48" t="n">
        <f aca="false">SUM(AT107:AT110)</f>
        <v>0</v>
      </c>
      <c r="AU111" s="48" t="n">
        <f aca="false">SUM(AU107:AU110)</f>
        <v>0</v>
      </c>
      <c r="AV111" s="48" t="n">
        <f aca="false">SUM(AV107:AV110)</f>
        <v>0</v>
      </c>
      <c r="AW111" s="48" t="n">
        <f aca="false">SUM(AW107:AW110)</f>
        <v>0</v>
      </c>
      <c r="AX111" s="48" t="n">
        <f aca="false">SUM(AX107:AX110)</f>
        <v>0</v>
      </c>
      <c r="AY111" s="48" t="n">
        <f aca="false">SUM(AY107:AY110)</f>
        <v>0</v>
      </c>
      <c r="AZ111" s="48" t="n">
        <f aca="false">SUM(AZ107:AZ110)</f>
        <v>0</v>
      </c>
      <c r="BA111" s="48" t="n">
        <f aca="false">SUM(BA107:BA110)</f>
        <v>0</v>
      </c>
      <c r="BB111" s="48" t="n">
        <f aca="false">SUM(BB107:BB110)</f>
        <v>0</v>
      </c>
      <c r="BC111" s="48" t="n">
        <f aca="false">SUM(BC107:BC110)</f>
        <v>0</v>
      </c>
      <c r="BD111" s="48" t="n">
        <f aca="false">SUM(BD107:BD110)</f>
        <v>0</v>
      </c>
      <c r="BE111" s="48" t="n">
        <f aca="false">SUM(BE107:BE110)</f>
        <v>0</v>
      </c>
      <c r="BF111" s="48" t="n">
        <f aca="false">SUM(BF107:BF110)</f>
        <v>0</v>
      </c>
      <c r="BG111" s="48" t="n">
        <f aca="false">SUM(BG107:BG110)</f>
        <v>0</v>
      </c>
      <c r="BH111" s="48" t="n">
        <f aca="false">SUM(BH107:BH110)</f>
        <v>0</v>
      </c>
      <c r="BI111" s="48" t="n">
        <f aca="false">SUM(BI107:BI110)</f>
        <v>0</v>
      </c>
      <c r="BJ111" s="48" t="n">
        <f aca="false">SUM(BJ107:BJ110)</f>
        <v>0</v>
      </c>
      <c r="BK111" s="48" t="n">
        <f aca="false">SUM(BK107:BK110)</f>
        <v>0</v>
      </c>
      <c r="BL111" s="48" t="n">
        <f aca="false">SUM(BL107:BL110)</f>
        <v>0</v>
      </c>
      <c r="BM111" s="48" t="n">
        <f aca="false">SUM(BM107:BM110)</f>
        <v>0</v>
      </c>
      <c r="BN111" s="48" t="n">
        <f aca="false">SUM(BN107:BN110)</f>
        <v>0</v>
      </c>
      <c r="BO111" s="48" t="n">
        <f aca="false">SUM(BO107:BO110)</f>
        <v>0</v>
      </c>
      <c r="BP111" s="48" t="n">
        <f aca="false">SUM(BP107:BP110)</f>
        <v>0</v>
      </c>
      <c r="BQ111" s="48" t="n">
        <f aca="false">SUM(BQ107:BQ110)</f>
        <v>0</v>
      </c>
      <c r="BR111" s="48" t="n">
        <f aca="false">SUM(BR107:BR110)</f>
        <v>0</v>
      </c>
      <c r="BS111" s="48" t="n">
        <f aca="false">SUM(BS107:BS110)</f>
        <v>0</v>
      </c>
      <c r="BT111" s="48" t="n">
        <f aca="false">SUM(BT107:BT110)</f>
        <v>0</v>
      </c>
      <c r="BU111" s="48" t="n">
        <f aca="false">SUM(BU107:BU110)</f>
        <v>0</v>
      </c>
      <c r="BV111" s="48" t="n">
        <f aca="false">SUM(BV107:BV110)</f>
        <v>0</v>
      </c>
      <c r="BW111" s="48" t="n">
        <f aca="false">SUM(BW107:BW110)</f>
        <v>0</v>
      </c>
      <c r="BX111" s="48" t="n">
        <f aca="false">SUM(BX107:BX110)</f>
        <v>0</v>
      </c>
      <c r="BY111" s="48" t="n">
        <f aca="false">SUM(BY107:BY110)</f>
        <v>0</v>
      </c>
      <c r="BZ111" s="48" t="n">
        <f aca="false">SUM(BZ107:BZ110)</f>
        <v>0</v>
      </c>
      <c r="CA111" s="48" t="n">
        <f aca="false">SUM(CA107:CA110)</f>
        <v>0</v>
      </c>
      <c r="CB111" s="48" t="n">
        <f aca="false">SUM(CB107:CB110)</f>
        <v>0</v>
      </c>
      <c r="CC111" s="48" t="n">
        <f aca="false">SUM(CC107:CC110)</f>
        <v>0</v>
      </c>
      <c r="CD111" s="48" t="n">
        <f aca="false">SUM(CD107:CD110)</f>
        <v>0</v>
      </c>
      <c r="CE111" s="48" t="n">
        <f aca="false">SUM(CE107:CE110)</f>
        <v>0</v>
      </c>
      <c r="CF111" s="48" t="n">
        <f aca="false">SUM(CF107:CF110)</f>
        <v>0</v>
      </c>
      <c r="CG111" s="48" t="n">
        <f aca="false">SUM(CG107:CG110)</f>
        <v>0</v>
      </c>
      <c r="CH111" s="48" t="n">
        <f aca="false">SUM(CH107:CH110)</f>
        <v>0</v>
      </c>
      <c r="CI111" s="48" t="n">
        <f aca="false">SUM(CI107:CI110)</f>
        <v>0</v>
      </c>
      <c r="CJ111" s="48" t="n">
        <f aca="false">SUM(CJ107:CJ110)</f>
        <v>0</v>
      </c>
      <c r="CK111" s="48" t="n">
        <f aca="false">SUM(CK107:CK110)</f>
        <v>0</v>
      </c>
      <c r="CL111" s="48" t="n">
        <f aca="false">SUM(CL107:CL110)</f>
        <v>0</v>
      </c>
      <c r="CM111" s="48" t="n">
        <f aca="false">SUM(CM107:CM110)</f>
        <v>0</v>
      </c>
      <c r="CN111" s="48" t="n">
        <f aca="false">SUM(CN107:CN110)</f>
        <v>0</v>
      </c>
      <c r="CO111" s="48" t="n">
        <f aca="false">SUM(CO107:CO110)</f>
        <v>0</v>
      </c>
      <c r="CP111" s="48" t="n">
        <f aca="false">SUM(CP107:CP110)</f>
        <v>0</v>
      </c>
      <c r="CQ111" s="48" t="n">
        <f aca="false">SUM(CQ107:CQ110)</f>
        <v>0</v>
      </c>
      <c r="CR111" s="48" t="n">
        <f aca="false">SUM(CR107:CR110)</f>
        <v>0</v>
      </c>
      <c r="CS111" s="48" t="n">
        <f aca="false">SUM(CS107:CS110)</f>
        <v>0</v>
      </c>
      <c r="CT111" s="48" t="n">
        <f aca="false">SUM(CT107:CT110)</f>
        <v>0</v>
      </c>
      <c r="CU111" s="48" t="n">
        <f aca="false">SUM(CU107:CU110)</f>
        <v>0</v>
      </c>
      <c r="CV111" s="48" t="n">
        <f aca="false">SUM(CV107:CV110)</f>
        <v>0</v>
      </c>
      <c r="CW111" s="48" t="n">
        <f aca="false">SUM(CW107:CW110)</f>
        <v>0</v>
      </c>
      <c r="CX111" s="48" t="n">
        <f aca="false">SUM(CX107:CX110)</f>
        <v>0</v>
      </c>
      <c r="CY111" s="48" t="n">
        <f aca="false">SUM(CY107:CY110)</f>
        <v>0</v>
      </c>
      <c r="CZ111" s="48" t="n">
        <f aca="false">SUM(CZ107:CZ110)</f>
        <v>0</v>
      </c>
      <c r="DA111" s="48" t="n">
        <f aca="false">SUM(DA107:DA110)</f>
        <v>0</v>
      </c>
      <c r="DB111" s="48" t="n">
        <f aca="false">SUM(DB107:DB110)</f>
        <v>0</v>
      </c>
      <c r="DC111" s="48" t="n">
        <f aca="false">SUM(DC107:DC110)</f>
        <v>0</v>
      </c>
      <c r="DD111" s="48" t="n">
        <f aca="false">SUM(DD107:DD110)</f>
        <v>0</v>
      </c>
      <c r="DE111" s="48" t="n">
        <f aca="false">SUM(DE107:DE110)</f>
        <v>0</v>
      </c>
      <c r="DF111" s="48" t="n">
        <f aca="false">SUM(DF107:DF110)</f>
        <v>0</v>
      </c>
      <c r="DG111" s="48" t="n">
        <f aca="false">SUM(DG107:DG110)</f>
        <v>0</v>
      </c>
      <c r="DH111" s="48" t="n">
        <f aca="false">SUM(DH107:DH110)</f>
        <v>0</v>
      </c>
      <c r="DI111" s="48" t="n">
        <f aca="false">SUM(DI107:DI110)</f>
        <v>0</v>
      </c>
      <c r="DJ111" s="48" t="n">
        <f aca="false">SUM(DJ107:DJ110)</f>
        <v>0</v>
      </c>
      <c r="DK111" s="48" t="n">
        <f aca="false">SUM(DK107:DK110)</f>
        <v>0</v>
      </c>
      <c r="DL111" s="48" t="n">
        <f aca="false">SUM(DL107:DL110)</f>
        <v>0</v>
      </c>
      <c r="DM111" s="48" t="n">
        <f aca="false">SUM(DM107:DM110)</f>
        <v>0</v>
      </c>
      <c r="DN111" s="48" t="n">
        <f aca="false">SUM(DN107:DN110)</f>
        <v>0</v>
      </c>
      <c r="DO111" s="48" t="n">
        <f aca="false">SUM(DO107:DO110)</f>
        <v>0</v>
      </c>
      <c r="DP111" s="48" t="n">
        <f aca="false">SUM(DP107:DP110)</f>
        <v>0</v>
      </c>
      <c r="DQ111" s="48" t="n">
        <f aca="false">SUM(DQ107:DQ110)</f>
        <v>0</v>
      </c>
      <c r="DR111" s="48" t="n">
        <f aca="false">SUM(DR107:DR110)</f>
        <v>0</v>
      </c>
      <c r="DS111" s="48" t="n">
        <f aca="false">SUM(DS107:DS110)</f>
        <v>0</v>
      </c>
      <c r="DT111" s="48" t="n">
        <f aca="false">SUM(DT107:DT110)</f>
        <v>0</v>
      </c>
      <c r="DU111" s="48" t="n">
        <f aca="false">SUM(DU107:DU110)</f>
        <v>0</v>
      </c>
      <c r="DV111" s="48" t="n">
        <f aca="false">SUM(DV107:DV110)</f>
        <v>0</v>
      </c>
      <c r="DW111" s="48" t="n">
        <f aca="false">SUM(DW107:DW110)</f>
        <v>0</v>
      </c>
      <c r="DX111" s="48" t="n">
        <f aca="false">SUM(DX107:DX110)</f>
        <v>0</v>
      </c>
      <c r="DY111" s="48" t="n">
        <f aca="false">SUM(DY107:DY110)</f>
        <v>0</v>
      </c>
      <c r="DZ111" s="48" t="n">
        <f aca="false">SUM(DZ107:DZ110)</f>
        <v>0</v>
      </c>
      <c r="EA111" s="48" t="n">
        <f aca="false">SUM(EA107:EA110)</f>
        <v>0</v>
      </c>
      <c r="EB111" s="48" t="n">
        <f aca="false">SUM(EB107:EB110)</f>
        <v>0</v>
      </c>
      <c r="EC111" s="48" t="n">
        <f aca="false">SUM(EC107:EC110)</f>
        <v>0</v>
      </c>
      <c r="ED111" s="48" t="n">
        <f aca="false">SUM(ED107:ED110)</f>
        <v>0</v>
      </c>
      <c r="EE111" s="48" t="n">
        <f aca="false">SUM(EE107:EE110)</f>
        <v>0</v>
      </c>
      <c r="EF111" s="48" t="n">
        <f aca="false">SUM(EF107:EF110)</f>
        <v>0</v>
      </c>
      <c r="EG111" s="48" t="n">
        <f aca="false">SUM(EG107:EG110)</f>
        <v>0</v>
      </c>
      <c r="EH111" s="48" t="n">
        <f aca="false">SUM(EH107:EH110)</f>
        <v>0</v>
      </c>
      <c r="EI111" s="48" t="n">
        <f aca="false">SUM(EI107:EI110)</f>
        <v>0</v>
      </c>
      <c r="EJ111" s="48" t="n">
        <f aca="false">SUM(EJ107:EJ110)</f>
        <v>0</v>
      </c>
      <c r="EK111" s="48" t="n">
        <f aca="false">SUM(EK107:EK110)</f>
        <v>0</v>
      </c>
      <c r="EL111" s="48" t="n">
        <f aca="false">SUM(EL107:EL110)</f>
        <v>0</v>
      </c>
      <c r="EM111" s="48" t="n">
        <f aca="false">SUM(EM107:EM110)</f>
        <v>0</v>
      </c>
      <c r="EN111" s="48" t="n">
        <f aca="false">SUM(EN107:EN110)</f>
        <v>0</v>
      </c>
      <c r="EO111" s="48" t="n">
        <f aca="false">SUM(EO107:EO110)</f>
        <v>0</v>
      </c>
    </row>
    <row r="112" customFormat="false" ht="15" hidden="false" customHeight="false" outlineLevel="0" collapsed="false">
      <c r="C112" s="0" t="s">
        <v>489</v>
      </c>
      <c r="D112" s="11" t="s">
        <v>33</v>
      </c>
      <c r="J112" s="48" t="n">
        <f aca="false">-In_CIT*(MAX(0,J106)+J109)-In_RH_On*In_RH_Rate*MAX(0,J106)</f>
        <v>-0</v>
      </c>
      <c r="K112" s="48" t="n">
        <f aca="false">-In_CIT*(MAX(0,K106)+K109)-In_RH_On*In_RH_Rate*MAX(0,K106)</f>
        <v>-0</v>
      </c>
      <c r="L112" s="48" t="n">
        <f aca="false">-In_CIT*(MAX(0,L106)+L109)-In_RH_On*In_RH_Rate*MAX(0,L106)</f>
        <v>-0</v>
      </c>
      <c r="M112" s="48" t="n">
        <f aca="false">-In_CIT*(MAX(0,M106)+M109)-In_RH_On*In_RH_Rate*MAX(0,M106)</f>
        <v>-0</v>
      </c>
      <c r="N112" s="48" t="n">
        <f aca="false">-In_CIT*(MAX(0,N106)+N109)-In_RH_On*In_RH_Rate*MAX(0,N106)</f>
        <v>-0</v>
      </c>
      <c r="O112" s="48" t="n">
        <f aca="false">-In_CIT*(MAX(0,O106)+O109)-In_RH_On*In_RH_Rate*MAX(0,O106)</f>
        <v>-0</v>
      </c>
      <c r="P112" s="48" t="n">
        <f aca="false">-In_CIT*(MAX(0,P106)+P109)-In_RH_On*In_RH_Rate*MAX(0,P106)</f>
        <v>-0</v>
      </c>
      <c r="Q112" s="48" t="n">
        <f aca="false">-In_CIT*(MAX(0,Q106)+Q109)-In_RH_On*In_RH_Rate*MAX(0,Q106)</f>
        <v>-0</v>
      </c>
      <c r="R112" s="48" t="n">
        <f aca="false">-In_CIT*(MAX(0,R106)+R109)-In_RH_On*In_RH_Rate*MAX(0,R106)</f>
        <v>-0</v>
      </c>
      <c r="S112" s="48" t="n">
        <f aca="false">-In_CIT*(MAX(0,S106)+S109)-In_RH_On*In_RH_Rate*MAX(0,S106)</f>
        <v>-0</v>
      </c>
      <c r="T112" s="48" t="n">
        <f aca="false">-In_CIT*(MAX(0,T106)+T109)-In_RH_On*In_RH_Rate*MAX(0,T106)</f>
        <v>-0</v>
      </c>
      <c r="U112" s="48" t="n">
        <f aca="false">-In_CIT*(MAX(0,U106)+U109)-In_RH_On*In_RH_Rate*MAX(0,U106)</f>
        <v>-0</v>
      </c>
      <c r="V112" s="48" t="n">
        <f aca="false">-In_CIT*(MAX(0,V106)+V109)-In_RH_On*In_RH_Rate*MAX(0,V106)</f>
        <v>-0</v>
      </c>
      <c r="W112" s="48" t="n">
        <f aca="false">-In_CIT*(MAX(0,W106)+W109)-In_RH_On*In_RH_Rate*MAX(0,W106)</f>
        <v>-0</v>
      </c>
      <c r="X112" s="48" t="n">
        <f aca="false">-In_CIT*(MAX(0,X106)+X109)-In_RH_On*In_RH_Rate*MAX(0,X106)</f>
        <v>-0</v>
      </c>
      <c r="Y112" s="48" t="n">
        <f aca="false">-In_CIT*(MAX(0,Y106)+Y109)-In_RH_On*In_RH_Rate*MAX(0,Y106)</f>
        <v>-0</v>
      </c>
      <c r="Z112" s="48" t="n">
        <f aca="false">-In_CIT*(MAX(0,Z106)+Z109)-In_RH_On*In_RH_Rate*MAX(0,Z106)</f>
        <v>-57.9374552281603</v>
      </c>
      <c r="AA112" s="48" t="n">
        <f aca="false">-In_CIT*(MAX(0,AA106)+AA109)-In_RH_On*In_RH_Rate*MAX(0,AA106)</f>
        <v>-57.3413728005333</v>
      </c>
      <c r="AB112" s="48" t="n">
        <f aca="false">-In_CIT*(MAX(0,AB106)+AB109)-In_RH_On*In_RH_Rate*MAX(0,AB106)</f>
        <v>-58.7786499424836</v>
      </c>
      <c r="AC112" s="48" t="n">
        <f aca="false">-In_CIT*(MAX(0,AC106)+AC109)-In_RH_On*In_RH_Rate*MAX(0,AC106)</f>
        <v>-60.2295392404523</v>
      </c>
      <c r="AD112" s="48" t="n">
        <f aca="false">-In_CIT*(MAX(0,AD106)+AD109)-In_RH_On*In_RH_Rate*MAX(0,AD106)</f>
        <v>-59.973477685083</v>
      </c>
      <c r="AE112" s="48" t="n">
        <f aca="false">-In_CIT*(MAX(0,AE106)+AE109)-In_RH_On*In_RH_Rate*MAX(0,AE106)</f>
        <v>-114.686810686532</v>
      </c>
      <c r="AF112" s="48" t="n">
        <f aca="false">-In_CIT*(MAX(0,AF106)+AF109)-In_RH_On*In_RH_Rate*MAX(0,AF106)</f>
        <v>-121.655844376888</v>
      </c>
      <c r="AG112" s="48" t="n">
        <f aca="false">-In_CIT*(MAX(0,AG106)+AG109)-In_RH_On*In_RH_Rate*MAX(0,AG106)</f>
        <v>-124.565346374781</v>
      </c>
      <c r="AH112" s="48" t="n">
        <f aca="false">-In_CIT*(MAX(0,AH106)+AH109)-In_RH_On*In_RH_Rate*MAX(0,AH106)</f>
        <v>-124.039451884815</v>
      </c>
      <c r="AI112" s="48" t="n">
        <f aca="false">-In_CIT*(MAX(0,AI106)+AI109)-In_RH_On*In_RH_Rate*MAX(0,AI106)</f>
        <v>-122.791188733033</v>
      </c>
      <c r="AJ112" s="48" t="n">
        <f aca="false">-In_CIT*(MAX(0,AJ106)+AJ109)-In_RH_On*In_RH_Rate*MAX(0,AJ106)</f>
        <v>-130.699003240116</v>
      </c>
      <c r="AK112" s="48" t="n">
        <f aca="false">-In_CIT*(MAX(0,AK106)+AK109)-In_RH_On*In_RH_Rate*MAX(0,AK106)</f>
        <v>-133.73608082539</v>
      </c>
      <c r="AL112" s="48" t="n">
        <f aca="false">-In_CIT*(MAX(0,AL106)+AL109)-In_RH_On*In_RH_Rate*MAX(0,AL106)</f>
        <v>-133.264009897686</v>
      </c>
      <c r="AM112" s="48" t="n">
        <f aca="false">-In_CIT*(MAX(0,AM106)+AM109)-In_RH_On*In_RH_Rate*MAX(0,AM106)</f>
        <v>-131.922827649716</v>
      </c>
      <c r="AN112" s="48" t="n">
        <f aca="false">-In_CIT*(MAX(0,AN106)+AN109)-In_RH_On*In_RH_Rate*MAX(0,AN106)</f>
        <v>-134.986321172918</v>
      </c>
      <c r="AO112" s="48" t="n">
        <f aca="false">-In_CIT*(MAX(0,AO106)+AO109)-In_RH_On*In_RH_Rate*MAX(0,AO106)</f>
        <v>-138.077496021663</v>
      </c>
      <c r="AP112" s="48" t="n">
        <f aca="false">-In_CIT*(MAX(0,AP106)+AP109)-In_RH_On*In_RH_Rate*MAX(0,AP106)</f>
        <v>-137.640279839397</v>
      </c>
      <c r="AQ112" s="48" t="n">
        <f aca="false">-In_CIT*(MAX(0,AQ106)+AQ109)-In_RH_On*In_RH_Rate*MAX(0,AQ106)</f>
        <v>-136.295901723734</v>
      </c>
      <c r="AR112" s="48" t="n">
        <f aca="false">-In_CIT*(MAX(0,AR106)+AR109)-In_RH_On*In_RH_Rate*MAX(0,AR106)</f>
        <v>-139.414472571591</v>
      </c>
      <c r="AS112" s="48" t="n">
        <f aca="false">-In_CIT*(MAX(0,AS106)+AS109)-In_RH_On*In_RH_Rate*MAX(0,AS106)</f>
        <v>-142.561287033904</v>
      </c>
      <c r="AT112" s="48" t="n">
        <f aca="false">-In_CIT*(MAX(0,AT106)+AT109)-In_RH_On*In_RH_Rate*MAX(0,AT106)</f>
        <v>-142.160811469423</v>
      </c>
      <c r="AU112" s="48" t="n">
        <f aca="false">-In_CIT*(MAX(0,AU106)+AU109)-In_RH_On*In_RH_Rate*MAX(0,AU106)</f>
        <v>-143.098077072419</v>
      </c>
      <c r="AV112" s="48" t="n">
        <f aca="false">-In_CIT*(MAX(0,AV106)+AV109)-In_RH_On*In_RH_Rate*MAX(0,AV106)</f>
        <v>-144.008344071505</v>
      </c>
      <c r="AW112" s="48" t="n">
        <f aca="false">-In_CIT*(MAX(0,AW106)+AW109)-In_RH_On*In_RH_Rate*MAX(0,AW106)</f>
        <v>-147.212628719929</v>
      </c>
      <c r="AX112" s="48" t="n">
        <f aca="false">-In_CIT*(MAX(0,AX106)+AX109)-In_RH_On*In_RH_Rate*MAX(0,AX106)</f>
        <v>-146.851084519547</v>
      </c>
      <c r="AY112" s="48" t="n">
        <f aca="false">-In_CIT*(MAX(0,AY106)+AY109)-In_RH_On*In_RH_Rate*MAX(0,AY106)</f>
        <v>-145.505156636007</v>
      </c>
      <c r="AZ112" s="48" t="n">
        <f aca="false">-In_CIT*(MAX(0,AZ106)+AZ109)-In_RH_On*In_RH_Rate*MAX(0,AZ106)</f>
        <v>-148.738961506515</v>
      </c>
      <c r="BA112" s="48" t="n">
        <f aca="false">-In_CIT*(MAX(0,BA106)+BA109)-In_RH_On*In_RH_Rate*MAX(0,BA106)</f>
        <v>-152.002202423581</v>
      </c>
      <c r="BB112" s="48" t="n">
        <f aca="false">-In_CIT*(MAX(0,BB106)+BB109)-In_RH_On*In_RH_Rate*MAX(0,BB106)</f>
        <v>-151.681445422644</v>
      </c>
      <c r="BC112" s="48" t="n">
        <f aca="false">-In_CIT*(MAX(0,BC106)+BC109)-In_RH_On*In_RH_Rate*MAX(0,BC106)</f>
        <v>-150.337121138386</v>
      </c>
      <c r="BD112" s="48" t="n">
        <f aca="false">-In_CIT*(MAX(0,BD106)+BD109)-In_RH_On*In_RH_Rate*MAX(0,BD106)</f>
        <v>-153.631024508848</v>
      </c>
      <c r="BE112" s="48" t="n">
        <f aca="false">-In_CIT*(MAX(0,BE106)+BE109)-In_RH_On*In_RH_Rate*MAX(0,BE106)</f>
        <v>-156.954993583115</v>
      </c>
      <c r="BF112" s="48" t="n">
        <f aca="false">-In_CIT*(MAX(0,BF106)+BF109)-In_RH_On*In_RH_Rate*MAX(0,BF106)</f>
        <v>-156.677182772757</v>
      </c>
      <c r="BG112" s="48" t="n">
        <f aca="false">-In_CIT*(MAX(0,BG106)+BG109)-In_RH_On*In_RH_Rate*MAX(0,BG106)</f>
        <v>-155.336233237654</v>
      </c>
      <c r="BH112" s="48" t="n">
        <f aca="false">-In_CIT*(MAX(0,BH106)+BH109)-In_RH_On*In_RH_Rate*MAX(0,BH106)</f>
        <v>-158.692066558663</v>
      </c>
      <c r="BI112" s="48" t="n">
        <f aca="false">-In_CIT*(MAX(0,BI106)+BI109)-In_RH_On*In_RH_Rate*MAX(0,BI106)</f>
        <v>-162.078619751337</v>
      </c>
      <c r="BJ112" s="48" t="n">
        <f aca="false">-In_CIT*(MAX(0,BJ106)+BJ109)-In_RH_On*In_RH_Rate*MAX(0,BJ106)</f>
        <v>-161.846013552677</v>
      </c>
      <c r="BK112" s="48" t="n">
        <f aca="false">-In_CIT*(MAX(0,BK106)+BK109)-In_RH_On*In_RH_Rate*MAX(0,BK106)</f>
        <v>-162.833619797169</v>
      </c>
      <c r="BL112" s="48" t="n">
        <f aca="false">-In_CIT*(MAX(0,BL106)+BL109)-In_RH_On*In_RH_Rate*MAX(0,BL106)</f>
        <v>-163.948508670535</v>
      </c>
      <c r="BM112" s="48" t="n">
        <f aca="false">-In_CIT*(MAX(0,BM106)+BM109)-In_RH_On*In_RH_Rate*MAX(0,BM106)</f>
        <v>-167.399807735601</v>
      </c>
      <c r="BN112" s="48" t="n">
        <f aca="false">-In_CIT*(MAX(0,BN106)+BN109)-In_RH_On*In_RH_Rate*MAX(0,BN106)</f>
        <v>-167.214988710387</v>
      </c>
      <c r="BO112" s="48" t="n">
        <f aca="false">-In_CIT*(MAX(0,BO106)+BO109)-In_RH_On*In_RH_Rate*MAX(0,BO106)</f>
        <v>-165.886706300091</v>
      </c>
      <c r="BP112" s="48" t="n">
        <f aca="false">-In_CIT*(MAX(0,BP106)+BP109)-In_RH_On*In_RH_Rate*MAX(0,BP106)</f>
        <v>-169.372471949659</v>
      </c>
      <c r="BQ112" s="48" t="n">
        <f aca="false">-In_CIT*(MAX(0,BQ106)+BQ109)-In_RH_On*In_RH_Rate*MAX(0,BQ106)</f>
        <v>-172.890346552777</v>
      </c>
      <c r="BR112" s="48" t="n">
        <f aca="false">-In_CIT*(MAX(0,BR106)+BR109)-In_RH_On*In_RH_Rate*MAX(0,BR106)</f>
        <v>-172.755576426256</v>
      </c>
      <c r="BS112" s="48" t="n">
        <f aca="false">-In_CIT*(MAX(0,BS106)+BS109)-In_RH_On*In_RH_Rate*MAX(0,BS106)</f>
        <v>-171.436576633141</v>
      </c>
      <c r="BT112" s="48" t="n">
        <f aca="false">-In_CIT*(MAX(0,BT106)+BT109)-In_RH_On*In_RH_Rate*MAX(0,BT106)</f>
        <v>-174.99031751826</v>
      </c>
      <c r="BU112" s="48" t="n">
        <f aca="false">-In_CIT*(MAX(0,BU106)+BU109)-In_RH_On*In_RH_Rate*MAX(0,BU106)</f>
        <v>-178.576902171587</v>
      </c>
      <c r="BV112" s="48" t="n">
        <f aca="false">-In_CIT*(MAX(0,BV106)+BV109)-In_RH_On*In_RH_Rate*MAX(0,BV106)</f>
        <v>-178.494766654114</v>
      </c>
      <c r="BW112" s="48" t="n">
        <f aca="false">-In_CIT*(MAX(0,BW106)+BW109)-In_RH_On*In_RH_Rate*MAX(0,BW106)</f>
        <v>-177.18722615057</v>
      </c>
      <c r="BX112" s="48" t="n">
        <f aca="false">-In_CIT*(MAX(0,BX106)+BX109)-In_RH_On*In_RH_Rate*MAX(0,BX106)</f>
        <v>-180.811149454513</v>
      </c>
      <c r="BY112" s="48" t="n">
        <f aca="false">-In_CIT*(MAX(0,BY106)+BY109)-In_RH_On*In_RH_Rate*MAX(0,BY106)</f>
        <v>-184.468680703968</v>
      </c>
      <c r="BZ112" s="48" t="n">
        <f aca="false">-In_CIT*(MAX(0,BZ106)+BZ109)-In_RH_On*In_RH_Rate*MAX(0,BZ106)</f>
        <v>-184.441884712178</v>
      </c>
      <c r="CA112" s="48" t="n">
        <f aca="false">-In_CIT*(MAX(0,CA106)+CA109)-In_RH_On*In_RH_Rate*MAX(0,CA106)</f>
        <v>-185.504505587195</v>
      </c>
      <c r="CB112" s="48" t="n">
        <f aca="false">-In_CIT*(MAX(0,CB106)+CB109)-In_RH_On*In_RH_Rate*MAX(0,CB106)</f>
        <v>-186.863176768506</v>
      </c>
      <c r="CC112" s="48" t="n">
        <f aca="false">-In_CIT*(MAX(0,CC106)+CC109)-In_RH_On*In_RH_Rate*MAX(0,CC106)</f>
        <v>-190.594217455157</v>
      </c>
      <c r="CD112" s="48" t="n">
        <f aca="false">-In_CIT*(MAX(0,CD106)+CD109)-In_RH_On*In_RH_Rate*MAX(0,CD106)</f>
        <v>-190.625812433679</v>
      </c>
      <c r="CE112" s="48" t="n">
        <f aca="false">-In_CIT*(MAX(0,CE106)+CE109)-In_RH_On*In_RH_Rate*MAX(0,CE106)</f>
        <v>-189.348405272822</v>
      </c>
      <c r="CF112" s="48" t="n">
        <f aca="false">-In_CIT*(MAX(0,CF106)+CF109)-In_RH_On*In_RH_Rate*MAX(0,CF106)</f>
        <v>-193.119970109925</v>
      </c>
      <c r="CG112" s="48" t="n">
        <f aca="false">-In_CIT*(MAX(0,CG106)+CG109)-In_RH_On*In_RH_Rate*MAX(0,CG106)</f>
        <v>-196.92676750131</v>
      </c>
      <c r="CH112" s="48" t="n">
        <f aca="false">-In_CIT*(MAX(0,CH106)+CH109)-In_RH_On*In_RH_Rate*MAX(0,CH106)</f>
        <v>-197.019502452187</v>
      </c>
      <c r="CI112" s="48" t="n">
        <f aca="false">-In_CIT*(MAX(0,CI106)+CI109)-In_RH_On*In_RH_Rate*MAX(0,CI106)</f>
        <v>-195.760799763146</v>
      </c>
      <c r="CJ112" s="48" t="n">
        <f aca="false">-In_CIT*(MAX(0,CJ106)+CJ109)-In_RH_On*In_RH_Rate*MAX(0,CJ106)</f>
        <v>-199.609834925726</v>
      </c>
      <c r="CK112" s="48" t="n">
        <f aca="false">-In_CIT*(MAX(0,CK106)+CK109)-In_RH_On*In_RH_Rate*MAX(0,CK106)</f>
        <v>-203.494963449241</v>
      </c>
      <c r="CL112" s="48" t="n">
        <f aca="false">-In_CIT*(MAX(0,CL106)+CL109)-In_RH_On*In_RH_Rate*MAX(0,CL106)</f>
        <v>-203.65193566215</v>
      </c>
      <c r="CM112" s="48" t="n">
        <f aca="false">-In_CIT*(MAX(0,CM106)+CM109)-In_RH_On*In_RH_Rate*MAX(0,CM106)</f>
        <v>-202.414603329881</v>
      </c>
      <c r="CN112" s="48" t="n">
        <f aca="false">-In_CIT*(MAX(0,CN106)+CN109)-In_RH_On*In_RH_Rate*MAX(0,CN106)</f>
        <v>-206.34377181454</v>
      </c>
      <c r="CO112" s="48" t="n">
        <f aca="false">-In_CIT*(MAX(0,CO106)+CO109)-In_RH_On*In_RH_Rate*MAX(0,CO106)</f>
        <v>-210.309929670203</v>
      </c>
      <c r="CP112" s="48" t="n">
        <f aca="false">-In_CIT*(MAX(0,CP106)+CP109)-In_RH_On*In_RH_Rate*MAX(0,CP106)</f>
        <v>-210.534379405364</v>
      </c>
      <c r="CQ112" s="48" t="n">
        <f aca="false">-In_CIT*(MAX(0,CQ106)+CQ109)-In_RH_On*In_RH_Rate*MAX(0,CQ106)</f>
        <v>-211.702843383608</v>
      </c>
      <c r="CR112" s="48" t="n">
        <f aca="false">-In_CIT*(MAX(0,CR106)+CR109)-In_RH_On*In_RH_Rate*MAX(0,CR106)</f>
        <v>-213.352085642387</v>
      </c>
      <c r="CS112" s="48" t="n">
        <f aca="false">-In_CIT*(MAX(0,CS106)+CS109)-In_RH_On*In_RH_Rate*MAX(0,CS106)</f>
        <v>-217.402321392108</v>
      </c>
      <c r="CT112" s="48" t="n">
        <f aca="false">-In_CIT*(MAX(0,CT106)+CT109)-In_RH_On*In_RH_Rate*MAX(0,CT106)</f>
        <v>-217.697861601253</v>
      </c>
      <c r="CU112" s="48" t="n">
        <f aca="false">-In_CIT*(MAX(0,CU106)+CU109)-In_RH_On*In_RH_Rate*MAX(0,CU106)</f>
        <v>-214.791054135796</v>
      </c>
      <c r="CV112" s="48" t="n">
        <f aca="false">-In_CIT*(MAX(0,CV106)+CV109)-In_RH_On*In_RH_Rate*MAX(0,CV106)</f>
        <v>-217.177621403972</v>
      </c>
      <c r="CW112" s="48" t="n">
        <f aca="false">-In_CIT*(MAX(0,CW106)+CW109)-In_RH_On*In_RH_Rate*MAX(0,CW106)</f>
        <v>-219.564188672147</v>
      </c>
      <c r="CX112" s="48" t="n">
        <f aca="false">-In_CIT*(MAX(0,CX106)+CX109)-In_RH_On*In_RH_Rate*MAX(0,CX106)</f>
        <v>-218.144299462481</v>
      </c>
      <c r="CY112" s="48" t="n">
        <f aca="false">-In_CIT*(MAX(0,CY106)+CY109)-In_RH_On*In_RH_Rate*MAX(0,CY106)</f>
        <v>-215.183912516612</v>
      </c>
      <c r="CZ112" s="48" t="n">
        <f aca="false">-In_CIT*(MAX(0,CZ106)+CZ109)-In_RH_On*In_RH_Rate*MAX(0,CZ106)</f>
        <v>-217.574844877908</v>
      </c>
      <c r="DA112" s="48" t="n">
        <f aca="false">-In_CIT*(MAX(0,DA106)+DA109)-In_RH_On*In_RH_Rate*MAX(0,DA106)</f>
        <v>-219.965777239203</v>
      </c>
      <c r="DB112" s="48" t="n">
        <f aca="false">-In_CIT*(MAX(0,DB106)+DB109)-In_RH_On*In_RH_Rate*MAX(0,DB106)</f>
        <v>-375.486699874706</v>
      </c>
      <c r="DC112" s="48" t="n">
        <f aca="false">-In_CIT*(MAX(0,DC106)+DC109)-In_RH_On*In_RH_Rate*MAX(0,DC106)</f>
        <v>-369.060276869219</v>
      </c>
      <c r="DD112" s="48" t="n">
        <f aca="false">-In_CIT*(MAX(0,DD106)+DD109)-In_RH_On*In_RH_Rate*MAX(0,DD106)</f>
        <v>-373.160946612211</v>
      </c>
      <c r="DE112" s="48" t="n">
        <f aca="false">-In_CIT*(MAX(0,DE106)+DE109)-In_RH_On*In_RH_Rate*MAX(0,DE106)</f>
        <v>-377.261616355202</v>
      </c>
      <c r="DF112" s="48" t="n">
        <f aca="false">-In_CIT*(MAX(0,DF106)+DF109)-In_RH_On*In_RH_Rate*MAX(0,DF106)</f>
        <v>-375.824783779587</v>
      </c>
      <c r="DG112" s="48" t="n">
        <f aca="false">-In_CIT*(MAX(0,DG106)+DG109)-In_RH_On*In_RH_Rate*MAX(0,DG106)</f>
        <v>-373.447561715863</v>
      </c>
      <c r="DH112" s="48" t="n">
        <f aca="false">-In_CIT*(MAX(0,DH106)+DH109)-In_RH_On*In_RH_Rate*MAX(0,DH106)</f>
        <v>-373.447561715863</v>
      </c>
      <c r="DI112" s="48" t="n">
        <f aca="false">-In_CIT*(MAX(0,DI106)+DI109)-In_RH_On*In_RH_Rate*MAX(0,DI106)</f>
        <v>-377.551381075378</v>
      </c>
      <c r="DJ112" s="48" t="n">
        <f aca="false">-In_CIT*(MAX(0,DJ106)+DJ109)-In_RH_On*In_RH_Rate*MAX(0,DJ106)</f>
        <v>-376.106053012438</v>
      </c>
      <c r="DK112" s="48" t="n">
        <f aca="false">-In_CIT*(MAX(0,DK106)+DK109)-In_RH_On*In_RH_Rate*MAX(0,DK106)</f>
        <v>-369.569862589467</v>
      </c>
      <c r="DL112" s="48" t="n">
        <f aca="false">-In_CIT*(MAX(0,DL106)+DL109)-In_RH_On*In_RH_Rate*MAX(0,DL106)</f>
        <v>-373.676194396016</v>
      </c>
      <c r="DM112" s="48" t="n">
        <f aca="false">-In_CIT*(MAX(0,DM106)+DM109)-In_RH_On*In_RH_Rate*MAX(0,DM106)</f>
        <v>-377.782526202566</v>
      </c>
      <c r="DN112" s="48" t="n">
        <f aca="false">-In_CIT*(MAX(0,DN106)+DN109)-In_RH_On*In_RH_Rate*MAX(0,DN106)</f>
        <v>-376.328687856252</v>
      </c>
      <c r="DO112" s="48" t="n">
        <f aca="false">-In_CIT*(MAX(0,DO106)+DO109)-In_RH_On*In_RH_Rate*MAX(0,DO106)</f>
        <v>-369.736810251908</v>
      </c>
      <c r="DP112" s="48" t="n">
        <f aca="false">-In_CIT*(MAX(0,DP106)+DP109)-In_RH_On*In_RH_Rate*MAX(0,DP106)</f>
        <v>-373.844997032485</v>
      </c>
      <c r="DQ112" s="48" t="n">
        <f aca="false">-In_CIT*(MAX(0,DQ106)+DQ109)-In_RH_On*In_RH_Rate*MAX(0,DQ106)</f>
        <v>-377.953183813062</v>
      </c>
      <c r="DR112" s="48" t="n">
        <f aca="false">-In_CIT*(MAX(0,DR106)+DR109)-In_RH_On*In_RH_Rate*MAX(0,DR106)</f>
        <v>-376.490821224723</v>
      </c>
      <c r="DS112" s="48" t="n">
        <f aca="false">-In_CIT*(MAX(0,DS106)+DS109)-In_RH_On*In_RH_Rate*MAX(0,DS106)</f>
        <v>-369.842710510588</v>
      </c>
      <c r="DT112" s="48" t="n">
        <f aca="false">-In_CIT*(MAX(0,DT106)+DT109)-In_RH_On*In_RH_Rate*MAX(0,DT106)</f>
        <v>-373.952073960706</v>
      </c>
      <c r="DU112" s="48" t="n">
        <f aca="false">-In_CIT*(MAX(0,DU106)+DU109)-In_RH_On*In_RH_Rate*MAX(0,DU106)</f>
        <v>-378.061437410823</v>
      </c>
      <c r="DV112" s="48" t="n">
        <f aca="false">-In_CIT*(MAX(0,DV106)+DV109)-In_RH_On*In_RH_Rate*MAX(0,DV106)</f>
        <v>-376.590537485769</v>
      </c>
      <c r="DW112" s="48" t="n">
        <f aca="false">-In_CIT*(MAX(0,DW106)+DW109)-In_RH_On*In_RH_Rate*MAX(0,DW106)</f>
        <v>-373.995480278811</v>
      </c>
      <c r="DX112" s="48" t="n">
        <f aca="false">-In_CIT*(MAX(0,DX106)+DX109)-In_RH_On*In_RH_Rate*MAX(0,DX106)</f>
        <v>-373.995480278811</v>
      </c>
      <c r="DY112" s="48" t="n">
        <f aca="false">-In_CIT*(MAX(0,DY106)+DY109)-In_RH_On*In_RH_Rate*MAX(0,DY106)</f>
        <v>-378.105320721436</v>
      </c>
      <c r="DZ112" s="48" t="n">
        <f aca="false">-In_CIT*(MAX(0,DZ106)+DZ109)-In_RH_On*In_RH_Rate*MAX(0,DZ106)</f>
        <v>-376.625871256129</v>
      </c>
      <c r="EA112" s="48" t="n">
        <f aca="false">-In_CIT*(MAX(0,EA106)+EA109)-In_RH_On*In_RH_Rate*MAX(0,EA106)</f>
        <v>-369.863624794353</v>
      </c>
      <c r="EB112" s="48" t="n">
        <f aca="false">-In_CIT*(MAX(0,EB106)+EB109)-In_RH_On*In_RH_Rate*MAX(0,EB106)</f>
        <v>-373.973220625402</v>
      </c>
      <c r="EC112" s="48" t="n">
        <f aca="false">-In_CIT*(MAX(0,EC106)+EC109)-In_RH_On*In_RH_Rate*MAX(0,EC106)</f>
        <v>-378.08281645645</v>
      </c>
      <c r="ED112" s="48" t="n">
        <f aca="false">-In_CIT*(MAX(0,ED106)+ED109)-In_RH_On*In_RH_Rate*MAX(0,ED106)</f>
        <v>-376.59480616636</v>
      </c>
      <c r="EE112" s="48" t="n">
        <f aca="false">-In_CIT*(MAX(0,EE106)+EE109)-In_RH_On*In_RH_Rate*MAX(0,EE106)</f>
        <v>-369.774640807209</v>
      </c>
      <c r="EF112" s="48" t="n">
        <f aca="false">-In_CIT*(MAX(0,EF106)+EF109)-In_RH_On*In_RH_Rate*MAX(0,EF106)</f>
        <v>-373.883247927289</v>
      </c>
      <c r="EG112" s="48" t="n">
        <f aca="false">-In_CIT*(MAX(0,EG106)+EG109)-In_RH_On*In_RH_Rate*MAX(0,EG106)</f>
        <v>-377.99185504737</v>
      </c>
      <c r="EH112" s="48" t="n">
        <f aca="false">-In_CIT*(MAX(0,EH106)+EH109)-In_RH_On*In_RH_Rate*MAX(0,EH106)</f>
        <v>-376.495273595489</v>
      </c>
      <c r="EI112" s="48" t="n">
        <f aca="false">-In_CIT*(MAX(0,EI106)+EI109)-In_RH_On*In_RH_Rate*MAX(0,EI106)</f>
        <v>-369.616610884433</v>
      </c>
      <c r="EJ112" s="48" t="n">
        <f aca="false">-In_CIT*(MAX(0,EJ106)+EJ109)-In_RH_On*In_RH_Rate*MAX(0,EJ106)</f>
        <v>-373.723462116483</v>
      </c>
      <c r="EK112" s="48" t="n">
        <f aca="false">-In_CIT*(MAX(0,EK106)+EK109)-In_RH_On*In_RH_Rate*MAX(0,EK106)</f>
        <v>-377.830313348532</v>
      </c>
      <c r="EL112" s="48" t="n">
        <f aca="false">-In_CIT*(MAX(0,EL106)+EL109)-In_RH_On*In_RH_Rate*MAX(0,EL106)</f>
        <v>-376.325151374579</v>
      </c>
      <c r="EM112" s="48" t="n">
        <f aca="false">-In_CIT*(MAX(0,EM106)+EM109)-In_RH_On*In_RH_Rate*MAX(0,EM106)</f>
        <v>-373.491708815652</v>
      </c>
      <c r="EN112" s="48" t="n">
        <f aca="false">-In_CIT*(MAX(0,EN106)+EN109)-In_RH_On*In_RH_Rate*MAX(0,EN106)</f>
        <v>-373.491708815652</v>
      </c>
      <c r="EO112" s="48" t="n">
        <f aca="false">-In_CIT*(MAX(0,EO106)+EO109)-In_RH_On*In_RH_Rate*MAX(0,EO106)</f>
        <v>-377.596013308131</v>
      </c>
    </row>
    <row r="113" customFormat="false" ht="15" hidden="false" customHeight="false" outlineLevel="0" collapsed="false">
      <c r="C113" s="0" t="s">
        <v>490</v>
      </c>
      <c r="D113" s="11" t="s">
        <v>33</v>
      </c>
      <c r="I113" s="48" t="n">
        <f aca="false">SUM(J113:EO113)</f>
        <v>4.09665545930693E-009</v>
      </c>
      <c r="J113" s="48" t="n">
        <f aca="false">ABS(J112-J85)</f>
        <v>0</v>
      </c>
      <c r="K113" s="48" t="n">
        <f aca="false">ABS(K112-K85)</f>
        <v>0</v>
      </c>
      <c r="L113" s="48" t="n">
        <f aca="false">ABS(L112-L85)</f>
        <v>0</v>
      </c>
      <c r="M113" s="48" t="n">
        <f aca="false">ABS(M112-M85)</f>
        <v>0</v>
      </c>
      <c r="N113" s="48" t="n">
        <f aca="false">ABS(N112-N85)</f>
        <v>0</v>
      </c>
      <c r="O113" s="48" t="n">
        <f aca="false">ABS(O112-O85)</f>
        <v>0</v>
      </c>
      <c r="P113" s="48" t="n">
        <f aca="false">ABS(P112-P85)</f>
        <v>0</v>
      </c>
      <c r="Q113" s="48" t="n">
        <f aca="false">ABS(Q112-Q85)</f>
        <v>0</v>
      </c>
      <c r="R113" s="48" t="n">
        <f aca="false">ABS(R112-R85)</f>
        <v>0</v>
      </c>
      <c r="S113" s="48" t="n">
        <f aca="false">ABS(S112-S85)</f>
        <v>0</v>
      </c>
      <c r="T113" s="48" t="n">
        <f aca="false">ABS(T112-T85)</f>
        <v>0</v>
      </c>
      <c r="U113" s="48" t="n">
        <f aca="false">ABS(U112-U85)</f>
        <v>0</v>
      </c>
      <c r="V113" s="48" t="n">
        <f aca="false">ABS(V112-V85)</f>
        <v>0</v>
      </c>
      <c r="W113" s="48" t="n">
        <f aca="false">ABS(W112-W85)</f>
        <v>0</v>
      </c>
      <c r="X113" s="48" t="n">
        <f aca="false">ABS(X112-X85)</f>
        <v>0</v>
      </c>
      <c r="Y113" s="48" t="n">
        <f aca="false">ABS(Y112-Y85)</f>
        <v>0</v>
      </c>
      <c r="Z113" s="48" t="n">
        <f aca="false">ABS(Z112-Z85)</f>
        <v>0</v>
      </c>
      <c r="AA113" s="48" t="n">
        <f aca="false">ABS(AA112-AA85)</f>
        <v>2.45137243837235E-012</v>
      </c>
      <c r="AB113" s="48" t="n">
        <f aca="false">ABS(AB112-AB85)</f>
        <v>4.77484718430787E-012</v>
      </c>
      <c r="AC113" s="48" t="n">
        <f aca="false">ABS(AC112-AC85)</f>
        <v>7.01305680195219E-012</v>
      </c>
      <c r="AD113" s="48" t="n">
        <f aca="false">ABS(AD112-AD85)</f>
        <v>9.1873175733781E-012</v>
      </c>
      <c r="AE113" s="48" t="n">
        <f aca="false">ABS(AE112-AE85)</f>
        <v>4.58726390206721E-011</v>
      </c>
      <c r="AF113" s="48" t="n">
        <f aca="false">ABS(AF112-AF85)</f>
        <v>2.21831442104303E-011</v>
      </c>
      <c r="AG113" s="48" t="n">
        <f aca="false">ABS(AG112-AG85)</f>
        <v>2.37321273743873E-011</v>
      </c>
      <c r="AH113" s="48" t="n">
        <f aca="false">ABS(AH112-AH85)</f>
        <v>2.47410980591667E-011</v>
      </c>
      <c r="AI113" s="48" t="n">
        <f aca="false">ABS(AI112-AI85)</f>
        <v>2.51532128459075E-011</v>
      </c>
      <c r="AJ113" s="48" t="n">
        <f aca="false">ABS(AJ112-AJ85)</f>
        <v>2.49258391704643E-011</v>
      </c>
      <c r="AK113" s="48" t="n">
        <f aca="false">ABS(AK112-AK85)</f>
        <v>2.42152964347042E-011</v>
      </c>
      <c r="AL113" s="48" t="n">
        <f aca="false">ABS(AL112-AL85)</f>
        <v>2.30215846386272E-011</v>
      </c>
      <c r="AM113" s="48" t="n">
        <f aca="false">ABS(AM112-AM85)</f>
        <v>2.12594386539422E-011</v>
      </c>
      <c r="AN113" s="48" t="n">
        <f aca="false">ABS(AN112-AN85)</f>
        <v>1.89572801900795E-011</v>
      </c>
      <c r="AO113" s="48" t="n">
        <f aca="false">ABS(AO112-AO85)</f>
        <v>1.61719526658999E-011</v>
      </c>
      <c r="AP113" s="48" t="n">
        <f aca="false">ABS(AP112-AP85)</f>
        <v>1.29887212096946E-011</v>
      </c>
      <c r="AQ113" s="48" t="n">
        <f aca="false">ABS(AQ112-AQ85)</f>
        <v>9.35074240260292E-012</v>
      </c>
      <c r="AR113" s="48" t="n">
        <f aca="false">ABS(AR112-AR85)</f>
        <v>5.22959453519434E-012</v>
      </c>
      <c r="AS113" s="48" t="n">
        <f aca="false">ABS(AS112-AS85)</f>
        <v>7.95807864051312E-013</v>
      </c>
      <c r="AT113" s="48" t="n">
        <f aca="false">ABS(AT112-AT85)</f>
        <v>3.92219590139575E-012</v>
      </c>
      <c r="AU113" s="48" t="n">
        <f aca="false">ABS(AU112-AU85)</f>
        <v>8.98126018000767E-012</v>
      </c>
      <c r="AV113" s="48" t="n">
        <f aca="false">ABS(AV112-AV85)</f>
        <v>1.43245415529236E-011</v>
      </c>
      <c r="AW113" s="48" t="n">
        <f aca="false">ABS(AW112-AW85)</f>
        <v>1.98667748918524E-011</v>
      </c>
      <c r="AX113" s="48" t="n">
        <f aca="false">ABS(AX112-AX85)</f>
        <v>2.55511167779332E-011</v>
      </c>
      <c r="AY113" s="48" t="n">
        <f aca="false">ABS(AY112-AY85)</f>
        <v>3.1377567211166E-011</v>
      </c>
      <c r="AZ113" s="48" t="n">
        <f aca="false">ABS(AZ112-AZ85)</f>
        <v>3.74313913198421E-011</v>
      </c>
      <c r="BA113" s="48" t="n">
        <f aca="false">ABS(BA112-BA85)</f>
        <v>4.34852154285181E-011</v>
      </c>
      <c r="BB113" s="48" t="n">
        <f aca="false">ABS(BB112-BB85)</f>
        <v>4.95106178277638E-011</v>
      </c>
      <c r="BC113" s="48" t="n">
        <f aca="false">ABS(BC112-BC85)</f>
        <v>5.54791768081486E-011</v>
      </c>
      <c r="BD113" s="48" t="n">
        <f aca="false">ABS(BD112-BD85)</f>
        <v>6.14761574979639E-011</v>
      </c>
      <c r="BE113" s="48" t="n">
        <f aca="false">ABS(BE112-BE85)</f>
        <v>6.73594513500575E-011</v>
      </c>
      <c r="BF113" s="48" t="n">
        <f aca="false">ABS(BF112-BF85)</f>
        <v>7.30722149455687E-011</v>
      </c>
      <c r="BG113" s="48" t="n">
        <f aca="false">ABS(BG112-BG85)</f>
        <v>7.85860265750671E-011</v>
      </c>
      <c r="BH113" s="48" t="n">
        <f aca="false">ABS(BH112-BH85)</f>
        <v>8.3929307947983E-011</v>
      </c>
      <c r="BI113" s="48" t="n">
        <f aca="false">ABS(BI112-BI85)</f>
        <v>8.8988372226595E-011</v>
      </c>
      <c r="BJ113" s="48" t="n">
        <f aca="false">ABS(BJ112-BJ85)</f>
        <v>9.37347977014724E-011</v>
      </c>
      <c r="BK113" s="48" t="n">
        <f aca="false">ABS(BK112-BK85)</f>
        <v>9.8140162663185E-011</v>
      </c>
      <c r="BL113" s="48" t="n">
        <f aca="false">ABS(BL112-BL85)</f>
        <v>1.02204467111733E-010</v>
      </c>
      <c r="BM113" s="48" t="n">
        <f aca="false">ABS(BM112-BM85)</f>
        <v>1.05927711047116E-010</v>
      </c>
      <c r="BN113" s="48" t="n">
        <f aca="false">ABS(BN112-BN85)</f>
        <v>1.09167785922182E-010</v>
      </c>
      <c r="BO113" s="48" t="n">
        <f aca="false">ABS(BO112-BO85)</f>
        <v>1.12009956865222E-010</v>
      </c>
      <c r="BP113" s="48" t="n">
        <f aca="false">ABS(BP112-BP85)</f>
        <v>1.14482645585667E-010</v>
      </c>
      <c r="BQ113" s="48" t="n">
        <f aca="false">ABS(BQ112-BQ85)</f>
        <v>1.16358478408074E-010</v>
      </c>
      <c r="BR113" s="48" t="n">
        <f aca="false">ABS(BR112-BR85)</f>
        <v>1.17779563879594E-010</v>
      </c>
      <c r="BS113" s="48" t="n">
        <f aca="false">ABS(BS112-BS85)</f>
        <v>1.18660636871937E-010</v>
      </c>
      <c r="BT113" s="48" t="n">
        <f aca="false">ABS(BT112-BT85)</f>
        <v>1.19115384222823E-010</v>
      </c>
      <c r="BU113" s="48" t="n">
        <f aca="false">ABS(BU112-BU85)</f>
        <v>1.19030119094532E-010</v>
      </c>
      <c r="BV113" s="48" t="n">
        <f aca="false">ABS(BV112-BV85)</f>
        <v>1.18319576358772E-010</v>
      </c>
      <c r="BW113" s="48" t="n">
        <f aca="false">ABS(BW112-BW85)</f>
        <v>1.17154286272125E-010</v>
      </c>
      <c r="BX113" s="48" t="n">
        <f aca="false">ABS(BX112-BX85)</f>
        <v>1.15505827125162E-010</v>
      </c>
      <c r="BY113" s="48" t="n">
        <f aca="false">ABS(BY112-BY85)</f>
        <v>1.13374198917882E-010</v>
      </c>
      <c r="BZ113" s="48" t="n">
        <f aca="false">ABS(BZ112-BZ85)</f>
        <v>1.10617293103132E-010</v>
      </c>
      <c r="CA113" s="48" t="n">
        <f aca="false">ABS(CA112-CA85)</f>
        <v>1.07434061646927E-010</v>
      </c>
      <c r="CB113" s="48" t="n">
        <f aca="false">ABS(CB112-CB85)</f>
        <v>1.03767661130405E-010</v>
      </c>
      <c r="CC113" s="48" t="n">
        <f aca="false">ABS(CC112-CC85)</f>
        <v>9.97033566818573E-011</v>
      </c>
      <c r="CD113" s="48" t="n">
        <f aca="false">ABS(CD112-CD85)</f>
        <v>9.51558831729926E-011</v>
      </c>
      <c r="CE113" s="48" t="n">
        <f aca="false">ABS(CE112-CE85)</f>
        <v>9.02389274415327E-011</v>
      </c>
      <c r="CF113" s="48" t="n">
        <f aca="false">ABS(CF112-CF85)</f>
        <v>8.50945980346296E-011</v>
      </c>
      <c r="CG113" s="48" t="n">
        <f aca="false">ABS(CG112-CG85)</f>
        <v>7.95523646957008E-011</v>
      </c>
      <c r="CH113" s="48" t="n">
        <f aca="false">ABS(CH112-CH85)</f>
        <v>7.36974925530376E-011</v>
      </c>
      <c r="CI113" s="48" t="n">
        <f aca="false">ABS(CI112-CI85)</f>
        <v>6.75868250255007E-011</v>
      </c>
      <c r="CJ113" s="48" t="n">
        <f aca="false">ABS(CJ112-CJ85)</f>
        <v>6.13908923696727E-011</v>
      </c>
      <c r="CK113" s="48" t="n">
        <f aca="false">ABS(CK112-CK85)</f>
        <v>5.5081272876123E-011</v>
      </c>
      <c r="CL113" s="48" t="n">
        <f aca="false">ABS(CL112-CL85)</f>
        <v>4.85158579976996E-011</v>
      </c>
      <c r="CM113" s="48" t="n">
        <f aca="false">ABS(CM112-CM85)</f>
        <v>4.19788648287067E-011</v>
      </c>
      <c r="CN113" s="48" t="n">
        <f aca="false">ABS(CN112-CN85)</f>
        <v>3.56124019162962E-011</v>
      </c>
      <c r="CO113" s="48" t="n">
        <f aca="false">ABS(CO112-CO85)</f>
        <v>2.91890955850249E-011</v>
      </c>
      <c r="CP113" s="48" t="n">
        <f aca="false">ABS(CP112-CP85)</f>
        <v>2.28510543820448E-011</v>
      </c>
      <c r="CQ113" s="48" t="n">
        <f aca="false">ABS(CQ112-CQ85)</f>
        <v>1.67119651450776E-011</v>
      </c>
      <c r="CR113" s="48" t="n">
        <f aca="false">ABS(CR112-CR85)</f>
        <v>1.08570930024143E-011</v>
      </c>
      <c r="CS113" s="48" t="n">
        <f aca="false">ABS(CS112-CS85)</f>
        <v>5.28643795405515E-012</v>
      </c>
      <c r="CT113" s="48" t="n">
        <f aca="false">ABS(CT112-CT85)</f>
        <v>0</v>
      </c>
      <c r="CU113" s="48" t="n">
        <f aca="false">ABS(CU112-CU85)</f>
        <v>0</v>
      </c>
      <c r="CV113" s="48" t="n">
        <f aca="false">ABS(CV112-CV85)</f>
        <v>0</v>
      </c>
      <c r="CW113" s="48" t="n">
        <f aca="false">ABS(CW112-CW85)</f>
        <v>0</v>
      </c>
      <c r="CX113" s="48" t="n">
        <f aca="false">ABS(CX112-CX85)</f>
        <v>0</v>
      </c>
      <c r="CY113" s="48" t="n">
        <f aca="false">ABS(CY112-CY85)</f>
        <v>0</v>
      </c>
      <c r="CZ113" s="48" t="n">
        <f aca="false">ABS(CZ112-CZ85)</f>
        <v>0</v>
      </c>
      <c r="DA113" s="48" t="n">
        <f aca="false">ABS(DA112-DA85)</f>
        <v>0</v>
      </c>
      <c r="DB113" s="48" t="n">
        <f aca="false">ABS(DB112-DB85)</f>
        <v>0</v>
      </c>
      <c r="DC113" s="48" t="n">
        <f aca="false">ABS(DC112-DC85)</f>
        <v>0</v>
      </c>
      <c r="DD113" s="48" t="n">
        <f aca="false">ABS(DD112-DD85)</f>
        <v>0</v>
      </c>
      <c r="DE113" s="48" t="n">
        <f aca="false">ABS(DE112-DE85)</f>
        <v>0</v>
      </c>
      <c r="DF113" s="48" t="n">
        <f aca="false">ABS(DF112-DF85)</f>
        <v>0</v>
      </c>
      <c r="DG113" s="48" t="n">
        <f aca="false">ABS(DG112-DG85)</f>
        <v>0</v>
      </c>
      <c r="DH113" s="48" t="n">
        <f aca="false">ABS(DH112-DH85)</f>
        <v>0</v>
      </c>
      <c r="DI113" s="48" t="n">
        <f aca="false">ABS(DI112-DI85)</f>
        <v>0</v>
      </c>
      <c r="DJ113" s="48" t="n">
        <f aca="false">ABS(DJ112-DJ85)</f>
        <v>0</v>
      </c>
      <c r="DK113" s="48" t="n">
        <f aca="false">ABS(DK112-DK85)</f>
        <v>0</v>
      </c>
      <c r="DL113" s="48" t="n">
        <f aca="false">ABS(DL112-DL85)</f>
        <v>0</v>
      </c>
      <c r="DM113" s="48" t="n">
        <f aca="false">ABS(DM112-DM85)</f>
        <v>0</v>
      </c>
      <c r="DN113" s="48" t="n">
        <f aca="false">ABS(DN112-DN85)</f>
        <v>0</v>
      </c>
      <c r="DO113" s="48" t="n">
        <f aca="false">ABS(DO112-DO85)</f>
        <v>0</v>
      </c>
      <c r="DP113" s="48" t="n">
        <f aca="false">ABS(DP112-DP85)</f>
        <v>0</v>
      </c>
      <c r="DQ113" s="48" t="n">
        <f aca="false">ABS(DQ112-DQ85)</f>
        <v>0</v>
      </c>
      <c r="DR113" s="48" t="n">
        <f aca="false">ABS(DR112-DR85)</f>
        <v>0</v>
      </c>
      <c r="DS113" s="48" t="n">
        <f aca="false">ABS(DS112-DS85)</f>
        <v>0</v>
      </c>
      <c r="DT113" s="48" t="n">
        <f aca="false">ABS(DT112-DT85)</f>
        <v>0</v>
      </c>
      <c r="DU113" s="48" t="n">
        <f aca="false">ABS(DU112-DU85)</f>
        <v>0</v>
      </c>
      <c r="DV113" s="48" t="n">
        <f aca="false">ABS(DV112-DV85)</f>
        <v>0</v>
      </c>
      <c r="DW113" s="48" t="n">
        <f aca="false">ABS(DW112-DW85)</f>
        <v>0</v>
      </c>
      <c r="DX113" s="48" t="n">
        <f aca="false">ABS(DX112-DX85)</f>
        <v>0</v>
      </c>
      <c r="DY113" s="48" t="n">
        <f aca="false">ABS(DY112-DY85)</f>
        <v>0</v>
      </c>
      <c r="DZ113" s="48" t="n">
        <f aca="false">ABS(DZ112-DZ85)</f>
        <v>0</v>
      </c>
      <c r="EA113" s="48" t="n">
        <f aca="false">ABS(EA112-EA85)</f>
        <v>0</v>
      </c>
      <c r="EB113" s="48" t="n">
        <f aca="false">ABS(EB112-EB85)</f>
        <v>0</v>
      </c>
      <c r="EC113" s="48" t="n">
        <f aca="false">ABS(EC112-EC85)</f>
        <v>0</v>
      </c>
      <c r="ED113" s="48" t="n">
        <f aca="false">ABS(ED112-ED85)</f>
        <v>0</v>
      </c>
      <c r="EE113" s="48" t="n">
        <f aca="false">ABS(EE112-EE85)</f>
        <v>0</v>
      </c>
      <c r="EF113" s="48" t="n">
        <f aca="false">ABS(EF112-EF85)</f>
        <v>0</v>
      </c>
      <c r="EG113" s="48" t="n">
        <f aca="false">ABS(EG112-EG85)</f>
        <v>0</v>
      </c>
      <c r="EH113" s="48" t="n">
        <f aca="false">ABS(EH112-EH85)</f>
        <v>0</v>
      </c>
      <c r="EI113" s="48" t="n">
        <f aca="false">ABS(EI112-EI85)</f>
        <v>0</v>
      </c>
      <c r="EJ113" s="48" t="n">
        <f aca="false">ABS(EJ112-EJ85)</f>
        <v>0</v>
      </c>
      <c r="EK113" s="48" t="n">
        <f aca="false">ABS(EK112-EK85)</f>
        <v>0</v>
      </c>
      <c r="EL113" s="48" t="n">
        <f aca="false">ABS(EL112-EL85)</f>
        <v>0</v>
      </c>
      <c r="EM113" s="48" t="n">
        <f aca="false">ABS(EM112-EM85)</f>
        <v>0</v>
      </c>
      <c r="EN113" s="48" t="n">
        <f aca="false">ABS(EN112-EN85)</f>
        <v>0</v>
      </c>
      <c r="EO113" s="48" t="n">
        <f aca="false">ABS(EO112-EO85)</f>
        <v>0</v>
      </c>
    </row>
    <row r="115" customFormat="false" ht="15" hidden="false" customHeight="false" outlineLevel="0" collapsed="false">
      <c r="A115" s="9" t="s">
        <v>13</v>
      </c>
      <c r="B115" s="9"/>
      <c r="C115" s="9" t="s">
        <v>491</v>
      </c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</row>
    <row r="116" customFormat="false" ht="15" hidden="false" customHeight="false" outlineLevel="0" collapsed="false">
      <c r="C116" s="0" t="s">
        <v>96</v>
      </c>
      <c r="D116" s="11" t="s">
        <v>33</v>
      </c>
      <c r="E116" s="48" t="n">
        <f aca="false">-($I47+$I48+$I49)</f>
        <v>5150</v>
      </c>
    </row>
    <row r="117" customFormat="false" ht="15" hidden="false" customHeight="false" outlineLevel="0" collapsed="false">
      <c r="C117" s="0" t="s">
        <v>97</v>
      </c>
      <c r="D117" s="11" t="s">
        <v>33</v>
      </c>
      <c r="E117" s="48" t="n">
        <f aca="false">-($I51+$I54+$E58)</f>
        <v>1114.92155376243</v>
      </c>
    </row>
    <row r="118" customFormat="false" ht="15" hidden="false" customHeight="false" outlineLevel="0" collapsed="false">
      <c r="C118" s="0" t="s">
        <v>98</v>
      </c>
      <c r="D118" s="11" t="s">
        <v>33</v>
      </c>
      <c r="E118" s="48" t="n">
        <f aca="false">-$I67</f>
        <v>64716.25</v>
      </c>
    </row>
    <row r="119" customFormat="false" ht="15" hidden="false" customHeight="false" outlineLevel="0" collapsed="false">
      <c r="C119" s="0" t="s">
        <v>99</v>
      </c>
      <c r="D119" s="11" t="s">
        <v>33</v>
      </c>
      <c r="E119" s="48" t="n">
        <f aca="false">-$I57</f>
        <v>8154.82315068493</v>
      </c>
    </row>
    <row r="120" customFormat="false" ht="15" hidden="false" customHeight="false" outlineLevel="0" collapsed="false">
      <c r="C120" s="0" t="s">
        <v>100</v>
      </c>
      <c r="D120" s="11" t="s">
        <v>33</v>
      </c>
      <c r="E120" s="48" t="n">
        <f aca="false">-$I68</f>
        <v>2500</v>
      </c>
    </row>
    <row r="121" customFormat="false" ht="15" hidden="false" customHeight="false" outlineLevel="0" collapsed="false">
      <c r="C121" s="0" t="s">
        <v>101</v>
      </c>
      <c r="D121" s="11" t="s">
        <v>33</v>
      </c>
      <c r="E121" s="48" t="n">
        <f aca="false">$I96-$I99-$I100</f>
        <v>3107.96939753469</v>
      </c>
    </row>
    <row r="122" customFormat="false" ht="15" hidden="false" customHeight="false" outlineLevel="0" collapsed="false">
      <c r="C122" s="0" t="s">
        <v>102</v>
      </c>
      <c r="D122" s="11" t="s">
        <v>33</v>
      </c>
      <c r="E122" s="48" t="n">
        <f aca="false">-SUMIF($J$4:$EO$4,"&lt;="&amp;In_COD,$J82:$EO82)</f>
        <v>340.170197534084</v>
      </c>
    </row>
    <row r="123" customFormat="false" ht="15" hidden="false" customHeight="false" outlineLevel="0" collapsed="false">
      <c r="C123" s="25" t="s">
        <v>103</v>
      </c>
      <c r="D123" s="11" t="s">
        <v>33</v>
      </c>
      <c r="E123" s="57" t="n">
        <f aca="false">SUM($E116:$E122)</f>
        <v>85084.1342995161</v>
      </c>
    </row>
    <row r="124" customFormat="false" ht="15" hidden="false" customHeight="false" outlineLevel="0" collapsed="false">
      <c r="C124" s="0" t="s">
        <v>492</v>
      </c>
      <c r="D124" s="11" t="s">
        <v>33</v>
      </c>
      <c r="E124" s="48" t="n">
        <f aca="false">$E123-$E98</f>
        <v>41686.7978709354</v>
      </c>
      <c r="F124" s="48" t="n">
        <f aca="false">$E124+$E101</f>
        <v>42614.0850110287</v>
      </c>
    </row>
    <row r="125" customFormat="false" ht="15" hidden="false" customHeight="false" outlineLevel="0" collapsed="false">
      <c r="C125" s="0" t="s">
        <v>107</v>
      </c>
      <c r="D125" s="11" t="s">
        <v>27</v>
      </c>
      <c r="E125" s="49" t="n">
        <f aca="false">$E98/$E123</f>
        <v>0.510052041850856</v>
      </c>
    </row>
    <row r="126" customFormat="false" ht="15" hidden="false" customHeight="false" outlineLevel="0" collapsed="false">
      <c r="C126" s="0" t="s">
        <v>493</v>
      </c>
      <c r="D126" s="11" t="s">
        <v>33</v>
      </c>
      <c r="E126" s="48" t="n">
        <f aca="false">$E87*In_DSCR/In_DSCR_Max_Low</f>
        <v>97998.0507020105</v>
      </c>
      <c r="F126" s="48" t="n">
        <f aca="false">$E87*In_DSCR/In_DSCR_Max_High</f>
        <v>89831.5464768429</v>
      </c>
    </row>
    <row r="127" customFormat="false" ht="15" hidden="false" customHeight="false" outlineLevel="0" collapsed="false">
      <c r="C127" s="0" t="s">
        <v>494</v>
      </c>
      <c r="D127" s="11" t="s">
        <v>27</v>
      </c>
      <c r="E127" s="49" t="n">
        <f aca="false">$E126/$E123</f>
        <v>1.1517781958859</v>
      </c>
      <c r="F127" s="49" t="n">
        <f aca="false">$F126/$E123</f>
        <v>1.05579667956208</v>
      </c>
    </row>
    <row r="129" customFormat="false" ht="15" hidden="false" customHeight="false" outlineLevel="0" collapsed="false">
      <c r="A129" s="9" t="s">
        <v>13</v>
      </c>
      <c r="B129" s="9"/>
      <c r="C129" s="9" t="s">
        <v>123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</row>
    <row r="130" customFormat="false" ht="15" hidden="false" customHeight="false" outlineLevel="0" collapsed="false">
      <c r="C130" s="0" t="s">
        <v>495</v>
      </c>
      <c r="D130" s="11" t="s">
        <v>33</v>
      </c>
      <c r="I130" s="48" t="n">
        <f aca="false">SUM(J130:EO130)</f>
        <v>-41686.7978709354</v>
      </c>
      <c r="J130" s="48" t="n">
        <f aca="false">(J62+J69+J95+J99+J100+J82)*(J$4&lt;=In_COD)</f>
        <v>-4662.80993807469</v>
      </c>
      <c r="K130" s="48" t="n">
        <f aca="false">(K62+K69+K95+K99+K100+K82)*(K$4&lt;=In_COD)</f>
        <v>-706.535577057768</v>
      </c>
      <c r="L130" s="48" t="n">
        <f aca="false">(L62+L69+L95+L99+L100+L82)*(L$4&lt;=In_COD)</f>
        <v>-104.360496659404</v>
      </c>
      <c r="M130" s="48" t="n">
        <f aca="false">(M62+M69+M95+M99+M100+M82)*(M$4&lt;=In_COD)</f>
        <v>-105.507315304013</v>
      </c>
      <c r="N130" s="48" t="n">
        <f aca="false">(N62+N69+N95+N99+N100+N82)*(N$4&lt;=In_COD)</f>
        <v>-105.507315304013</v>
      </c>
      <c r="O130" s="48" t="n">
        <f aca="false">(O62+O69+O95+O99+O100+O82)*(O$4&lt;=In_COD)</f>
        <v>-104.360496659404</v>
      </c>
      <c r="P130" s="48" t="n">
        <f aca="false">(P62+P69+P95+P99+P100+P82)*(P$4&lt;=In_COD)</f>
        <v>-104.360496659404</v>
      </c>
      <c r="Q130" s="48" t="n">
        <f aca="false">(Q62+Q69+Q95+Q99+Q100+Q82)*(Q$4&lt;=In_COD)</f>
        <v>-105.507315304013</v>
      </c>
      <c r="R130" s="48" t="n">
        <f aca="false">(R62+R69+R95+R99+R100+R82)*(R$4&lt;=In_COD)</f>
        <v>-4598.78508914336</v>
      </c>
      <c r="S130" s="48" t="n">
        <f aca="false">(S62+S69+S95+S99+S100+S82)*(S$4&lt;=In_COD)</f>
        <v>-7416.60009090345</v>
      </c>
      <c r="T130" s="48" t="n">
        <f aca="false">(T62+T69+T95+T99+T100+T82)*(T$4&lt;=In_COD)</f>
        <v>-3768.65166995178</v>
      </c>
      <c r="U130" s="48" t="n">
        <f aca="false">(U62+U69+U95+U99+U100+U82)*(U$4&lt;=In_COD)</f>
        <v>-3800.0000014</v>
      </c>
      <c r="V130" s="48" t="n">
        <f aca="false">(V62+V69+V95+V99+V100+V82)*(V$4&lt;=In_COD)</f>
        <v>-3789.82396918758</v>
      </c>
      <c r="W130" s="48" t="n">
        <f aca="false">(W62+W69+W95+W99+W100+W82)*(W$4&lt;=In_COD)</f>
        <v>-3698.52360864843</v>
      </c>
      <c r="X130" s="48" t="n">
        <f aca="false">(X62+X69+X95+X99+X100+X82)*(X$4&lt;=In_COD)</f>
        <v>-3729.77170579166</v>
      </c>
      <c r="Y130" s="48" t="n">
        <f aca="false">(Y62+Y69+Y95+Y99+Y100+Y82)*(Y$4&lt;=In_COD)</f>
        <v>-4885.69278488647</v>
      </c>
      <c r="Z130" s="48" t="n">
        <f aca="false">(Z62+Z69+Z95+Z99+Z100+Z82)*(Z$4&lt;=In_COD)</f>
        <v>0</v>
      </c>
      <c r="AA130" s="48" t="n">
        <f aca="false">(AA62+AA69+AA95+AA99+AA100+AA82)*(AA$4&lt;=In_COD)</f>
        <v>0</v>
      </c>
      <c r="AB130" s="48" t="n">
        <f aca="false">(AB62+AB69+AB95+AB99+AB100+AB82)*(AB$4&lt;=In_COD)</f>
        <v>0</v>
      </c>
      <c r="AC130" s="48" t="n">
        <f aca="false">(AC62+AC69+AC95+AC99+AC100+AC82)*(AC$4&lt;=In_COD)</f>
        <v>0</v>
      </c>
      <c r="AD130" s="48" t="n">
        <f aca="false">(AD62+AD69+AD95+AD99+AD100+AD82)*(AD$4&lt;=In_COD)</f>
        <v>0</v>
      </c>
      <c r="AE130" s="48" t="n">
        <f aca="false">(AE62+AE69+AE95+AE99+AE100+AE82)*(AE$4&lt;=In_COD)</f>
        <v>0</v>
      </c>
      <c r="AF130" s="48" t="n">
        <f aca="false">(AF62+AF69+AF95+AF99+AF100+AF82)*(AF$4&lt;=In_COD)</f>
        <v>0</v>
      </c>
      <c r="AG130" s="48" t="n">
        <f aca="false">(AG62+AG69+AG95+AG99+AG100+AG82)*(AG$4&lt;=In_COD)</f>
        <v>0</v>
      </c>
      <c r="AH130" s="48" t="n">
        <f aca="false">(AH62+AH69+AH95+AH99+AH100+AH82)*(AH$4&lt;=In_COD)</f>
        <v>0</v>
      </c>
      <c r="AI130" s="48" t="n">
        <f aca="false">(AI62+AI69+AI95+AI99+AI100+AI82)*(AI$4&lt;=In_COD)</f>
        <v>0</v>
      </c>
      <c r="AJ130" s="48" t="n">
        <f aca="false">(AJ62+AJ69+AJ95+AJ99+AJ100+AJ82)*(AJ$4&lt;=In_COD)</f>
        <v>0</v>
      </c>
      <c r="AK130" s="48" t="n">
        <f aca="false">(AK62+AK69+AK95+AK99+AK100+AK82)*(AK$4&lt;=In_COD)</f>
        <v>0</v>
      </c>
      <c r="AL130" s="48" t="n">
        <f aca="false">(AL62+AL69+AL95+AL99+AL100+AL82)*(AL$4&lt;=In_COD)</f>
        <v>0</v>
      </c>
      <c r="AM130" s="48" t="n">
        <f aca="false">(AM62+AM69+AM95+AM99+AM100+AM82)*(AM$4&lt;=In_COD)</f>
        <v>0</v>
      </c>
      <c r="AN130" s="48" t="n">
        <f aca="false">(AN62+AN69+AN95+AN99+AN100+AN82)*(AN$4&lt;=In_COD)</f>
        <v>0</v>
      </c>
      <c r="AO130" s="48" t="n">
        <f aca="false">(AO62+AO69+AO95+AO99+AO100+AO82)*(AO$4&lt;=In_COD)</f>
        <v>0</v>
      </c>
      <c r="AP130" s="48" t="n">
        <f aca="false">(AP62+AP69+AP95+AP99+AP100+AP82)*(AP$4&lt;=In_COD)</f>
        <v>0</v>
      </c>
      <c r="AQ130" s="48" t="n">
        <f aca="false">(AQ62+AQ69+AQ95+AQ99+AQ100+AQ82)*(AQ$4&lt;=In_COD)</f>
        <v>0</v>
      </c>
      <c r="AR130" s="48" t="n">
        <f aca="false">(AR62+AR69+AR95+AR99+AR100+AR82)*(AR$4&lt;=In_COD)</f>
        <v>0</v>
      </c>
      <c r="AS130" s="48" t="n">
        <f aca="false">(AS62+AS69+AS95+AS99+AS100+AS82)*(AS$4&lt;=In_COD)</f>
        <v>0</v>
      </c>
      <c r="AT130" s="48" t="n">
        <f aca="false">(AT62+AT69+AT95+AT99+AT100+AT82)*(AT$4&lt;=In_COD)</f>
        <v>0</v>
      </c>
      <c r="AU130" s="48" t="n">
        <f aca="false">(AU62+AU69+AU95+AU99+AU100+AU82)*(AU$4&lt;=In_COD)</f>
        <v>0</v>
      </c>
      <c r="AV130" s="48" t="n">
        <f aca="false">(AV62+AV69+AV95+AV99+AV100+AV82)*(AV$4&lt;=In_COD)</f>
        <v>0</v>
      </c>
      <c r="AW130" s="48" t="n">
        <f aca="false">(AW62+AW69+AW95+AW99+AW100+AW82)*(AW$4&lt;=In_COD)</f>
        <v>0</v>
      </c>
      <c r="AX130" s="48" t="n">
        <f aca="false">(AX62+AX69+AX95+AX99+AX100+AX82)*(AX$4&lt;=In_COD)</f>
        <v>0</v>
      </c>
      <c r="AY130" s="48" t="n">
        <f aca="false">(AY62+AY69+AY95+AY99+AY100+AY82)*(AY$4&lt;=In_COD)</f>
        <v>0</v>
      </c>
      <c r="AZ130" s="48" t="n">
        <f aca="false">(AZ62+AZ69+AZ95+AZ99+AZ100+AZ82)*(AZ$4&lt;=In_COD)</f>
        <v>0</v>
      </c>
      <c r="BA130" s="48" t="n">
        <f aca="false">(BA62+BA69+BA95+BA99+BA100+BA82)*(BA$4&lt;=In_COD)</f>
        <v>0</v>
      </c>
      <c r="BB130" s="48" t="n">
        <f aca="false">(BB62+BB69+BB95+BB99+BB100+BB82)*(BB$4&lt;=In_COD)</f>
        <v>0</v>
      </c>
      <c r="BC130" s="48" t="n">
        <f aca="false">(BC62+BC69+BC95+BC99+BC100+BC82)*(BC$4&lt;=In_COD)</f>
        <v>0</v>
      </c>
      <c r="BD130" s="48" t="n">
        <f aca="false">(BD62+BD69+BD95+BD99+BD100+BD82)*(BD$4&lt;=In_COD)</f>
        <v>0</v>
      </c>
      <c r="BE130" s="48" t="n">
        <f aca="false">(BE62+BE69+BE95+BE99+BE100+BE82)*(BE$4&lt;=In_COD)</f>
        <v>0</v>
      </c>
      <c r="BF130" s="48" t="n">
        <f aca="false">(BF62+BF69+BF95+BF99+BF100+BF82)*(BF$4&lt;=In_COD)</f>
        <v>0</v>
      </c>
      <c r="BG130" s="48" t="n">
        <f aca="false">(BG62+BG69+BG95+BG99+BG100+BG82)*(BG$4&lt;=In_COD)</f>
        <v>0</v>
      </c>
      <c r="BH130" s="48" t="n">
        <f aca="false">(BH62+BH69+BH95+BH99+BH100+BH82)*(BH$4&lt;=In_COD)</f>
        <v>0</v>
      </c>
      <c r="BI130" s="48" t="n">
        <f aca="false">(BI62+BI69+BI95+BI99+BI100+BI82)*(BI$4&lt;=In_COD)</f>
        <v>0</v>
      </c>
      <c r="BJ130" s="48" t="n">
        <f aca="false">(BJ62+BJ69+BJ95+BJ99+BJ100+BJ82)*(BJ$4&lt;=In_COD)</f>
        <v>0</v>
      </c>
      <c r="BK130" s="48" t="n">
        <f aca="false">(BK62+BK69+BK95+BK99+BK100+BK82)*(BK$4&lt;=In_COD)</f>
        <v>0</v>
      </c>
      <c r="BL130" s="48" t="n">
        <f aca="false">(BL62+BL69+BL95+BL99+BL100+BL82)*(BL$4&lt;=In_COD)</f>
        <v>0</v>
      </c>
      <c r="BM130" s="48" t="n">
        <f aca="false">(BM62+BM69+BM95+BM99+BM100+BM82)*(BM$4&lt;=In_COD)</f>
        <v>0</v>
      </c>
      <c r="BN130" s="48" t="n">
        <f aca="false">(BN62+BN69+BN95+BN99+BN100+BN82)*(BN$4&lt;=In_COD)</f>
        <v>0</v>
      </c>
      <c r="BO130" s="48" t="n">
        <f aca="false">(BO62+BO69+BO95+BO99+BO100+BO82)*(BO$4&lt;=In_COD)</f>
        <v>0</v>
      </c>
      <c r="BP130" s="48" t="n">
        <f aca="false">(BP62+BP69+BP95+BP99+BP100+BP82)*(BP$4&lt;=In_COD)</f>
        <v>0</v>
      </c>
      <c r="BQ130" s="48" t="n">
        <f aca="false">(BQ62+BQ69+BQ95+BQ99+BQ100+BQ82)*(BQ$4&lt;=In_COD)</f>
        <v>0</v>
      </c>
      <c r="BR130" s="48" t="n">
        <f aca="false">(BR62+BR69+BR95+BR99+BR100+BR82)*(BR$4&lt;=In_COD)</f>
        <v>0</v>
      </c>
      <c r="BS130" s="48" t="n">
        <f aca="false">(BS62+BS69+BS95+BS99+BS100+BS82)*(BS$4&lt;=In_COD)</f>
        <v>0</v>
      </c>
      <c r="BT130" s="48" t="n">
        <f aca="false">(BT62+BT69+BT95+BT99+BT100+BT82)*(BT$4&lt;=In_COD)</f>
        <v>0</v>
      </c>
      <c r="BU130" s="48" t="n">
        <f aca="false">(BU62+BU69+BU95+BU99+BU100+BU82)*(BU$4&lt;=In_COD)</f>
        <v>0</v>
      </c>
      <c r="BV130" s="48" t="n">
        <f aca="false">(BV62+BV69+BV95+BV99+BV100+BV82)*(BV$4&lt;=In_COD)</f>
        <v>0</v>
      </c>
      <c r="BW130" s="48" t="n">
        <f aca="false">(BW62+BW69+BW95+BW99+BW100+BW82)*(BW$4&lt;=In_COD)</f>
        <v>0</v>
      </c>
      <c r="BX130" s="48" t="n">
        <f aca="false">(BX62+BX69+BX95+BX99+BX100+BX82)*(BX$4&lt;=In_COD)</f>
        <v>0</v>
      </c>
      <c r="BY130" s="48" t="n">
        <f aca="false">(BY62+BY69+BY95+BY99+BY100+BY82)*(BY$4&lt;=In_COD)</f>
        <v>0</v>
      </c>
      <c r="BZ130" s="48" t="n">
        <f aca="false">(BZ62+BZ69+BZ95+BZ99+BZ100+BZ82)*(BZ$4&lt;=In_COD)</f>
        <v>0</v>
      </c>
      <c r="CA130" s="48" t="n">
        <f aca="false">(CA62+CA69+CA95+CA99+CA100+CA82)*(CA$4&lt;=In_COD)</f>
        <v>0</v>
      </c>
      <c r="CB130" s="48" t="n">
        <f aca="false">(CB62+CB69+CB95+CB99+CB100+CB82)*(CB$4&lt;=In_COD)</f>
        <v>0</v>
      </c>
      <c r="CC130" s="48" t="n">
        <f aca="false">(CC62+CC69+CC95+CC99+CC100+CC82)*(CC$4&lt;=In_COD)</f>
        <v>0</v>
      </c>
      <c r="CD130" s="48" t="n">
        <f aca="false">(CD62+CD69+CD95+CD99+CD100+CD82)*(CD$4&lt;=In_COD)</f>
        <v>0</v>
      </c>
      <c r="CE130" s="48" t="n">
        <f aca="false">(CE62+CE69+CE95+CE99+CE100+CE82)*(CE$4&lt;=In_COD)</f>
        <v>0</v>
      </c>
      <c r="CF130" s="48" t="n">
        <f aca="false">(CF62+CF69+CF95+CF99+CF100+CF82)*(CF$4&lt;=In_COD)</f>
        <v>0</v>
      </c>
      <c r="CG130" s="48" t="n">
        <f aca="false">(CG62+CG69+CG95+CG99+CG100+CG82)*(CG$4&lt;=In_COD)</f>
        <v>0</v>
      </c>
      <c r="CH130" s="48" t="n">
        <f aca="false">(CH62+CH69+CH95+CH99+CH100+CH82)*(CH$4&lt;=In_COD)</f>
        <v>0</v>
      </c>
      <c r="CI130" s="48" t="n">
        <f aca="false">(CI62+CI69+CI95+CI99+CI100+CI82)*(CI$4&lt;=In_COD)</f>
        <v>0</v>
      </c>
      <c r="CJ130" s="48" t="n">
        <f aca="false">(CJ62+CJ69+CJ95+CJ99+CJ100+CJ82)*(CJ$4&lt;=In_COD)</f>
        <v>0</v>
      </c>
      <c r="CK130" s="48" t="n">
        <f aca="false">(CK62+CK69+CK95+CK99+CK100+CK82)*(CK$4&lt;=In_COD)</f>
        <v>0</v>
      </c>
      <c r="CL130" s="48" t="n">
        <f aca="false">(CL62+CL69+CL95+CL99+CL100+CL82)*(CL$4&lt;=In_COD)</f>
        <v>0</v>
      </c>
      <c r="CM130" s="48" t="n">
        <f aca="false">(CM62+CM69+CM95+CM99+CM100+CM82)*(CM$4&lt;=In_COD)</f>
        <v>0</v>
      </c>
      <c r="CN130" s="48" t="n">
        <f aca="false">(CN62+CN69+CN95+CN99+CN100+CN82)*(CN$4&lt;=In_COD)</f>
        <v>0</v>
      </c>
      <c r="CO130" s="48" t="n">
        <f aca="false">(CO62+CO69+CO95+CO99+CO100+CO82)*(CO$4&lt;=In_COD)</f>
        <v>0</v>
      </c>
      <c r="CP130" s="48" t="n">
        <f aca="false">(CP62+CP69+CP95+CP99+CP100+CP82)*(CP$4&lt;=In_COD)</f>
        <v>0</v>
      </c>
      <c r="CQ130" s="48" t="n">
        <f aca="false">(CQ62+CQ69+CQ95+CQ99+CQ100+CQ82)*(CQ$4&lt;=In_COD)</f>
        <v>0</v>
      </c>
      <c r="CR130" s="48" t="n">
        <f aca="false">(CR62+CR69+CR95+CR99+CR100+CR82)*(CR$4&lt;=In_COD)</f>
        <v>0</v>
      </c>
      <c r="CS130" s="48" t="n">
        <f aca="false">(CS62+CS69+CS95+CS99+CS100+CS82)*(CS$4&lt;=In_COD)</f>
        <v>0</v>
      </c>
      <c r="CT130" s="48" t="n">
        <f aca="false">(CT62+CT69+CT95+CT99+CT100+CT82)*(CT$4&lt;=In_COD)</f>
        <v>0</v>
      </c>
      <c r="CU130" s="48" t="n">
        <f aca="false">(CU62+CU69+CU95+CU99+CU100+CU82)*(CU$4&lt;=In_COD)</f>
        <v>0</v>
      </c>
      <c r="CV130" s="48" t="n">
        <f aca="false">(CV62+CV69+CV95+CV99+CV100+CV82)*(CV$4&lt;=In_COD)</f>
        <v>0</v>
      </c>
      <c r="CW130" s="48" t="n">
        <f aca="false">(CW62+CW69+CW95+CW99+CW100+CW82)*(CW$4&lt;=In_COD)</f>
        <v>0</v>
      </c>
      <c r="CX130" s="48" t="n">
        <f aca="false">(CX62+CX69+CX95+CX99+CX100+CX82)*(CX$4&lt;=In_COD)</f>
        <v>0</v>
      </c>
      <c r="CY130" s="48" t="n">
        <f aca="false">(CY62+CY69+CY95+CY99+CY100+CY82)*(CY$4&lt;=In_COD)</f>
        <v>0</v>
      </c>
      <c r="CZ130" s="48" t="n">
        <f aca="false">(CZ62+CZ69+CZ95+CZ99+CZ100+CZ82)*(CZ$4&lt;=In_COD)</f>
        <v>0</v>
      </c>
      <c r="DA130" s="48" t="n">
        <f aca="false">(DA62+DA69+DA95+DA99+DA100+DA82)*(DA$4&lt;=In_COD)</f>
        <v>0</v>
      </c>
      <c r="DB130" s="48" t="n">
        <f aca="false">(DB62+DB69+DB95+DB99+DB100+DB82)*(DB$4&lt;=In_COD)</f>
        <v>0</v>
      </c>
      <c r="DC130" s="48" t="n">
        <f aca="false">(DC62+DC69+DC95+DC99+DC100+DC82)*(DC$4&lt;=In_COD)</f>
        <v>0</v>
      </c>
      <c r="DD130" s="48" t="n">
        <f aca="false">(DD62+DD69+DD95+DD99+DD100+DD82)*(DD$4&lt;=In_COD)</f>
        <v>0</v>
      </c>
      <c r="DE130" s="48" t="n">
        <f aca="false">(DE62+DE69+DE95+DE99+DE100+DE82)*(DE$4&lt;=In_COD)</f>
        <v>0</v>
      </c>
      <c r="DF130" s="48" t="n">
        <f aca="false">(DF62+DF69+DF95+DF99+DF100+DF82)*(DF$4&lt;=In_COD)</f>
        <v>0</v>
      </c>
      <c r="DG130" s="48" t="n">
        <f aca="false">(DG62+DG69+DG95+DG99+DG100+DG82)*(DG$4&lt;=In_COD)</f>
        <v>0</v>
      </c>
      <c r="DH130" s="48" t="n">
        <f aca="false">(DH62+DH69+DH95+DH99+DH100+DH82)*(DH$4&lt;=In_COD)</f>
        <v>0</v>
      </c>
      <c r="DI130" s="48" t="n">
        <f aca="false">(DI62+DI69+DI95+DI99+DI100+DI82)*(DI$4&lt;=In_COD)</f>
        <v>0</v>
      </c>
      <c r="DJ130" s="48" t="n">
        <f aca="false">(DJ62+DJ69+DJ95+DJ99+DJ100+DJ82)*(DJ$4&lt;=In_COD)</f>
        <v>0</v>
      </c>
      <c r="DK130" s="48" t="n">
        <f aca="false">(DK62+DK69+DK95+DK99+DK100+DK82)*(DK$4&lt;=In_COD)</f>
        <v>0</v>
      </c>
      <c r="DL130" s="48" t="n">
        <f aca="false">(DL62+DL69+DL95+DL99+DL100+DL82)*(DL$4&lt;=In_COD)</f>
        <v>0</v>
      </c>
      <c r="DM130" s="48" t="n">
        <f aca="false">(DM62+DM69+DM95+DM99+DM100+DM82)*(DM$4&lt;=In_COD)</f>
        <v>0</v>
      </c>
      <c r="DN130" s="48" t="n">
        <f aca="false">(DN62+DN69+DN95+DN99+DN100+DN82)*(DN$4&lt;=In_COD)</f>
        <v>0</v>
      </c>
      <c r="DO130" s="48" t="n">
        <f aca="false">(DO62+DO69+DO95+DO99+DO100+DO82)*(DO$4&lt;=In_COD)</f>
        <v>0</v>
      </c>
      <c r="DP130" s="48" t="n">
        <f aca="false">(DP62+DP69+DP95+DP99+DP100+DP82)*(DP$4&lt;=In_COD)</f>
        <v>0</v>
      </c>
      <c r="DQ130" s="48" t="n">
        <f aca="false">(DQ62+DQ69+DQ95+DQ99+DQ100+DQ82)*(DQ$4&lt;=In_COD)</f>
        <v>0</v>
      </c>
      <c r="DR130" s="48" t="n">
        <f aca="false">(DR62+DR69+DR95+DR99+DR100+DR82)*(DR$4&lt;=In_COD)</f>
        <v>0</v>
      </c>
      <c r="DS130" s="48" t="n">
        <f aca="false">(DS62+DS69+DS95+DS99+DS100+DS82)*(DS$4&lt;=In_COD)</f>
        <v>0</v>
      </c>
      <c r="DT130" s="48" t="n">
        <f aca="false">(DT62+DT69+DT95+DT99+DT100+DT82)*(DT$4&lt;=In_COD)</f>
        <v>0</v>
      </c>
      <c r="DU130" s="48" t="n">
        <f aca="false">(DU62+DU69+DU95+DU99+DU100+DU82)*(DU$4&lt;=In_COD)</f>
        <v>0</v>
      </c>
      <c r="DV130" s="48" t="n">
        <f aca="false">(DV62+DV69+DV95+DV99+DV100+DV82)*(DV$4&lt;=In_COD)</f>
        <v>0</v>
      </c>
      <c r="DW130" s="48" t="n">
        <f aca="false">(DW62+DW69+DW95+DW99+DW100+DW82)*(DW$4&lt;=In_COD)</f>
        <v>0</v>
      </c>
      <c r="DX130" s="48" t="n">
        <f aca="false">(DX62+DX69+DX95+DX99+DX100+DX82)*(DX$4&lt;=In_COD)</f>
        <v>0</v>
      </c>
      <c r="DY130" s="48" t="n">
        <f aca="false">(DY62+DY69+DY95+DY99+DY100+DY82)*(DY$4&lt;=In_COD)</f>
        <v>0</v>
      </c>
      <c r="DZ130" s="48" t="n">
        <f aca="false">(DZ62+DZ69+DZ95+DZ99+DZ100+DZ82)*(DZ$4&lt;=In_COD)</f>
        <v>0</v>
      </c>
      <c r="EA130" s="48" t="n">
        <f aca="false">(EA62+EA69+EA95+EA99+EA100+EA82)*(EA$4&lt;=In_COD)</f>
        <v>0</v>
      </c>
      <c r="EB130" s="48" t="n">
        <f aca="false">(EB62+EB69+EB95+EB99+EB100+EB82)*(EB$4&lt;=In_COD)</f>
        <v>0</v>
      </c>
      <c r="EC130" s="48" t="n">
        <f aca="false">(EC62+EC69+EC95+EC99+EC100+EC82)*(EC$4&lt;=In_COD)</f>
        <v>0</v>
      </c>
      <c r="ED130" s="48" t="n">
        <f aca="false">(ED62+ED69+ED95+ED99+ED100+ED82)*(ED$4&lt;=In_COD)</f>
        <v>0</v>
      </c>
      <c r="EE130" s="48" t="n">
        <f aca="false">(EE62+EE69+EE95+EE99+EE100+EE82)*(EE$4&lt;=In_COD)</f>
        <v>0</v>
      </c>
      <c r="EF130" s="48" t="n">
        <f aca="false">(EF62+EF69+EF95+EF99+EF100+EF82)*(EF$4&lt;=In_COD)</f>
        <v>0</v>
      </c>
      <c r="EG130" s="48" t="n">
        <f aca="false">(EG62+EG69+EG95+EG99+EG100+EG82)*(EG$4&lt;=In_COD)</f>
        <v>0</v>
      </c>
      <c r="EH130" s="48" t="n">
        <f aca="false">(EH62+EH69+EH95+EH99+EH100+EH82)*(EH$4&lt;=In_COD)</f>
        <v>0</v>
      </c>
      <c r="EI130" s="48" t="n">
        <f aca="false">(EI62+EI69+EI95+EI99+EI100+EI82)*(EI$4&lt;=In_COD)</f>
        <v>0</v>
      </c>
      <c r="EJ130" s="48" t="n">
        <f aca="false">(EJ62+EJ69+EJ95+EJ99+EJ100+EJ82)*(EJ$4&lt;=In_COD)</f>
        <v>0</v>
      </c>
      <c r="EK130" s="48" t="n">
        <f aca="false">(EK62+EK69+EK95+EK99+EK100+EK82)*(EK$4&lt;=In_COD)</f>
        <v>0</v>
      </c>
      <c r="EL130" s="48" t="n">
        <f aca="false">(EL62+EL69+EL95+EL99+EL100+EL82)*(EL$4&lt;=In_COD)</f>
        <v>0</v>
      </c>
      <c r="EM130" s="48" t="n">
        <f aca="false">(EM62+EM69+EM95+EM99+EM100+EM82)*(EM$4&lt;=In_COD)</f>
        <v>0</v>
      </c>
      <c r="EN130" s="48" t="n">
        <f aca="false">(EN62+EN69+EN95+EN99+EN100+EN82)*(EN$4&lt;=In_COD)</f>
        <v>0</v>
      </c>
      <c r="EO130" s="48" t="n">
        <f aca="false">(EO62+EO69+EO95+EO99+EO100+EO82)*(EO$4&lt;=In_COD)</f>
        <v>0</v>
      </c>
    </row>
    <row r="131" customFormat="false" ht="15" hidden="false" customHeight="false" outlineLevel="0" collapsed="false">
      <c r="C131" s="0" t="s">
        <v>496</v>
      </c>
      <c r="D131" s="11" t="s">
        <v>33</v>
      </c>
      <c r="E131" s="48" t="n">
        <f aca="false">IF($E41=1,In_COD_Price,In_COD_Price_CN)*$F25*(1-$E29)</f>
        <v>114975</v>
      </c>
    </row>
    <row r="132" customFormat="false" ht="15" hidden="false" customHeight="false" outlineLevel="0" collapsed="false">
      <c r="C132" s="0" t="s">
        <v>497</v>
      </c>
      <c r="D132" s="11" t="s">
        <v>33</v>
      </c>
      <c r="E132" s="48" t="n">
        <f aca="false">$E131+$I61-$E98-In_Sale_Costs</f>
        <v>71077.6635714193</v>
      </c>
    </row>
    <row r="133" customFormat="false" ht="15" hidden="false" customHeight="false" outlineLevel="0" collapsed="false">
      <c r="C133" s="0" t="s">
        <v>126</v>
      </c>
      <c r="D133" s="11" t="s">
        <v>33</v>
      </c>
      <c r="E133" s="48" t="n">
        <f aca="false">-In_CIT*In_Sale_Gain_Taxed*MAX(0,$E132+$I130)</f>
        <v>-0</v>
      </c>
    </row>
    <row r="134" customFormat="false" ht="15" hidden="false" customHeight="false" outlineLevel="0" collapsed="false">
      <c r="C134" s="25" t="s">
        <v>498</v>
      </c>
      <c r="D134" s="11" t="s">
        <v>33</v>
      </c>
      <c r="I134" s="57" t="n">
        <f aca="false">SUM(J134:EO134)</f>
        <v>29390.8657004839</v>
      </c>
      <c r="J134" s="57" t="n">
        <f aca="false">J130+($E132+$E133)*J14</f>
        <v>-4662.80993807469</v>
      </c>
      <c r="K134" s="57" t="n">
        <f aca="false">K130+($E132+$E133)*K14</f>
        <v>-706.535577057768</v>
      </c>
      <c r="L134" s="57" t="n">
        <f aca="false">L130+($E132+$E133)*L14</f>
        <v>-104.360496659404</v>
      </c>
      <c r="M134" s="57" t="n">
        <f aca="false">M130+($E132+$E133)*M14</f>
        <v>-105.507315304013</v>
      </c>
      <c r="N134" s="57" t="n">
        <f aca="false">N130+($E132+$E133)*N14</f>
        <v>-105.507315304013</v>
      </c>
      <c r="O134" s="57" t="n">
        <f aca="false">O130+($E132+$E133)*O14</f>
        <v>-104.360496659404</v>
      </c>
      <c r="P134" s="57" t="n">
        <f aca="false">P130+($E132+$E133)*P14</f>
        <v>-104.360496659404</v>
      </c>
      <c r="Q134" s="57" t="n">
        <f aca="false">Q130+($E132+$E133)*Q14</f>
        <v>-105.507315304013</v>
      </c>
      <c r="R134" s="57" t="n">
        <f aca="false">R130+($E132+$E133)*R14</f>
        <v>-4598.78508914336</v>
      </c>
      <c r="S134" s="57" t="n">
        <f aca="false">S130+($E132+$E133)*S14</f>
        <v>-7416.60009090345</v>
      </c>
      <c r="T134" s="57" t="n">
        <f aca="false">T130+($E132+$E133)*T14</f>
        <v>-3768.65166995178</v>
      </c>
      <c r="U134" s="57" t="n">
        <f aca="false">U130+($E132+$E133)*U14</f>
        <v>-3800.0000014</v>
      </c>
      <c r="V134" s="57" t="n">
        <f aca="false">V130+($E132+$E133)*V14</f>
        <v>-3789.82396918758</v>
      </c>
      <c r="W134" s="57" t="n">
        <f aca="false">W130+($E132+$E133)*W14</f>
        <v>-3698.52360864843</v>
      </c>
      <c r="X134" s="57" t="n">
        <f aca="false">X130+($E132+$E133)*X14</f>
        <v>-3729.77170579166</v>
      </c>
      <c r="Y134" s="57" t="n">
        <f aca="false">Y130+($E132+$E133)*Y14</f>
        <v>66191.9707865328</v>
      </c>
      <c r="Z134" s="57" t="n">
        <f aca="false">Z130+($E132+$E133)*Z14</f>
        <v>0</v>
      </c>
      <c r="AA134" s="57" t="n">
        <f aca="false">AA130+($E132+$E133)*AA14</f>
        <v>0</v>
      </c>
      <c r="AB134" s="57" t="n">
        <f aca="false">AB130+($E132+$E133)*AB14</f>
        <v>0</v>
      </c>
      <c r="AC134" s="57" t="n">
        <f aca="false">AC130+($E132+$E133)*AC14</f>
        <v>0</v>
      </c>
      <c r="AD134" s="57" t="n">
        <f aca="false">AD130+($E132+$E133)*AD14</f>
        <v>0</v>
      </c>
      <c r="AE134" s="57" t="n">
        <f aca="false">AE130+($E132+$E133)*AE14</f>
        <v>0</v>
      </c>
      <c r="AF134" s="57" t="n">
        <f aca="false">AF130+($E132+$E133)*AF14</f>
        <v>0</v>
      </c>
      <c r="AG134" s="57" t="n">
        <f aca="false">AG130+($E132+$E133)*AG14</f>
        <v>0</v>
      </c>
      <c r="AH134" s="57" t="n">
        <f aca="false">AH130+($E132+$E133)*AH14</f>
        <v>0</v>
      </c>
      <c r="AI134" s="57" t="n">
        <f aca="false">AI130+($E132+$E133)*AI14</f>
        <v>0</v>
      </c>
      <c r="AJ134" s="57" t="n">
        <f aca="false">AJ130+($E132+$E133)*AJ14</f>
        <v>0</v>
      </c>
      <c r="AK134" s="57" t="n">
        <f aca="false">AK130+($E132+$E133)*AK14</f>
        <v>0</v>
      </c>
      <c r="AL134" s="57" t="n">
        <f aca="false">AL130+($E132+$E133)*AL14</f>
        <v>0</v>
      </c>
      <c r="AM134" s="57" t="n">
        <f aca="false">AM130+($E132+$E133)*AM14</f>
        <v>0</v>
      </c>
      <c r="AN134" s="57" t="n">
        <f aca="false">AN130+($E132+$E133)*AN14</f>
        <v>0</v>
      </c>
      <c r="AO134" s="57" t="n">
        <f aca="false">AO130+($E132+$E133)*AO14</f>
        <v>0</v>
      </c>
      <c r="AP134" s="57" t="n">
        <f aca="false">AP130+($E132+$E133)*AP14</f>
        <v>0</v>
      </c>
      <c r="AQ134" s="57" t="n">
        <f aca="false">AQ130+($E132+$E133)*AQ14</f>
        <v>0</v>
      </c>
      <c r="AR134" s="57" t="n">
        <f aca="false">AR130+($E132+$E133)*AR14</f>
        <v>0</v>
      </c>
      <c r="AS134" s="57" t="n">
        <f aca="false">AS130+($E132+$E133)*AS14</f>
        <v>0</v>
      </c>
      <c r="AT134" s="57" t="n">
        <f aca="false">AT130+($E132+$E133)*AT14</f>
        <v>0</v>
      </c>
      <c r="AU134" s="57" t="n">
        <f aca="false">AU130+($E132+$E133)*AU14</f>
        <v>0</v>
      </c>
      <c r="AV134" s="57" t="n">
        <f aca="false">AV130+($E132+$E133)*AV14</f>
        <v>0</v>
      </c>
      <c r="AW134" s="57" t="n">
        <f aca="false">AW130+($E132+$E133)*AW14</f>
        <v>0</v>
      </c>
      <c r="AX134" s="57" t="n">
        <f aca="false">AX130+($E132+$E133)*AX14</f>
        <v>0</v>
      </c>
      <c r="AY134" s="57" t="n">
        <f aca="false">AY130+($E132+$E133)*AY14</f>
        <v>0</v>
      </c>
      <c r="AZ134" s="57" t="n">
        <f aca="false">AZ130+($E132+$E133)*AZ14</f>
        <v>0</v>
      </c>
      <c r="BA134" s="57" t="n">
        <f aca="false">BA130+($E132+$E133)*BA14</f>
        <v>0</v>
      </c>
      <c r="BB134" s="57" t="n">
        <f aca="false">BB130+($E132+$E133)*BB14</f>
        <v>0</v>
      </c>
      <c r="BC134" s="57" t="n">
        <f aca="false">BC130+($E132+$E133)*BC14</f>
        <v>0</v>
      </c>
      <c r="BD134" s="57" t="n">
        <f aca="false">BD130+($E132+$E133)*BD14</f>
        <v>0</v>
      </c>
      <c r="BE134" s="57" t="n">
        <f aca="false">BE130+($E132+$E133)*BE14</f>
        <v>0</v>
      </c>
      <c r="BF134" s="57" t="n">
        <f aca="false">BF130+($E132+$E133)*BF14</f>
        <v>0</v>
      </c>
      <c r="BG134" s="57" t="n">
        <f aca="false">BG130+($E132+$E133)*BG14</f>
        <v>0</v>
      </c>
      <c r="BH134" s="57" t="n">
        <f aca="false">BH130+($E132+$E133)*BH14</f>
        <v>0</v>
      </c>
      <c r="BI134" s="57" t="n">
        <f aca="false">BI130+($E132+$E133)*BI14</f>
        <v>0</v>
      </c>
      <c r="BJ134" s="57" t="n">
        <f aca="false">BJ130+($E132+$E133)*BJ14</f>
        <v>0</v>
      </c>
      <c r="BK134" s="57" t="n">
        <f aca="false">BK130+($E132+$E133)*BK14</f>
        <v>0</v>
      </c>
      <c r="BL134" s="57" t="n">
        <f aca="false">BL130+($E132+$E133)*BL14</f>
        <v>0</v>
      </c>
      <c r="BM134" s="57" t="n">
        <f aca="false">BM130+($E132+$E133)*BM14</f>
        <v>0</v>
      </c>
      <c r="BN134" s="57" t="n">
        <f aca="false">BN130+($E132+$E133)*BN14</f>
        <v>0</v>
      </c>
      <c r="BO134" s="57" t="n">
        <f aca="false">BO130+($E132+$E133)*BO14</f>
        <v>0</v>
      </c>
      <c r="BP134" s="57" t="n">
        <f aca="false">BP130+($E132+$E133)*BP14</f>
        <v>0</v>
      </c>
      <c r="BQ134" s="57" t="n">
        <f aca="false">BQ130+($E132+$E133)*BQ14</f>
        <v>0</v>
      </c>
      <c r="BR134" s="57" t="n">
        <f aca="false">BR130+($E132+$E133)*BR14</f>
        <v>0</v>
      </c>
      <c r="BS134" s="57" t="n">
        <f aca="false">BS130+($E132+$E133)*BS14</f>
        <v>0</v>
      </c>
      <c r="BT134" s="57" t="n">
        <f aca="false">BT130+($E132+$E133)*BT14</f>
        <v>0</v>
      </c>
      <c r="BU134" s="57" t="n">
        <f aca="false">BU130+($E132+$E133)*BU14</f>
        <v>0</v>
      </c>
      <c r="BV134" s="57" t="n">
        <f aca="false">BV130+($E132+$E133)*BV14</f>
        <v>0</v>
      </c>
      <c r="BW134" s="57" t="n">
        <f aca="false">BW130+($E132+$E133)*BW14</f>
        <v>0</v>
      </c>
      <c r="BX134" s="57" t="n">
        <f aca="false">BX130+($E132+$E133)*BX14</f>
        <v>0</v>
      </c>
      <c r="BY134" s="57" t="n">
        <f aca="false">BY130+($E132+$E133)*BY14</f>
        <v>0</v>
      </c>
      <c r="BZ134" s="57" t="n">
        <f aca="false">BZ130+($E132+$E133)*BZ14</f>
        <v>0</v>
      </c>
      <c r="CA134" s="57" t="n">
        <f aca="false">CA130+($E132+$E133)*CA14</f>
        <v>0</v>
      </c>
      <c r="CB134" s="57" t="n">
        <f aca="false">CB130+($E132+$E133)*CB14</f>
        <v>0</v>
      </c>
      <c r="CC134" s="57" t="n">
        <f aca="false">CC130+($E132+$E133)*CC14</f>
        <v>0</v>
      </c>
      <c r="CD134" s="57" t="n">
        <f aca="false">CD130+($E132+$E133)*CD14</f>
        <v>0</v>
      </c>
      <c r="CE134" s="57" t="n">
        <f aca="false">CE130+($E132+$E133)*CE14</f>
        <v>0</v>
      </c>
      <c r="CF134" s="57" t="n">
        <f aca="false">CF130+($E132+$E133)*CF14</f>
        <v>0</v>
      </c>
      <c r="CG134" s="57" t="n">
        <f aca="false">CG130+($E132+$E133)*CG14</f>
        <v>0</v>
      </c>
      <c r="CH134" s="57" t="n">
        <f aca="false">CH130+($E132+$E133)*CH14</f>
        <v>0</v>
      </c>
      <c r="CI134" s="57" t="n">
        <f aca="false">CI130+($E132+$E133)*CI14</f>
        <v>0</v>
      </c>
      <c r="CJ134" s="57" t="n">
        <f aca="false">CJ130+($E132+$E133)*CJ14</f>
        <v>0</v>
      </c>
      <c r="CK134" s="57" t="n">
        <f aca="false">CK130+($E132+$E133)*CK14</f>
        <v>0</v>
      </c>
      <c r="CL134" s="57" t="n">
        <f aca="false">CL130+($E132+$E133)*CL14</f>
        <v>0</v>
      </c>
      <c r="CM134" s="57" t="n">
        <f aca="false">CM130+($E132+$E133)*CM14</f>
        <v>0</v>
      </c>
      <c r="CN134" s="57" t="n">
        <f aca="false">CN130+($E132+$E133)*CN14</f>
        <v>0</v>
      </c>
      <c r="CO134" s="57" t="n">
        <f aca="false">CO130+($E132+$E133)*CO14</f>
        <v>0</v>
      </c>
      <c r="CP134" s="57" t="n">
        <f aca="false">CP130+($E132+$E133)*CP14</f>
        <v>0</v>
      </c>
      <c r="CQ134" s="57" t="n">
        <f aca="false">CQ130+($E132+$E133)*CQ14</f>
        <v>0</v>
      </c>
      <c r="CR134" s="57" t="n">
        <f aca="false">CR130+($E132+$E133)*CR14</f>
        <v>0</v>
      </c>
      <c r="CS134" s="57" t="n">
        <f aca="false">CS130+($E132+$E133)*CS14</f>
        <v>0</v>
      </c>
      <c r="CT134" s="57" t="n">
        <f aca="false">CT130+($E132+$E133)*CT14</f>
        <v>0</v>
      </c>
      <c r="CU134" s="57" t="n">
        <f aca="false">CU130+($E132+$E133)*CU14</f>
        <v>0</v>
      </c>
      <c r="CV134" s="57" t="n">
        <f aca="false">CV130+($E132+$E133)*CV14</f>
        <v>0</v>
      </c>
      <c r="CW134" s="57" t="n">
        <f aca="false">CW130+($E132+$E133)*CW14</f>
        <v>0</v>
      </c>
      <c r="CX134" s="57" t="n">
        <f aca="false">CX130+($E132+$E133)*CX14</f>
        <v>0</v>
      </c>
      <c r="CY134" s="57" t="n">
        <f aca="false">CY130+($E132+$E133)*CY14</f>
        <v>0</v>
      </c>
      <c r="CZ134" s="57" t="n">
        <f aca="false">CZ130+($E132+$E133)*CZ14</f>
        <v>0</v>
      </c>
      <c r="DA134" s="57" t="n">
        <f aca="false">DA130+($E132+$E133)*DA14</f>
        <v>0</v>
      </c>
      <c r="DB134" s="57" t="n">
        <f aca="false">DB130+($E132+$E133)*DB14</f>
        <v>0</v>
      </c>
      <c r="DC134" s="57" t="n">
        <f aca="false">DC130+($E132+$E133)*DC14</f>
        <v>0</v>
      </c>
      <c r="DD134" s="57" t="n">
        <f aca="false">DD130+($E132+$E133)*DD14</f>
        <v>0</v>
      </c>
      <c r="DE134" s="57" t="n">
        <f aca="false">DE130+($E132+$E133)*DE14</f>
        <v>0</v>
      </c>
      <c r="DF134" s="57" t="n">
        <f aca="false">DF130+($E132+$E133)*DF14</f>
        <v>0</v>
      </c>
      <c r="DG134" s="57" t="n">
        <f aca="false">DG130+($E132+$E133)*DG14</f>
        <v>0</v>
      </c>
      <c r="DH134" s="57" t="n">
        <f aca="false">DH130+($E132+$E133)*DH14</f>
        <v>0</v>
      </c>
      <c r="DI134" s="57" t="n">
        <f aca="false">DI130+($E132+$E133)*DI14</f>
        <v>0</v>
      </c>
      <c r="DJ134" s="57" t="n">
        <f aca="false">DJ130+($E132+$E133)*DJ14</f>
        <v>0</v>
      </c>
      <c r="DK134" s="57" t="n">
        <f aca="false">DK130+($E132+$E133)*DK14</f>
        <v>0</v>
      </c>
      <c r="DL134" s="57" t="n">
        <f aca="false">DL130+($E132+$E133)*DL14</f>
        <v>0</v>
      </c>
      <c r="DM134" s="57" t="n">
        <f aca="false">DM130+($E132+$E133)*DM14</f>
        <v>0</v>
      </c>
      <c r="DN134" s="57" t="n">
        <f aca="false">DN130+($E132+$E133)*DN14</f>
        <v>0</v>
      </c>
      <c r="DO134" s="57" t="n">
        <f aca="false">DO130+($E132+$E133)*DO14</f>
        <v>0</v>
      </c>
      <c r="DP134" s="57" t="n">
        <f aca="false">DP130+($E132+$E133)*DP14</f>
        <v>0</v>
      </c>
      <c r="DQ134" s="57" t="n">
        <f aca="false">DQ130+($E132+$E133)*DQ14</f>
        <v>0</v>
      </c>
      <c r="DR134" s="57" t="n">
        <f aca="false">DR130+($E132+$E133)*DR14</f>
        <v>0</v>
      </c>
      <c r="DS134" s="57" t="n">
        <f aca="false">DS130+($E132+$E133)*DS14</f>
        <v>0</v>
      </c>
      <c r="DT134" s="57" t="n">
        <f aca="false">DT130+($E132+$E133)*DT14</f>
        <v>0</v>
      </c>
      <c r="DU134" s="57" t="n">
        <f aca="false">DU130+($E132+$E133)*DU14</f>
        <v>0</v>
      </c>
      <c r="DV134" s="57" t="n">
        <f aca="false">DV130+($E132+$E133)*DV14</f>
        <v>0</v>
      </c>
      <c r="DW134" s="57" t="n">
        <f aca="false">DW130+($E132+$E133)*DW14</f>
        <v>0</v>
      </c>
      <c r="DX134" s="57" t="n">
        <f aca="false">DX130+($E132+$E133)*DX14</f>
        <v>0</v>
      </c>
      <c r="DY134" s="57" t="n">
        <f aca="false">DY130+($E132+$E133)*DY14</f>
        <v>0</v>
      </c>
      <c r="DZ134" s="57" t="n">
        <f aca="false">DZ130+($E132+$E133)*DZ14</f>
        <v>0</v>
      </c>
      <c r="EA134" s="57" t="n">
        <f aca="false">EA130+($E132+$E133)*EA14</f>
        <v>0</v>
      </c>
      <c r="EB134" s="57" t="n">
        <f aca="false">EB130+($E132+$E133)*EB14</f>
        <v>0</v>
      </c>
      <c r="EC134" s="57" t="n">
        <f aca="false">EC130+($E132+$E133)*EC14</f>
        <v>0</v>
      </c>
      <c r="ED134" s="57" t="n">
        <f aca="false">ED130+($E132+$E133)*ED14</f>
        <v>0</v>
      </c>
      <c r="EE134" s="57" t="n">
        <f aca="false">EE130+($E132+$E133)*EE14</f>
        <v>0</v>
      </c>
      <c r="EF134" s="57" t="n">
        <f aca="false">EF130+($E132+$E133)*EF14</f>
        <v>0</v>
      </c>
      <c r="EG134" s="57" t="n">
        <f aca="false">EG130+($E132+$E133)*EG14</f>
        <v>0</v>
      </c>
      <c r="EH134" s="57" t="n">
        <f aca="false">EH130+($E132+$E133)*EH14</f>
        <v>0</v>
      </c>
      <c r="EI134" s="57" t="n">
        <f aca="false">EI130+($E132+$E133)*EI14</f>
        <v>0</v>
      </c>
      <c r="EJ134" s="57" t="n">
        <f aca="false">EJ130+($E132+$E133)*EJ14</f>
        <v>0</v>
      </c>
      <c r="EK134" s="57" t="n">
        <f aca="false">EK130+($E132+$E133)*EK14</f>
        <v>0</v>
      </c>
      <c r="EL134" s="57" t="n">
        <f aca="false">EL130+($E132+$E133)*EL14</f>
        <v>0</v>
      </c>
      <c r="EM134" s="57" t="n">
        <f aca="false">EM130+($E132+$E133)*EM14</f>
        <v>0</v>
      </c>
      <c r="EN134" s="57" t="n">
        <f aca="false">EN130+($E132+$E133)*EN14</f>
        <v>0</v>
      </c>
      <c r="EO134" s="57" t="n">
        <f aca="false">EO130+($E132+$E133)*EO14</f>
        <v>0</v>
      </c>
    </row>
    <row r="135" customFormat="false" ht="15" hidden="false" customHeight="false" outlineLevel="0" collapsed="false">
      <c r="C135" s="25" t="s">
        <v>87</v>
      </c>
      <c r="D135" s="11" t="s">
        <v>27</v>
      </c>
      <c r="E135" s="33" t="n">
        <f aca="false">XIRR($J134:$EO134,$J$4:$EO$4)</f>
        <v>0.410318082809979</v>
      </c>
    </row>
    <row r="136" customFormat="false" ht="15" hidden="false" customHeight="false" outlineLevel="0" collapsed="false">
      <c r="C136" s="25" t="s">
        <v>88</v>
      </c>
      <c r="D136" s="11" t="s">
        <v>13</v>
      </c>
      <c r="E136" s="60" t="n">
        <f aca="false">($E132+$E133)/-$I130</f>
        <v>1.70504013744302</v>
      </c>
    </row>
    <row r="137" customFormat="false" ht="15" hidden="false" customHeight="false" outlineLevel="0" collapsed="false">
      <c r="C137" s="25" t="s">
        <v>89</v>
      </c>
      <c r="D137" s="11" t="s">
        <v>33</v>
      </c>
      <c r="E137" s="57" t="n">
        <f aca="false">XNPV(In_Discount_Rate,$J134:$EO134,$J$4:$EO$4)</f>
        <v>18560.4545699145</v>
      </c>
    </row>
    <row r="138" customFormat="false" ht="15" hidden="false" customHeight="false" outlineLevel="0" collapsed="false">
      <c r="A138" s="61"/>
      <c r="B138" s="61"/>
      <c r="C138" s="61" t="s">
        <v>499</v>
      </c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  <c r="CE138" s="61"/>
      <c r="CF138" s="61"/>
      <c r="CG138" s="61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  <c r="EA138" s="61"/>
      <c r="EB138" s="61"/>
      <c r="EC138" s="61"/>
      <c r="ED138" s="61"/>
      <c r="EE138" s="61"/>
      <c r="EF138" s="61"/>
      <c r="EG138" s="61"/>
      <c r="EH138" s="61"/>
      <c r="EI138" s="61"/>
      <c r="EJ138" s="61"/>
      <c r="EK138" s="61"/>
      <c r="EL138" s="61"/>
      <c r="EM138" s="61"/>
      <c r="EN138" s="61"/>
      <c r="EO138" s="61"/>
    </row>
    <row r="139" customFormat="false" ht="15" hidden="false" customHeight="false" outlineLevel="0" collapsed="false">
      <c r="C139" s="0" t="s">
        <v>500</v>
      </c>
      <c r="D139" s="11" t="s">
        <v>33</v>
      </c>
      <c r="I139" s="48" t="n">
        <f aca="false">SUM(J139:EO139)</f>
        <v>152264.418966627</v>
      </c>
      <c r="J139" s="48" t="n">
        <f aca="false">(J82+J58+J61+J112)*(J$4&gt;In_COD)-($E131+$I61)*J14</f>
        <v>-0</v>
      </c>
      <c r="K139" s="48" t="n">
        <f aca="false">(K82+K58+K61+K112)*(K$4&gt;In_COD)-($E131+$I61)*K14</f>
        <v>-0</v>
      </c>
      <c r="L139" s="48" t="n">
        <f aca="false">(L82+L58+L61+L112)*(L$4&gt;In_COD)-($E131+$I61)*L14</f>
        <v>-0</v>
      </c>
      <c r="M139" s="48" t="n">
        <f aca="false">(M82+M58+M61+M112)*(M$4&gt;In_COD)-($E131+$I61)*M14</f>
        <v>-0</v>
      </c>
      <c r="N139" s="48" t="n">
        <f aca="false">(N82+N58+N61+N112)*(N$4&gt;In_COD)-($E131+$I61)*N14</f>
        <v>-0</v>
      </c>
      <c r="O139" s="48" t="n">
        <f aca="false">(O82+O58+O61+O112)*(O$4&gt;In_COD)-($E131+$I61)*O14</f>
        <v>-0</v>
      </c>
      <c r="P139" s="48" t="n">
        <f aca="false">(P82+P58+P61+P112)*(P$4&gt;In_COD)-($E131+$I61)*P14</f>
        <v>-0</v>
      </c>
      <c r="Q139" s="48" t="n">
        <f aca="false">(Q82+Q58+Q61+Q112)*(Q$4&gt;In_COD)-($E131+$I61)*Q14</f>
        <v>-0</v>
      </c>
      <c r="R139" s="48" t="n">
        <f aca="false">(R82+R58+R61+R112)*(R$4&gt;In_COD)-($E131+$I61)*R14</f>
        <v>-0</v>
      </c>
      <c r="S139" s="48" t="n">
        <f aca="false">(S82+S58+S61+S112)*(S$4&gt;In_COD)-($E131+$I61)*S14</f>
        <v>-0</v>
      </c>
      <c r="T139" s="48" t="n">
        <f aca="false">(T82+T58+T61+T112)*(T$4&gt;In_COD)-($E131+$I61)*T14</f>
        <v>-0</v>
      </c>
      <c r="U139" s="48" t="n">
        <f aca="false">(U82+U58+U61+U112)*(U$4&gt;In_COD)-($E131+$I61)*U14</f>
        <v>-0</v>
      </c>
      <c r="V139" s="48" t="n">
        <f aca="false">(V82+V58+V61+V112)*(V$4&gt;In_COD)-($E131+$I61)*V14</f>
        <v>-0</v>
      </c>
      <c r="W139" s="48" t="n">
        <f aca="false">(W82+W58+W61+W112)*(W$4&gt;In_COD)-($E131+$I61)*W14</f>
        <v>-0</v>
      </c>
      <c r="X139" s="48" t="n">
        <f aca="false">(X82+X58+X61+X112)*(X$4&gt;In_COD)-($E131+$I61)*X14</f>
        <v>-0</v>
      </c>
      <c r="Y139" s="48" t="n">
        <f aca="false">(Y82+Y58+Y61+Y112)*(Y$4&gt;In_COD)-($E131+$I61)*Y14</f>
        <v>-114975</v>
      </c>
      <c r="Z139" s="48" t="n">
        <f aca="false">(Z82+Z58+Z61+Z112)*(Z$4&gt;In_COD)-($E131+$I61)*Z14</f>
        <v>2303.35715537998</v>
      </c>
      <c r="AA139" s="48" t="n">
        <f aca="false">(AA82+AA58+AA61+AA112)*(AA$4&gt;In_COD)-($E131+$I61)*AA14</f>
        <v>2268.44894488457</v>
      </c>
      <c r="AB139" s="48" t="n">
        <f aca="false">(AB82+AB58+AB61+AB112)*(AB$4&gt;In_COD)-($E131+$I61)*AB14</f>
        <v>2292.85378238356</v>
      </c>
      <c r="AC139" s="48" t="n">
        <f aca="false">(AC82+AC58+AC61+AC112)*(AC$4&gt;In_COD)-($E131+$I61)*AC14</f>
        <v>2317.24500772654</v>
      </c>
      <c r="AD139" s="48" t="n">
        <f aca="false">(AD82+AD58+AD61+AD112)*(AD$4&gt;In_COD)-($E131+$I61)*AD14</f>
        <v>2309.02700771176</v>
      </c>
      <c r="AE139" s="48" t="n">
        <f aca="false">(AE82+AE58+AE61+AE112)*(AE$4&gt;In_COD)-($E131+$I61)*AE14</f>
        <v>2244.43107067096</v>
      </c>
      <c r="AF139" s="48" t="n">
        <f aca="false">(AF82+AF58+AF61+AF112)*(AF$4&gt;In_COD)-($E131+$I61)*AF14</f>
        <v>2237.4620369806</v>
      </c>
      <c r="AG139" s="48" t="n">
        <f aca="false">(AG82+AG58+AG61+AG112)*(AG$4&gt;In_COD)-($E131+$I61)*AG14</f>
        <v>2260.47690730532</v>
      </c>
      <c r="AH139" s="48" t="n">
        <f aca="false">(AH82+AH58+AH61+AH112)*(AH$4&gt;In_COD)-($E131+$I61)*AH14</f>
        <v>2252.47501014438</v>
      </c>
      <c r="AI139" s="48" t="n">
        <f aca="false">(AI82+AI58+AI61+AI112)*(AI$4&gt;In_COD)-($E131+$I61)*AI14</f>
        <v>2217.61091354171</v>
      </c>
      <c r="AJ139" s="48" t="n">
        <f aca="false">(AJ82+AJ58+AJ61+AJ112)*(AJ$4&gt;In_COD)-($E131+$I61)*AJ14</f>
        <v>2268.86305567236</v>
      </c>
      <c r="AK139" s="48" t="n">
        <f aca="false">(AK82+AK58+AK61+AK112)*(AK$4&gt;In_COD)-($E131+$I61)*AK14</f>
        <v>2292.19479192129</v>
      </c>
      <c r="AL139" s="48" t="n">
        <f aca="false">(AL82+AL58+AL61+AL112)*(AL$4&gt;In_COD)-($E131+$I61)*AL14</f>
        <v>2284.08516221084</v>
      </c>
      <c r="AM139" s="48" t="n">
        <f aca="false">(AM82+AM58+AM61+AM112)*(AM$4&gt;In_COD)-($E131+$I61)*AM14</f>
        <v>2248.27717430633</v>
      </c>
      <c r="AN139" s="48" t="n">
        <f aca="false">(AN82+AN58+AN61+AN112)*(AN$4&gt;In_COD)-($E131+$I61)*AN14</f>
        <v>2271.66034747153</v>
      </c>
      <c r="AO139" s="48" t="n">
        <f aca="false">(AO82+AO58+AO61+AO112)*(AO$4&gt;In_COD)-($E131+$I61)*AO14</f>
        <v>2295.01583931118</v>
      </c>
      <c r="AP139" s="48" t="n">
        <f aca="false">(AP82+AP58+AP61+AP112)*(AP$4&gt;In_COD)-($E131+$I61)*AP14</f>
        <v>2286.81726976705</v>
      </c>
      <c r="AQ139" s="48" t="n">
        <f aca="false">(AQ82+AQ58+AQ61+AQ112)*(AQ$4&gt;In_COD)-($E131+$I61)*AQ14</f>
        <v>2250.7015888303</v>
      </c>
      <c r="AR139" s="48" t="n">
        <f aca="false">(AR82+AR58+AR61+AR112)*(AR$4&gt;In_COD)-($E131+$I61)*AR14</f>
        <v>2274.10521232193</v>
      </c>
      <c r="AS139" s="48" t="n">
        <f aca="false">(AS82+AS58+AS61+AS112)*(AS$4&gt;In_COD)-($E131+$I61)*AS14</f>
        <v>2297.48059219911</v>
      </c>
      <c r="AT139" s="48" t="n">
        <f aca="false">(AT82+AT58+AT61+AT112)*(AT$4&gt;In_COD)-($E131+$I61)*AT14</f>
        <v>2289.19102376248</v>
      </c>
      <c r="AU139" s="48" t="n">
        <f aca="false">(AU82+AU58+AU61+AU112)*(AU$4&gt;In_COD)-($E131+$I61)*AU14</f>
        <v>2277.07531538182</v>
      </c>
      <c r="AV139" s="48" t="n">
        <f aca="false">(AV82+AV58+AV61+AV112)*(AV$4&gt;In_COD)-($E131+$I61)*AV14</f>
        <v>2276.16504838274</v>
      </c>
      <c r="AW139" s="48" t="n">
        <f aca="false">(AW82+AW58+AW61+AW112)*(AW$4&gt;In_COD)-($E131+$I61)*AW14</f>
        <v>2299.5560757393</v>
      </c>
      <c r="AX139" s="48" t="n">
        <f aca="false">(AX82+AX58+AX61+AX112)*(AX$4&gt;In_COD)-($E131+$I61)*AX14</f>
        <v>2291.17314750381</v>
      </c>
      <c r="AY139" s="48" t="n">
        <f aca="false">(AY82+AY58+AY61+AY112)*(AY$4&gt;In_COD)-($E131+$I61)*AY14</f>
        <v>2254.42878111867</v>
      </c>
      <c r="AZ139" s="48" t="n">
        <f aca="false">(AZ82+AZ58+AZ61+AZ112)*(AZ$4&gt;In_COD)-($E131+$I61)*AZ14</f>
        <v>2277.86090888988</v>
      </c>
      <c r="BA139" s="48" t="n">
        <f aca="false">(BA82+BA58+BA61+BA112)*(BA$4&gt;In_COD)-($E131+$I61)*BA14</f>
        <v>2301.26360061453</v>
      </c>
      <c r="BB139" s="48" t="n">
        <f aca="false">(BB82+BB58+BB61+BB112)*(BB$4&gt;In_COD)-($E131+$I61)*BB14</f>
        <v>2292.78528972579</v>
      </c>
      <c r="BC139" s="48" t="n">
        <f aca="false">(BC82+BC58+BC61+BC112)*(BC$4&gt;In_COD)-($E131+$I61)*BC14</f>
        <v>2255.71989890022</v>
      </c>
      <c r="BD139" s="48" t="n">
        <f aca="false">(BD82+BD58+BD61+BD112)*(BD$4&gt;In_COD)-($E131+$I61)*BD14</f>
        <v>2279.15996241908</v>
      </c>
      <c r="BE139" s="48" t="n">
        <f aca="false">(BE82+BE58+BE61+BE112)*(BE$4&gt;In_COD)-($E131+$I61)*BE14</f>
        <v>2302.56996023413</v>
      </c>
      <c r="BF139" s="48" t="n">
        <f aca="false">(BF82+BF58+BF61+BF112)*(BF$4&gt;In_COD)-($E131+$I61)*BF14</f>
        <v>2293.99394394046</v>
      </c>
      <c r="BG139" s="48" t="n">
        <f aca="false">(BG82+BG58+BG61+BG112)*(BG$4&gt;In_COD)-($E131+$I61)*BG14</f>
        <v>2256.60283788137</v>
      </c>
      <c r="BH139" s="48" t="n">
        <f aca="false">(BH82+BH58+BH61+BH112)*(BH$4&gt;In_COD)-($E131+$I61)*BH14</f>
        <v>2280.0463275728</v>
      </c>
      <c r="BI139" s="48" t="n">
        <f aca="false">(BI82+BI58+BI61+BI112)*(BI$4&gt;In_COD)-($E131+$I61)*BI14</f>
        <v>2303.45909739256</v>
      </c>
      <c r="BJ139" s="48" t="n">
        <f aca="false">(BJ82+BJ58+BJ61+BJ112)*(BJ$4&gt;In_COD)-($E131+$I61)*BJ14</f>
        <v>2294.78295689115</v>
      </c>
      <c r="BK139" s="48" t="n">
        <f aca="false">(BK82+BK58+BK61+BK112)*(BK$4&gt;In_COD)-($E131+$I61)*BK14</f>
        <v>2281.5999027743</v>
      </c>
      <c r="BL139" s="48" t="n">
        <f aca="false">(BL82+BL58+BL61+BL112)*(BL$4&gt;In_COD)-($E131+$I61)*BL14</f>
        <v>2280.48501390094</v>
      </c>
      <c r="BM139" s="48" t="n">
        <f aca="false">(BM82+BM58+BM61+BM112)*(BM$4&gt;In_COD)-($E131+$I61)*BM14</f>
        <v>2303.89562167732</v>
      </c>
      <c r="BN139" s="48" t="n">
        <f aca="false">(BN82+BN58+BN61+BN112)*(BN$4&gt;In_COD)-($E131+$I61)*BN14</f>
        <v>2295.11661752694</v>
      </c>
      <c r="BO139" s="48" t="n">
        <f aca="false">(BO82+BO58+BO61+BO112)*(BO$4&gt;In_COD)-($E131+$I61)*BO14</f>
        <v>2257.05924775701</v>
      </c>
      <c r="BP139" s="48" t="n">
        <f aca="false">(BP82+BP58+BP61+BP112)*(BP$4&gt;In_COD)-($E131+$I61)*BP14</f>
        <v>2280.49510381918</v>
      </c>
      <c r="BQ139" s="48" t="n">
        <f aca="false">(BQ82+BQ58+BQ61+BQ112)*(BQ$4&gt;In_COD)-($E131+$I61)*BQ14</f>
        <v>2303.89885092781</v>
      </c>
      <c r="BR139" s="48" t="n">
        <f aca="false">(BR82+BR58+BR61+BR112)*(BR$4&gt;In_COD)-($E131+$I61)*BR14</f>
        <v>2295.01456815235</v>
      </c>
      <c r="BS139" s="48" t="n">
        <f aca="false">(BS82+BS58+BS61+BS112)*(BS$4&gt;In_COD)-($E131+$I61)*BS14</f>
        <v>2256.61657950492</v>
      </c>
      <c r="BT139" s="48" t="n">
        <f aca="false">(BT82+BT58+BT61+BT112)*(BT$4&gt;In_COD)-($E131+$I61)*BT14</f>
        <v>2280.04120702133</v>
      </c>
      <c r="BU139" s="48" t="n">
        <f aca="false">(BU82+BU58+BU61+BU112)*(BU$4&gt;In_COD)-($E131+$I61)*BU14</f>
        <v>2303.43299076954</v>
      </c>
      <c r="BV139" s="48" t="n">
        <f aca="false">(BV82+BV58+BV61+BV112)*(BV$4&gt;In_COD)-($E131+$I61)*BV14</f>
        <v>2294.44069416591</v>
      </c>
      <c r="BW139" s="48" t="n">
        <f aca="false">(BW82+BW58+BW61+BW112)*(BW$4&gt;In_COD)-($E131+$I61)*BW14</f>
        <v>2255.69682997581</v>
      </c>
      <c r="BX139" s="48" t="n">
        <f aca="false">(BX82+BX58+BX61+BX112)*(BX$4&gt;In_COD)-($E131+$I61)*BX14</f>
        <v>2279.10495173994</v>
      </c>
      <c r="BY139" s="48" t="n">
        <f aca="false">(BY82+BY58+BY61+BY112)*(BY$4&gt;In_COD)-($E131+$I61)*BY14</f>
        <v>2302.47946555855</v>
      </c>
      <c r="BZ139" s="48" t="n">
        <f aca="false">(BZ82+BZ58+BZ61+BZ112)*(BZ$4&gt;In_COD)-($E131+$I61)*BZ14</f>
        <v>2293.37630460822</v>
      </c>
      <c r="CA139" s="48" t="n">
        <f aca="false">(CA82+CA58+CA61+CA112)*(CA$4&gt;In_COD)-($E131+$I61)*CA14</f>
        <v>2279.00728800864</v>
      </c>
      <c r="CB139" s="48" t="n">
        <f aca="false">(CB82+CB58+CB61+CB112)*(CB$4&gt;In_COD)-($E131+$I61)*CB14</f>
        <v>2277.64861682733</v>
      </c>
      <c r="CC139" s="48" t="n">
        <f aca="false">(CC82+CC58+CC61+CC112)*(CC$4&gt;In_COD)-($E131+$I61)*CC14</f>
        <v>2301.00012332306</v>
      </c>
      <c r="CD139" s="48" t="n">
        <f aca="false">(CD82+CD58+CD61+CD112)*(CD$4&gt;In_COD)-($E131+$I61)*CD14</f>
        <v>2291.78290500628</v>
      </c>
      <c r="CE139" s="48" t="n">
        <f aca="false">(CE82+CE58+CE61+CE112)*(CE$4&gt;In_COD)-($E131+$I61)*CE14</f>
        <v>2252.33066633367</v>
      </c>
      <c r="CF139" s="48" t="n">
        <f aca="false">(CF82+CF58+CF61+CF112)*(CF$4&gt;In_COD)-($E131+$I61)*CF14</f>
        <v>2275.68886895886</v>
      </c>
      <c r="CG139" s="48" t="n">
        <f aca="false">(CG82+CG58+CG61+CG112)*(CG$4&gt;In_COD)-($E131+$I61)*CG14</f>
        <v>2299.01183902977</v>
      </c>
      <c r="CH139" s="48" t="n">
        <f aca="false">(CH82+CH58+CH61+CH112)*(CH$4&gt;In_COD)-($E131+$I61)*CH14</f>
        <v>2289.67767693549</v>
      </c>
      <c r="CI139" s="48" t="n">
        <f aca="false">(CI82+CI58+CI61+CI112)*(CI$4&gt;In_COD)-($E131+$I61)*CI14</f>
        <v>2249.86282259507</v>
      </c>
      <c r="CJ139" s="48" t="n">
        <f aca="false">(CJ82+CJ58+CJ61+CJ112)*(CJ$4&gt;In_COD)-($E131+$I61)*CJ14</f>
        <v>2273.18738323647</v>
      </c>
      <c r="CK139" s="48" t="n">
        <f aca="false">(CK82+CK58+CK61+CK112)*(CK$4&gt;In_COD)-($E131+$I61)*CK14</f>
        <v>2296.47585051693</v>
      </c>
      <c r="CL139" s="48" t="n">
        <f aca="false">(CL82+CL58+CL61+CL112)*(CL$4&gt;In_COD)-($E131+$I61)*CL14</f>
        <v>2287.02151425521</v>
      </c>
      <c r="CM139" s="48" t="n">
        <f aca="false">(CM82+CM58+CM61+CM112)*(CM$4&gt;In_COD)-($E131+$I61)*CM14</f>
        <v>2246.83812571524</v>
      </c>
      <c r="CN139" s="48" t="n">
        <f aca="false">(CN82+CN58+CN61+CN112)*(CN$4&gt;In_COD)-($E131+$I61)*CN14</f>
        <v>2270.12287644219</v>
      </c>
      <c r="CO139" s="48" t="n">
        <f aca="false">(CO82+CO58+CO61+CO112)*(CO$4&gt;In_COD)-($E131+$I61)*CO14</f>
        <v>2293.37063779814</v>
      </c>
      <c r="CP139" s="48" t="n">
        <f aca="false">(CP82+CP58+CP61+CP112)*(CP$4&gt;In_COD)-($E131+$I61)*CP14</f>
        <v>2283.79275846349</v>
      </c>
      <c r="CQ139" s="48" t="n">
        <f aca="false">(CQ82+CQ58+CQ61+CQ112)*(CQ$4&gt;In_COD)-($E131+$I61)*CQ14</f>
        <v>2268.10373363211</v>
      </c>
      <c r="CR139" s="48" t="n">
        <f aca="false">(CR82+CR58+CR61+CR112)*(CR$4&gt;In_COD)-($E131+$I61)*CR14</f>
        <v>2266.45449137334</v>
      </c>
      <c r="CS139" s="48" t="n">
        <f aca="false">(CS82+CS58+CS61+CS112)*(CS$4&gt;In_COD)-($E131+$I61)*CS14</f>
        <v>2289.65487734906</v>
      </c>
      <c r="CT139" s="48" t="n">
        <f aca="false">(CT82+CT58+CT61+CT112)*(CT$4&gt;In_COD)-($E131+$I61)*CT14</f>
        <v>2279.94971794918</v>
      </c>
      <c r="CU139" s="48" t="n">
        <f aca="false">(CU82+CU58+CU61+CU112)*(CU$4&gt;In_COD)-($E131+$I61)*CU14</f>
        <v>2240.73153719111</v>
      </c>
      <c r="CV139" s="48" t="n">
        <f aca="false">(CV82+CV58+CV61+CV112)*(CV$4&gt;In_COD)-($E131+$I61)*CV14</f>
        <v>2265.62855427102</v>
      </c>
      <c r="CW139" s="48" t="n">
        <f aca="false">(CW82+CW58+CW61+CW112)*(CW$4&gt;In_COD)-($E131+$I61)*CW14</f>
        <v>2290.52557135092</v>
      </c>
      <c r="CX139" s="48" t="n">
        <f aca="false">(CX82+CX58+CX61+CX112)*(CX$4&gt;In_COD)-($E131+$I61)*CX14</f>
        <v>2282.47953249614</v>
      </c>
      <c r="CY139" s="48" t="n">
        <f aca="false">(CY82+CY58+CY61+CY112)*(CY$4&gt;In_COD)-($E131+$I61)*CY14</f>
        <v>2242.9577346824</v>
      </c>
      <c r="CZ139" s="48" t="n">
        <f aca="false">(CZ82+CZ58+CZ61+CZ112)*(CZ$4&gt;In_COD)-($E131+$I61)*CZ14</f>
        <v>2267.87948728999</v>
      </c>
      <c r="DA139" s="48" t="n">
        <f aca="false">(DA82+DA58+DA61+DA112)*(DA$4&gt;In_COD)-($E131+$I61)*DA14</f>
        <v>2292.80123989757</v>
      </c>
      <c r="DB139" s="48" t="n">
        <f aca="false">(DB82+DB58+DB61+DB112)*(DB$4&gt;In_COD)-($E131+$I61)*DB14</f>
        <v>2127.75796595667</v>
      </c>
      <c r="DC139" s="48" t="n">
        <f aca="false">(DC82+DC58+DC61+DC112)*(DC$4&gt;In_COD)-($E131+$I61)*DC14</f>
        <v>2091.34156892558</v>
      </c>
      <c r="DD139" s="48" t="n">
        <f aca="false">(DD82+DD58+DD61+DD112)*(DD$4&gt;In_COD)-($E131+$I61)*DD14</f>
        <v>2114.5786974692</v>
      </c>
      <c r="DE139" s="48" t="n">
        <f aca="false">(DE82+DE58+DE61+DE112)*(DE$4&gt;In_COD)-($E131+$I61)*DE14</f>
        <v>2137.81582601281</v>
      </c>
      <c r="DF139" s="48" t="n">
        <f aca="false">(DF82+DF58+DF61+DF112)*(DF$4&gt;In_COD)-($E131+$I61)*DF14</f>
        <v>2129.67377475099</v>
      </c>
      <c r="DG139" s="48" t="n">
        <f aca="false">(DG82+DG58+DG61+DG112)*(DG$4&gt;In_COD)-($E131+$I61)*DG14</f>
        <v>2116.20284972323</v>
      </c>
      <c r="DH139" s="48" t="n">
        <f aca="false">(DH82+DH58+DH61+DH112)*(DH$4&gt;In_COD)-($E131+$I61)*DH14</f>
        <v>2116.20284972323</v>
      </c>
      <c r="DI139" s="48" t="n">
        <f aca="false">(DI82+DI58+DI61+DI112)*(DI$4&gt;In_COD)-($E131+$I61)*DI14</f>
        <v>2139.45782609381</v>
      </c>
      <c r="DJ139" s="48" t="n">
        <f aca="false">(DJ82+DJ58+DJ61+DJ112)*(DJ$4&gt;In_COD)-($E131+$I61)*DJ14</f>
        <v>2131.26763373715</v>
      </c>
      <c r="DK139" s="48" t="n">
        <f aca="false">(DK82+DK58+DK61+DK112)*(DK$4&gt;In_COD)-($E131+$I61)*DK14</f>
        <v>2094.22922134031</v>
      </c>
      <c r="DL139" s="48" t="n">
        <f aca="false">(DL82+DL58+DL61+DL112)*(DL$4&gt;In_COD)-($E131+$I61)*DL14</f>
        <v>2117.49843491076</v>
      </c>
      <c r="DM139" s="48" t="n">
        <f aca="false">(DM82+DM58+DM61+DM112)*(DM$4&gt;In_COD)-($E131+$I61)*DM14</f>
        <v>2140.76764848121</v>
      </c>
      <c r="DN139" s="48" t="n">
        <f aca="false">(DN82+DN58+DN61+DN112)*(DN$4&gt;In_COD)-($E131+$I61)*DN14</f>
        <v>2132.52923118543</v>
      </c>
      <c r="DO139" s="48" t="n">
        <f aca="false">(DO82+DO58+DO61+DO112)*(DO$4&gt;In_COD)-($E131+$I61)*DO14</f>
        <v>2095.17525809415</v>
      </c>
      <c r="DP139" s="48" t="n">
        <f aca="false">(DP82+DP58+DP61+DP112)*(DP$4&gt;In_COD)-($E131+$I61)*DP14</f>
        <v>2118.45498318408</v>
      </c>
      <c r="DQ139" s="48" t="n">
        <f aca="false">(DQ82+DQ58+DQ61+DQ112)*(DQ$4&gt;In_COD)-($E131+$I61)*DQ14</f>
        <v>2141.73470827402</v>
      </c>
      <c r="DR139" s="48" t="n">
        <f aca="false">(DR82+DR58+DR61+DR112)*(DR$4&gt;In_COD)-($E131+$I61)*DR14</f>
        <v>2133.4479869401</v>
      </c>
      <c r="DS139" s="48" t="n">
        <f aca="false">(DS82+DS58+DS61+DS112)*(DS$4&gt;In_COD)-($E131+$I61)*DS14</f>
        <v>2095.77535956</v>
      </c>
      <c r="DT139" s="48" t="n">
        <f aca="false">(DT82+DT58+DT61+DT112)*(DT$4&gt;In_COD)-($E131+$I61)*DT14</f>
        <v>2119.061752444</v>
      </c>
      <c r="DU139" s="48" t="n">
        <f aca="false">(DU82+DU58+DU61+DU112)*(DU$4&gt;In_COD)-($E131+$I61)*DU14</f>
        <v>2142.348145328</v>
      </c>
      <c r="DV139" s="48" t="n">
        <f aca="false">(DV82+DV58+DV61+DV112)*(DV$4&gt;In_COD)-($E131+$I61)*DV14</f>
        <v>2134.01304575269</v>
      </c>
      <c r="DW139" s="48" t="n">
        <f aca="false">(DW82+DW58+DW61+DW112)*(DW$4&gt;In_COD)-($E131+$I61)*DW14</f>
        <v>2119.30772157993</v>
      </c>
      <c r="DX139" s="48" t="n">
        <f aca="false">(DX82+DX58+DX61+DX112)*(DX$4&gt;In_COD)-($E131+$I61)*DX14</f>
        <v>2119.30772157993</v>
      </c>
      <c r="DY139" s="48" t="n">
        <f aca="false">(DY82+DY58+DY61+DY112)*(DY$4&gt;In_COD)-($E131+$I61)*DY14</f>
        <v>2142.59681742147</v>
      </c>
      <c r="DZ139" s="48" t="n">
        <f aca="false">(DZ82+DZ58+DZ61+DZ112)*(DZ$4&gt;In_COD)-($E131+$I61)*DZ14</f>
        <v>2134.2132704514</v>
      </c>
      <c r="EA139" s="48" t="n">
        <f aca="false">(EA82+EA58+EA61+EA112)*(EA$4&gt;In_COD)-($E131+$I61)*EA14</f>
        <v>2095.89387383467</v>
      </c>
      <c r="EB139" s="48" t="n">
        <f aca="false">(EB82+EB58+EB61+EB112)*(EB$4&gt;In_COD)-($E131+$I61)*EB14</f>
        <v>2119.18158354395</v>
      </c>
      <c r="EC139" s="48" t="n">
        <f aca="false">(EC82+EC58+EC61+EC112)*(EC$4&gt;In_COD)-($E131+$I61)*EC14</f>
        <v>2142.46929325322</v>
      </c>
      <c r="ED139" s="48" t="n">
        <f aca="false">(ED82+ED58+ED61+ED112)*(ED$4&gt;In_COD)-($E131+$I61)*ED14</f>
        <v>2134.03723494271</v>
      </c>
      <c r="EE139" s="48" t="n">
        <f aca="false">(EE82+EE58+EE61+EE112)*(EE$4&gt;In_COD)-($E131+$I61)*EE14</f>
        <v>2095.38963124086</v>
      </c>
      <c r="EF139" s="48" t="n">
        <f aca="false">(EF82+EF58+EF61+EF112)*(EF$4&gt;In_COD)-($E131+$I61)*EF14</f>
        <v>2118.67173825464</v>
      </c>
      <c r="EG139" s="48" t="n">
        <f aca="false">(EG82+EG58+EG61+EG112)*(EG$4&gt;In_COD)-($E131+$I61)*EG14</f>
        <v>2141.95384526843</v>
      </c>
      <c r="EH139" s="48" t="n">
        <f aca="false">(EH82+EH58+EH61+EH112)*(EH$4&gt;In_COD)-($E131+$I61)*EH14</f>
        <v>2133.47321704111</v>
      </c>
      <c r="EI139" s="48" t="n">
        <f aca="false">(EI82+EI58+EI61+EI112)*(EI$4&gt;In_COD)-($E131+$I61)*EI14</f>
        <v>2094.49412834513</v>
      </c>
      <c r="EJ139" s="48" t="n">
        <f aca="false">(EJ82+EJ58+EJ61+EJ112)*(EJ$4&gt;In_COD)-($E131+$I61)*EJ14</f>
        <v>2117.76628532674</v>
      </c>
      <c r="EK139" s="48" t="n">
        <f aca="false">(EK82+EK58+EK61+EK112)*(EK$4&gt;In_COD)-($E131+$I61)*EK14</f>
        <v>2141.03844230835</v>
      </c>
      <c r="EL139" s="48" t="n">
        <f aca="false">(EL82+EL58+EL61+EL112)*(EL$4&gt;In_COD)-($E131+$I61)*EL14</f>
        <v>2132.50919112262</v>
      </c>
      <c r="EM139" s="48" t="n">
        <f aca="false">(EM82+EM58+EM61+EM112)*(EM$4&gt;In_COD)-($E131+$I61)*EM14</f>
        <v>2116.45301662203</v>
      </c>
      <c r="EN139" s="48" t="n">
        <f aca="false">(EN82+EN58+EN61+EN112)*(EN$4&gt;In_COD)-($E131+$I61)*EN14</f>
        <v>2116.45301662203</v>
      </c>
      <c r="EO139" s="48" t="n">
        <f aca="false">(EO82+EO58+EO61+EO112)*(EO$4&gt;In_COD)-($E131+$I61)*EO14</f>
        <v>2139.71074207941</v>
      </c>
    </row>
    <row r="140" customFormat="false" ht="15" hidden="false" customHeight="false" outlineLevel="0" collapsed="false">
      <c r="C140" s="25" t="s">
        <v>127</v>
      </c>
      <c r="D140" s="11" t="s">
        <v>27</v>
      </c>
      <c r="E140" s="33" t="n">
        <f aca="false">XIRR(INDEX($J139:$EO139,$E15):$EO139,INDEX($J$4:$EO$4,$E15):$EO$4)</f>
        <v>0.0698570950743651</v>
      </c>
    </row>
    <row r="141" customFormat="false" ht="15" hidden="false" customHeight="false" outlineLevel="0" collapsed="false">
      <c r="C141" s="0" t="s">
        <v>501</v>
      </c>
      <c r="D141" s="11" t="s">
        <v>33</v>
      </c>
      <c r="I141" s="48" t="n">
        <f aca="false">SUM(J141:EO141)</f>
        <v>129577.243471254</v>
      </c>
      <c r="J141" s="48" t="n">
        <f aca="false">J139+J93+J101+$E98*J14</f>
        <v>0</v>
      </c>
      <c r="K141" s="48" t="n">
        <f aca="false">K139+K93+K101+$E98*K14</f>
        <v>0</v>
      </c>
      <c r="L141" s="48" t="n">
        <f aca="false">L139+L93+L101+$E98*L14</f>
        <v>0</v>
      </c>
      <c r="M141" s="48" t="n">
        <f aca="false">M139+M93+M101+$E98*M14</f>
        <v>0</v>
      </c>
      <c r="N141" s="48" t="n">
        <f aca="false">N139+N93+N101+$E98*N14</f>
        <v>0</v>
      </c>
      <c r="O141" s="48" t="n">
        <f aca="false">O139+O93+O101+$E98*O14</f>
        <v>0</v>
      </c>
      <c r="P141" s="48" t="n">
        <f aca="false">P139+P93+P101+$E98*P14</f>
        <v>0</v>
      </c>
      <c r="Q141" s="48" t="n">
        <f aca="false">Q139+Q93+Q101+$E98*Q14</f>
        <v>0</v>
      </c>
      <c r="R141" s="48" t="n">
        <f aca="false">R139+R93+R101+$E98*R14</f>
        <v>0</v>
      </c>
      <c r="S141" s="48" t="n">
        <f aca="false">S139+S93+S101+$E98*S14</f>
        <v>0</v>
      </c>
      <c r="T141" s="48" t="n">
        <f aca="false">T139+T93+T101+$E98*T14</f>
        <v>0</v>
      </c>
      <c r="U141" s="48" t="n">
        <f aca="false">U139+U93+U101+$E98*U14</f>
        <v>0</v>
      </c>
      <c r="V141" s="48" t="n">
        <f aca="false">V139+V93+V101+$E98*V14</f>
        <v>0</v>
      </c>
      <c r="W141" s="48" t="n">
        <f aca="false">W139+W93+W101+$E98*W14</f>
        <v>0</v>
      </c>
      <c r="X141" s="48" t="n">
        <f aca="false">X139+X93+X101+$E98*X14</f>
        <v>0</v>
      </c>
      <c r="Y141" s="48" t="n">
        <f aca="false">Y139+Y93+Y101+$E98*Y14</f>
        <v>-72504.9507115126</v>
      </c>
      <c r="Z141" s="48" t="n">
        <f aca="false">Z139+Z93+Z101+$E98*Z14</f>
        <v>1376.07001528669</v>
      </c>
      <c r="AA141" s="48" t="n">
        <f aca="false">AA139+AA93+AA101+$E98*AA14</f>
        <v>1355.21517667086</v>
      </c>
      <c r="AB141" s="48" t="n">
        <f aca="false">AB139+AB93+AB101+$E98*AB14</f>
        <v>1369.79509756236</v>
      </c>
      <c r="AC141" s="48" t="n">
        <f aca="false">AC139+AC93+AC101+$E98*AC14</f>
        <v>1384.36688628917</v>
      </c>
      <c r="AD141" s="48" t="n">
        <f aca="false">AD139+AD93+AD101+$E98*AD14</f>
        <v>1379.45729448767</v>
      </c>
      <c r="AE141" s="48" t="n">
        <f aca="false">AE139+AE93+AE101+$E98*AE14</f>
        <v>1340.86643511377</v>
      </c>
      <c r="AF141" s="48" t="n">
        <f aca="false">AF139+AF93+AF101+$E98*AF14</f>
        <v>1336.70299989728</v>
      </c>
      <c r="AG141" s="48" t="n">
        <f aca="false">AG139+AG93+AG101+$E98*AG14</f>
        <v>1350.452527575</v>
      </c>
      <c r="AH141" s="48" t="n">
        <f aca="false">AH139+AH93+AH101+$E98*AH14</f>
        <v>1345.67203978878</v>
      </c>
      <c r="AI141" s="48" t="n">
        <f aca="false">AI139+AI93+AI101+$E98*AI14</f>
        <v>1324.8435556638</v>
      </c>
      <c r="AJ141" s="48" t="n">
        <f aca="false">AJ139+AJ93+AJ101+$E98*AJ14</f>
        <v>1355.46257444709</v>
      </c>
      <c r="AK141" s="48" t="n">
        <f aca="false">AK139+AK93+AK101+$E98*AK14</f>
        <v>1369.40140394287</v>
      </c>
      <c r="AL141" s="48" t="n">
        <f aca="false">AL139+AL93+AL101+$E98*AL14</f>
        <v>1364.55655465254</v>
      </c>
      <c r="AM141" s="48" t="n">
        <f aca="false">AM139+AM93+AM101+$E98*AM14</f>
        <v>1343.16417164843</v>
      </c>
      <c r="AN141" s="48" t="n">
        <f aca="false">AN139+AN93+AN101+$E98*AN14</f>
        <v>1357.13373055063</v>
      </c>
      <c r="AO141" s="48" t="n">
        <f aca="false">AO139+AO93+AO101+$E98*AO14</f>
        <v>1371.08675209475</v>
      </c>
      <c r="AP141" s="48" t="n">
        <f aca="false">AP139+AP93+AP101+$E98*AP14</f>
        <v>1366.18876843139</v>
      </c>
      <c r="AQ141" s="48" t="n">
        <f aca="false">AQ139+AQ93+AQ101+$E98*AQ14</f>
        <v>1344.6125636719</v>
      </c>
      <c r="AR141" s="48" t="n">
        <f aca="false">AR139+AR93+AR101+$E98*AR14</f>
        <v>1358.59433999376</v>
      </c>
      <c r="AS141" s="48" t="n">
        <f aca="false">AS139+AS93+AS101+$E98*AS14</f>
        <v>1372.5592430353</v>
      </c>
      <c r="AT141" s="48" t="n">
        <f aca="false">AT139+AT93+AT101+$E98*AT14</f>
        <v>1367.60689487745</v>
      </c>
      <c r="AU141" s="48" t="n">
        <f aca="false">AU139+AU93+AU101+$E98*AU14</f>
        <v>1360.3687368794</v>
      </c>
      <c r="AV141" s="48" t="n">
        <f aca="false">AV139+AV93+AV101+$E98*AV14</f>
        <v>1359.82492580762</v>
      </c>
      <c r="AW141" s="48" t="n">
        <f aca="false">AW139+AW93+AW101+$E98*AW14</f>
        <v>1373.79917695532</v>
      </c>
      <c r="AX141" s="48" t="n">
        <f aca="false">AX139+AX93+AX101+$E98*AX14</f>
        <v>1368.79105385195</v>
      </c>
      <c r="AY141" s="48" t="n">
        <f aca="false">AY139+AY93+AY101+$E98*AY14</f>
        <v>1346.83926027308</v>
      </c>
      <c r="AZ141" s="48" t="n">
        <f aca="false">AZ139+AZ93+AZ101+$E98*AZ14</f>
        <v>1360.83806560165</v>
      </c>
      <c r="BA141" s="48" t="n">
        <f aca="false">BA139+BA93+BA101+$E98*BA14</f>
        <v>1374.81928526794</v>
      </c>
      <c r="BB141" s="48" t="n">
        <f aca="false">BB139+BB93+BB101+$E98*BB14</f>
        <v>1369.7541787268</v>
      </c>
      <c r="BC141" s="48" t="n">
        <f aca="false">BC139+BC93+BC101+$E98*BC14</f>
        <v>1347.61059895203</v>
      </c>
      <c r="BD141" s="48" t="n">
        <f aca="false">BD139+BD93+BD101+$E98*BD14</f>
        <v>1361.61414524938</v>
      </c>
      <c r="BE141" s="48" t="n">
        <f aca="false">BE139+BE93+BE101+$E98*BE14</f>
        <v>1375.59972971507</v>
      </c>
      <c r="BF141" s="48" t="n">
        <f aca="false">BF139+BF93+BF101+$E98*BF14</f>
        <v>1370.47625207949</v>
      </c>
      <c r="BG141" s="48" t="n">
        <f aca="false">BG139+BG93+BG101+$E98*BG14</f>
        <v>1348.1380837385</v>
      </c>
      <c r="BH141" s="48" t="n">
        <f aca="false">BH139+BH93+BH101+$E98*BH14</f>
        <v>1362.14367689746</v>
      </c>
      <c r="BI141" s="48" t="n">
        <f aca="false">BI139+BI93+BI101+$E98*BI14</f>
        <v>1376.13091741226</v>
      </c>
      <c r="BJ141" s="48" t="n">
        <f aca="false">BJ139+BJ93+BJ101+$E98*BJ14</f>
        <v>1370.94762364276</v>
      </c>
      <c r="BK141" s="48" t="n">
        <f aca="false">BK139+BK93+BK101+$E98*BK14</f>
        <v>1363.07181270405</v>
      </c>
      <c r="BL141" s="48" t="n">
        <f aca="false">BL139+BL93+BL101+$E98*BL14</f>
        <v>1362.40575657575</v>
      </c>
      <c r="BM141" s="48" t="n">
        <f aca="false">BM139+BM93+BM101+$E98*BM14</f>
        <v>1376.3917054441</v>
      </c>
      <c r="BN141" s="48" t="n">
        <f aca="false">BN139+BN93+BN101+$E98*BN14</f>
        <v>1371.14695894563</v>
      </c>
      <c r="BO141" s="48" t="n">
        <f aca="false">BO139+BO93+BO101+$E98*BO14</f>
        <v>1348.41075180608</v>
      </c>
      <c r="BP141" s="48" t="n">
        <f aca="false">BP139+BP93+BP101+$E98*BP14</f>
        <v>1362.41178448762</v>
      </c>
      <c r="BQ141" s="48" t="n">
        <f aca="false">BQ139+BQ93+BQ101+$E98*BQ14</f>
        <v>1376.39363466066</v>
      </c>
      <c r="BR141" s="48" t="n">
        <f aca="false">BR139+BR93+BR101+$E98*BR14</f>
        <v>1371.08599267988</v>
      </c>
      <c r="BS141" s="48" t="n">
        <f aca="false">BS139+BS93+BS101+$E98*BS14</f>
        <v>1348.14629324958</v>
      </c>
      <c r="BT141" s="48" t="n">
        <f aca="false">BT139+BT93+BT101+$E98*BT14</f>
        <v>1362.14061778119</v>
      </c>
      <c r="BU141" s="48" t="n">
        <f aca="false">BU139+BU93+BU101+$E98*BU14</f>
        <v>1376.11532081185</v>
      </c>
      <c r="BV141" s="48" t="n">
        <f aca="false">BV139+BV93+BV101+$E98*BV14</f>
        <v>1370.74314928564</v>
      </c>
      <c r="BW141" s="48" t="n">
        <f aca="false">BW139+BW93+BW101+$E98*BW14</f>
        <v>1347.59681713137</v>
      </c>
      <c r="BX141" s="48" t="n">
        <f aca="false">BX139+BX93+BX101+$E98*BX14</f>
        <v>1361.58128080804</v>
      </c>
      <c r="BY141" s="48" t="n">
        <f aca="false">BY139+BY93+BY101+$E98*BY14</f>
        <v>1375.54566644948</v>
      </c>
      <c r="BZ141" s="48" t="n">
        <f aca="false">BZ139+BZ93+BZ101+$E98*BZ14</f>
        <v>1370.10726242307</v>
      </c>
      <c r="CA141" s="48" t="n">
        <f aca="false">CA139+CA93+CA101+$E98*CA14</f>
        <v>1361.52293461023</v>
      </c>
      <c r="CB141" s="48" t="n">
        <f aca="false">CB139+CB93+CB101+$E98*CB14</f>
        <v>1360.7112382266</v>
      </c>
      <c r="CC141" s="48" t="n">
        <f aca="false">CC139+CC93+CC101+$E98*CC14</f>
        <v>1374.66187884934</v>
      </c>
      <c r="CD141" s="48" t="n">
        <f aca="false">CD139+CD93+CD101+$E98*CD14</f>
        <v>1369.15533475112</v>
      </c>
      <c r="CE141" s="48" t="n">
        <f aca="false">CE139+CE93+CE101+$E98*CE14</f>
        <v>1345.58580601065</v>
      </c>
      <c r="CF141" s="48" t="n">
        <f aca="false">CF139+CF93+CF101+$E98*CF14</f>
        <v>1359.54044703036</v>
      </c>
      <c r="CG141" s="48" t="n">
        <f aca="false">CG139+CG93+CG101+$E98*CG14</f>
        <v>1373.47403944223</v>
      </c>
      <c r="CH141" s="48" t="n">
        <f aca="false">CH139+CH93+CH101+$E98*CH14</f>
        <v>1367.89763087451</v>
      </c>
      <c r="CI141" s="48" t="n">
        <f aca="false">CI139+CI93+CI101+$E98*CI14</f>
        <v>1344.11146853625</v>
      </c>
      <c r="CJ141" s="48" t="n">
        <f aca="false">CJ139+CJ93+CJ101+$E98*CJ14</f>
        <v>1358.04601118562</v>
      </c>
      <c r="CK141" s="48" t="n">
        <f aca="false">CK139+CK93+CK101+$E98*CK14</f>
        <v>1371.95899096463</v>
      </c>
      <c r="CL141" s="48" t="n">
        <f aca="false">CL139+CL93+CL101+$E98*CL14</f>
        <v>1366.31078803015</v>
      </c>
      <c r="CM141" s="48" t="n">
        <f aca="false">CM139+CM93+CM101+$E98*CM14</f>
        <v>1342.30445624903</v>
      </c>
      <c r="CN141" s="48" t="n">
        <f aca="false">CN139+CN93+CN101+$E98*CN14</f>
        <v>1356.21521568725</v>
      </c>
      <c r="CO141" s="48" t="n">
        <f aca="false">CO139+CO93+CO101+$E98*CO14</f>
        <v>1370.1038769614</v>
      </c>
      <c r="CP141" s="48" t="n">
        <f aca="false">CP139+CP93+CP101+$E98*CP14</f>
        <v>1364.38186701099</v>
      </c>
      <c r="CQ141" s="48" t="n">
        <f aca="false">CQ139+CQ93+CQ101+$E98*CQ14</f>
        <v>1355.00894080668</v>
      </c>
      <c r="CR141" s="48" t="n">
        <f aca="false">CR139+CR93+CR101+$E98*CR14</f>
        <v>1354.02365165387</v>
      </c>
      <c r="CS141" s="48" t="n">
        <f aca="false">CS139+CS93+CS101+$E98*CS14</f>
        <v>2295.17115005491</v>
      </c>
      <c r="CT141" s="48" t="n">
        <f aca="false">CT139+CT93+CT101+$E98*CT14</f>
        <v>2279.94971794918</v>
      </c>
      <c r="CU141" s="48" t="n">
        <f aca="false">CU139+CU93+CU101+$E98*CU14</f>
        <v>2240.73153719111</v>
      </c>
      <c r="CV141" s="48" t="n">
        <f aca="false">CV139+CV93+CV101+$E98*CV14</f>
        <v>2265.62855427102</v>
      </c>
      <c r="CW141" s="48" t="n">
        <f aca="false">CW139+CW93+CW101+$E98*CW14</f>
        <v>2290.52557135092</v>
      </c>
      <c r="CX141" s="48" t="n">
        <f aca="false">CX139+CX93+CX101+$E98*CX14</f>
        <v>2282.47953249614</v>
      </c>
      <c r="CY141" s="48" t="n">
        <f aca="false">CY139+CY93+CY101+$E98*CY14</f>
        <v>2242.9577346824</v>
      </c>
      <c r="CZ141" s="48" t="n">
        <f aca="false">CZ139+CZ93+CZ101+$E98*CZ14</f>
        <v>2267.87948728999</v>
      </c>
      <c r="DA141" s="48" t="n">
        <f aca="false">DA139+DA93+DA101+$E98*DA14</f>
        <v>2292.80123989757</v>
      </c>
      <c r="DB141" s="48" t="n">
        <f aca="false">DB139+DB93+DB101+$E98*DB14</f>
        <v>2127.75796595667</v>
      </c>
      <c r="DC141" s="48" t="n">
        <f aca="false">DC139+DC93+DC101+$E98*DC14</f>
        <v>2091.34156892558</v>
      </c>
      <c r="DD141" s="48" t="n">
        <f aca="false">DD139+DD93+DD101+$E98*DD14</f>
        <v>2114.5786974692</v>
      </c>
      <c r="DE141" s="48" t="n">
        <f aca="false">DE139+DE93+DE101+$E98*DE14</f>
        <v>2137.81582601281</v>
      </c>
      <c r="DF141" s="48" t="n">
        <f aca="false">DF139+DF93+DF101+$E98*DF14</f>
        <v>2129.67377475099</v>
      </c>
      <c r="DG141" s="48" t="n">
        <f aca="false">DG139+DG93+DG101+$E98*DG14</f>
        <v>2116.20284972323</v>
      </c>
      <c r="DH141" s="48" t="n">
        <f aca="false">DH139+DH93+DH101+$E98*DH14</f>
        <v>2116.20284972323</v>
      </c>
      <c r="DI141" s="48" t="n">
        <f aca="false">DI139+DI93+DI101+$E98*DI14</f>
        <v>2139.45782609381</v>
      </c>
      <c r="DJ141" s="48" t="n">
        <f aca="false">DJ139+DJ93+DJ101+$E98*DJ14</f>
        <v>2131.26763373715</v>
      </c>
      <c r="DK141" s="48" t="n">
        <f aca="false">DK139+DK93+DK101+$E98*DK14</f>
        <v>2094.22922134031</v>
      </c>
      <c r="DL141" s="48" t="n">
        <f aca="false">DL139+DL93+DL101+$E98*DL14</f>
        <v>2117.49843491076</v>
      </c>
      <c r="DM141" s="48" t="n">
        <f aca="false">DM139+DM93+DM101+$E98*DM14</f>
        <v>2140.76764848121</v>
      </c>
      <c r="DN141" s="48" t="n">
        <f aca="false">DN139+DN93+DN101+$E98*DN14</f>
        <v>2132.52923118543</v>
      </c>
      <c r="DO141" s="48" t="n">
        <f aca="false">DO139+DO93+DO101+$E98*DO14</f>
        <v>2095.17525809415</v>
      </c>
      <c r="DP141" s="48" t="n">
        <f aca="false">DP139+DP93+DP101+$E98*DP14</f>
        <v>2118.45498318408</v>
      </c>
      <c r="DQ141" s="48" t="n">
        <f aca="false">DQ139+DQ93+DQ101+$E98*DQ14</f>
        <v>2141.73470827402</v>
      </c>
      <c r="DR141" s="48" t="n">
        <f aca="false">DR139+DR93+DR101+$E98*DR14</f>
        <v>2133.4479869401</v>
      </c>
      <c r="DS141" s="48" t="n">
        <f aca="false">DS139+DS93+DS101+$E98*DS14</f>
        <v>2095.77535956</v>
      </c>
      <c r="DT141" s="48" t="n">
        <f aca="false">DT139+DT93+DT101+$E98*DT14</f>
        <v>2119.061752444</v>
      </c>
      <c r="DU141" s="48" t="n">
        <f aca="false">DU139+DU93+DU101+$E98*DU14</f>
        <v>2142.348145328</v>
      </c>
      <c r="DV141" s="48" t="n">
        <f aca="false">DV139+DV93+DV101+$E98*DV14</f>
        <v>2134.01304575269</v>
      </c>
      <c r="DW141" s="48" t="n">
        <f aca="false">DW139+DW93+DW101+$E98*DW14</f>
        <v>2119.30772157993</v>
      </c>
      <c r="DX141" s="48" t="n">
        <f aca="false">DX139+DX93+DX101+$E98*DX14</f>
        <v>2119.30772157993</v>
      </c>
      <c r="DY141" s="48" t="n">
        <f aca="false">DY139+DY93+DY101+$E98*DY14</f>
        <v>2142.59681742147</v>
      </c>
      <c r="DZ141" s="48" t="n">
        <f aca="false">DZ139+DZ93+DZ101+$E98*DZ14</f>
        <v>2134.2132704514</v>
      </c>
      <c r="EA141" s="48" t="n">
        <f aca="false">EA139+EA93+EA101+$E98*EA14</f>
        <v>2095.89387383467</v>
      </c>
      <c r="EB141" s="48" t="n">
        <f aca="false">EB139+EB93+EB101+$E98*EB14</f>
        <v>2119.18158354395</v>
      </c>
      <c r="EC141" s="48" t="n">
        <f aca="false">EC139+EC93+EC101+$E98*EC14</f>
        <v>2142.46929325322</v>
      </c>
      <c r="ED141" s="48" t="n">
        <f aca="false">ED139+ED93+ED101+$E98*ED14</f>
        <v>2134.03723494271</v>
      </c>
      <c r="EE141" s="48" t="n">
        <f aca="false">EE139+EE93+EE101+$E98*EE14</f>
        <v>2095.38963124086</v>
      </c>
      <c r="EF141" s="48" t="n">
        <f aca="false">EF139+EF93+EF101+$E98*EF14</f>
        <v>2118.67173825464</v>
      </c>
      <c r="EG141" s="48" t="n">
        <f aca="false">EG139+EG93+EG101+$E98*EG14</f>
        <v>2141.95384526843</v>
      </c>
      <c r="EH141" s="48" t="n">
        <f aca="false">EH139+EH93+EH101+$E98*EH14</f>
        <v>2133.47321704111</v>
      </c>
      <c r="EI141" s="48" t="n">
        <f aca="false">EI139+EI93+EI101+$E98*EI14</f>
        <v>2094.49412834513</v>
      </c>
      <c r="EJ141" s="48" t="n">
        <f aca="false">EJ139+EJ93+EJ101+$E98*EJ14</f>
        <v>2117.76628532674</v>
      </c>
      <c r="EK141" s="48" t="n">
        <f aca="false">EK139+EK93+EK101+$E98*EK14</f>
        <v>2141.03844230835</v>
      </c>
      <c r="EL141" s="48" t="n">
        <f aca="false">EL139+EL93+EL101+$E98*EL14</f>
        <v>2132.50919112262</v>
      </c>
      <c r="EM141" s="48" t="n">
        <f aca="false">EM139+EM93+EM101+$E98*EM14</f>
        <v>2116.45301662203</v>
      </c>
      <c r="EN141" s="48" t="n">
        <f aca="false">EN139+EN93+EN101+$E98*EN14</f>
        <v>2116.45301662203</v>
      </c>
      <c r="EO141" s="48" t="n">
        <f aca="false">EO139+EO93+EO101+$E98*EO14</f>
        <v>2139.71074207941</v>
      </c>
    </row>
    <row r="142" customFormat="false" ht="15" hidden="false" customHeight="false" outlineLevel="0" collapsed="false">
      <c r="C142" s="25" t="s">
        <v>502</v>
      </c>
      <c r="D142" s="11" t="s">
        <v>27</v>
      </c>
      <c r="E142" s="33" t="n">
        <f aca="false">XIRR(INDEX($J141:$EO141,$E15):$EO141,INDEX($J$4:$EO$4,$E15):$EO$4)</f>
        <v>0.0759030321814568</v>
      </c>
    </row>
    <row r="144" customFormat="false" ht="15" hidden="false" customHeight="false" outlineLevel="0" collapsed="false">
      <c r="A144" s="9" t="s">
        <v>13</v>
      </c>
      <c r="B144" s="9"/>
      <c r="C144" s="9" t="s">
        <v>503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</row>
    <row r="145" customFormat="false" ht="15" hidden="false" customHeight="false" outlineLevel="0" collapsed="false">
      <c r="C145" s="0" t="s">
        <v>504</v>
      </c>
      <c r="D145" s="11" t="s">
        <v>33</v>
      </c>
      <c r="I145" s="48" t="n">
        <f aca="false">SUM(J145:EO145)</f>
        <v>185263.254064645</v>
      </c>
      <c r="J145" s="48" t="n">
        <f aca="false">J62+J69+J82+J61+J112</f>
        <v>-4662.80993807469</v>
      </c>
      <c r="K145" s="48" t="n">
        <f aca="false">K62+K69+K82+K61+K112</f>
        <v>-706.535577057768</v>
      </c>
      <c r="L145" s="48" t="n">
        <f aca="false">L62+L69+L82+L61+L112</f>
        <v>-104.360496659404</v>
      </c>
      <c r="M145" s="48" t="n">
        <f aca="false">M62+M69+M82+M61+M112</f>
        <v>-105.507315304013</v>
      </c>
      <c r="N145" s="48" t="n">
        <f aca="false">N62+N69+N82+N61+N112</f>
        <v>-105.507315304013</v>
      </c>
      <c r="O145" s="48" t="n">
        <f aca="false">O62+O69+O82+O61+O112</f>
        <v>-104.360496659404</v>
      </c>
      <c r="P145" s="48" t="n">
        <f aca="false">P62+P69+P82+P61+P112</f>
        <v>-104.360496659404</v>
      </c>
      <c r="Q145" s="48" t="n">
        <f aca="false">Q62+Q69+Q82+Q61+Q112</f>
        <v>-105.507315304013</v>
      </c>
      <c r="R145" s="48" t="n">
        <f aca="false">R62+R69+R82+R61+R112</f>
        <v>-8231.1046832519</v>
      </c>
      <c r="S145" s="48" t="n">
        <f aca="false">S62+S69+S82+S61+S112</f>
        <v>-16208.0072938226</v>
      </c>
      <c r="T145" s="48" t="n">
        <f aca="false">T62+T69+T82+T61+T112</f>
        <v>-8142.66396695028</v>
      </c>
      <c r="U145" s="48" t="n">
        <f aca="false">U62+U69+U82+U61+U112</f>
        <v>-8232.14379076292</v>
      </c>
      <c r="V145" s="48" t="n">
        <f aca="false">V62+V69+V82+V61+V112</f>
        <v>-8232.14379076292</v>
      </c>
      <c r="W145" s="48" t="n">
        <f aca="false">W62+W69+W82+W61+W112</f>
        <v>-8054.22607431038</v>
      </c>
      <c r="X145" s="48" t="n">
        <f aca="false">X62+X69+X82+X61+X112</f>
        <v>-8143.71747513605</v>
      </c>
      <c r="Y145" s="48" t="n">
        <f aca="false">Y62+Y69+Y82+Y61+Y112</f>
        <v>-10733.2088759617</v>
      </c>
      <c r="Z145" s="48" t="n">
        <f aca="false">Z62+Z69+Z82+Z61+Z112</f>
        <v>2303.35715537998</v>
      </c>
      <c r="AA145" s="48" t="n">
        <f aca="false">AA62+AA69+AA82+AA61+AA112</f>
        <v>2268.44894488457</v>
      </c>
      <c r="AB145" s="48" t="n">
        <f aca="false">AB62+AB69+AB82+AB61+AB112</f>
        <v>2292.85378238356</v>
      </c>
      <c r="AC145" s="48" t="n">
        <f aca="false">AC62+AC69+AC82+AC61+AC112</f>
        <v>2317.24500772654</v>
      </c>
      <c r="AD145" s="48" t="n">
        <f aca="false">AD62+AD69+AD82+AD61+AD112</f>
        <v>2309.02700771176</v>
      </c>
      <c r="AE145" s="48" t="n">
        <f aca="false">AE62+AE69+AE82+AE61+AE112</f>
        <v>2244.43107067096</v>
      </c>
      <c r="AF145" s="48" t="n">
        <f aca="false">AF62+AF69+AF82+AF61+AF112</f>
        <v>2237.4620369806</v>
      </c>
      <c r="AG145" s="48" t="n">
        <f aca="false">AG62+AG69+AG82+AG61+AG112</f>
        <v>2260.47690730532</v>
      </c>
      <c r="AH145" s="48" t="n">
        <f aca="false">AH62+AH69+AH82+AH61+AH112</f>
        <v>2252.47501014438</v>
      </c>
      <c r="AI145" s="48" t="n">
        <f aca="false">AI62+AI69+AI82+AI61+AI112</f>
        <v>2217.61091354171</v>
      </c>
      <c r="AJ145" s="48" t="n">
        <f aca="false">AJ62+AJ69+AJ82+AJ61+AJ112</f>
        <v>2268.86305567236</v>
      </c>
      <c r="AK145" s="48" t="n">
        <f aca="false">AK62+AK69+AK82+AK61+AK112</f>
        <v>2292.19479192129</v>
      </c>
      <c r="AL145" s="48" t="n">
        <f aca="false">AL62+AL69+AL82+AL61+AL112</f>
        <v>2284.08516221084</v>
      </c>
      <c r="AM145" s="48" t="n">
        <f aca="false">AM62+AM69+AM82+AM61+AM112</f>
        <v>2248.27717430633</v>
      </c>
      <c r="AN145" s="48" t="n">
        <f aca="false">AN62+AN69+AN82+AN61+AN112</f>
        <v>2271.66034747153</v>
      </c>
      <c r="AO145" s="48" t="n">
        <f aca="false">AO62+AO69+AO82+AO61+AO112</f>
        <v>2295.01583931118</v>
      </c>
      <c r="AP145" s="48" t="n">
        <f aca="false">AP62+AP69+AP82+AP61+AP112</f>
        <v>2286.81726976705</v>
      </c>
      <c r="AQ145" s="48" t="n">
        <f aca="false">AQ62+AQ69+AQ82+AQ61+AQ112</f>
        <v>2250.7015888303</v>
      </c>
      <c r="AR145" s="48" t="n">
        <f aca="false">AR62+AR69+AR82+AR61+AR112</f>
        <v>2274.10521232193</v>
      </c>
      <c r="AS145" s="48" t="n">
        <f aca="false">AS62+AS69+AS82+AS61+AS112</f>
        <v>2297.48059219911</v>
      </c>
      <c r="AT145" s="48" t="n">
        <f aca="false">AT62+AT69+AT82+AT61+AT112</f>
        <v>2289.19102376248</v>
      </c>
      <c r="AU145" s="48" t="n">
        <f aca="false">AU62+AU69+AU82+AU61+AU112</f>
        <v>2277.07531538182</v>
      </c>
      <c r="AV145" s="48" t="n">
        <f aca="false">AV62+AV69+AV82+AV61+AV112</f>
        <v>2276.16504838274</v>
      </c>
      <c r="AW145" s="48" t="n">
        <f aca="false">AW62+AW69+AW82+AW61+AW112</f>
        <v>2299.5560757393</v>
      </c>
      <c r="AX145" s="48" t="n">
        <f aca="false">AX62+AX69+AX82+AX61+AX112</f>
        <v>2291.17314750381</v>
      </c>
      <c r="AY145" s="48" t="n">
        <f aca="false">AY62+AY69+AY82+AY61+AY112</f>
        <v>2254.42878111867</v>
      </c>
      <c r="AZ145" s="48" t="n">
        <f aca="false">AZ62+AZ69+AZ82+AZ61+AZ112</f>
        <v>2277.86090888988</v>
      </c>
      <c r="BA145" s="48" t="n">
        <f aca="false">BA62+BA69+BA82+BA61+BA112</f>
        <v>2301.26360061453</v>
      </c>
      <c r="BB145" s="48" t="n">
        <f aca="false">BB62+BB69+BB82+BB61+BB112</f>
        <v>2292.78528972579</v>
      </c>
      <c r="BC145" s="48" t="n">
        <f aca="false">BC62+BC69+BC82+BC61+BC112</f>
        <v>2255.71989890022</v>
      </c>
      <c r="BD145" s="48" t="n">
        <f aca="false">BD62+BD69+BD82+BD61+BD112</f>
        <v>2279.15996241908</v>
      </c>
      <c r="BE145" s="48" t="n">
        <f aca="false">BE62+BE69+BE82+BE61+BE112</f>
        <v>2302.56996023413</v>
      </c>
      <c r="BF145" s="48" t="n">
        <f aca="false">BF62+BF69+BF82+BF61+BF112</f>
        <v>2293.99394394046</v>
      </c>
      <c r="BG145" s="48" t="n">
        <f aca="false">BG62+BG69+BG82+BG61+BG112</f>
        <v>2256.60283788137</v>
      </c>
      <c r="BH145" s="48" t="n">
        <f aca="false">BH62+BH69+BH82+BH61+BH112</f>
        <v>2280.0463275728</v>
      </c>
      <c r="BI145" s="48" t="n">
        <f aca="false">BI62+BI69+BI82+BI61+BI112</f>
        <v>2303.45909739256</v>
      </c>
      <c r="BJ145" s="48" t="n">
        <f aca="false">BJ62+BJ69+BJ82+BJ61+BJ112</f>
        <v>2294.78295689115</v>
      </c>
      <c r="BK145" s="48" t="n">
        <f aca="false">BK62+BK69+BK82+BK61+BK112</f>
        <v>2281.5999027743</v>
      </c>
      <c r="BL145" s="48" t="n">
        <f aca="false">BL62+BL69+BL82+BL61+BL112</f>
        <v>2280.48501390094</v>
      </c>
      <c r="BM145" s="48" t="n">
        <f aca="false">BM62+BM69+BM82+BM61+BM112</f>
        <v>2303.89562167732</v>
      </c>
      <c r="BN145" s="48" t="n">
        <f aca="false">BN62+BN69+BN82+BN61+BN112</f>
        <v>2295.11661752694</v>
      </c>
      <c r="BO145" s="48" t="n">
        <f aca="false">BO62+BO69+BO82+BO61+BO112</f>
        <v>2257.05924775701</v>
      </c>
      <c r="BP145" s="48" t="n">
        <f aca="false">BP62+BP69+BP82+BP61+BP112</f>
        <v>2280.49510381918</v>
      </c>
      <c r="BQ145" s="48" t="n">
        <f aca="false">BQ62+BQ69+BQ82+BQ61+BQ112</f>
        <v>2303.89885092781</v>
      </c>
      <c r="BR145" s="48" t="n">
        <f aca="false">BR62+BR69+BR82+BR61+BR112</f>
        <v>2295.01456815235</v>
      </c>
      <c r="BS145" s="48" t="n">
        <f aca="false">BS62+BS69+BS82+BS61+BS112</f>
        <v>2256.61657950492</v>
      </c>
      <c r="BT145" s="48" t="n">
        <f aca="false">BT62+BT69+BT82+BT61+BT112</f>
        <v>2280.04120702133</v>
      </c>
      <c r="BU145" s="48" t="n">
        <f aca="false">BU62+BU69+BU82+BU61+BU112</f>
        <v>2303.43299076954</v>
      </c>
      <c r="BV145" s="48" t="n">
        <f aca="false">BV62+BV69+BV82+BV61+BV112</f>
        <v>2294.44069416591</v>
      </c>
      <c r="BW145" s="48" t="n">
        <f aca="false">BW62+BW69+BW82+BW61+BW112</f>
        <v>2255.69682997581</v>
      </c>
      <c r="BX145" s="48" t="n">
        <f aca="false">BX62+BX69+BX82+BX61+BX112</f>
        <v>2279.10495173994</v>
      </c>
      <c r="BY145" s="48" t="n">
        <f aca="false">BY62+BY69+BY82+BY61+BY112</f>
        <v>2302.47946555855</v>
      </c>
      <c r="BZ145" s="48" t="n">
        <f aca="false">BZ62+BZ69+BZ82+BZ61+BZ112</f>
        <v>2293.37630460822</v>
      </c>
      <c r="CA145" s="48" t="n">
        <f aca="false">CA62+CA69+CA82+CA61+CA112</f>
        <v>2279.00728800864</v>
      </c>
      <c r="CB145" s="48" t="n">
        <f aca="false">CB62+CB69+CB82+CB61+CB112</f>
        <v>2277.64861682733</v>
      </c>
      <c r="CC145" s="48" t="n">
        <f aca="false">CC62+CC69+CC82+CC61+CC112</f>
        <v>2301.00012332306</v>
      </c>
      <c r="CD145" s="48" t="n">
        <f aca="false">CD62+CD69+CD82+CD61+CD112</f>
        <v>2291.78290500628</v>
      </c>
      <c r="CE145" s="48" t="n">
        <f aca="false">CE62+CE69+CE82+CE61+CE112</f>
        <v>2252.33066633367</v>
      </c>
      <c r="CF145" s="48" t="n">
        <f aca="false">CF62+CF69+CF82+CF61+CF112</f>
        <v>2275.68886895886</v>
      </c>
      <c r="CG145" s="48" t="n">
        <f aca="false">CG62+CG69+CG82+CG61+CG112</f>
        <v>2299.01183902977</v>
      </c>
      <c r="CH145" s="48" t="n">
        <f aca="false">CH62+CH69+CH82+CH61+CH112</f>
        <v>2289.67767693549</v>
      </c>
      <c r="CI145" s="48" t="n">
        <f aca="false">CI62+CI69+CI82+CI61+CI112</f>
        <v>2249.86282259507</v>
      </c>
      <c r="CJ145" s="48" t="n">
        <f aca="false">CJ62+CJ69+CJ82+CJ61+CJ112</f>
        <v>2273.18738323647</v>
      </c>
      <c r="CK145" s="48" t="n">
        <f aca="false">CK62+CK69+CK82+CK61+CK112</f>
        <v>2296.47585051693</v>
      </c>
      <c r="CL145" s="48" t="n">
        <f aca="false">CL62+CL69+CL82+CL61+CL112</f>
        <v>2287.02151425521</v>
      </c>
      <c r="CM145" s="48" t="n">
        <f aca="false">CM62+CM69+CM82+CM61+CM112</f>
        <v>2246.83812571524</v>
      </c>
      <c r="CN145" s="48" t="n">
        <f aca="false">CN62+CN69+CN82+CN61+CN112</f>
        <v>2270.12287644219</v>
      </c>
      <c r="CO145" s="48" t="n">
        <f aca="false">CO62+CO69+CO82+CO61+CO112</f>
        <v>2293.37063779814</v>
      </c>
      <c r="CP145" s="48" t="n">
        <f aca="false">CP62+CP69+CP82+CP61+CP112</f>
        <v>2283.79275846349</v>
      </c>
      <c r="CQ145" s="48" t="n">
        <f aca="false">CQ62+CQ69+CQ82+CQ61+CQ112</f>
        <v>2268.10373363211</v>
      </c>
      <c r="CR145" s="48" t="n">
        <f aca="false">CR62+CR69+CR82+CR61+CR112</f>
        <v>2266.45449137334</v>
      </c>
      <c r="CS145" s="48" t="n">
        <f aca="false">CS62+CS69+CS82+CS61+CS112</f>
        <v>2289.65487734906</v>
      </c>
      <c r="CT145" s="48" t="n">
        <f aca="false">CT62+CT69+CT82+CT61+CT112</f>
        <v>2279.94971794918</v>
      </c>
      <c r="CU145" s="48" t="n">
        <f aca="false">CU62+CU69+CU82+CU61+CU112</f>
        <v>2240.73153719111</v>
      </c>
      <c r="CV145" s="48" t="n">
        <f aca="false">CV62+CV69+CV82+CV61+CV112</f>
        <v>2265.62855427102</v>
      </c>
      <c r="CW145" s="48" t="n">
        <f aca="false">CW62+CW69+CW82+CW61+CW112</f>
        <v>2290.52557135092</v>
      </c>
      <c r="CX145" s="48" t="n">
        <f aca="false">CX62+CX69+CX82+CX61+CX112</f>
        <v>2282.47953249614</v>
      </c>
      <c r="CY145" s="48" t="n">
        <f aca="false">CY62+CY69+CY82+CY61+CY112</f>
        <v>2242.9577346824</v>
      </c>
      <c r="CZ145" s="48" t="n">
        <f aca="false">CZ62+CZ69+CZ82+CZ61+CZ112</f>
        <v>2267.87948728999</v>
      </c>
      <c r="DA145" s="48" t="n">
        <f aca="false">DA62+DA69+DA82+DA61+DA112</f>
        <v>2292.80123989757</v>
      </c>
      <c r="DB145" s="48" t="n">
        <f aca="false">DB62+DB69+DB82+DB61+DB112</f>
        <v>2127.75796595667</v>
      </c>
      <c r="DC145" s="48" t="n">
        <f aca="false">DC62+DC69+DC82+DC61+DC112</f>
        <v>2091.34156892558</v>
      </c>
      <c r="DD145" s="48" t="n">
        <f aca="false">DD62+DD69+DD82+DD61+DD112</f>
        <v>2114.5786974692</v>
      </c>
      <c r="DE145" s="48" t="n">
        <f aca="false">DE62+DE69+DE82+DE61+DE112</f>
        <v>2137.81582601281</v>
      </c>
      <c r="DF145" s="48" t="n">
        <f aca="false">DF62+DF69+DF82+DF61+DF112</f>
        <v>2129.67377475099</v>
      </c>
      <c r="DG145" s="48" t="n">
        <f aca="false">DG62+DG69+DG82+DG61+DG112</f>
        <v>2116.20284972323</v>
      </c>
      <c r="DH145" s="48" t="n">
        <f aca="false">DH62+DH69+DH82+DH61+DH112</f>
        <v>2116.20284972323</v>
      </c>
      <c r="DI145" s="48" t="n">
        <f aca="false">DI62+DI69+DI82+DI61+DI112</f>
        <v>2139.45782609381</v>
      </c>
      <c r="DJ145" s="48" t="n">
        <f aca="false">DJ62+DJ69+DJ82+DJ61+DJ112</f>
        <v>2131.26763373715</v>
      </c>
      <c r="DK145" s="48" t="n">
        <f aca="false">DK62+DK69+DK82+DK61+DK112</f>
        <v>2094.22922134031</v>
      </c>
      <c r="DL145" s="48" t="n">
        <f aca="false">DL62+DL69+DL82+DL61+DL112</f>
        <v>2117.49843491076</v>
      </c>
      <c r="DM145" s="48" t="n">
        <f aca="false">DM62+DM69+DM82+DM61+DM112</f>
        <v>2140.76764848121</v>
      </c>
      <c r="DN145" s="48" t="n">
        <f aca="false">DN62+DN69+DN82+DN61+DN112</f>
        <v>2132.52923118543</v>
      </c>
      <c r="DO145" s="48" t="n">
        <f aca="false">DO62+DO69+DO82+DO61+DO112</f>
        <v>2095.17525809415</v>
      </c>
      <c r="DP145" s="48" t="n">
        <f aca="false">DP62+DP69+DP82+DP61+DP112</f>
        <v>2118.45498318408</v>
      </c>
      <c r="DQ145" s="48" t="n">
        <f aca="false">DQ62+DQ69+DQ82+DQ61+DQ112</f>
        <v>2141.73470827402</v>
      </c>
      <c r="DR145" s="48" t="n">
        <f aca="false">DR62+DR69+DR82+DR61+DR112</f>
        <v>2133.4479869401</v>
      </c>
      <c r="DS145" s="48" t="n">
        <f aca="false">DS62+DS69+DS82+DS61+DS112</f>
        <v>2095.77535956</v>
      </c>
      <c r="DT145" s="48" t="n">
        <f aca="false">DT62+DT69+DT82+DT61+DT112</f>
        <v>2119.061752444</v>
      </c>
      <c r="DU145" s="48" t="n">
        <f aca="false">DU62+DU69+DU82+DU61+DU112</f>
        <v>2142.348145328</v>
      </c>
      <c r="DV145" s="48" t="n">
        <f aca="false">DV62+DV69+DV82+DV61+DV112</f>
        <v>2134.01304575269</v>
      </c>
      <c r="DW145" s="48" t="n">
        <f aca="false">DW62+DW69+DW82+DW61+DW112</f>
        <v>2119.30772157993</v>
      </c>
      <c r="DX145" s="48" t="n">
        <f aca="false">DX62+DX69+DX82+DX61+DX112</f>
        <v>2119.30772157993</v>
      </c>
      <c r="DY145" s="48" t="n">
        <f aca="false">DY62+DY69+DY82+DY61+DY112</f>
        <v>2142.59681742147</v>
      </c>
      <c r="DZ145" s="48" t="n">
        <f aca="false">DZ62+DZ69+DZ82+DZ61+DZ112</f>
        <v>2134.2132704514</v>
      </c>
      <c r="EA145" s="48" t="n">
        <f aca="false">EA62+EA69+EA82+EA61+EA112</f>
        <v>2095.89387383467</v>
      </c>
      <c r="EB145" s="48" t="n">
        <f aca="false">EB62+EB69+EB82+EB61+EB112</f>
        <v>2119.18158354395</v>
      </c>
      <c r="EC145" s="48" t="n">
        <f aca="false">EC62+EC69+EC82+EC61+EC112</f>
        <v>2142.46929325322</v>
      </c>
      <c r="ED145" s="48" t="n">
        <f aca="false">ED62+ED69+ED82+ED61+ED112</f>
        <v>2134.03723494271</v>
      </c>
      <c r="EE145" s="48" t="n">
        <f aca="false">EE62+EE69+EE82+EE61+EE112</f>
        <v>2095.38963124086</v>
      </c>
      <c r="EF145" s="48" t="n">
        <f aca="false">EF62+EF69+EF82+EF61+EF112</f>
        <v>2118.67173825464</v>
      </c>
      <c r="EG145" s="48" t="n">
        <f aca="false">EG62+EG69+EG82+EG61+EG112</f>
        <v>2141.95384526843</v>
      </c>
      <c r="EH145" s="48" t="n">
        <f aca="false">EH62+EH69+EH82+EH61+EH112</f>
        <v>2133.47321704111</v>
      </c>
      <c r="EI145" s="48" t="n">
        <f aca="false">EI62+EI69+EI82+EI61+EI112</f>
        <v>2094.49412834513</v>
      </c>
      <c r="EJ145" s="48" t="n">
        <f aca="false">EJ62+EJ69+EJ82+EJ61+EJ112</f>
        <v>2117.76628532674</v>
      </c>
      <c r="EK145" s="48" t="n">
        <f aca="false">EK62+EK69+EK82+EK61+EK112</f>
        <v>2141.03844230835</v>
      </c>
      <c r="EL145" s="48" t="n">
        <f aca="false">EL62+EL69+EL82+EL61+EL112</f>
        <v>2132.50919112262</v>
      </c>
      <c r="EM145" s="48" t="n">
        <f aca="false">EM62+EM69+EM82+EM61+EM112</f>
        <v>2116.45301662203</v>
      </c>
      <c r="EN145" s="48" t="n">
        <f aca="false">EN62+EN69+EN82+EN61+EN112</f>
        <v>2116.45301662203</v>
      </c>
      <c r="EO145" s="48" t="n">
        <f aca="false">EO62+EO69+EO82+EO61+EO112</f>
        <v>2139.71074207941</v>
      </c>
    </row>
    <row r="146" customFormat="false" ht="15" hidden="false" customHeight="false" outlineLevel="0" collapsed="false">
      <c r="C146" s="25" t="s">
        <v>94</v>
      </c>
      <c r="D146" s="11" t="s">
        <v>27</v>
      </c>
      <c r="E146" s="33" t="n">
        <f aca="false">XIRR($J145:$EO145,$J$4:$EO$4)</f>
        <v>0.0962713849592859</v>
      </c>
    </row>
    <row r="147" customFormat="false" ht="15" hidden="false" customHeight="false" outlineLevel="0" collapsed="false">
      <c r="C147" s="25" t="s">
        <v>505</v>
      </c>
      <c r="D147" s="11" t="s">
        <v>33</v>
      </c>
      <c r="I147" s="57" t="n">
        <f aca="false">SUM(J147:EO147)</f>
        <v>159468.109171738</v>
      </c>
      <c r="J147" s="57" t="n">
        <f aca="false">J62+J69+J95+J99+J100+J82+J93+J101+J61+J112</f>
        <v>-4662.80993807469</v>
      </c>
      <c r="K147" s="57" t="n">
        <f aca="false">K62+K69+K95+K99+K100+K82+K93+K101+K61+K112</f>
        <v>-706.535577057768</v>
      </c>
      <c r="L147" s="57" t="n">
        <f aca="false">L62+L69+L95+L99+L100+L82+L93+L101+L61+L112</f>
        <v>-104.360496659404</v>
      </c>
      <c r="M147" s="57" t="n">
        <f aca="false">M62+M69+M95+M99+M100+M82+M93+M101+M61+M112</f>
        <v>-105.507315304013</v>
      </c>
      <c r="N147" s="57" t="n">
        <f aca="false">N62+N69+N95+N99+N100+N82+N93+N101+N61+N112</f>
        <v>-105.507315304013</v>
      </c>
      <c r="O147" s="57" t="n">
        <f aca="false">O62+O69+O95+O99+O100+O82+O93+O101+O61+O112</f>
        <v>-104.360496659404</v>
      </c>
      <c r="P147" s="57" t="n">
        <f aca="false">P62+P69+P95+P99+P100+P82+P93+P101+P61+P112</f>
        <v>-104.360496659404</v>
      </c>
      <c r="Q147" s="57" t="n">
        <f aca="false">Q62+Q69+Q95+Q99+Q100+Q82+Q93+Q101+Q61+Q112</f>
        <v>-105.507315304013</v>
      </c>
      <c r="R147" s="57" t="n">
        <f aca="false">R62+R69+R95+R99+R100+R82+R93+R101+R61+R112</f>
        <v>-4598.78508914336</v>
      </c>
      <c r="S147" s="57" t="n">
        <f aca="false">S62+S69+S95+S99+S100+S82+S93+S101+S61+S112</f>
        <v>-7416.60009090345</v>
      </c>
      <c r="T147" s="57" t="n">
        <f aca="false">T62+T69+T95+T99+T100+T82+T93+T101+T61+T112</f>
        <v>-3768.65166995178</v>
      </c>
      <c r="U147" s="57" t="n">
        <f aca="false">U62+U69+U95+U99+U100+U82+U93+U101+U61+U112</f>
        <v>-3800.0000014</v>
      </c>
      <c r="V147" s="57" t="n">
        <f aca="false">V62+V69+V95+V99+V100+V82+V93+V101+V61+V112</f>
        <v>-3789.82396918758</v>
      </c>
      <c r="W147" s="57" t="n">
        <f aca="false">W62+W69+W95+W99+W100+W82+W93+W101+W61+W112</f>
        <v>-3698.52360864843</v>
      </c>
      <c r="X147" s="57" t="n">
        <f aca="false">X62+X69+X95+X99+X100+X82+X93+X101+X61+X112</f>
        <v>-3729.77170579166</v>
      </c>
      <c r="Y147" s="57" t="n">
        <f aca="false">Y62+Y69+Y95+Y99+Y100+Y82+Y93+Y101+Y61+Y112</f>
        <v>-5812.97992497977</v>
      </c>
      <c r="Z147" s="57" t="n">
        <f aca="false">Z62+Z69+Z95+Z99+Z100+Z82+Z93+Z101+Z61+Z112</f>
        <v>1376.07001528669</v>
      </c>
      <c r="AA147" s="57" t="n">
        <f aca="false">AA62+AA69+AA95+AA99+AA100+AA82+AA93+AA101+AA61+AA112</f>
        <v>1355.21517667086</v>
      </c>
      <c r="AB147" s="57" t="n">
        <f aca="false">AB62+AB69+AB95+AB99+AB100+AB82+AB93+AB101+AB61+AB112</f>
        <v>1369.79509756236</v>
      </c>
      <c r="AC147" s="57" t="n">
        <f aca="false">AC62+AC69+AC95+AC99+AC100+AC82+AC93+AC101+AC61+AC112</f>
        <v>1384.36688628917</v>
      </c>
      <c r="AD147" s="57" t="n">
        <f aca="false">AD62+AD69+AD95+AD99+AD100+AD82+AD93+AD101+AD61+AD112</f>
        <v>1379.45729448767</v>
      </c>
      <c r="AE147" s="57" t="n">
        <f aca="false">AE62+AE69+AE95+AE99+AE100+AE82+AE93+AE101+AE61+AE112</f>
        <v>1340.86643511377</v>
      </c>
      <c r="AF147" s="57" t="n">
        <f aca="false">AF62+AF69+AF95+AF99+AF100+AF82+AF93+AF101+AF61+AF112</f>
        <v>1336.70299989728</v>
      </c>
      <c r="AG147" s="57" t="n">
        <f aca="false">AG62+AG69+AG95+AG99+AG100+AG82+AG93+AG101+AG61+AG112</f>
        <v>1350.452527575</v>
      </c>
      <c r="AH147" s="57" t="n">
        <f aca="false">AH62+AH69+AH95+AH99+AH100+AH82+AH93+AH101+AH61+AH112</f>
        <v>1345.67203978878</v>
      </c>
      <c r="AI147" s="57" t="n">
        <f aca="false">AI62+AI69+AI95+AI99+AI100+AI82+AI93+AI101+AI61+AI112</f>
        <v>1324.8435556638</v>
      </c>
      <c r="AJ147" s="57" t="n">
        <f aca="false">AJ62+AJ69+AJ95+AJ99+AJ100+AJ82+AJ93+AJ101+AJ61+AJ112</f>
        <v>1355.46257444709</v>
      </c>
      <c r="AK147" s="57" t="n">
        <f aca="false">AK62+AK69+AK95+AK99+AK100+AK82+AK93+AK101+AK61+AK112</f>
        <v>1369.40140394287</v>
      </c>
      <c r="AL147" s="57" t="n">
        <f aca="false">AL62+AL69+AL95+AL99+AL100+AL82+AL93+AL101+AL61+AL112</f>
        <v>1364.55655465254</v>
      </c>
      <c r="AM147" s="57" t="n">
        <f aca="false">AM62+AM69+AM95+AM99+AM100+AM82+AM93+AM101+AM61+AM112</f>
        <v>1343.16417164843</v>
      </c>
      <c r="AN147" s="57" t="n">
        <f aca="false">AN62+AN69+AN95+AN99+AN100+AN82+AN93+AN101+AN61+AN112</f>
        <v>1357.13373055063</v>
      </c>
      <c r="AO147" s="57" t="n">
        <f aca="false">AO62+AO69+AO95+AO99+AO100+AO82+AO93+AO101+AO61+AO112</f>
        <v>1371.08675209475</v>
      </c>
      <c r="AP147" s="57" t="n">
        <f aca="false">AP62+AP69+AP95+AP99+AP100+AP82+AP93+AP101+AP61+AP112</f>
        <v>1366.18876843139</v>
      </c>
      <c r="AQ147" s="57" t="n">
        <f aca="false">AQ62+AQ69+AQ95+AQ99+AQ100+AQ82+AQ93+AQ101+AQ61+AQ112</f>
        <v>1344.6125636719</v>
      </c>
      <c r="AR147" s="57" t="n">
        <f aca="false">AR62+AR69+AR95+AR99+AR100+AR82+AR93+AR101+AR61+AR112</f>
        <v>1358.59433999376</v>
      </c>
      <c r="AS147" s="57" t="n">
        <f aca="false">AS62+AS69+AS95+AS99+AS100+AS82+AS93+AS101+AS61+AS112</f>
        <v>1372.5592430353</v>
      </c>
      <c r="AT147" s="57" t="n">
        <f aca="false">AT62+AT69+AT95+AT99+AT100+AT82+AT93+AT101+AT61+AT112</f>
        <v>1367.60689487745</v>
      </c>
      <c r="AU147" s="57" t="n">
        <f aca="false">AU62+AU69+AU95+AU99+AU100+AU82+AU93+AU101+AU61+AU112</f>
        <v>1360.3687368794</v>
      </c>
      <c r="AV147" s="57" t="n">
        <f aca="false">AV62+AV69+AV95+AV99+AV100+AV82+AV93+AV101+AV61+AV112</f>
        <v>1359.82492580762</v>
      </c>
      <c r="AW147" s="57" t="n">
        <f aca="false">AW62+AW69+AW95+AW99+AW100+AW82+AW93+AW101+AW61+AW112</f>
        <v>1373.79917695532</v>
      </c>
      <c r="AX147" s="57" t="n">
        <f aca="false">AX62+AX69+AX95+AX99+AX100+AX82+AX93+AX101+AX61+AX112</f>
        <v>1368.79105385195</v>
      </c>
      <c r="AY147" s="57" t="n">
        <f aca="false">AY62+AY69+AY95+AY99+AY100+AY82+AY93+AY101+AY61+AY112</f>
        <v>1346.83926027308</v>
      </c>
      <c r="AZ147" s="57" t="n">
        <f aca="false">AZ62+AZ69+AZ95+AZ99+AZ100+AZ82+AZ93+AZ101+AZ61+AZ112</f>
        <v>1360.83806560165</v>
      </c>
      <c r="BA147" s="57" t="n">
        <f aca="false">BA62+BA69+BA95+BA99+BA100+BA82+BA93+BA101+BA61+BA112</f>
        <v>1374.81928526794</v>
      </c>
      <c r="BB147" s="57" t="n">
        <f aca="false">BB62+BB69+BB95+BB99+BB100+BB82+BB93+BB101+BB61+BB112</f>
        <v>1369.7541787268</v>
      </c>
      <c r="BC147" s="57" t="n">
        <f aca="false">BC62+BC69+BC95+BC99+BC100+BC82+BC93+BC101+BC61+BC112</f>
        <v>1347.61059895203</v>
      </c>
      <c r="BD147" s="57" t="n">
        <f aca="false">BD62+BD69+BD95+BD99+BD100+BD82+BD93+BD101+BD61+BD112</f>
        <v>1361.61414524938</v>
      </c>
      <c r="BE147" s="57" t="n">
        <f aca="false">BE62+BE69+BE95+BE99+BE100+BE82+BE93+BE101+BE61+BE112</f>
        <v>1375.59972971507</v>
      </c>
      <c r="BF147" s="57" t="n">
        <f aca="false">BF62+BF69+BF95+BF99+BF100+BF82+BF93+BF101+BF61+BF112</f>
        <v>1370.47625207949</v>
      </c>
      <c r="BG147" s="57" t="n">
        <f aca="false">BG62+BG69+BG95+BG99+BG100+BG82+BG93+BG101+BG61+BG112</f>
        <v>1348.1380837385</v>
      </c>
      <c r="BH147" s="57" t="n">
        <f aca="false">BH62+BH69+BH95+BH99+BH100+BH82+BH93+BH101+BH61+BH112</f>
        <v>1362.14367689746</v>
      </c>
      <c r="BI147" s="57" t="n">
        <f aca="false">BI62+BI69+BI95+BI99+BI100+BI82+BI93+BI101+BI61+BI112</f>
        <v>1376.13091741226</v>
      </c>
      <c r="BJ147" s="57" t="n">
        <f aca="false">BJ62+BJ69+BJ95+BJ99+BJ100+BJ82+BJ93+BJ101+BJ61+BJ112</f>
        <v>1370.94762364276</v>
      </c>
      <c r="BK147" s="57" t="n">
        <f aca="false">BK62+BK69+BK95+BK99+BK100+BK82+BK93+BK101+BK61+BK112</f>
        <v>1363.07181270405</v>
      </c>
      <c r="BL147" s="57" t="n">
        <f aca="false">BL62+BL69+BL95+BL99+BL100+BL82+BL93+BL101+BL61+BL112</f>
        <v>1362.40575657575</v>
      </c>
      <c r="BM147" s="57" t="n">
        <f aca="false">BM62+BM69+BM95+BM99+BM100+BM82+BM93+BM101+BM61+BM112</f>
        <v>1376.3917054441</v>
      </c>
      <c r="BN147" s="57" t="n">
        <f aca="false">BN62+BN69+BN95+BN99+BN100+BN82+BN93+BN101+BN61+BN112</f>
        <v>1371.14695894563</v>
      </c>
      <c r="BO147" s="57" t="n">
        <f aca="false">BO62+BO69+BO95+BO99+BO100+BO82+BO93+BO101+BO61+BO112</f>
        <v>1348.41075180608</v>
      </c>
      <c r="BP147" s="57" t="n">
        <f aca="false">BP62+BP69+BP95+BP99+BP100+BP82+BP93+BP101+BP61+BP112</f>
        <v>1362.41178448762</v>
      </c>
      <c r="BQ147" s="57" t="n">
        <f aca="false">BQ62+BQ69+BQ95+BQ99+BQ100+BQ82+BQ93+BQ101+BQ61+BQ112</f>
        <v>1376.39363466066</v>
      </c>
      <c r="BR147" s="57" t="n">
        <f aca="false">BR62+BR69+BR95+BR99+BR100+BR82+BR93+BR101+BR61+BR112</f>
        <v>1371.08599267988</v>
      </c>
      <c r="BS147" s="57" t="n">
        <f aca="false">BS62+BS69+BS95+BS99+BS100+BS82+BS93+BS101+BS61+BS112</f>
        <v>1348.14629324958</v>
      </c>
      <c r="BT147" s="57" t="n">
        <f aca="false">BT62+BT69+BT95+BT99+BT100+BT82+BT93+BT101+BT61+BT112</f>
        <v>1362.14061778119</v>
      </c>
      <c r="BU147" s="57" t="n">
        <f aca="false">BU62+BU69+BU95+BU99+BU100+BU82+BU93+BU101+BU61+BU112</f>
        <v>1376.11532081185</v>
      </c>
      <c r="BV147" s="57" t="n">
        <f aca="false">BV62+BV69+BV95+BV99+BV100+BV82+BV93+BV101+BV61+BV112</f>
        <v>1370.74314928564</v>
      </c>
      <c r="BW147" s="57" t="n">
        <f aca="false">BW62+BW69+BW95+BW99+BW100+BW82+BW93+BW101+BW61+BW112</f>
        <v>1347.59681713137</v>
      </c>
      <c r="BX147" s="57" t="n">
        <f aca="false">BX62+BX69+BX95+BX99+BX100+BX82+BX93+BX101+BX61+BX112</f>
        <v>1361.58128080804</v>
      </c>
      <c r="BY147" s="57" t="n">
        <f aca="false">BY62+BY69+BY95+BY99+BY100+BY82+BY93+BY101+BY61+BY112</f>
        <v>1375.54566644948</v>
      </c>
      <c r="BZ147" s="57" t="n">
        <f aca="false">BZ62+BZ69+BZ95+BZ99+BZ100+BZ82+BZ93+BZ101+BZ61+BZ112</f>
        <v>1370.10726242307</v>
      </c>
      <c r="CA147" s="57" t="n">
        <f aca="false">CA62+CA69+CA95+CA99+CA100+CA82+CA93+CA101+CA61+CA112</f>
        <v>1361.52293461023</v>
      </c>
      <c r="CB147" s="57" t="n">
        <f aca="false">CB62+CB69+CB95+CB99+CB100+CB82+CB93+CB101+CB61+CB112</f>
        <v>1360.7112382266</v>
      </c>
      <c r="CC147" s="57" t="n">
        <f aca="false">CC62+CC69+CC95+CC99+CC100+CC82+CC93+CC101+CC61+CC112</f>
        <v>1374.66187884935</v>
      </c>
      <c r="CD147" s="57" t="n">
        <f aca="false">CD62+CD69+CD95+CD99+CD100+CD82+CD93+CD101+CD61+CD112</f>
        <v>1369.15533475112</v>
      </c>
      <c r="CE147" s="57" t="n">
        <f aca="false">CE62+CE69+CE95+CE99+CE100+CE82+CE93+CE101+CE61+CE112</f>
        <v>1345.58580601065</v>
      </c>
      <c r="CF147" s="57" t="n">
        <f aca="false">CF62+CF69+CF95+CF99+CF100+CF82+CF93+CF101+CF61+CF112</f>
        <v>1359.54044703036</v>
      </c>
      <c r="CG147" s="57" t="n">
        <f aca="false">CG62+CG69+CG95+CG99+CG100+CG82+CG93+CG101+CG61+CG112</f>
        <v>1373.47403944223</v>
      </c>
      <c r="CH147" s="57" t="n">
        <f aca="false">CH62+CH69+CH95+CH99+CH100+CH82+CH93+CH101+CH61+CH112</f>
        <v>1367.89763087451</v>
      </c>
      <c r="CI147" s="57" t="n">
        <f aca="false">CI62+CI69+CI95+CI99+CI100+CI82+CI93+CI101+CI61+CI112</f>
        <v>1344.11146853625</v>
      </c>
      <c r="CJ147" s="57" t="n">
        <f aca="false">CJ62+CJ69+CJ95+CJ99+CJ100+CJ82+CJ93+CJ101+CJ61+CJ112</f>
        <v>1358.04601118562</v>
      </c>
      <c r="CK147" s="57" t="n">
        <f aca="false">CK62+CK69+CK95+CK99+CK100+CK82+CK93+CK101+CK61+CK112</f>
        <v>1371.95899096463</v>
      </c>
      <c r="CL147" s="57" t="n">
        <f aca="false">CL62+CL69+CL95+CL99+CL100+CL82+CL93+CL101+CL61+CL112</f>
        <v>1366.31078803015</v>
      </c>
      <c r="CM147" s="57" t="n">
        <f aca="false">CM62+CM69+CM95+CM99+CM100+CM82+CM93+CM101+CM61+CM112</f>
        <v>1342.30445624903</v>
      </c>
      <c r="CN147" s="57" t="n">
        <f aca="false">CN62+CN69+CN95+CN99+CN100+CN82+CN93+CN101+CN61+CN112</f>
        <v>1356.21521568725</v>
      </c>
      <c r="CO147" s="57" t="n">
        <f aca="false">CO62+CO69+CO95+CO99+CO100+CO82+CO93+CO101+CO61+CO112</f>
        <v>1370.1038769614</v>
      </c>
      <c r="CP147" s="57" t="n">
        <f aca="false">CP62+CP69+CP95+CP99+CP100+CP82+CP93+CP101+CP61+CP112</f>
        <v>1364.38186701099</v>
      </c>
      <c r="CQ147" s="57" t="n">
        <f aca="false">CQ62+CQ69+CQ95+CQ99+CQ100+CQ82+CQ93+CQ101+CQ61+CQ112</f>
        <v>1355.00894080668</v>
      </c>
      <c r="CR147" s="57" t="n">
        <f aca="false">CR62+CR69+CR95+CR99+CR100+CR82+CR93+CR101+CR61+CR112</f>
        <v>1354.02365165387</v>
      </c>
      <c r="CS147" s="57" t="n">
        <f aca="false">CS62+CS69+CS95+CS99+CS100+CS82+CS93+CS101+CS61+CS112</f>
        <v>2295.17115005491</v>
      </c>
      <c r="CT147" s="57" t="n">
        <f aca="false">CT62+CT69+CT95+CT99+CT100+CT82+CT93+CT101+CT61+CT112</f>
        <v>2279.94971794918</v>
      </c>
      <c r="CU147" s="57" t="n">
        <f aca="false">CU62+CU69+CU95+CU99+CU100+CU82+CU93+CU101+CU61+CU112</f>
        <v>2240.73153719111</v>
      </c>
      <c r="CV147" s="57" t="n">
        <f aca="false">CV62+CV69+CV95+CV99+CV100+CV82+CV93+CV101+CV61+CV112</f>
        <v>2265.62855427102</v>
      </c>
      <c r="CW147" s="57" t="n">
        <f aca="false">CW62+CW69+CW95+CW99+CW100+CW82+CW93+CW101+CW61+CW112</f>
        <v>2290.52557135092</v>
      </c>
      <c r="CX147" s="57" t="n">
        <f aca="false">CX62+CX69+CX95+CX99+CX100+CX82+CX93+CX101+CX61+CX112</f>
        <v>2282.47953249614</v>
      </c>
      <c r="CY147" s="57" t="n">
        <f aca="false">CY62+CY69+CY95+CY99+CY100+CY82+CY93+CY101+CY61+CY112</f>
        <v>2242.9577346824</v>
      </c>
      <c r="CZ147" s="57" t="n">
        <f aca="false">CZ62+CZ69+CZ95+CZ99+CZ100+CZ82+CZ93+CZ101+CZ61+CZ112</f>
        <v>2267.87948728999</v>
      </c>
      <c r="DA147" s="57" t="n">
        <f aca="false">DA62+DA69+DA95+DA99+DA100+DA82+DA93+DA101+DA61+DA112</f>
        <v>2292.80123989757</v>
      </c>
      <c r="DB147" s="57" t="n">
        <f aca="false">DB62+DB69+DB95+DB99+DB100+DB82+DB93+DB101+DB61+DB112</f>
        <v>2127.75796595667</v>
      </c>
      <c r="DC147" s="57" t="n">
        <f aca="false">DC62+DC69+DC95+DC99+DC100+DC82+DC93+DC101+DC61+DC112</f>
        <v>2091.34156892558</v>
      </c>
      <c r="DD147" s="57" t="n">
        <f aca="false">DD62+DD69+DD95+DD99+DD100+DD82+DD93+DD101+DD61+DD112</f>
        <v>2114.5786974692</v>
      </c>
      <c r="DE147" s="57" t="n">
        <f aca="false">DE62+DE69+DE95+DE99+DE100+DE82+DE93+DE101+DE61+DE112</f>
        <v>2137.81582601281</v>
      </c>
      <c r="DF147" s="57" t="n">
        <f aca="false">DF62+DF69+DF95+DF99+DF100+DF82+DF93+DF101+DF61+DF112</f>
        <v>2129.67377475099</v>
      </c>
      <c r="DG147" s="57" t="n">
        <f aca="false">DG62+DG69+DG95+DG99+DG100+DG82+DG93+DG101+DG61+DG112</f>
        <v>2116.20284972323</v>
      </c>
      <c r="DH147" s="57" t="n">
        <f aca="false">DH62+DH69+DH95+DH99+DH100+DH82+DH93+DH101+DH61+DH112</f>
        <v>2116.20284972323</v>
      </c>
      <c r="DI147" s="57" t="n">
        <f aca="false">DI62+DI69+DI95+DI99+DI100+DI82+DI93+DI101+DI61+DI112</f>
        <v>2139.45782609381</v>
      </c>
      <c r="DJ147" s="57" t="n">
        <f aca="false">DJ62+DJ69+DJ95+DJ99+DJ100+DJ82+DJ93+DJ101+DJ61+DJ112</f>
        <v>2131.26763373715</v>
      </c>
      <c r="DK147" s="57" t="n">
        <f aca="false">DK62+DK69+DK95+DK99+DK100+DK82+DK93+DK101+DK61+DK112</f>
        <v>2094.22922134031</v>
      </c>
      <c r="DL147" s="57" t="n">
        <f aca="false">DL62+DL69+DL95+DL99+DL100+DL82+DL93+DL101+DL61+DL112</f>
        <v>2117.49843491076</v>
      </c>
      <c r="DM147" s="57" t="n">
        <f aca="false">DM62+DM69+DM95+DM99+DM100+DM82+DM93+DM101+DM61+DM112</f>
        <v>2140.76764848121</v>
      </c>
      <c r="DN147" s="57" t="n">
        <f aca="false">DN62+DN69+DN95+DN99+DN100+DN82+DN93+DN101+DN61+DN112</f>
        <v>2132.52923118543</v>
      </c>
      <c r="DO147" s="57" t="n">
        <f aca="false">DO62+DO69+DO95+DO99+DO100+DO82+DO93+DO101+DO61+DO112</f>
        <v>2095.17525809415</v>
      </c>
      <c r="DP147" s="57" t="n">
        <f aca="false">DP62+DP69+DP95+DP99+DP100+DP82+DP93+DP101+DP61+DP112</f>
        <v>2118.45498318408</v>
      </c>
      <c r="DQ147" s="57" t="n">
        <f aca="false">DQ62+DQ69+DQ95+DQ99+DQ100+DQ82+DQ93+DQ101+DQ61+DQ112</f>
        <v>2141.73470827402</v>
      </c>
      <c r="DR147" s="57" t="n">
        <f aca="false">DR62+DR69+DR95+DR99+DR100+DR82+DR93+DR101+DR61+DR112</f>
        <v>2133.4479869401</v>
      </c>
      <c r="DS147" s="57" t="n">
        <f aca="false">DS62+DS69+DS95+DS99+DS100+DS82+DS93+DS101+DS61+DS112</f>
        <v>2095.77535956</v>
      </c>
      <c r="DT147" s="57" t="n">
        <f aca="false">DT62+DT69+DT95+DT99+DT100+DT82+DT93+DT101+DT61+DT112</f>
        <v>2119.061752444</v>
      </c>
      <c r="DU147" s="57" t="n">
        <f aca="false">DU62+DU69+DU95+DU99+DU100+DU82+DU93+DU101+DU61+DU112</f>
        <v>2142.348145328</v>
      </c>
      <c r="DV147" s="57" t="n">
        <f aca="false">DV62+DV69+DV95+DV99+DV100+DV82+DV93+DV101+DV61+DV112</f>
        <v>2134.01304575269</v>
      </c>
      <c r="DW147" s="57" t="n">
        <f aca="false">DW62+DW69+DW95+DW99+DW100+DW82+DW93+DW101+DW61+DW112</f>
        <v>2119.30772157993</v>
      </c>
      <c r="DX147" s="57" t="n">
        <f aca="false">DX62+DX69+DX95+DX99+DX100+DX82+DX93+DX101+DX61+DX112</f>
        <v>2119.30772157993</v>
      </c>
      <c r="DY147" s="57" t="n">
        <f aca="false">DY62+DY69+DY95+DY99+DY100+DY82+DY93+DY101+DY61+DY112</f>
        <v>2142.59681742147</v>
      </c>
      <c r="DZ147" s="57" t="n">
        <f aca="false">DZ62+DZ69+DZ95+DZ99+DZ100+DZ82+DZ93+DZ101+DZ61+DZ112</f>
        <v>2134.2132704514</v>
      </c>
      <c r="EA147" s="57" t="n">
        <f aca="false">EA62+EA69+EA95+EA99+EA100+EA82+EA93+EA101+EA61+EA112</f>
        <v>2095.89387383467</v>
      </c>
      <c r="EB147" s="57" t="n">
        <f aca="false">EB62+EB69+EB95+EB99+EB100+EB82+EB93+EB101+EB61+EB112</f>
        <v>2119.18158354395</v>
      </c>
      <c r="EC147" s="57" t="n">
        <f aca="false">EC62+EC69+EC95+EC99+EC100+EC82+EC93+EC101+EC61+EC112</f>
        <v>2142.46929325322</v>
      </c>
      <c r="ED147" s="57" t="n">
        <f aca="false">ED62+ED69+ED95+ED99+ED100+ED82+ED93+ED101+ED61+ED112</f>
        <v>2134.03723494271</v>
      </c>
      <c r="EE147" s="57" t="n">
        <f aca="false">EE62+EE69+EE95+EE99+EE100+EE82+EE93+EE101+EE61+EE112</f>
        <v>2095.38963124086</v>
      </c>
      <c r="EF147" s="57" t="n">
        <f aca="false">EF62+EF69+EF95+EF99+EF100+EF82+EF93+EF101+EF61+EF112</f>
        <v>2118.67173825464</v>
      </c>
      <c r="EG147" s="57" t="n">
        <f aca="false">EG62+EG69+EG95+EG99+EG100+EG82+EG93+EG101+EG61+EG112</f>
        <v>2141.95384526843</v>
      </c>
      <c r="EH147" s="57" t="n">
        <f aca="false">EH62+EH69+EH95+EH99+EH100+EH82+EH93+EH101+EH61+EH112</f>
        <v>2133.47321704111</v>
      </c>
      <c r="EI147" s="57" t="n">
        <f aca="false">EI62+EI69+EI95+EI99+EI100+EI82+EI93+EI101+EI61+EI112</f>
        <v>2094.49412834513</v>
      </c>
      <c r="EJ147" s="57" t="n">
        <f aca="false">EJ62+EJ69+EJ95+EJ99+EJ100+EJ82+EJ93+EJ101+EJ61+EJ112</f>
        <v>2117.76628532674</v>
      </c>
      <c r="EK147" s="57" t="n">
        <f aca="false">EK62+EK69+EK95+EK99+EK100+EK82+EK93+EK101+EK61+EK112</f>
        <v>2141.03844230835</v>
      </c>
      <c r="EL147" s="57" t="n">
        <f aca="false">EL62+EL69+EL95+EL99+EL100+EL82+EL93+EL101+EL61+EL112</f>
        <v>2132.50919112262</v>
      </c>
      <c r="EM147" s="57" t="n">
        <f aca="false">EM62+EM69+EM95+EM99+EM100+EM82+EM93+EM101+EM61+EM112</f>
        <v>2116.45301662203</v>
      </c>
      <c r="EN147" s="57" t="n">
        <f aca="false">EN62+EN69+EN95+EN99+EN100+EN82+EN93+EN101+EN61+EN112</f>
        <v>2116.45301662203</v>
      </c>
      <c r="EO147" s="57" t="n">
        <f aca="false">EO62+EO69+EO95+EO99+EO100+EO82+EO93+EO101+EO61+EO112</f>
        <v>2139.71074207941</v>
      </c>
    </row>
    <row r="148" customFormat="false" ht="15" hidden="false" customHeight="false" outlineLevel="0" collapsed="false">
      <c r="C148" s="25" t="s">
        <v>91</v>
      </c>
      <c r="D148" s="11" t="s">
        <v>27</v>
      </c>
      <c r="E148" s="33" t="n">
        <f aca="false">XIRR($J147:$EO147,$J$4:$EO$4)</f>
        <v>0.117451501890167</v>
      </c>
    </row>
    <row r="149" customFormat="false" ht="15" hidden="false" customHeight="false" outlineLevel="0" collapsed="false">
      <c r="C149" s="25" t="s">
        <v>92</v>
      </c>
      <c r="D149" s="11" t="s">
        <v>13</v>
      </c>
      <c r="E149" s="60" t="n">
        <f aca="false">SUMIF($J147:$EO147,"&gt;0")/-SUMIF($J147:$EO147,"&lt;0")</f>
        <v>4.74214556361979</v>
      </c>
    </row>
    <row r="150" customFormat="false" ht="15" hidden="false" customHeight="false" outlineLevel="0" collapsed="false">
      <c r="C150" s="25" t="s">
        <v>93</v>
      </c>
      <c r="D150" s="11" t="s">
        <v>33</v>
      </c>
      <c r="E150" s="57" t="n">
        <f aca="false">XNPV(In_Discount_Rate,$J147:$EO147,$J$4:$EO$4)</f>
        <v>16680.6940920772</v>
      </c>
    </row>
    <row r="152" customFormat="false" ht="15" hidden="false" customHeight="false" outlineLevel="0" collapsed="false">
      <c r="C152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398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506</v>
      </c>
      <c r="F9" s="8" t="s">
        <v>507</v>
      </c>
    </row>
    <row r="11" customFormat="false" ht="15" hidden="false" customHeight="false" outlineLevel="0" collapsed="false">
      <c r="A11" s="9" t="s">
        <v>13</v>
      </c>
      <c r="B11" s="9"/>
      <c r="C11" s="9" t="s">
        <v>508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509</v>
      </c>
      <c r="D12" s="11" t="s">
        <v>43</v>
      </c>
      <c r="E12" s="27" t="str">
        <f aca="false">IF(F12=0,"OK","CHECK")</f>
        <v>OK</v>
      </c>
      <c r="F12" s="50" t="n">
        <f aca="false">N(Tax_1_Delta&gt;Tolerance)</f>
        <v>0</v>
      </c>
    </row>
    <row r="13" customFormat="false" ht="15" hidden="false" customHeight="false" outlineLevel="0" collapsed="false">
      <c r="C13" s="0" t="s">
        <v>510</v>
      </c>
      <c r="D13" s="11" t="s">
        <v>43</v>
      </c>
      <c r="E13" s="27" t="str">
        <f aca="false">IF(F13=0,"OK","CHECK")</f>
        <v>OK</v>
      </c>
      <c r="F13" s="50" t="n">
        <f aca="false">N(Tax_2_Delta&gt;Tolerance)</f>
        <v>0</v>
      </c>
    </row>
    <row r="14" customFormat="false" ht="15" hidden="false" customHeight="false" outlineLevel="0" collapsed="false">
      <c r="C14" s="0" t="s">
        <v>511</v>
      </c>
      <c r="D14" s="11" t="s">
        <v>43</v>
      </c>
      <c r="E14" s="27" t="str">
        <f aca="false">IF(F14=0,"OK","CHECK")</f>
        <v>OK</v>
      </c>
      <c r="F14" s="50" t="n">
        <f aca="false">N(Calc_1!$E44+Calc_1!$F44&gt;0)</f>
        <v>0</v>
      </c>
    </row>
    <row r="15" customFormat="false" ht="15" hidden="false" customHeight="false" outlineLevel="0" collapsed="false">
      <c r="C15" s="0" t="s">
        <v>512</v>
      </c>
      <c r="D15" s="11" t="s">
        <v>43</v>
      </c>
      <c r="E15" s="27" t="str">
        <f aca="false">IF(F15=0,"OK","CHECK")</f>
        <v>OK</v>
      </c>
      <c r="F15" s="50" t="n">
        <f aca="false">N(Calc_2!$E44+Calc_2!$F44&gt;0)</f>
        <v>0</v>
      </c>
    </row>
    <row r="16" customFormat="false" ht="15" hidden="false" customHeight="false" outlineLevel="0" collapsed="false">
      <c r="C16" s="0" t="s">
        <v>513</v>
      </c>
      <c r="D16" s="11" t="s">
        <v>43</v>
      </c>
      <c r="E16" s="27" t="str">
        <f aca="false">IF(F16=0,"OK","CHECK")</f>
        <v>OK</v>
      </c>
      <c r="F16" s="50" t="n">
        <f aca="false">N(COUNTIF(Calc_1!$J$4:$EO$4,In_COD)=0)</f>
        <v>0</v>
      </c>
    </row>
    <row r="17" customFormat="false" ht="15" hidden="false" customHeight="false" outlineLevel="0" collapsed="false">
      <c r="C17" s="0" t="s">
        <v>514</v>
      </c>
      <c r="D17" s="11" t="s">
        <v>43</v>
      </c>
      <c r="E17" s="27" t="str">
        <f aca="false">IF(F17=0,"OK","CHECK")</f>
        <v>OK</v>
      </c>
      <c r="F17" s="50" t="n">
        <f aca="false">N(COUNTIF(Calc_2!$J$4:$EO$4,In_COD)=0)</f>
        <v>0</v>
      </c>
    </row>
    <row r="18" customFormat="false" ht="15" hidden="false" customHeight="false" outlineLevel="0" collapsed="false">
      <c r="C18" s="0" t="s">
        <v>515</v>
      </c>
      <c r="D18" s="11" t="s">
        <v>43</v>
      </c>
      <c r="E18" s="27" t="str">
        <f aca="false">IF(F18=0,"OK","CHECK")</f>
        <v>OK</v>
      </c>
      <c r="F18" s="50" t="n">
        <f aca="false">N(Calc_1!$F89&gt;1+Tolerance)</f>
        <v>0</v>
      </c>
    </row>
    <row r="19" customFormat="false" ht="15" hidden="false" customHeight="false" outlineLevel="0" collapsed="false">
      <c r="C19" s="0" t="s">
        <v>516</v>
      </c>
      <c r="D19" s="11" t="s">
        <v>43</v>
      </c>
      <c r="E19" s="27" t="str">
        <f aca="false">IF(F19=0,"OK","CHECK")</f>
        <v>OK</v>
      </c>
      <c r="F19" s="50" t="n">
        <f aca="false">N(Calc_2!$F89&gt;1+Tolerance)</f>
        <v>0</v>
      </c>
    </row>
    <row r="20" customFormat="false" ht="15" hidden="false" customHeight="false" outlineLevel="0" collapsed="false">
      <c r="C20" s="0" t="s">
        <v>517</v>
      </c>
      <c r="D20" s="11" t="s">
        <v>43</v>
      </c>
      <c r="E20" s="27" t="str">
        <f aca="false">IF(F20=0,"OK","CHECK")</f>
        <v>OK</v>
      </c>
      <c r="F20" s="50" t="n">
        <f aca="false">SUM(J20:EO20)</f>
        <v>0</v>
      </c>
      <c r="J20" s="50" t="n">
        <f aca="false">N((Calc_1!J$4&gt;=Calc_1!$F18)*ABS(Calc_1!J98)&gt;Tolerance)</f>
        <v>0</v>
      </c>
      <c r="K20" s="50" t="n">
        <f aca="false">N((Calc_1!K$4&gt;=Calc_1!$F18)*ABS(Calc_1!K98)&gt;Tolerance)</f>
        <v>0</v>
      </c>
      <c r="L20" s="50" t="n">
        <f aca="false">N((Calc_1!L$4&gt;=Calc_1!$F18)*ABS(Calc_1!L98)&gt;Tolerance)</f>
        <v>0</v>
      </c>
      <c r="M20" s="50" t="n">
        <f aca="false">N((Calc_1!M$4&gt;=Calc_1!$F18)*ABS(Calc_1!M98)&gt;Tolerance)</f>
        <v>0</v>
      </c>
      <c r="N20" s="50" t="n">
        <f aca="false">N((Calc_1!N$4&gt;=Calc_1!$F18)*ABS(Calc_1!N98)&gt;Tolerance)</f>
        <v>0</v>
      </c>
      <c r="O20" s="50" t="n">
        <f aca="false">N((Calc_1!O$4&gt;=Calc_1!$F18)*ABS(Calc_1!O98)&gt;Tolerance)</f>
        <v>0</v>
      </c>
      <c r="P20" s="50" t="n">
        <f aca="false">N((Calc_1!P$4&gt;=Calc_1!$F18)*ABS(Calc_1!P98)&gt;Tolerance)</f>
        <v>0</v>
      </c>
      <c r="Q20" s="50" t="n">
        <f aca="false">N((Calc_1!Q$4&gt;=Calc_1!$F18)*ABS(Calc_1!Q98)&gt;Tolerance)</f>
        <v>0</v>
      </c>
      <c r="R20" s="50" t="n">
        <f aca="false">N((Calc_1!R$4&gt;=Calc_1!$F18)*ABS(Calc_1!R98)&gt;Tolerance)</f>
        <v>0</v>
      </c>
      <c r="S20" s="50" t="n">
        <f aca="false">N((Calc_1!S$4&gt;=Calc_1!$F18)*ABS(Calc_1!S98)&gt;Tolerance)</f>
        <v>0</v>
      </c>
      <c r="T20" s="50" t="n">
        <f aca="false">N((Calc_1!T$4&gt;=Calc_1!$F18)*ABS(Calc_1!T98)&gt;Tolerance)</f>
        <v>0</v>
      </c>
      <c r="U20" s="50" t="n">
        <f aca="false">N((Calc_1!U$4&gt;=Calc_1!$F18)*ABS(Calc_1!U98)&gt;Tolerance)</f>
        <v>0</v>
      </c>
      <c r="V20" s="50" t="n">
        <f aca="false">N((Calc_1!V$4&gt;=Calc_1!$F18)*ABS(Calc_1!V98)&gt;Tolerance)</f>
        <v>0</v>
      </c>
      <c r="W20" s="50" t="n">
        <f aca="false">N((Calc_1!W$4&gt;=Calc_1!$F18)*ABS(Calc_1!W98)&gt;Tolerance)</f>
        <v>0</v>
      </c>
      <c r="X20" s="50" t="n">
        <f aca="false">N((Calc_1!X$4&gt;=Calc_1!$F18)*ABS(Calc_1!X98)&gt;Tolerance)</f>
        <v>0</v>
      </c>
      <c r="Y20" s="50" t="n">
        <f aca="false">N((Calc_1!Y$4&gt;=Calc_1!$F18)*ABS(Calc_1!Y98)&gt;Tolerance)</f>
        <v>0</v>
      </c>
      <c r="Z20" s="50" t="n">
        <f aca="false">N((Calc_1!Z$4&gt;=Calc_1!$F18)*ABS(Calc_1!Z98)&gt;Tolerance)</f>
        <v>0</v>
      </c>
      <c r="AA20" s="50" t="n">
        <f aca="false">N((Calc_1!AA$4&gt;=Calc_1!$F18)*ABS(Calc_1!AA98)&gt;Tolerance)</f>
        <v>0</v>
      </c>
      <c r="AB20" s="50" t="n">
        <f aca="false">N((Calc_1!AB$4&gt;=Calc_1!$F18)*ABS(Calc_1!AB98)&gt;Tolerance)</f>
        <v>0</v>
      </c>
      <c r="AC20" s="50" t="n">
        <f aca="false">N((Calc_1!AC$4&gt;=Calc_1!$F18)*ABS(Calc_1!AC98)&gt;Tolerance)</f>
        <v>0</v>
      </c>
      <c r="AD20" s="50" t="n">
        <f aca="false">N((Calc_1!AD$4&gt;=Calc_1!$F18)*ABS(Calc_1!AD98)&gt;Tolerance)</f>
        <v>0</v>
      </c>
      <c r="AE20" s="50" t="n">
        <f aca="false">N((Calc_1!AE$4&gt;=Calc_1!$F18)*ABS(Calc_1!AE98)&gt;Tolerance)</f>
        <v>0</v>
      </c>
      <c r="AF20" s="50" t="n">
        <f aca="false">N((Calc_1!AF$4&gt;=Calc_1!$F18)*ABS(Calc_1!AF98)&gt;Tolerance)</f>
        <v>0</v>
      </c>
      <c r="AG20" s="50" t="n">
        <f aca="false">N((Calc_1!AG$4&gt;=Calc_1!$F18)*ABS(Calc_1!AG98)&gt;Tolerance)</f>
        <v>0</v>
      </c>
      <c r="AH20" s="50" t="n">
        <f aca="false">N((Calc_1!AH$4&gt;=Calc_1!$F18)*ABS(Calc_1!AH98)&gt;Tolerance)</f>
        <v>0</v>
      </c>
      <c r="AI20" s="50" t="n">
        <f aca="false">N((Calc_1!AI$4&gt;=Calc_1!$F18)*ABS(Calc_1!AI98)&gt;Tolerance)</f>
        <v>0</v>
      </c>
      <c r="AJ20" s="50" t="n">
        <f aca="false">N((Calc_1!AJ$4&gt;=Calc_1!$F18)*ABS(Calc_1!AJ98)&gt;Tolerance)</f>
        <v>0</v>
      </c>
      <c r="AK20" s="50" t="n">
        <f aca="false">N((Calc_1!AK$4&gt;=Calc_1!$F18)*ABS(Calc_1!AK98)&gt;Tolerance)</f>
        <v>0</v>
      </c>
      <c r="AL20" s="50" t="n">
        <f aca="false">N((Calc_1!AL$4&gt;=Calc_1!$F18)*ABS(Calc_1!AL98)&gt;Tolerance)</f>
        <v>0</v>
      </c>
      <c r="AM20" s="50" t="n">
        <f aca="false">N((Calc_1!AM$4&gt;=Calc_1!$F18)*ABS(Calc_1!AM98)&gt;Tolerance)</f>
        <v>0</v>
      </c>
      <c r="AN20" s="50" t="n">
        <f aca="false">N((Calc_1!AN$4&gt;=Calc_1!$F18)*ABS(Calc_1!AN98)&gt;Tolerance)</f>
        <v>0</v>
      </c>
      <c r="AO20" s="50" t="n">
        <f aca="false">N((Calc_1!AO$4&gt;=Calc_1!$F18)*ABS(Calc_1!AO98)&gt;Tolerance)</f>
        <v>0</v>
      </c>
      <c r="AP20" s="50" t="n">
        <f aca="false">N((Calc_1!AP$4&gt;=Calc_1!$F18)*ABS(Calc_1!AP98)&gt;Tolerance)</f>
        <v>0</v>
      </c>
      <c r="AQ20" s="50" t="n">
        <f aca="false">N((Calc_1!AQ$4&gt;=Calc_1!$F18)*ABS(Calc_1!AQ98)&gt;Tolerance)</f>
        <v>0</v>
      </c>
      <c r="AR20" s="50" t="n">
        <f aca="false">N((Calc_1!AR$4&gt;=Calc_1!$F18)*ABS(Calc_1!AR98)&gt;Tolerance)</f>
        <v>0</v>
      </c>
      <c r="AS20" s="50" t="n">
        <f aca="false">N((Calc_1!AS$4&gt;=Calc_1!$F18)*ABS(Calc_1!AS98)&gt;Tolerance)</f>
        <v>0</v>
      </c>
      <c r="AT20" s="50" t="n">
        <f aca="false">N((Calc_1!AT$4&gt;=Calc_1!$F18)*ABS(Calc_1!AT98)&gt;Tolerance)</f>
        <v>0</v>
      </c>
      <c r="AU20" s="50" t="n">
        <f aca="false">N((Calc_1!AU$4&gt;=Calc_1!$F18)*ABS(Calc_1!AU98)&gt;Tolerance)</f>
        <v>0</v>
      </c>
      <c r="AV20" s="50" t="n">
        <f aca="false">N((Calc_1!AV$4&gt;=Calc_1!$F18)*ABS(Calc_1!AV98)&gt;Tolerance)</f>
        <v>0</v>
      </c>
      <c r="AW20" s="50" t="n">
        <f aca="false">N((Calc_1!AW$4&gt;=Calc_1!$F18)*ABS(Calc_1!AW98)&gt;Tolerance)</f>
        <v>0</v>
      </c>
      <c r="AX20" s="50" t="n">
        <f aca="false">N((Calc_1!AX$4&gt;=Calc_1!$F18)*ABS(Calc_1!AX98)&gt;Tolerance)</f>
        <v>0</v>
      </c>
      <c r="AY20" s="50" t="n">
        <f aca="false">N((Calc_1!AY$4&gt;=Calc_1!$F18)*ABS(Calc_1!AY98)&gt;Tolerance)</f>
        <v>0</v>
      </c>
      <c r="AZ20" s="50" t="n">
        <f aca="false">N((Calc_1!AZ$4&gt;=Calc_1!$F18)*ABS(Calc_1!AZ98)&gt;Tolerance)</f>
        <v>0</v>
      </c>
      <c r="BA20" s="50" t="n">
        <f aca="false">N((Calc_1!BA$4&gt;=Calc_1!$F18)*ABS(Calc_1!BA98)&gt;Tolerance)</f>
        <v>0</v>
      </c>
      <c r="BB20" s="50" t="n">
        <f aca="false">N((Calc_1!BB$4&gt;=Calc_1!$F18)*ABS(Calc_1!BB98)&gt;Tolerance)</f>
        <v>0</v>
      </c>
      <c r="BC20" s="50" t="n">
        <f aca="false">N((Calc_1!BC$4&gt;=Calc_1!$F18)*ABS(Calc_1!BC98)&gt;Tolerance)</f>
        <v>0</v>
      </c>
      <c r="BD20" s="50" t="n">
        <f aca="false">N((Calc_1!BD$4&gt;=Calc_1!$F18)*ABS(Calc_1!BD98)&gt;Tolerance)</f>
        <v>0</v>
      </c>
      <c r="BE20" s="50" t="n">
        <f aca="false">N((Calc_1!BE$4&gt;=Calc_1!$F18)*ABS(Calc_1!BE98)&gt;Tolerance)</f>
        <v>0</v>
      </c>
      <c r="BF20" s="50" t="n">
        <f aca="false">N((Calc_1!BF$4&gt;=Calc_1!$F18)*ABS(Calc_1!BF98)&gt;Tolerance)</f>
        <v>0</v>
      </c>
      <c r="BG20" s="50" t="n">
        <f aca="false">N((Calc_1!BG$4&gt;=Calc_1!$F18)*ABS(Calc_1!BG98)&gt;Tolerance)</f>
        <v>0</v>
      </c>
      <c r="BH20" s="50" t="n">
        <f aca="false">N((Calc_1!BH$4&gt;=Calc_1!$F18)*ABS(Calc_1!BH98)&gt;Tolerance)</f>
        <v>0</v>
      </c>
      <c r="BI20" s="50" t="n">
        <f aca="false">N((Calc_1!BI$4&gt;=Calc_1!$F18)*ABS(Calc_1!BI98)&gt;Tolerance)</f>
        <v>0</v>
      </c>
      <c r="BJ20" s="50" t="n">
        <f aca="false">N((Calc_1!BJ$4&gt;=Calc_1!$F18)*ABS(Calc_1!BJ98)&gt;Tolerance)</f>
        <v>0</v>
      </c>
      <c r="BK20" s="50" t="n">
        <f aca="false">N((Calc_1!BK$4&gt;=Calc_1!$F18)*ABS(Calc_1!BK98)&gt;Tolerance)</f>
        <v>0</v>
      </c>
      <c r="BL20" s="50" t="n">
        <f aca="false">N((Calc_1!BL$4&gt;=Calc_1!$F18)*ABS(Calc_1!BL98)&gt;Tolerance)</f>
        <v>0</v>
      </c>
      <c r="BM20" s="50" t="n">
        <f aca="false">N((Calc_1!BM$4&gt;=Calc_1!$F18)*ABS(Calc_1!BM98)&gt;Tolerance)</f>
        <v>0</v>
      </c>
      <c r="BN20" s="50" t="n">
        <f aca="false">N((Calc_1!BN$4&gt;=Calc_1!$F18)*ABS(Calc_1!BN98)&gt;Tolerance)</f>
        <v>0</v>
      </c>
      <c r="BO20" s="50" t="n">
        <f aca="false">N((Calc_1!BO$4&gt;=Calc_1!$F18)*ABS(Calc_1!BO98)&gt;Tolerance)</f>
        <v>0</v>
      </c>
      <c r="BP20" s="50" t="n">
        <f aca="false">N((Calc_1!BP$4&gt;=Calc_1!$F18)*ABS(Calc_1!BP98)&gt;Tolerance)</f>
        <v>0</v>
      </c>
      <c r="BQ20" s="50" t="n">
        <f aca="false">N((Calc_1!BQ$4&gt;=Calc_1!$F18)*ABS(Calc_1!BQ98)&gt;Tolerance)</f>
        <v>0</v>
      </c>
      <c r="BR20" s="50" t="n">
        <f aca="false">N((Calc_1!BR$4&gt;=Calc_1!$F18)*ABS(Calc_1!BR98)&gt;Tolerance)</f>
        <v>0</v>
      </c>
      <c r="BS20" s="50" t="n">
        <f aca="false">N((Calc_1!BS$4&gt;=Calc_1!$F18)*ABS(Calc_1!BS98)&gt;Tolerance)</f>
        <v>0</v>
      </c>
      <c r="BT20" s="50" t="n">
        <f aca="false">N((Calc_1!BT$4&gt;=Calc_1!$F18)*ABS(Calc_1!BT98)&gt;Tolerance)</f>
        <v>0</v>
      </c>
      <c r="BU20" s="50" t="n">
        <f aca="false">N((Calc_1!BU$4&gt;=Calc_1!$F18)*ABS(Calc_1!BU98)&gt;Tolerance)</f>
        <v>0</v>
      </c>
      <c r="BV20" s="50" t="n">
        <f aca="false">N((Calc_1!BV$4&gt;=Calc_1!$F18)*ABS(Calc_1!BV98)&gt;Tolerance)</f>
        <v>0</v>
      </c>
      <c r="BW20" s="50" t="n">
        <f aca="false">N((Calc_1!BW$4&gt;=Calc_1!$F18)*ABS(Calc_1!BW98)&gt;Tolerance)</f>
        <v>0</v>
      </c>
      <c r="BX20" s="50" t="n">
        <f aca="false">N((Calc_1!BX$4&gt;=Calc_1!$F18)*ABS(Calc_1!BX98)&gt;Tolerance)</f>
        <v>0</v>
      </c>
      <c r="BY20" s="50" t="n">
        <f aca="false">N((Calc_1!BY$4&gt;=Calc_1!$F18)*ABS(Calc_1!BY98)&gt;Tolerance)</f>
        <v>0</v>
      </c>
      <c r="BZ20" s="50" t="n">
        <f aca="false">N((Calc_1!BZ$4&gt;=Calc_1!$F18)*ABS(Calc_1!BZ98)&gt;Tolerance)</f>
        <v>0</v>
      </c>
      <c r="CA20" s="50" t="n">
        <f aca="false">N((Calc_1!CA$4&gt;=Calc_1!$F18)*ABS(Calc_1!CA98)&gt;Tolerance)</f>
        <v>0</v>
      </c>
      <c r="CB20" s="50" t="n">
        <f aca="false">N((Calc_1!CB$4&gt;=Calc_1!$F18)*ABS(Calc_1!CB98)&gt;Tolerance)</f>
        <v>0</v>
      </c>
      <c r="CC20" s="50" t="n">
        <f aca="false">N((Calc_1!CC$4&gt;=Calc_1!$F18)*ABS(Calc_1!CC98)&gt;Tolerance)</f>
        <v>0</v>
      </c>
      <c r="CD20" s="50" t="n">
        <f aca="false">N((Calc_1!CD$4&gt;=Calc_1!$F18)*ABS(Calc_1!CD98)&gt;Tolerance)</f>
        <v>0</v>
      </c>
      <c r="CE20" s="50" t="n">
        <f aca="false">N((Calc_1!CE$4&gt;=Calc_1!$F18)*ABS(Calc_1!CE98)&gt;Tolerance)</f>
        <v>0</v>
      </c>
      <c r="CF20" s="50" t="n">
        <f aca="false">N((Calc_1!CF$4&gt;=Calc_1!$F18)*ABS(Calc_1!CF98)&gt;Tolerance)</f>
        <v>0</v>
      </c>
      <c r="CG20" s="50" t="n">
        <f aca="false">N((Calc_1!CG$4&gt;=Calc_1!$F18)*ABS(Calc_1!CG98)&gt;Tolerance)</f>
        <v>0</v>
      </c>
      <c r="CH20" s="50" t="n">
        <f aca="false">N((Calc_1!CH$4&gt;=Calc_1!$F18)*ABS(Calc_1!CH98)&gt;Tolerance)</f>
        <v>0</v>
      </c>
      <c r="CI20" s="50" t="n">
        <f aca="false">N((Calc_1!CI$4&gt;=Calc_1!$F18)*ABS(Calc_1!CI98)&gt;Tolerance)</f>
        <v>0</v>
      </c>
      <c r="CJ20" s="50" t="n">
        <f aca="false">N((Calc_1!CJ$4&gt;=Calc_1!$F18)*ABS(Calc_1!CJ98)&gt;Tolerance)</f>
        <v>0</v>
      </c>
      <c r="CK20" s="50" t="n">
        <f aca="false">N((Calc_1!CK$4&gt;=Calc_1!$F18)*ABS(Calc_1!CK98)&gt;Tolerance)</f>
        <v>0</v>
      </c>
      <c r="CL20" s="50" t="n">
        <f aca="false">N((Calc_1!CL$4&gt;=Calc_1!$F18)*ABS(Calc_1!CL98)&gt;Tolerance)</f>
        <v>0</v>
      </c>
      <c r="CM20" s="50" t="n">
        <f aca="false">N((Calc_1!CM$4&gt;=Calc_1!$F18)*ABS(Calc_1!CM98)&gt;Tolerance)</f>
        <v>0</v>
      </c>
      <c r="CN20" s="50" t="n">
        <f aca="false">N((Calc_1!CN$4&gt;=Calc_1!$F18)*ABS(Calc_1!CN98)&gt;Tolerance)</f>
        <v>0</v>
      </c>
      <c r="CO20" s="50" t="n">
        <f aca="false">N((Calc_1!CO$4&gt;=Calc_1!$F18)*ABS(Calc_1!CO98)&gt;Tolerance)</f>
        <v>0</v>
      </c>
      <c r="CP20" s="50" t="n">
        <f aca="false">N((Calc_1!CP$4&gt;=Calc_1!$F18)*ABS(Calc_1!CP98)&gt;Tolerance)</f>
        <v>0</v>
      </c>
      <c r="CQ20" s="50" t="n">
        <f aca="false">N((Calc_1!CQ$4&gt;=Calc_1!$F18)*ABS(Calc_1!CQ98)&gt;Tolerance)</f>
        <v>0</v>
      </c>
      <c r="CR20" s="50" t="n">
        <f aca="false">N((Calc_1!CR$4&gt;=Calc_1!$F18)*ABS(Calc_1!CR98)&gt;Tolerance)</f>
        <v>0</v>
      </c>
      <c r="CS20" s="50" t="n">
        <f aca="false">N((Calc_1!CS$4&gt;=Calc_1!$F18)*ABS(Calc_1!CS98)&gt;Tolerance)</f>
        <v>0</v>
      </c>
      <c r="CT20" s="50" t="n">
        <f aca="false">N((Calc_1!CT$4&gt;=Calc_1!$F18)*ABS(Calc_1!CT98)&gt;Tolerance)</f>
        <v>0</v>
      </c>
      <c r="CU20" s="50" t="n">
        <f aca="false">N((Calc_1!CU$4&gt;=Calc_1!$F18)*ABS(Calc_1!CU98)&gt;Tolerance)</f>
        <v>0</v>
      </c>
      <c r="CV20" s="50" t="n">
        <f aca="false">N((Calc_1!CV$4&gt;=Calc_1!$F18)*ABS(Calc_1!CV98)&gt;Tolerance)</f>
        <v>0</v>
      </c>
      <c r="CW20" s="50" t="n">
        <f aca="false">N((Calc_1!CW$4&gt;=Calc_1!$F18)*ABS(Calc_1!CW98)&gt;Tolerance)</f>
        <v>0</v>
      </c>
      <c r="CX20" s="50" t="n">
        <f aca="false">N((Calc_1!CX$4&gt;=Calc_1!$F18)*ABS(Calc_1!CX98)&gt;Tolerance)</f>
        <v>0</v>
      </c>
      <c r="CY20" s="50" t="n">
        <f aca="false">N((Calc_1!CY$4&gt;=Calc_1!$F18)*ABS(Calc_1!CY98)&gt;Tolerance)</f>
        <v>0</v>
      </c>
      <c r="CZ20" s="50" t="n">
        <f aca="false">N((Calc_1!CZ$4&gt;=Calc_1!$F18)*ABS(Calc_1!CZ98)&gt;Tolerance)</f>
        <v>0</v>
      </c>
      <c r="DA20" s="50" t="n">
        <f aca="false">N((Calc_1!DA$4&gt;=Calc_1!$F18)*ABS(Calc_1!DA98)&gt;Tolerance)</f>
        <v>0</v>
      </c>
      <c r="DB20" s="50" t="n">
        <f aca="false">N((Calc_1!DB$4&gt;=Calc_1!$F18)*ABS(Calc_1!DB98)&gt;Tolerance)</f>
        <v>0</v>
      </c>
      <c r="DC20" s="50" t="n">
        <f aca="false">N((Calc_1!DC$4&gt;=Calc_1!$F18)*ABS(Calc_1!DC98)&gt;Tolerance)</f>
        <v>0</v>
      </c>
      <c r="DD20" s="50" t="n">
        <f aca="false">N((Calc_1!DD$4&gt;=Calc_1!$F18)*ABS(Calc_1!DD98)&gt;Tolerance)</f>
        <v>0</v>
      </c>
      <c r="DE20" s="50" t="n">
        <f aca="false">N((Calc_1!DE$4&gt;=Calc_1!$F18)*ABS(Calc_1!DE98)&gt;Tolerance)</f>
        <v>0</v>
      </c>
      <c r="DF20" s="50" t="n">
        <f aca="false">N((Calc_1!DF$4&gt;=Calc_1!$F18)*ABS(Calc_1!DF98)&gt;Tolerance)</f>
        <v>0</v>
      </c>
      <c r="DG20" s="50" t="n">
        <f aca="false">N((Calc_1!DG$4&gt;=Calc_1!$F18)*ABS(Calc_1!DG98)&gt;Tolerance)</f>
        <v>0</v>
      </c>
      <c r="DH20" s="50" t="n">
        <f aca="false">N((Calc_1!DH$4&gt;=Calc_1!$F18)*ABS(Calc_1!DH98)&gt;Tolerance)</f>
        <v>0</v>
      </c>
      <c r="DI20" s="50" t="n">
        <f aca="false">N((Calc_1!DI$4&gt;=Calc_1!$F18)*ABS(Calc_1!DI98)&gt;Tolerance)</f>
        <v>0</v>
      </c>
      <c r="DJ20" s="50" t="n">
        <f aca="false">N((Calc_1!DJ$4&gt;=Calc_1!$F18)*ABS(Calc_1!DJ98)&gt;Tolerance)</f>
        <v>0</v>
      </c>
      <c r="DK20" s="50" t="n">
        <f aca="false">N((Calc_1!DK$4&gt;=Calc_1!$F18)*ABS(Calc_1!DK98)&gt;Tolerance)</f>
        <v>0</v>
      </c>
      <c r="DL20" s="50" t="n">
        <f aca="false">N((Calc_1!DL$4&gt;=Calc_1!$F18)*ABS(Calc_1!DL98)&gt;Tolerance)</f>
        <v>0</v>
      </c>
      <c r="DM20" s="50" t="n">
        <f aca="false">N((Calc_1!DM$4&gt;=Calc_1!$F18)*ABS(Calc_1!DM98)&gt;Tolerance)</f>
        <v>0</v>
      </c>
      <c r="DN20" s="50" t="n">
        <f aca="false">N((Calc_1!DN$4&gt;=Calc_1!$F18)*ABS(Calc_1!DN98)&gt;Tolerance)</f>
        <v>0</v>
      </c>
      <c r="DO20" s="50" t="n">
        <f aca="false">N((Calc_1!DO$4&gt;=Calc_1!$F18)*ABS(Calc_1!DO98)&gt;Tolerance)</f>
        <v>0</v>
      </c>
      <c r="DP20" s="50" t="n">
        <f aca="false">N((Calc_1!DP$4&gt;=Calc_1!$F18)*ABS(Calc_1!DP98)&gt;Tolerance)</f>
        <v>0</v>
      </c>
      <c r="DQ20" s="50" t="n">
        <f aca="false">N((Calc_1!DQ$4&gt;=Calc_1!$F18)*ABS(Calc_1!DQ98)&gt;Tolerance)</f>
        <v>0</v>
      </c>
      <c r="DR20" s="50" t="n">
        <f aca="false">N((Calc_1!DR$4&gt;=Calc_1!$F18)*ABS(Calc_1!DR98)&gt;Tolerance)</f>
        <v>0</v>
      </c>
      <c r="DS20" s="50" t="n">
        <f aca="false">N((Calc_1!DS$4&gt;=Calc_1!$F18)*ABS(Calc_1!DS98)&gt;Tolerance)</f>
        <v>0</v>
      </c>
      <c r="DT20" s="50" t="n">
        <f aca="false">N((Calc_1!DT$4&gt;=Calc_1!$F18)*ABS(Calc_1!DT98)&gt;Tolerance)</f>
        <v>0</v>
      </c>
      <c r="DU20" s="50" t="n">
        <f aca="false">N((Calc_1!DU$4&gt;=Calc_1!$F18)*ABS(Calc_1!DU98)&gt;Tolerance)</f>
        <v>0</v>
      </c>
      <c r="DV20" s="50" t="n">
        <f aca="false">N((Calc_1!DV$4&gt;=Calc_1!$F18)*ABS(Calc_1!DV98)&gt;Tolerance)</f>
        <v>0</v>
      </c>
      <c r="DW20" s="50" t="n">
        <f aca="false">N((Calc_1!DW$4&gt;=Calc_1!$F18)*ABS(Calc_1!DW98)&gt;Tolerance)</f>
        <v>0</v>
      </c>
      <c r="DX20" s="50" t="n">
        <f aca="false">N((Calc_1!DX$4&gt;=Calc_1!$F18)*ABS(Calc_1!DX98)&gt;Tolerance)</f>
        <v>0</v>
      </c>
      <c r="DY20" s="50" t="n">
        <f aca="false">N((Calc_1!DY$4&gt;=Calc_1!$F18)*ABS(Calc_1!DY98)&gt;Tolerance)</f>
        <v>0</v>
      </c>
      <c r="DZ20" s="50" t="n">
        <f aca="false">N((Calc_1!DZ$4&gt;=Calc_1!$F18)*ABS(Calc_1!DZ98)&gt;Tolerance)</f>
        <v>0</v>
      </c>
      <c r="EA20" s="50" t="n">
        <f aca="false">N((Calc_1!EA$4&gt;=Calc_1!$F18)*ABS(Calc_1!EA98)&gt;Tolerance)</f>
        <v>0</v>
      </c>
      <c r="EB20" s="50" t="n">
        <f aca="false">N((Calc_1!EB$4&gt;=Calc_1!$F18)*ABS(Calc_1!EB98)&gt;Tolerance)</f>
        <v>0</v>
      </c>
      <c r="EC20" s="50" t="n">
        <f aca="false">N((Calc_1!EC$4&gt;=Calc_1!$F18)*ABS(Calc_1!EC98)&gt;Tolerance)</f>
        <v>0</v>
      </c>
      <c r="ED20" s="50" t="n">
        <f aca="false">N((Calc_1!ED$4&gt;=Calc_1!$F18)*ABS(Calc_1!ED98)&gt;Tolerance)</f>
        <v>0</v>
      </c>
      <c r="EE20" s="50" t="n">
        <f aca="false">N((Calc_1!EE$4&gt;=Calc_1!$F18)*ABS(Calc_1!EE98)&gt;Tolerance)</f>
        <v>0</v>
      </c>
      <c r="EF20" s="50" t="n">
        <f aca="false">N((Calc_1!EF$4&gt;=Calc_1!$F18)*ABS(Calc_1!EF98)&gt;Tolerance)</f>
        <v>0</v>
      </c>
      <c r="EG20" s="50" t="n">
        <f aca="false">N((Calc_1!EG$4&gt;=Calc_1!$F18)*ABS(Calc_1!EG98)&gt;Tolerance)</f>
        <v>0</v>
      </c>
      <c r="EH20" s="50" t="n">
        <f aca="false">N((Calc_1!EH$4&gt;=Calc_1!$F18)*ABS(Calc_1!EH98)&gt;Tolerance)</f>
        <v>0</v>
      </c>
      <c r="EI20" s="50" t="n">
        <f aca="false">N((Calc_1!EI$4&gt;=Calc_1!$F18)*ABS(Calc_1!EI98)&gt;Tolerance)</f>
        <v>0</v>
      </c>
      <c r="EJ20" s="50" t="n">
        <f aca="false">N((Calc_1!EJ$4&gt;=Calc_1!$F18)*ABS(Calc_1!EJ98)&gt;Tolerance)</f>
        <v>0</v>
      </c>
      <c r="EK20" s="50" t="n">
        <f aca="false">N((Calc_1!EK$4&gt;=Calc_1!$F18)*ABS(Calc_1!EK98)&gt;Tolerance)</f>
        <v>0</v>
      </c>
      <c r="EL20" s="50" t="n">
        <f aca="false">N((Calc_1!EL$4&gt;=Calc_1!$F18)*ABS(Calc_1!EL98)&gt;Tolerance)</f>
        <v>0</v>
      </c>
      <c r="EM20" s="50" t="n">
        <f aca="false">N((Calc_1!EM$4&gt;=Calc_1!$F18)*ABS(Calc_1!EM98)&gt;Tolerance)</f>
        <v>0</v>
      </c>
      <c r="EN20" s="50" t="n">
        <f aca="false">N((Calc_1!EN$4&gt;=Calc_1!$F18)*ABS(Calc_1!EN98)&gt;Tolerance)</f>
        <v>0</v>
      </c>
      <c r="EO20" s="50" t="n">
        <f aca="false">N((Calc_1!EO$4&gt;=Calc_1!$F18)*ABS(Calc_1!EO98)&gt;Tolerance)</f>
        <v>0</v>
      </c>
    </row>
    <row r="21" customFormat="false" ht="15" hidden="false" customHeight="false" outlineLevel="0" collapsed="false">
      <c r="C21" s="0" t="s">
        <v>518</v>
      </c>
      <c r="D21" s="11" t="s">
        <v>43</v>
      </c>
      <c r="E21" s="27" t="str">
        <f aca="false">IF(F21=0,"OK","CHECK")</f>
        <v>OK</v>
      </c>
      <c r="F21" s="50" t="n">
        <f aca="false">SUM(J21:EO21)</f>
        <v>0</v>
      </c>
      <c r="J21" s="50" t="n">
        <f aca="false">N((Calc_2!J$4&gt;=Calc_2!$F18)*ABS(Calc_2!J98)&gt;Tolerance)</f>
        <v>0</v>
      </c>
      <c r="K21" s="50" t="n">
        <f aca="false">N((Calc_2!K$4&gt;=Calc_2!$F18)*ABS(Calc_2!K98)&gt;Tolerance)</f>
        <v>0</v>
      </c>
      <c r="L21" s="50" t="n">
        <f aca="false">N((Calc_2!L$4&gt;=Calc_2!$F18)*ABS(Calc_2!L98)&gt;Tolerance)</f>
        <v>0</v>
      </c>
      <c r="M21" s="50" t="n">
        <f aca="false">N((Calc_2!M$4&gt;=Calc_2!$F18)*ABS(Calc_2!M98)&gt;Tolerance)</f>
        <v>0</v>
      </c>
      <c r="N21" s="50" t="n">
        <f aca="false">N((Calc_2!N$4&gt;=Calc_2!$F18)*ABS(Calc_2!N98)&gt;Tolerance)</f>
        <v>0</v>
      </c>
      <c r="O21" s="50" t="n">
        <f aca="false">N((Calc_2!O$4&gt;=Calc_2!$F18)*ABS(Calc_2!O98)&gt;Tolerance)</f>
        <v>0</v>
      </c>
      <c r="P21" s="50" t="n">
        <f aca="false">N((Calc_2!P$4&gt;=Calc_2!$F18)*ABS(Calc_2!P98)&gt;Tolerance)</f>
        <v>0</v>
      </c>
      <c r="Q21" s="50" t="n">
        <f aca="false">N((Calc_2!Q$4&gt;=Calc_2!$F18)*ABS(Calc_2!Q98)&gt;Tolerance)</f>
        <v>0</v>
      </c>
      <c r="R21" s="50" t="n">
        <f aca="false">N((Calc_2!R$4&gt;=Calc_2!$F18)*ABS(Calc_2!R98)&gt;Tolerance)</f>
        <v>0</v>
      </c>
      <c r="S21" s="50" t="n">
        <f aca="false">N((Calc_2!S$4&gt;=Calc_2!$F18)*ABS(Calc_2!S98)&gt;Tolerance)</f>
        <v>0</v>
      </c>
      <c r="T21" s="50" t="n">
        <f aca="false">N((Calc_2!T$4&gt;=Calc_2!$F18)*ABS(Calc_2!T98)&gt;Tolerance)</f>
        <v>0</v>
      </c>
      <c r="U21" s="50" t="n">
        <f aca="false">N((Calc_2!U$4&gt;=Calc_2!$F18)*ABS(Calc_2!U98)&gt;Tolerance)</f>
        <v>0</v>
      </c>
      <c r="V21" s="50" t="n">
        <f aca="false">N((Calc_2!V$4&gt;=Calc_2!$F18)*ABS(Calc_2!V98)&gt;Tolerance)</f>
        <v>0</v>
      </c>
      <c r="W21" s="50" t="n">
        <f aca="false">N((Calc_2!W$4&gt;=Calc_2!$F18)*ABS(Calc_2!W98)&gt;Tolerance)</f>
        <v>0</v>
      </c>
      <c r="X21" s="50" t="n">
        <f aca="false">N((Calc_2!X$4&gt;=Calc_2!$F18)*ABS(Calc_2!X98)&gt;Tolerance)</f>
        <v>0</v>
      </c>
      <c r="Y21" s="50" t="n">
        <f aca="false">N((Calc_2!Y$4&gt;=Calc_2!$F18)*ABS(Calc_2!Y98)&gt;Tolerance)</f>
        <v>0</v>
      </c>
      <c r="Z21" s="50" t="n">
        <f aca="false">N((Calc_2!Z$4&gt;=Calc_2!$F18)*ABS(Calc_2!Z98)&gt;Tolerance)</f>
        <v>0</v>
      </c>
      <c r="AA21" s="50" t="n">
        <f aca="false">N((Calc_2!AA$4&gt;=Calc_2!$F18)*ABS(Calc_2!AA98)&gt;Tolerance)</f>
        <v>0</v>
      </c>
      <c r="AB21" s="50" t="n">
        <f aca="false">N((Calc_2!AB$4&gt;=Calc_2!$F18)*ABS(Calc_2!AB98)&gt;Tolerance)</f>
        <v>0</v>
      </c>
      <c r="AC21" s="50" t="n">
        <f aca="false">N((Calc_2!AC$4&gt;=Calc_2!$F18)*ABS(Calc_2!AC98)&gt;Tolerance)</f>
        <v>0</v>
      </c>
      <c r="AD21" s="50" t="n">
        <f aca="false">N((Calc_2!AD$4&gt;=Calc_2!$F18)*ABS(Calc_2!AD98)&gt;Tolerance)</f>
        <v>0</v>
      </c>
      <c r="AE21" s="50" t="n">
        <f aca="false">N((Calc_2!AE$4&gt;=Calc_2!$F18)*ABS(Calc_2!AE98)&gt;Tolerance)</f>
        <v>0</v>
      </c>
      <c r="AF21" s="50" t="n">
        <f aca="false">N((Calc_2!AF$4&gt;=Calc_2!$F18)*ABS(Calc_2!AF98)&gt;Tolerance)</f>
        <v>0</v>
      </c>
      <c r="AG21" s="50" t="n">
        <f aca="false">N((Calc_2!AG$4&gt;=Calc_2!$F18)*ABS(Calc_2!AG98)&gt;Tolerance)</f>
        <v>0</v>
      </c>
      <c r="AH21" s="50" t="n">
        <f aca="false">N((Calc_2!AH$4&gt;=Calc_2!$F18)*ABS(Calc_2!AH98)&gt;Tolerance)</f>
        <v>0</v>
      </c>
      <c r="AI21" s="50" t="n">
        <f aca="false">N((Calc_2!AI$4&gt;=Calc_2!$F18)*ABS(Calc_2!AI98)&gt;Tolerance)</f>
        <v>0</v>
      </c>
      <c r="AJ21" s="50" t="n">
        <f aca="false">N((Calc_2!AJ$4&gt;=Calc_2!$F18)*ABS(Calc_2!AJ98)&gt;Tolerance)</f>
        <v>0</v>
      </c>
      <c r="AK21" s="50" t="n">
        <f aca="false">N((Calc_2!AK$4&gt;=Calc_2!$F18)*ABS(Calc_2!AK98)&gt;Tolerance)</f>
        <v>0</v>
      </c>
      <c r="AL21" s="50" t="n">
        <f aca="false">N((Calc_2!AL$4&gt;=Calc_2!$F18)*ABS(Calc_2!AL98)&gt;Tolerance)</f>
        <v>0</v>
      </c>
      <c r="AM21" s="50" t="n">
        <f aca="false">N((Calc_2!AM$4&gt;=Calc_2!$F18)*ABS(Calc_2!AM98)&gt;Tolerance)</f>
        <v>0</v>
      </c>
      <c r="AN21" s="50" t="n">
        <f aca="false">N((Calc_2!AN$4&gt;=Calc_2!$F18)*ABS(Calc_2!AN98)&gt;Tolerance)</f>
        <v>0</v>
      </c>
      <c r="AO21" s="50" t="n">
        <f aca="false">N((Calc_2!AO$4&gt;=Calc_2!$F18)*ABS(Calc_2!AO98)&gt;Tolerance)</f>
        <v>0</v>
      </c>
      <c r="AP21" s="50" t="n">
        <f aca="false">N((Calc_2!AP$4&gt;=Calc_2!$F18)*ABS(Calc_2!AP98)&gt;Tolerance)</f>
        <v>0</v>
      </c>
      <c r="AQ21" s="50" t="n">
        <f aca="false">N((Calc_2!AQ$4&gt;=Calc_2!$F18)*ABS(Calc_2!AQ98)&gt;Tolerance)</f>
        <v>0</v>
      </c>
      <c r="AR21" s="50" t="n">
        <f aca="false">N((Calc_2!AR$4&gt;=Calc_2!$F18)*ABS(Calc_2!AR98)&gt;Tolerance)</f>
        <v>0</v>
      </c>
      <c r="AS21" s="50" t="n">
        <f aca="false">N((Calc_2!AS$4&gt;=Calc_2!$F18)*ABS(Calc_2!AS98)&gt;Tolerance)</f>
        <v>0</v>
      </c>
      <c r="AT21" s="50" t="n">
        <f aca="false">N((Calc_2!AT$4&gt;=Calc_2!$F18)*ABS(Calc_2!AT98)&gt;Tolerance)</f>
        <v>0</v>
      </c>
      <c r="AU21" s="50" t="n">
        <f aca="false">N((Calc_2!AU$4&gt;=Calc_2!$F18)*ABS(Calc_2!AU98)&gt;Tolerance)</f>
        <v>0</v>
      </c>
      <c r="AV21" s="50" t="n">
        <f aca="false">N((Calc_2!AV$4&gt;=Calc_2!$F18)*ABS(Calc_2!AV98)&gt;Tolerance)</f>
        <v>0</v>
      </c>
      <c r="AW21" s="50" t="n">
        <f aca="false">N((Calc_2!AW$4&gt;=Calc_2!$F18)*ABS(Calc_2!AW98)&gt;Tolerance)</f>
        <v>0</v>
      </c>
      <c r="AX21" s="50" t="n">
        <f aca="false">N((Calc_2!AX$4&gt;=Calc_2!$F18)*ABS(Calc_2!AX98)&gt;Tolerance)</f>
        <v>0</v>
      </c>
      <c r="AY21" s="50" t="n">
        <f aca="false">N((Calc_2!AY$4&gt;=Calc_2!$F18)*ABS(Calc_2!AY98)&gt;Tolerance)</f>
        <v>0</v>
      </c>
      <c r="AZ21" s="50" t="n">
        <f aca="false">N((Calc_2!AZ$4&gt;=Calc_2!$F18)*ABS(Calc_2!AZ98)&gt;Tolerance)</f>
        <v>0</v>
      </c>
      <c r="BA21" s="50" t="n">
        <f aca="false">N((Calc_2!BA$4&gt;=Calc_2!$F18)*ABS(Calc_2!BA98)&gt;Tolerance)</f>
        <v>0</v>
      </c>
      <c r="BB21" s="50" t="n">
        <f aca="false">N((Calc_2!BB$4&gt;=Calc_2!$F18)*ABS(Calc_2!BB98)&gt;Tolerance)</f>
        <v>0</v>
      </c>
      <c r="BC21" s="50" t="n">
        <f aca="false">N((Calc_2!BC$4&gt;=Calc_2!$F18)*ABS(Calc_2!BC98)&gt;Tolerance)</f>
        <v>0</v>
      </c>
      <c r="BD21" s="50" t="n">
        <f aca="false">N((Calc_2!BD$4&gt;=Calc_2!$F18)*ABS(Calc_2!BD98)&gt;Tolerance)</f>
        <v>0</v>
      </c>
      <c r="BE21" s="50" t="n">
        <f aca="false">N((Calc_2!BE$4&gt;=Calc_2!$F18)*ABS(Calc_2!BE98)&gt;Tolerance)</f>
        <v>0</v>
      </c>
      <c r="BF21" s="50" t="n">
        <f aca="false">N((Calc_2!BF$4&gt;=Calc_2!$F18)*ABS(Calc_2!BF98)&gt;Tolerance)</f>
        <v>0</v>
      </c>
      <c r="BG21" s="50" t="n">
        <f aca="false">N((Calc_2!BG$4&gt;=Calc_2!$F18)*ABS(Calc_2!BG98)&gt;Tolerance)</f>
        <v>0</v>
      </c>
      <c r="BH21" s="50" t="n">
        <f aca="false">N((Calc_2!BH$4&gt;=Calc_2!$F18)*ABS(Calc_2!BH98)&gt;Tolerance)</f>
        <v>0</v>
      </c>
      <c r="BI21" s="50" t="n">
        <f aca="false">N((Calc_2!BI$4&gt;=Calc_2!$F18)*ABS(Calc_2!BI98)&gt;Tolerance)</f>
        <v>0</v>
      </c>
      <c r="BJ21" s="50" t="n">
        <f aca="false">N((Calc_2!BJ$4&gt;=Calc_2!$F18)*ABS(Calc_2!BJ98)&gt;Tolerance)</f>
        <v>0</v>
      </c>
      <c r="BK21" s="50" t="n">
        <f aca="false">N((Calc_2!BK$4&gt;=Calc_2!$F18)*ABS(Calc_2!BK98)&gt;Tolerance)</f>
        <v>0</v>
      </c>
      <c r="BL21" s="50" t="n">
        <f aca="false">N((Calc_2!BL$4&gt;=Calc_2!$F18)*ABS(Calc_2!BL98)&gt;Tolerance)</f>
        <v>0</v>
      </c>
      <c r="BM21" s="50" t="n">
        <f aca="false">N((Calc_2!BM$4&gt;=Calc_2!$F18)*ABS(Calc_2!BM98)&gt;Tolerance)</f>
        <v>0</v>
      </c>
      <c r="BN21" s="50" t="n">
        <f aca="false">N((Calc_2!BN$4&gt;=Calc_2!$F18)*ABS(Calc_2!BN98)&gt;Tolerance)</f>
        <v>0</v>
      </c>
      <c r="BO21" s="50" t="n">
        <f aca="false">N((Calc_2!BO$4&gt;=Calc_2!$F18)*ABS(Calc_2!BO98)&gt;Tolerance)</f>
        <v>0</v>
      </c>
      <c r="BP21" s="50" t="n">
        <f aca="false">N((Calc_2!BP$4&gt;=Calc_2!$F18)*ABS(Calc_2!BP98)&gt;Tolerance)</f>
        <v>0</v>
      </c>
      <c r="BQ21" s="50" t="n">
        <f aca="false">N((Calc_2!BQ$4&gt;=Calc_2!$F18)*ABS(Calc_2!BQ98)&gt;Tolerance)</f>
        <v>0</v>
      </c>
      <c r="BR21" s="50" t="n">
        <f aca="false">N((Calc_2!BR$4&gt;=Calc_2!$F18)*ABS(Calc_2!BR98)&gt;Tolerance)</f>
        <v>0</v>
      </c>
      <c r="BS21" s="50" t="n">
        <f aca="false">N((Calc_2!BS$4&gt;=Calc_2!$F18)*ABS(Calc_2!BS98)&gt;Tolerance)</f>
        <v>0</v>
      </c>
      <c r="BT21" s="50" t="n">
        <f aca="false">N((Calc_2!BT$4&gt;=Calc_2!$F18)*ABS(Calc_2!BT98)&gt;Tolerance)</f>
        <v>0</v>
      </c>
      <c r="BU21" s="50" t="n">
        <f aca="false">N((Calc_2!BU$4&gt;=Calc_2!$F18)*ABS(Calc_2!BU98)&gt;Tolerance)</f>
        <v>0</v>
      </c>
      <c r="BV21" s="50" t="n">
        <f aca="false">N((Calc_2!BV$4&gt;=Calc_2!$F18)*ABS(Calc_2!BV98)&gt;Tolerance)</f>
        <v>0</v>
      </c>
      <c r="BW21" s="50" t="n">
        <f aca="false">N((Calc_2!BW$4&gt;=Calc_2!$F18)*ABS(Calc_2!BW98)&gt;Tolerance)</f>
        <v>0</v>
      </c>
      <c r="BX21" s="50" t="n">
        <f aca="false">N((Calc_2!BX$4&gt;=Calc_2!$F18)*ABS(Calc_2!BX98)&gt;Tolerance)</f>
        <v>0</v>
      </c>
      <c r="BY21" s="50" t="n">
        <f aca="false">N((Calc_2!BY$4&gt;=Calc_2!$F18)*ABS(Calc_2!BY98)&gt;Tolerance)</f>
        <v>0</v>
      </c>
      <c r="BZ21" s="50" t="n">
        <f aca="false">N((Calc_2!BZ$4&gt;=Calc_2!$F18)*ABS(Calc_2!BZ98)&gt;Tolerance)</f>
        <v>0</v>
      </c>
      <c r="CA21" s="50" t="n">
        <f aca="false">N((Calc_2!CA$4&gt;=Calc_2!$F18)*ABS(Calc_2!CA98)&gt;Tolerance)</f>
        <v>0</v>
      </c>
      <c r="CB21" s="50" t="n">
        <f aca="false">N((Calc_2!CB$4&gt;=Calc_2!$F18)*ABS(Calc_2!CB98)&gt;Tolerance)</f>
        <v>0</v>
      </c>
      <c r="CC21" s="50" t="n">
        <f aca="false">N((Calc_2!CC$4&gt;=Calc_2!$F18)*ABS(Calc_2!CC98)&gt;Tolerance)</f>
        <v>0</v>
      </c>
      <c r="CD21" s="50" t="n">
        <f aca="false">N((Calc_2!CD$4&gt;=Calc_2!$F18)*ABS(Calc_2!CD98)&gt;Tolerance)</f>
        <v>0</v>
      </c>
      <c r="CE21" s="50" t="n">
        <f aca="false">N((Calc_2!CE$4&gt;=Calc_2!$F18)*ABS(Calc_2!CE98)&gt;Tolerance)</f>
        <v>0</v>
      </c>
      <c r="CF21" s="50" t="n">
        <f aca="false">N((Calc_2!CF$4&gt;=Calc_2!$F18)*ABS(Calc_2!CF98)&gt;Tolerance)</f>
        <v>0</v>
      </c>
      <c r="CG21" s="50" t="n">
        <f aca="false">N((Calc_2!CG$4&gt;=Calc_2!$F18)*ABS(Calc_2!CG98)&gt;Tolerance)</f>
        <v>0</v>
      </c>
      <c r="CH21" s="50" t="n">
        <f aca="false">N((Calc_2!CH$4&gt;=Calc_2!$F18)*ABS(Calc_2!CH98)&gt;Tolerance)</f>
        <v>0</v>
      </c>
      <c r="CI21" s="50" t="n">
        <f aca="false">N((Calc_2!CI$4&gt;=Calc_2!$F18)*ABS(Calc_2!CI98)&gt;Tolerance)</f>
        <v>0</v>
      </c>
      <c r="CJ21" s="50" t="n">
        <f aca="false">N((Calc_2!CJ$4&gt;=Calc_2!$F18)*ABS(Calc_2!CJ98)&gt;Tolerance)</f>
        <v>0</v>
      </c>
      <c r="CK21" s="50" t="n">
        <f aca="false">N((Calc_2!CK$4&gt;=Calc_2!$F18)*ABS(Calc_2!CK98)&gt;Tolerance)</f>
        <v>0</v>
      </c>
      <c r="CL21" s="50" t="n">
        <f aca="false">N((Calc_2!CL$4&gt;=Calc_2!$F18)*ABS(Calc_2!CL98)&gt;Tolerance)</f>
        <v>0</v>
      </c>
      <c r="CM21" s="50" t="n">
        <f aca="false">N((Calc_2!CM$4&gt;=Calc_2!$F18)*ABS(Calc_2!CM98)&gt;Tolerance)</f>
        <v>0</v>
      </c>
      <c r="CN21" s="50" t="n">
        <f aca="false">N((Calc_2!CN$4&gt;=Calc_2!$F18)*ABS(Calc_2!CN98)&gt;Tolerance)</f>
        <v>0</v>
      </c>
      <c r="CO21" s="50" t="n">
        <f aca="false">N((Calc_2!CO$4&gt;=Calc_2!$F18)*ABS(Calc_2!CO98)&gt;Tolerance)</f>
        <v>0</v>
      </c>
      <c r="CP21" s="50" t="n">
        <f aca="false">N((Calc_2!CP$4&gt;=Calc_2!$F18)*ABS(Calc_2!CP98)&gt;Tolerance)</f>
        <v>0</v>
      </c>
      <c r="CQ21" s="50" t="n">
        <f aca="false">N((Calc_2!CQ$4&gt;=Calc_2!$F18)*ABS(Calc_2!CQ98)&gt;Tolerance)</f>
        <v>0</v>
      </c>
      <c r="CR21" s="50" t="n">
        <f aca="false">N((Calc_2!CR$4&gt;=Calc_2!$F18)*ABS(Calc_2!CR98)&gt;Tolerance)</f>
        <v>0</v>
      </c>
      <c r="CS21" s="50" t="n">
        <f aca="false">N((Calc_2!CS$4&gt;=Calc_2!$F18)*ABS(Calc_2!CS98)&gt;Tolerance)</f>
        <v>0</v>
      </c>
      <c r="CT21" s="50" t="n">
        <f aca="false">N((Calc_2!CT$4&gt;=Calc_2!$F18)*ABS(Calc_2!CT98)&gt;Tolerance)</f>
        <v>0</v>
      </c>
      <c r="CU21" s="50" t="n">
        <f aca="false">N((Calc_2!CU$4&gt;=Calc_2!$F18)*ABS(Calc_2!CU98)&gt;Tolerance)</f>
        <v>0</v>
      </c>
      <c r="CV21" s="50" t="n">
        <f aca="false">N((Calc_2!CV$4&gt;=Calc_2!$F18)*ABS(Calc_2!CV98)&gt;Tolerance)</f>
        <v>0</v>
      </c>
      <c r="CW21" s="50" t="n">
        <f aca="false">N((Calc_2!CW$4&gt;=Calc_2!$F18)*ABS(Calc_2!CW98)&gt;Tolerance)</f>
        <v>0</v>
      </c>
      <c r="CX21" s="50" t="n">
        <f aca="false">N((Calc_2!CX$4&gt;=Calc_2!$F18)*ABS(Calc_2!CX98)&gt;Tolerance)</f>
        <v>0</v>
      </c>
      <c r="CY21" s="50" t="n">
        <f aca="false">N((Calc_2!CY$4&gt;=Calc_2!$F18)*ABS(Calc_2!CY98)&gt;Tolerance)</f>
        <v>0</v>
      </c>
      <c r="CZ21" s="50" t="n">
        <f aca="false">N((Calc_2!CZ$4&gt;=Calc_2!$F18)*ABS(Calc_2!CZ98)&gt;Tolerance)</f>
        <v>0</v>
      </c>
      <c r="DA21" s="50" t="n">
        <f aca="false">N((Calc_2!DA$4&gt;=Calc_2!$F18)*ABS(Calc_2!DA98)&gt;Tolerance)</f>
        <v>0</v>
      </c>
      <c r="DB21" s="50" t="n">
        <f aca="false">N((Calc_2!DB$4&gt;=Calc_2!$F18)*ABS(Calc_2!DB98)&gt;Tolerance)</f>
        <v>0</v>
      </c>
      <c r="DC21" s="50" t="n">
        <f aca="false">N((Calc_2!DC$4&gt;=Calc_2!$F18)*ABS(Calc_2!DC98)&gt;Tolerance)</f>
        <v>0</v>
      </c>
      <c r="DD21" s="50" t="n">
        <f aca="false">N((Calc_2!DD$4&gt;=Calc_2!$F18)*ABS(Calc_2!DD98)&gt;Tolerance)</f>
        <v>0</v>
      </c>
      <c r="DE21" s="50" t="n">
        <f aca="false">N((Calc_2!DE$4&gt;=Calc_2!$F18)*ABS(Calc_2!DE98)&gt;Tolerance)</f>
        <v>0</v>
      </c>
      <c r="DF21" s="50" t="n">
        <f aca="false">N((Calc_2!DF$4&gt;=Calc_2!$F18)*ABS(Calc_2!DF98)&gt;Tolerance)</f>
        <v>0</v>
      </c>
      <c r="DG21" s="50" t="n">
        <f aca="false">N((Calc_2!DG$4&gt;=Calc_2!$F18)*ABS(Calc_2!DG98)&gt;Tolerance)</f>
        <v>0</v>
      </c>
      <c r="DH21" s="50" t="n">
        <f aca="false">N((Calc_2!DH$4&gt;=Calc_2!$F18)*ABS(Calc_2!DH98)&gt;Tolerance)</f>
        <v>0</v>
      </c>
      <c r="DI21" s="50" t="n">
        <f aca="false">N((Calc_2!DI$4&gt;=Calc_2!$F18)*ABS(Calc_2!DI98)&gt;Tolerance)</f>
        <v>0</v>
      </c>
      <c r="DJ21" s="50" t="n">
        <f aca="false">N((Calc_2!DJ$4&gt;=Calc_2!$F18)*ABS(Calc_2!DJ98)&gt;Tolerance)</f>
        <v>0</v>
      </c>
      <c r="DK21" s="50" t="n">
        <f aca="false">N((Calc_2!DK$4&gt;=Calc_2!$F18)*ABS(Calc_2!DK98)&gt;Tolerance)</f>
        <v>0</v>
      </c>
      <c r="DL21" s="50" t="n">
        <f aca="false">N((Calc_2!DL$4&gt;=Calc_2!$F18)*ABS(Calc_2!DL98)&gt;Tolerance)</f>
        <v>0</v>
      </c>
      <c r="DM21" s="50" t="n">
        <f aca="false">N((Calc_2!DM$4&gt;=Calc_2!$F18)*ABS(Calc_2!DM98)&gt;Tolerance)</f>
        <v>0</v>
      </c>
      <c r="DN21" s="50" t="n">
        <f aca="false">N((Calc_2!DN$4&gt;=Calc_2!$F18)*ABS(Calc_2!DN98)&gt;Tolerance)</f>
        <v>0</v>
      </c>
      <c r="DO21" s="50" t="n">
        <f aca="false">N((Calc_2!DO$4&gt;=Calc_2!$F18)*ABS(Calc_2!DO98)&gt;Tolerance)</f>
        <v>0</v>
      </c>
      <c r="DP21" s="50" t="n">
        <f aca="false">N((Calc_2!DP$4&gt;=Calc_2!$F18)*ABS(Calc_2!DP98)&gt;Tolerance)</f>
        <v>0</v>
      </c>
      <c r="DQ21" s="50" t="n">
        <f aca="false">N((Calc_2!DQ$4&gt;=Calc_2!$F18)*ABS(Calc_2!DQ98)&gt;Tolerance)</f>
        <v>0</v>
      </c>
      <c r="DR21" s="50" t="n">
        <f aca="false">N((Calc_2!DR$4&gt;=Calc_2!$F18)*ABS(Calc_2!DR98)&gt;Tolerance)</f>
        <v>0</v>
      </c>
      <c r="DS21" s="50" t="n">
        <f aca="false">N((Calc_2!DS$4&gt;=Calc_2!$F18)*ABS(Calc_2!DS98)&gt;Tolerance)</f>
        <v>0</v>
      </c>
      <c r="DT21" s="50" t="n">
        <f aca="false">N((Calc_2!DT$4&gt;=Calc_2!$F18)*ABS(Calc_2!DT98)&gt;Tolerance)</f>
        <v>0</v>
      </c>
      <c r="DU21" s="50" t="n">
        <f aca="false">N((Calc_2!DU$4&gt;=Calc_2!$F18)*ABS(Calc_2!DU98)&gt;Tolerance)</f>
        <v>0</v>
      </c>
      <c r="DV21" s="50" t="n">
        <f aca="false">N((Calc_2!DV$4&gt;=Calc_2!$F18)*ABS(Calc_2!DV98)&gt;Tolerance)</f>
        <v>0</v>
      </c>
      <c r="DW21" s="50" t="n">
        <f aca="false">N((Calc_2!DW$4&gt;=Calc_2!$F18)*ABS(Calc_2!DW98)&gt;Tolerance)</f>
        <v>0</v>
      </c>
      <c r="DX21" s="50" t="n">
        <f aca="false">N((Calc_2!DX$4&gt;=Calc_2!$F18)*ABS(Calc_2!DX98)&gt;Tolerance)</f>
        <v>0</v>
      </c>
      <c r="DY21" s="50" t="n">
        <f aca="false">N((Calc_2!DY$4&gt;=Calc_2!$F18)*ABS(Calc_2!DY98)&gt;Tolerance)</f>
        <v>0</v>
      </c>
      <c r="DZ21" s="50" t="n">
        <f aca="false">N((Calc_2!DZ$4&gt;=Calc_2!$F18)*ABS(Calc_2!DZ98)&gt;Tolerance)</f>
        <v>0</v>
      </c>
      <c r="EA21" s="50" t="n">
        <f aca="false">N((Calc_2!EA$4&gt;=Calc_2!$F18)*ABS(Calc_2!EA98)&gt;Tolerance)</f>
        <v>0</v>
      </c>
      <c r="EB21" s="50" t="n">
        <f aca="false">N((Calc_2!EB$4&gt;=Calc_2!$F18)*ABS(Calc_2!EB98)&gt;Tolerance)</f>
        <v>0</v>
      </c>
      <c r="EC21" s="50" t="n">
        <f aca="false">N((Calc_2!EC$4&gt;=Calc_2!$F18)*ABS(Calc_2!EC98)&gt;Tolerance)</f>
        <v>0</v>
      </c>
      <c r="ED21" s="50" t="n">
        <f aca="false">N((Calc_2!ED$4&gt;=Calc_2!$F18)*ABS(Calc_2!ED98)&gt;Tolerance)</f>
        <v>0</v>
      </c>
      <c r="EE21" s="50" t="n">
        <f aca="false">N((Calc_2!EE$4&gt;=Calc_2!$F18)*ABS(Calc_2!EE98)&gt;Tolerance)</f>
        <v>0</v>
      </c>
      <c r="EF21" s="50" t="n">
        <f aca="false">N((Calc_2!EF$4&gt;=Calc_2!$F18)*ABS(Calc_2!EF98)&gt;Tolerance)</f>
        <v>0</v>
      </c>
      <c r="EG21" s="50" t="n">
        <f aca="false">N((Calc_2!EG$4&gt;=Calc_2!$F18)*ABS(Calc_2!EG98)&gt;Tolerance)</f>
        <v>0</v>
      </c>
      <c r="EH21" s="50" t="n">
        <f aca="false">N((Calc_2!EH$4&gt;=Calc_2!$F18)*ABS(Calc_2!EH98)&gt;Tolerance)</f>
        <v>0</v>
      </c>
      <c r="EI21" s="50" t="n">
        <f aca="false">N((Calc_2!EI$4&gt;=Calc_2!$F18)*ABS(Calc_2!EI98)&gt;Tolerance)</f>
        <v>0</v>
      </c>
      <c r="EJ21" s="50" t="n">
        <f aca="false">N((Calc_2!EJ$4&gt;=Calc_2!$F18)*ABS(Calc_2!EJ98)&gt;Tolerance)</f>
        <v>0</v>
      </c>
      <c r="EK21" s="50" t="n">
        <f aca="false">N((Calc_2!EK$4&gt;=Calc_2!$F18)*ABS(Calc_2!EK98)&gt;Tolerance)</f>
        <v>0</v>
      </c>
      <c r="EL21" s="50" t="n">
        <f aca="false">N((Calc_2!EL$4&gt;=Calc_2!$F18)*ABS(Calc_2!EL98)&gt;Tolerance)</f>
        <v>0</v>
      </c>
      <c r="EM21" s="50" t="n">
        <f aca="false">N((Calc_2!EM$4&gt;=Calc_2!$F18)*ABS(Calc_2!EM98)&gt;Tolerance)</f>
        <v>0</v>
      </c>
      <c r="EN21" s="50" t="n">
        <f aca="false">N((Calc_2!EN$4&gt;=Calc_2!$F18)*ABS(Calc_2!EN98)&gt;Tolerance)</f>
        <v>0</v>
      </c>
      <c r="EO21" s="50" t="n">
        <f aca="false">N((Calc_2!EO$4&gt;=Calc_2!$F18)*ABS(Calc_2!EO98)&gt;Tolerance)</f>
        <v>0</v>
      </c>
    </row>
    <row r="22" customFormat="false" ht="15" hidden="false" customHeight="false" outlineLevel="0" collapsed="false">
      <c r="C22" s="0" t="s">
        <v>519</v>
      </c>
      <c r="D22" s="11" t="s">
        <v>43</v>
      </c>
      <c r="E22" s="27" t="str">
        <f aca="false">IF(F22=0,"OK","CHECK")</f>
        <v>OK</v>
      </c>
      <c r="F22" s="50" t="n">
        <f aca="false">N(Calc_1!$E102&lt;In_DSCR-Tolerance)</f>
        <v>0</v>
      </c>
    </row>
    <row r="23" customFormat="false" ht="15" hidden="false" customHeight="false" outlineLevel="0" collapsed="false">
      <c r="C23" s="0" t="s">
        <v>520</v>
      </c>
      <c r="D23" s="11" t="s">
        <v>43</v>
      </c>
      <c r="E23" s="27" t="str">
        <f aca="false">IF(F23=0,"OK","CHECK")</f>
        <v>OK</v>
      </c>
      <c r="F23" s="50" t="n">
        <f aca="false">N(Calc_2!$E102&lt;In_DSCR-Tolerance)</f>
        <v>0</v>
      </c>
    </row>
    <row r="24" customFormat="false" ht="15" hidden="false" customHeight="false" outlineLevel="0" collapsed="false">
      <c r="C24" s="0" t="s">
        <v>521</v>
      </c>
      <c r="D24" s="11" t="s">
        <v>43</v>
      </c>
      <c r="E24" s="27" t="str">
        <f aca="false">IF(F24=0,"OK","CHECK")</f>
        <v>OK</v>
      </c>
      <c r="F24" s="50" t="n">
        <f aca="false">N(ABS(Calc_1!$E123+Calc_1!$I130-Calc_1!$E98)&gt;Tolerance)</f>
        <v>0</v>
      </c>
    </row>
    <row r="25" customFormat="false" ht="15" hidden="false" customHeight="false" outlineLevel="0" collapsed="false">
      <c r="C25" s="0" t="s">
        <v>522</v>
      </c>
      <c r="D25" s="11" t="s">
        <v>43</v>
      </c>
      <c r="E25" s="27" t="str">
        <f aca="false">IF(F25=0,"OK","CHECK")</f>
        <v>OK</v>
      </c>
      <c r="F25" s="50" t="n">
        <f aca="false">N(ABS(Calc_2!$E123+Calc_2!$I130-Calc_2!$E98)&gt;Tolerance)</f>
        <v>0</v>
      </c>
    </row>
    <row r="26" customFormat="false" ht="15" hidden="false" customHeight="false" outlineLevel="0" collapsed="false">
      <c r="C26" s="0" t="s">
        <v>523</v>
      </c>
      <c r="D26" s="11" t="s">
        <v>43</v>
      </c>
      <c r="E26" s="27" t="str">
        <f aca="false">IF(F26=0,"OK","CHECK")</f>
        <v>OK</v>
      </c>
      <c r="F26" s="50" t="n">
        <f aca="false">N(ISERROR(Calc_1!$E135))+N(ISERROR(Calc_1!$E148))+N(ISERROR(Calc_1!$E146))+N(ISERROR(Calc_1!$E142))</f>
        <v>0</v>
      </c>
    </row>
    <row r="27" customFormat="false" ht="15" hidden="false" customHeight="false" outlineLevel="0" collapsed="false">
      <c r="C27" s="0" t="s">
        <v>524</v>
      </c>
      <c r="D27" s="11" t="s">
        <v>43</v>
      </c>
      <c r="E27" s="27" t="str">
        <f aca="false">IF(F27=0,"OK","CHECK")</f>
        <v>OK</v>
      </c>
      <c r="F27" s="50" t="n">
        <f aca="false">N(ISERROR(Calc_2!$E135))+N(ISERROR(Calc_2!$E148))+N(ISERROR(Calc_2!$E146))+N(ISERROR(Calc_2!$E142))</f>
        <v>0</v>
      </c>
    </row>
    <row r="28" customFormat="false" ht="15" hidden="false" customHeight="false" outlineLevel="0" collapsed="false">
      <c r="C28" s="0" t="s">
        <v>525</v>
      </c>
      <c r="D28" s="11" t="s">
        <v>43</v>
      </c>
      <c r="E28" s="27" t="str">
        <f aca="false">IF(F28=0,"OK","CHECK")</f>
        <v>OK</v>
      </c>
      <c r="F28" s="50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526</v>
      </c>
      <c r="F30" s="62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3" t="str">
        <f aca="false">IF(F32=0,"OK","CHECK")</f>
        <v>OK</v>
      </c>
      <c r="F32" s="62" t="n">
        <f aca="false">SUMPRODUCT(ABS(F12:F28))</f>
        <v>0</v>
      </c>
    </row>
    <row r="34" customFormat="false" ht="15" hidden="false" customHeight="false" outlineLevel="0" collapsed="false">
      <c r="C34" s="42" t="s">
        <v>178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2026-10-15T08:46:53Z</dcterms:created>
  <dc:creator>openpyxl</dc:creator>
  <dc:description/>
  <dc:language>en-US</dc:language>
  <cp:lastModifiedBy/>
  <dcterms:modified xsi:type="dcterms:W3CDTF">2026-10-15T08:47:01Z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