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Dashboard!$H$113:$R$113</definedName>
    <definedName function="false" hidden="false" name="Buyer_IRR_L_2_Stored" vbProcedure="false">Dashboard!$H$114:$R$114</definedName>
    <definedName function="false" hidden="false" name="Buyer_IRR_U_1_Stored" vbProcedure="false">Dashboard!$H$111:$R$111</definedName>
    <definedName function="false" hidden="false" name="Buyer_IRR_U_2_Stored" vbProcedure="false">Dashboard!$H$112:$R$112</definedName>
    <definedName function="false" hidden="false" name="Checks_1_Stored" vbProcedure="false">Dashboard!$H$117:$R$117</definedName>
    <definedName function="false" hidden="false" name="Checks_2_Stored" vbProcedure="false">Dashboard!$H$118:$R$118</definedName>
    <definedName function="false" hidden="false" name="COD_IRR_1_Stored" vbProcedure="false">Dashboard!$H$99:$R$99</definedName>
    <definedName function="false" hidden="false" name="COD_IRR_2_Stored" vbProcedure="false">Dashboard!$H$100:$R$100</definedName>
    <definedName function="false" hidden="false" name="COD_MOIC_1_Stored" vbProcedure="false">Dashboard!$H$101:$R$101</definedName>
    <definedName function="false" hidden="false" name="COD_MOIC_2_Stored" vbProcedure="false">Dashboard!$H$102:$R$102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Dashboard!$H$107:$R$107</definedName>
    <definedName function="false" hidden="false" name="Debt_COD_2_Stored" vbProcedure="false">Dashboard!$H$108:$R$108</definedName>
    <definedName function="false" hidden="false" name="Equity_COD_1_Stored" vbProcedure="false">Dashboard!$H$109:$R$109</definedName>
    <definedName function="false" hidden="false" name="Equity_COD_2_Stored" vbProcedure="false">Dashboard!$H$110:$R$110</definedName>
    <definedName function="false" hidden="false" name="GoalSeek_Topics" vbProcedure="false">Inputs!$F$107</definedName>
    <definedName function="false" hidden="false" name="HTM_IRR_1_Stored" vbProcedure="false">Dashboard!$H$103:$R$103</definedName>
    <definedName function="false" hidden="false" name="HTM_IRR_2_Stored" vbProcedure="false">Dashboard!$H$104:$R$104</definedName>
    <definedName function="false" hidden="false" name="HTM_MOIC_1_Stored" vbProcedure="false">Dashboard!$H$105:$R$105</definedName>
    <definedName function="false" hidden="false" name="HTM_MOIC_2_Stored" vbProcedure="false">Dashboard!$H$106:$R$106</definedName>
    <definedName function="false" hidden="false" name="In_Admin" vbProcedure="false">Inputs!$F$87</definedName>
    <definedName function="false" hidden="false" name="In_Award_Date" vbProcedure="false">Inputs!$F$22</definedName>
    <definedName function="false" hidden="false" name="In_Bench_BESS" vbProcedure="false">Inputs!$F$59</definedName>
    <definedName function="false" hidden="false" name="In_Bench_Wind" vbProcedure="false">Inputs!$F$60</definedName>
    <definedName function="false" hidden="false" name="In_BESS_Built" vbProcedure="false">Inputs!$F$54</definedName>
    <definedName function="false" hidden="false" name="In_BESS_Capex" vbProcedure="false">Inputs!$F$76</definedName>
    <definedName function="false" hidden="false" name="In_Bid_Date" vbProcedure="false">Inputs!$F$21</definedName>
    <definedName function="false" hidden="false" name="In_Bid_Rate" vbProcedure="false">Inputs!$F$62</definedName>
    <definedName function="false" hidden="false" name="In_Bottleneck_Loss" vbProcedure="false">Inputs!$F$53</definedName>
    <definedName function="false" hidden="false" name="In_Capex_Contingency" vbProcedure="false">Inputs!$F$75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Inputs!$F$102</definedName>
    <definedName function="false" hidden="false" name="In_Curtailment" vbProcedure="false">Inputs!$F$80</definedName>
    <definedName function="false" hidden="false" name="In_DD" vbProcedure="false">Inputs!$F$35</definedName>
    <definedName function="false" hidden="false" name="In_Debt_Rate" vbProcedure="false">Inputs!$F$100</definedName>
    <definedName function="false" hidden="false" name="In_Debt_Tenor" vbProcedure="false">Inputs!$F$99</definedName>
    <definedName function="false" hidden="false" name="In_Decision_Date" vbProcedure="false">Inputs!$F$23</definedName>
    <definedName function="false" hidden="false" name="In_Degradation" vbProcedure="false">Inputs!$F$81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Inputs!$F$65</definedName>
    <definedName function="false" hidden="false" name="In_Discount_Rate" vbProcedure="false">Inputs!$F$40</definedName>
    <definedName function="false" hidden="false" name="In_DSCR" vbProcedure="false">Inputs!$F$98</definedName>
    <definedName function="false" hidden="false" name="In_DSCR_Max_High" vbProcedure="false">Inputs!$F$97</definedName>
    <definedName function="false" hidden="false" name="In_DSCR_Max_Low" vbProcedure="false">Inputs!$F$96</definedName>
    <definedName function="false" hidden="false" name="In_DSRA_Months" vbProcedure="false">Inputs!$F$103</definedName>
    <definedName function="false" hidden="false" name="In_Fixed_Opex" vbProcedure="false">Inputs!$F$85</definedName>
    <definedName function="false" hidden="false" name="In_FX" vbProcedure="false">Inputs!$F$33</definedName>
    <definedName function="false" hidden="false" name="In_Gearing" vbProcedure="false">Inputs!$F$95</definedName>
    <definedName function="false" hidden="false" name="In_Guarantee_Fee" vbProcedure="false">Inputs!$F$67</definedName>
    <definedName function="false" hidden="false" name="In_HCSSZ_Date" vbProcedure="false">Inputs!$F$27</definedName>
    <definedName function="false" hidden="false" name="In_HIPA" vbProcedure="false">Inputs!$F$91</definedName>
    <definedName function="false" hidden="false" name="In_Indirect_Fee" vbProcedure="false">Inputs!$F$66</definedName>
    <definedName function="false" hidden="false" name="In_Innovation" vbProcedure="false">Inputs!$F$92</definedName>
    <definedName function="false" hidden="false" name="In_Lease" vbProcedure="false">Inputs!$F$86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Inputs!$F$90</definedName>
    <definedName function="false" hidden="false" name="In_Min_Hours" vbProcedure="false">Inputs!$F$55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Inputs!$F$88</definedName>
    <definedName function="false" hidden="false" name="In_Opex_Esc" vbProcedure="false">Inputs!$F$89</definedName>
    <definedName function="false" hidden="false" name="In_Other_Wind" vbProcedure="false">Inputs!$F$72</definedName>
    <definedName function="false" hidden="false" name="In_Overbuild_Built" vbProcedure="false">Inputs!$F$52</definedName>
    <definedName function="false" hidden="false" name="In_P50_Hours" vbProcedure="false">Inputs!$F$79</definedName>
    <definedName function="false" hidden="false" name="In_Part_Fee" vbProcedure="false">Inputs!$F$61</definedName>
    <definedName function="false" hidden="false" name="In_PB_Days" vbProcedure="false">Inputs!$F$24</definedName>
    <definedName function="false" hidden="false" name="In_PB_Rate" vbProcedure="false">Inputs!$F$63</definedName>
    <definedName function="false" hidden="false" name="In_PB_Release" vbProcedure="false">Inputs!$F$30</definedName>
    <definedName function="false" hidden="false" name="In_PPA_Esc" vbProcedure="false">Inputs!$F$83</definedName>
    <definedName function="false" hidden="false" name="In_PPA_Price" vbProcedure="false">Inputs!$F$82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Inputs!$F$58</definedName>
    <definedName function="false" hidden="false" name="In_Sanction_Regime" vbProcedure="false">Inputs!$F$57</definedName>
    <definedName function="false" hidden="false" name="In_Substation" vbProcedure="false">Inputs!$F$73</definedName>
    <definedName function="false" hidden="false" name="In_Substation_CN" vbProcedure="false">Inputs!$F$74</definedName>
    <definedName function="false" hidden="false" name="In_Tolerance_Cap" vbProcedure="false">Inputs!$F$56</definedName>
    <definedName function="false" hidden="false" name="In_TSO_Security" vbProcedure="false">Inputs!$F$64</definedName>
    <definedName function="false" hidden="false" name="In_Turbine" vbProcedure="false">Inputs!$F$70</definedName>
    <definedName function="false" hidden="false" name="In_Turbine_CN" vbProcedure="false">Inputs!$F$71</definedName>
    <definedName function="false" hidden="false" name="In_Upfront_Fee" vbProcedure="false">Inputs!$F$101</definedName>
    <definedName function="false" hidden="false" name="In_Var_Opex" vbProcedure="false">Inputs!$F$84</definedName>
    <definedName function="false" hidden="false" name="Live_Results" vbProcedure="false">Dashboard!$E$99:$E$118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Dashboard!$H$115:$R$115</definedName>
    <definedName function="false" hidden="false" name="Min_DSCR_2_Stored" vbProcedure="false">Dashboard!$H$116:$R$116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Buyer_IRR_L_1" vbProcedure="false">Dashboard!$E$75</definedName>
    <definedName function="false" hidden="false" name="Out_Buyer_IRR_L_2" vbProcedure="false">Dashboard!$F$75</definedName>
    <definedName function="false" hidden="false" name="Out_Buyer_IRR_U_1" vbProcedure="false">Dashboard!$E$74</definedName>
    <definedName function="false" hidden="false" name="Out_Buyer_IRR_U_2" vbProcedure="false">Dashboard!$F$74</definedName>
    <definedName function="false" hidden="false" name="Out_Capacity_Used_1" vbProcedure="false">Dashboard!$E$80</definedName>
    <definedName function="false" hidden="false" name="Out_Capacity_Used_2" vbProcedure="false">Dashboard!$F$80</definedName>
    <definedName function="false" hidden="false" name="Out_Checks_1" vbProcedure="false">Dashboard!$E$96</definedName>
    <definedName function="false" hidden="false" name="Out_Checks_2" vbProcedure="false">Dashboard!$F$96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Dashboard!$E$78</definedName>
    <definedName function="false" hidden="false" name="Out_Debt_Capacity_2" vbProcedure="false">Dashboard!$F$78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Max_High_1" vbProcedure="false">Dashboard!$E$85</definedName>
    <definedName function="false" hidden="false" name="Out_Debt_Max_High_2" vbProcedure="false">Dashboard!$F$85</definedName>
    <definedName function="false" hidden="false" name="Out_Debt_Max_High_Pct_1" vbProcedure="false">Dashboard!$E$86</definedName>
    <definedName function="false" hidden="false" name="Out_Debt_Max_High_Pct_2" vbProcedure="false">Dashboard!$F$86</definedName>
    <definedName function="false" hidden="false" name="Out_Debt_Max_Low_1" vbProcedure="false">Dashboard!$E$82</definedName>
    <definedName function="false" hidden="false" name="Out_Debt_Max_Low_2" vbProcedure="false">Dashboard!$F$82</definedName>
    <definedName function="false" hidden="false" name="Out_Debt_Max_Low_Pct_1" vbProcedure="false">Dashboard!$E$83</definedName>
    <definedName function="false" hidden="false" name="Out_Debt_Max_Low_Pct_2" vbProcedure="false">Dashboard!$F$83</definedName>
    <definedName function="false" hidden="false" name="Out_Debt_Share_1" vbProcedure="false">Dashboard!$E$79</definedName>
    <definedName function="false" hidden="false" name="Out_Debt_Share_2" vbProcedure="false">Dashboard!$F$79</definedName>
    <definedName function="false" hidden="false" name="Out_DSCR_Max_High_1" vbProcedure="false">Dashboard!$E$84</definedName>
    <definedName function="false" hidden="false" name="Out_DSCR_Max_High_2" vbProcedure="false">Dashboard!$F$84</definedName>
    <definedName function="false" hidden="false" name="Out_DSCR_Max_Low_1" vbProcedure="false">Dashboard!$E$81</definedName>
    <definedName function="false" hidden="false" name="Out_DSCR_Max_Low_2" vbProcedure="false">Dashboard!$F$81</definedName>
    <definedName function="false" hidden="false" name="Out_DSRA_1" vbProcedure="false">Dashboard!$E$87</definedName>
    <definedName function="false" hidden="false" name="Out_DSRA_2" vbProcedure="false">Dashboard!$F$87</definedName>
    <definedName function="false" hidden="false" name="Out_EBITDA_Life_1" vbProcedure="false">Dashboard!$E$93</definedName>
    <definedName function="false" hidden="false" name="Out_EBITDA_Life_2" vbProcedure="false">Dashboard!$F$93</definedName>
    <definedName function="false" hidden="false" name="Out_EBITDA_Year1_1" vbProcedure="false">Dashboard!$E$91</definedName>
    <definedName function="false" hidden="false" name="Out_EBITDA_Year1_2" vbProcedure="false">Dashboard!$F$91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Dashboard!$E$89</definedName>
    <definedName function="false" hidden="false" name="Out_Gen_Year1_2" vbProcedure="false">Dashboard!$F$89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Dashboard!$E$88</definedName>
    <definedName function="false" hidden="false" name="Out_Min_DSCR_2" vbProcedure="false">Dashboard!$F$88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Dashboard!$E$92</definedName>
    <definedName function="false" hidden="false" name="Out_Revenue_Life_2" vbProcedure="false">Dashboard!$F$92</definedName>
    <definedName function="false" hidden="false" name="Out_Revenue_Year1_1" vbProcedure="false">Dashboard!$E$90</definedName>
    <definedName function="false" hidden="false" name="Out_Revenue_Year1_2" vbProcedure="false">Dashboard!$F$90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Dashboard!$E$94</definedName>
    <definedName function="false" hidden="false" name="Out_Tax_Life_2" vbProcedure="false">Dashboard!$F$94</definedName>
    <definedName function="false" hidden="false" name="Out_Tax_Losses_Lapsed_1" vbProcedure="false">Dashboard!$E$95</definedName>
    <definedName function="false" hidden="false" name="Out_Tax_Losses_Lapsed_2" vbProcedure="false">Dashboard!$F$95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Inputs!$F$50</definedName>
    <definedName function="false" hidden="false" name="Scenario_Name" vbProcedure="false">Dashboard!$V$12</definedName>
    <definedName function="false" hidden="false" name="Scenario_Names" vbProcedure="false">Inputs!$H$7:$R$7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Inputs!$F$106</definedName>
    <definedName function="false" hidden="false" name="Stored_Results" vbProcedure="false">Dashboard!$H$99:$R$118</definedName>
    <definedName function="false" hidden="false" name="Tax_1_Copy" vbProcedure="false">Calc_1!$J$108:$EO$108</definedName>
    <definedName function="false" hidden="false" name="Tax_1_Delta" vbProcedure="false">Calc_1!$I$109</definedName>
    <definedName function="false" hidden="false" name="Tax_1_Paste" vbProcedure="false">Calc_1!$J$82:$EO$82</definedName>
    <definedName function="false" hidden="false" name="Tax_2_Copy" vbProcedure="false">Calc_2!$J$108:$EO$108</definedName>
    <definedName function="false" hidden="false" name="Tax_2_Delta" vbProcedure="false">Calc_2!$I$109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<sst xmlns="http://schemas.openxmlformats.org/spreadsheetml/2006/main" count="1196" uniqueCount="506">
  <si>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</si>
  <si>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</si>
  <si>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</si>
  <si>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</si>
  <si>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</si>
  <si>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</si>
  <si>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</si>
  <si>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</si>
  <si>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</si>
  <si>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</si>
  <si>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</si>
  <si>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</si>
  <si>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</si>
  <si>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</si>
  <si>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</si>
  <si>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</si>
  <si>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</si>
  <si>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</si>
  <si>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</si>
  <si>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</si>
  <si>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</si>
  <si>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</si>
  <si>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</si>
  <si>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</si>
  <si>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</si>
  <si>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</si>
  <si>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</si>
  <si>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</si>
  <si>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</si>
  <si>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</si>
  <si>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</si>
  <si>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</si>
  <si>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</si>
  <si>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</si>
  <si>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</si>
  <si>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</si>
  <si>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</si>
  <si>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</si>
  <si>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</si>
  <si>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</si>
  <si>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</si>
  <si>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</si>
  <si>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</si>
  <si>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</si>
  <si>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</si>
  <si>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</si>
  <si>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</si>
  <si>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</si>
  <si>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</si>
  <si>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</si>
  <si>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</si>
  <si>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</si>
  <si>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</si>
  <si>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</si>
  <si>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</si>
  <si>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</si>
  <si>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</si>
  <si>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</si>
  <si>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</si>
  <si>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</si>
  <si>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</si>
  <si>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</si>
  <si>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</si>
  <si>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</si>
  <si>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</si>
  <si>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</si>
  <si>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</si>
  <si>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</si>
  <si>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</si>
  <si>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</si>
  <si>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</si>
  <si>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</si>
  <si>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</si>
  <si>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</si>
  <si>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</si>
  <si>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</si>
  <si>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</si>
  <si>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</si>
  <si>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</si>
  <si>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</si>
  <si>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</si>
  <si>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</si>
  <si>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</si>
  <si>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</si>
  <si>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</si>
  <si>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</si>
  <si>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</si>
  <si>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</si>
  <si>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</si>
  <si>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</si>
  <si>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</si>
  <si>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</si>
  <si>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</si>
  <si>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</si>
  <si>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</si>
  <si>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</si>
  <si>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</si>
  <si>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</si>
  <si>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</si>
  <si>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</si>
  <si>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</si>
  <si>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</si>
  <si>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</si>
  <si>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</si>
  <si>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</si>
  <si>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</si>
  <si>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</si>
  <si>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</si>
  <si>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</si>
  <si>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</si>
  <si>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</si>
  <si>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</si>
  <si>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</si>
  <si>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</si>
  <si>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</si>
  <si>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</si>
  <si>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</si>
  <si>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</si>
  <si>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</si>
  <si>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</si>
  <si>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</si>
  <si>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</si>
  <si>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</si>
  <si>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</si>
  <si>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</si>
  <si>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</si>
  <si>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</si>
  <si>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</si>
  <si>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</si>
  <si>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</si>
  <si>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</si>
  <si>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</si>
  <si>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</si>
  <si>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</si>
  <si>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</si>
  <si>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</si>
  <si>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</si>
  <si>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</si>
  <si>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</si>
  <si>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</si>
  <si>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</si>
  <si>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</si>
  <si>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</si>
  <si>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</si>
  <si>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</si>
  <si>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</si>
  <si>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</si>
  <si>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</si>
  <si>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</si>
  <si>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</si>
  <si>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</si>
  <si>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</si>
  <si>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</si>
  <si>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</si>
  <si>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</si>
  <si>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</si>
  <si>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</si>
  <si>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</si>
  <si>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</si>
  <si>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</si>
  <si>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</si>
  <si>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</si>
  <si>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</si>
  <si>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</si>
  <si>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</si>
  <si>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</si>
  <si>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</si>
  <si>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</si>
  <si>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</si>
  <si>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</si>
  <si>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</si>
  <si>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</si>
  <si>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</si>
  <si>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</si>
  <si>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</si>
  <si>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</si>
  <si>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</si>
  <si>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</si>
  <si>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</si>
  <si>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</si>
  <si>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</si>
  <si>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</si>
  <si>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</si>
  <si>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No Robin Hood</t>
  </si>
  <si>
    <t xml:space="preserve">CIT 9%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</si>
  <si>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</si>
  <si>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</si>
  <si>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</si>
  <si>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</si>
  <si>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</si>
  <si>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</si>
  <si>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</si>
  <si>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</si>
  <si>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</si>
  <si>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</si>
  <si>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</si>
  <si>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</si>
  <si>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</si>
  <si>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</si>
  <si>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</si>
  <si>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</si>
  <si>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</si>
  <si>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</si>
  <si>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</si>
  <si>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</si>
  <si>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</si>
  <si>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</si>
  <si>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</si>
  <si>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</si>
  <si>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</si>
  <si>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</si>
  <si>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</si>
  <si>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</si>
  <si>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</si>
  <si>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</si>
  <si>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</si>
  <si>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</si>
  <si>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</si>
  <si>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</si>
  <si>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</si>
  <si>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</si>
  <si>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</si>
  <si>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</si>
  <si>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</si>
  <si>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</si>
  <si>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</si>
  <si>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</si>
  <si>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</si>
  <si>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</si>
  <si>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</si>
  <si>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</si>
  <si>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</si>
  <si>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</si>
  <si>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</si>
  <si>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</si>
  <si>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</si>
  <si>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</si>
  <si>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</si>
  <si>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</si>
  <si>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</si>
  <si>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</si>
  <si>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</si>
  <si>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</si>
  <si>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Thtv. 2008/LXVII; exempt only KÁT/METÁR ≤ 50 MW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</si>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</sst>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2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T11" s="9" t="s">
        <v>5</v>
      </c>
      <c r="U11" s="9"/>
      <c r="V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T12" s="13" t="s">
        <v>5</v>
      </c>
      <c r="U12" s="11" t="s">
        <v>21</v>
      </c>
      <c r="V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T14" s="9" t="s">
        <v>29</v>
      </c>
      <c r="U14" s="9"/>
      <c r="V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T15" s="13" t="s">
        <v>32</v>
      </c>
      <c r="U15" s="11" t="s">
        <v>33</v>
      </c>
      <c r="V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T16" s="13" t="s">
        <v>37</v>
      </c>
      <c r="U16" s="11" t="s">
        <v>38</v>
      </c>
      <c r="V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T17" s="13" t="s">
        <v>41</v>
      </c>
      <c r="U17" s="11" t="s">
        <v>27</v>
      </c>
      <c r="V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T18" s="13" t="s">
        <v>45</v>
      </c>
      <c r="U18" s="11" t="s">
        <v>43</v>
      </c>
      <c r="V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T19" s="13" t="s">
        <v>47</v>
      </c>
      <c r="U19" s="11" t="s">
        <v>19</v>
      </c>
      <c r="V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T20" s="13" t="s">
        <v>49</v>
      </c>
      <c r="U20" s="11" t="s">
        <v>19</v>
      </c>
      <c r="V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T21" s="13" t="s">
        <v>51</v>
      </c>
      <c r="U21" s="11" t="s">
        <v>19</v>
      </c>
      <c r="V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T22" s="13" t="s">
        <v>54</v>
      </c>
      <c r="U22" s="11" t="s">
        <v>19</v>
      </c>
      <c r="V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T23" s="13" t="s">
        <v>56</v>
      </c>
      <c r="U23" s="11" t="s">
        <v>57</v>
      </c>
      <c r="V23" s="18" t="n">
        <f aca="false">In_P50_Hours</f>
        <v>2600</v>
      </c>
    </row>
    <row r="24" customFormat="false" ht="15" hidden="false" customHeight="false" outlineLevel="0" collapsed="false">
      <c r="T24" s="0" t="s">
        <v>58</v>
      </c>
      <c r="U24" s="11" t="s">
        <v>24</v>
      </c>
      <c r="V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T25" s="13" t="s">
        <v>60</v>
      </c>
      <c r="U25" s="11" t="s">
        <v>27</v>
      </c>
      <c r="V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T26" s="13" t="s">
        <v>63</v>
      </c>
      <c r="U26" s="11" t="s">
        <v>13</v>
      </c>
      <c r="V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T27" s="13" t="s">
        <v>65</v>
      </c>
      <c r="U27" s="11" t="s">
        <v>66</v>
      </c>
      <c r="V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T28" s="13" t="s">
        <v>68</v>
      </c>
      <c r="U28" s="11" t="s">
        <v>27</v>
      </c>
      <c r="V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T29" s="13" t="s">
        <v>71</v>
      </c>
      <c r="U29" s="11" t="s">
        <v>27</v>
      </c>
      <c r="V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T30" s="13" t="s">
        <v>73</v>
      </c>
      <c r="U30" s="11" t="s">
        <v>43</v>
      </c>
      <c r="V30" s="24" t="n">
        <f aca="false">In_RH_On</f>
        <v>1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T31" s="13" t="s">
        <v>75</v>
      </c>
      <c r="U31" s="11" t="s">
        <v>27</v>
      </c>
      <c r="V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T32" s="13" t="s">
        <v>77</v>
      </c>
      <c r="U32" s="11" t="s">
        <v>78</v>
      </c>
      <c r="V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Calc_1!$I130/Thousand</f>
        <v>21.8725390544187</v>
      </c>
      <c r="F37" s="32" t="n">
        <f aca="false">Calc_2!$I130/Thousand</f>
        <v>31.0553290062136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Calc_1!$E131</f>
        <v>0.284084033636541</v>
      </c>
      <c r="F38" s="33" t="n">
        <f aca="false">Calc_2!$E131</f>
        <v>0.431605205102548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Calc_1!$E132</f>
        <v>1.40784965721905</v>
      </c>
      <c r="F39" s="29" t="n">
        <f aca="false">Calc_2!$E132</f>
        <v>1.75852383469303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Calc_1!$E133/Thousand</f>
        <v>12.2778594824033</v>
      </c>
      <c r="F40" s="32" t="n">
        <f aca="false">Calc_2!$E133/Thousand</f>
        <v>19.8480948232429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Calc_1!$I143/Thousand</f>
        <v>82.3794023902795</v>
      </c>
      <c r="F41" s="32" t="n">
        <f aca="false">Calc_2!$I143/Thousand</f>
        <v>102.117042480728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Calc_1!$E144</f>
        <v>0.0606372162720292</v>
      </c>
      <c r="F42" s="33" t="n">
        <f aca="false">Calc_2!$E144</f>
        <v>0.0905083310230022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Calc_1!$E145</f>
        <v>2.50006512414899</v>
      </c>
      <c r="F43" s="29" t="n">
        <f aca="false">Calc_2!$E145</f>
        <v>3.43770962247376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Calc_1!$E146/Thousand</f>
        <v>-9.32870600235519</v>
      </c>
      <c r="F44" s="32" t="n">
        <f aca="false">Calc_2!$E146/Thousand</f>
        <v>4.13474323761697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Calc_1!$E142</f>
        <v>0.0590875963218425</v>
      </c>
      <c r="F45" s="22" t="n">
        <f aca="false">Calc_2!$E142</f>
        <v>0.078458129237195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Calc_1!$E112/Thousand</f>
        <v>5.15</v>
      </c>
      <c r="F48" s="32" t="n">
        <f aca="false">Calc_2!$E112/Thousand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Calc_1!$E113/Thousand</f>
        <v>1.11492155376243</v>
      </c>
      <c r="F49" s="32" t="n">
        <f aca="false">Calc_2!$E113/Thousand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Calc_1!$E114/Thousand</f>
        <v>90.36375</v>
      </c>
      <c r="F50" s="32" t="n">
        <f aca="false">Calc_2!$E114/Thousand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Calc_1!$E115/Thousand</f>
        <v>8.15482315068493</v>
      </c>
      <c r="F51" s="32" t="n">
        <f aca="false">Calc_2!$E115/Thousand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Calc_1!$E116/Thousand</f>
        <v>2.5</v>
      </c>
      <c r="F52" s="32" t="n">
        <f aca="false">Calc_2!$E116/Thousand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Calc_1!$E117/Thousand</f>
        <v>4.14129604359987</v>
      </c>
      <c r="F53" s="32" t="n">
        <f aca="false">Calc_2!$E117/Thousand</f>
        <v>3.04350609180492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Calc_1!$E118/Thousand</f>
        <v>0.340170197534084</v>
      </c>
      <c r="F54" s="32" t="n">
        <f aca="false">Calc_2!$E118/Thousand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Calc_1!$E119/Thousand</f>
        <v>111.764960945581</v>
      </c>
      <c r="F55" s="26" t="n">
        <f aca="false">Calc_2!$E119/Thousand</f>
        <v>83.4196709937864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Calc_1!$E94/Thousand</f>
        <v>58.1360350233236</v>
      </c>
      <c r="F56" s="32" t="n">
        <f aca="false">Calc_2!$E94/Thousand</f>
        <v>42.4778738005823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Calc_1!$E120/Thousand</f>
        <v>53.6289259222578</v>
      </c>
      <c r="F57" s="26" t="n">
        <f aca="false">Calc_2!$E120/Thousand</f>
        <v>40.9417971932041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Calc_1!$F120/Thousand</f>
        <v>54.9172173021585</v>
      </c>
      <c r="F58" s="32" t="n">
        <f aca="false">Calc_2!$F120/Thousand</f>
        <v>41.89056872865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Calc_1!$E121</f>
        <v>0.520163336804906</v>
      </c>
      <c r="F59" s="22" t="n">
        <f aca="false">Calc_2!$E121</f>
        <v>0.509206920796251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  <c r="P61" s="9"/>
      <c r="Q61" s="9"/>
      <c r="R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Calc_1!$E127/Thousand</f>
        <v>134.1375</v>
      </c>
      <c r="F71" s="32" t="n">
        <f aca="false">Calc_2!$E127/Thousand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Calc_1!$E128/Thousand</f>
        <v>75.5014649766765</v>
      </c>
      <c r="F72" s="32" t="n">
        <f aca="false">Calc_2!$E128/Thousand</f>
        <v>71.9971261994177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Calc_1!$E129/Thousand</f>
        <v>-0</v>
      </c>
      <c r="F73" s="32" t="n">
        <f aca="false">Calc_2!$E129/Thousand</f>
        <v>-0</v>
      </c>
    </row>
    <row r="74" customFormat="false" ht="15" hidden="false" customHeight="false" outlineLevel="0" collapsed="false">
      <c r="C74" s="25" t="s">
        <v>124</v>
      </c>
      <c r="D74" s="11" t="s">
        <v>27</v>
      </c>
      <c r="E74" s="33" t="n">
        <f aca="false">Calc_1!$E136</f>
        <v>0.0429903921440367</v>
      </c>
      <c r="F74" s="33" t="n">
        <f aca="false">Calc_2!$E136</f>
        <v>0.0492800304534111</v>
      </c>
    </row>
    <row r="75" customFormat="false" ht="15" hidden="false" customHeight="false" outlineLevel="0" collapsed="false">
      <c r="C75" s="0" t="s">
        <v>125</v>
      </c>
      <c r="D75" s="11" t="s">
        <v>27</v>
      </c>
      <c r="E75" s="22" t="n">
        <f aca="false">Calc_1!$E138</f>
        <v>0.0387114953684034</v>
      </c>
      <c r="F75" s="22" t="n">
        <f aca="false">Calc_2!$E138</f>
        <v>0.0480650884558693</v>
      </c>
    </row>
    <row r="77" customFormat="false" ht="15" hidden="false" customHeight="false" outlineLevel="0" collapsed="false">
      <c r="A77" s="9" t="s">
        <v>13</v>
      </c>
      <c r="B77" s="9"/>
      <c r="C77" s="9" t="s">
        <v>126</v>
      </c>
      <c r="D77" s="9"/>
      <c r="E77" s="10" t="s">
        <v>9</v>
      </c>
      <c r="F77" s="10" t="s">
        <v>10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customFormat="false" ht="15" hidden="false" customHeight="false" outlineLevel="0" collapsed="false">
      <c r="C78" s="0" t="s">
        <v>127</v>
      </c>
      <c r="D78" s="11" t="s">
        <v>80</v>
      </c>
      <c r="E78" s="32" t="n">
        <f aca="false">Calc_1!$E84/Thousand</f>
        <v>85.072313077921</v>
      </c>
      <c r="F78" s="32" t="n">
        <f aca="false">Calc_2!$E84/Thousand</f>
        <v>76.5408208489166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Calc_1!$E85</f>
        <v>0.55</v>
      </c>
      <c r="F79" s="22" t="n">
        <f aca="false">Calc_2!$E85</f>
        <v>0.55</v>
      </c>
    </row>
    <row r="80" customFormat="false" ht="15" hidden="false" customHeight="false" outlineLevel="0" collapsed="false">
      <c r="C80" s="0" t="s">
        <v>129</v>
      </c>
      <c r="D80" s="11" t="s">
        <v>27</v>
      </c>
      <c r="E80" s="22" t="n">
        <f aca="false">Calc_1!$F85</f>
        <v>0.683371979906959</v>
      </c>
      <c r="F80" s="22" t="n">
        <f aca="false">Calc_2!$F85</f>
        <v>0.554970188841182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In_DSCR_Max_Low</f>
        <v>1.1</v>
      </c>
      <c r="F81" s="29" t="n">
        <f aca="false">In_DSCR_Max_Low</f>
        <v>1.1</v>
      </c>
    </row>
    <row r="82" customFormat="false" ht="15" hidden="false" customHeight="false" outlineLevel="0" collapsed="false">
      <c r="C82" s="0" t="s">
        <v>131</v>
      </c>
      <c r="D82" s="11" t="s">
        <v>80</v>
      </c>
      <c r="E82" s="32" t="n">
        <f aca="false">Calc_1!$E122/Thousand</f>
        <v>92.8061597213684</v>
      </c>
      <c r="F82" s="32" t="n">
        <f aca="false">Calc_2!$E122/Thousand</f>
        <v>83.4990772897272</v>
      </c>
    </row>
    <row r="83" customFormat="false" ht="15" hidden="false" customHeight="false" outlineLevel="0" collapsed="false">
      <c r="C83" s="0" t="s">
        <v>132</v>
      </c>
      <c r="D83" s="11" t="s">
        <v>27</v>
      </c>
      <c r="E83" s="22" t="n">
        <f aca="false">Calc_1!$E123</f>
        <v>0.830369007747929</v>
      </c>
      <c r="F83" s="22" t="n">
        <f aca="false">Calc_2!$E123</f>
        <v>1.0009518893445</v>
      </c>
    </row>
    <row r="84" customFormat="false" ht="15" hidden="false" customHeight="false" outlineLevel="0" collapsed="false">
      <c r="C84" s="0" t="s">
        <v>133</v>
      </c>
      <c r="D84" s="11" t="s">
        <v>13</v>
      </c>
      <c r="E84" s="29" t="n">
        <f aca="false">In_DSCR_Max_High</f>
        <v>1.2</v>
      </c>
      <c r="F84" s="29" t="n">
        <f aca="false">In_DSCR_Max_High</f>
        <v>1.2</v>
      </c>
    </row>
    <row r="85" customFormat="false" ht="15" hidden="false" customHeight="false" outlineLevel="0" collapsed="false">
      <c r="C85" s="0" t="s">
        <v>134</v>
      </c>
      <c r="D85" s="11" t="s">
        <v>80</v>
      </c>
      <c r="E85" s="32" t="n">
        <f aca="false">Calc_1!$F122/Thousand</f>
        <v>85.072313077921</v>
      </c>
      <c r="F85" s="32" t="n">
        <f aca="false">Calc_2!$F122/Thousand</f>
        <v>76.5408208489166</v>
      </c>
    </row>
    <row r="86" customFormat="false" ht="15" hidden="false" customHeight="false" outlineLevel="0" collapsed="false">
      <c r="C86" s="0" t="s">
        <v>135</v>
      </c>
      <c r="D86" s="11" t="s">
        <v>27</v>
      </c>
      <c r="E86" s="22" t="n">
        <f aca="false">Calc_1!$F123</f>
        <v>0.761171590435601</v>
      </c>
      <c r="F86" s="22" t="n">
        <f aca="false">Calc_2!$F123</f>
        <v>0.917539231899127</v>
      </c>
    </row>
    <row r="87" customFormat="false" ht="15" hidden="false" customHeight="false" outlineLevel="0" collapsed="false">
      <c r="C87" s="0" t="s">
        <v>136</v>
      </c>
      <c r="D87" s="11" t="s">
        <v>80</v>
      </c>
      <c r="E87" s="32" t="n">
        <f aca="false">Calc_1!$E97/Thousand</f>
        <v>1.2882913799007</v>
      </c>
      <c r="F87" s="32" t="n">
        <f aca="false">Calc_2!$E97/Thousand</f>
        <v>0.948771535445926</v>
      </c>
    </row>
    <row r="88" customFormat="false" ht="15" hidden="false" customHeight="false" outlineLevel="0" collapsed="false">
      <c r="C88" s="0" t="s">
        <v>137</v>
      </c>
      <c r="D88" s="11" t="s">
        <v>13</v>
      </c>
      <c r="E88" s="29" t="n">
        <f aca="false">Calc_1!$E98</f>
        <v>1.75599824880643</v>
      </c>
      <c r="F88" s="29" t="n">
        <f aca="false">Calc_2!$E98</f>
        <v>2.16227830634594</v>
      </c>
    </row>
    <row r="89" customFormat="false" ht="15" hidden="false" customHeight="false" outlineLevel="0" collapsed="false">
      <c r="C89" s="0" t="s">
        <v>138</v>
      </c>
      <c r="D89" s="11" t="s">
        <v>139</v>
      </c>
      <c r="E89" s="36" t="n">
        <f aca="false">Calc_1!$E71/Thousand</f>
        <v>139.3975128</v>
      </c>
      <c r="F89" s="36" t="n">
        <f aca="false">Calc_2!$E71/Thousand</f>
        <v>139.3975128</v>
      </c>
    </row>
    <row r="90" customFormat="false" ht="15" hidden="false" customHeight="false" outlineLevel="0" collapsed="false">
      <c r="C90" s="0" t="s">
        <v>140</v>
      </c>
      <c r="D90" s="11" t="s">
        <v>80</v>
      </c>
      <c r="E90" s="32" t="n">
        <f aca="false">Calc_1!$E72/Thousand</f>
        <v>12.67123391352</v>
      </c>
      <c r="F90" s="32" t="n">
        <f aca="false">Calc_2!$E72/Thousand</f>
        <v>12.67123391352</v>
      </c>
    </row>
    <row r="91" customFormat="false" ht="15" hidden="false" customHeight="false" outlineLevel="0" collapsed="false">
      <c r="C91" s="0" t="s">
        <v>141</v>
      </c>
      <c r="D91" s="11" t="s">
        <v>80</v>
      </c>
      <c r="E91" s="32" t="n">
        <f aca="false">Calc_1!$E79/Thousand</f>
        <v>9.55688408374485</v>
      </c>
      <c r="F91" s="32" t="n">
        <f aca="false">Calc_2!$E79/Thousand</f>
        <v>9.55688408374485</v>
      </c>
    </row>
    <row r="92" customFormat="false" ht="15" hidden="false" customHeight="false" outlineLevel="0" collapsed="false">
      <c r="C92" s="0" t="s">
        <v>142</v>
      </c>
      <c r="D92" s="11" t="s">
        <v>80</v>
      </c>
      <c r="E92" s="32" t="n">
        <f aca="false">Calc_1!$I72/Thousand</f>
        <v>420.752711777652</v>
      </c>
      <c r="F92" s="32" t="n">
        <f aca="false">Calc_2!$I72/Thousand</f>
        <v>420.752711777652</v>
      </c>
    </row>
    <row r="93" customFormat="false" ht="15" hidden="false" customHeight="false" outlineLevel="0" collapsed="false">
      <c r="C93" s="0" t="s">
        <v>143</v>
      </c>
      <c r="D93" s="11" t="s">
        <v>80</v>
      </c>
      <c r="E93" s="32" t="n">
        <f aca="false">Calc_1!$I79/Thousand</f>
        <v>295.37332772584</v>
      </c>
      <c r="F93" s="32" t="n">
        <f aca="false">Calc_2!$I79/Thousand</f>
        <v>295.37332772584</v>
      </c>
    </row>
    <row r="94" customFormat="false" ht="15" hidden="false" customHeight="false" outlineLevel="0" collapsed="false">
      <c r="C94" s="0" t="s">
        <v>144</v>
      </c>
      <c r="D94" s="11" t="s">
        <v>80</v>
      </c>
      <c r="E94" s="32" t="n">
        <f aca="false">(SUM(Calc_1!$J108:$EO108))/Thousand</f>
        <v>-71.6981853217072</v>
      </c>
      <c r="F94" s="32" t="n">
        <f aca="false">(SUM(Calc_2!$J108:$EO108))/Thousand</f>
        <v>-88.1243260668457</v>
      </c>
    </row>
    <row r="95" customFormat="false" ht="15" hidden="false" customHeight="false" outlineLevel="0" collapsed="false">
      <c r="C95" s="0" t="s">
        <v>145</v>
      </c>
      <c r="D95" s="11" t="s">
        <v>80</v>
      </c>
      <c r="E95" s="32" t="n">
        <f aca="false">(-Calc_1!$I106)/Thousand</f>
        <v>0.514765221500571</v>
      </c>
      <c r="F95" s="32" t="n">
        <f aca="false">(-Calc_2!$I106)/Thousand</f>
        <v>-0</v>
      </c>
    </row>
    <row r="96" customFormat="false" ht="15" hidden="false" customHeight="false" outlineLevel="0" collapsed="false">
      <c r="C96" s="0" t="s">
        <v>146</v>
      </c>
      <c r="D96" s="11" t="s">
        <v>147</v>
      </c>
      <c r="E96" s="30" t="n">
        <f aca="false">Model_Checks</f>
        <v>0</v>
      </c>
      <c r="F96" s="30" t="n">
        <f aca="false">Model_Checks</f>
        <v>0</v>
      </c>
    </row>
    <row r="98" customFormat="false" ht="15" hidden="false" customHeight="false" outlineLevel="0" collapsed="false">
      <c r="A98" s="9" t="s">
        <v>13</v>
      </c>
      <c r="B98" s="9"/>
      <c r="C98" s="9" t="s">
        <v>148</v>
      </c>
      <c r="D98" s="9"/>
      <c r="E98" s="10" t="s">
        <v>12</v>
      </c>
      <c r="F98" s="10"/>
      <c r="G98" s="9"/>
      <c r="H98" s="10" t="str">
        <f aca="false">Inputs!H$7</f>
        <v>Base</v>
      </c>
      <c r="I98" s="10" t="str">
        <f aca="false">Inputs!I$7</f>
        <v>COD price −10%</v>
      </c>
      <c r="J98" s="10" t="str">
        <f aca="false">Inputs!J$7</f>
        <v>COD price +10%</v>
      </c>
      <c r="K98" s="10" t="str">
        <f aca="false">Inputs!K$7</f>
        <v>Turbine +10%</v>
      </c>
      <c r="L98" s="10" t="str">
        <f aca="false">Inputs!L$7</f>
        <v>Yield −10%</v>
      </c>
      <c r="M98" s="10" t="str">
        <f aca="false">Inputs!M$7</f>
        <v>PPA +10%</v>
      </c>
      <c r="N98" s="10" t="str">
        <f aca="false">Inputs!N$7</f>
        <v>Full PB call</v>
      </c>
      <c r="O98" s="10" t="str">
        <f aca="false">Inputs!O$7</f>
        <v>Rate +1 pp</v>
      </c>
      <c r="P98" s="10" t="str">
        <f aca="false">Inputs!P$7</f>
        <v>Tenor 10 years</v>
      </c>
      <c r="Q98" s="10" t="str">
        <f aca="false">Inputs!Q$7</f>
        <v>No Robin Hood</v>
      </c>
      <c r="R98" s="10" t="str">
        <f aca="false">Inputs!R$7</f>
        <v>CIT 9%</v>
      </c>
    </row>
    <row r="99" customFormat="false" ht="15" hidden="false" customHeight="false" outlineLevel="0" collapsed="false">
      <c r="C99" s="0" t="s">
        <v>149</v>
      </c>
      <c r="D99" s="11" t="s">
        <v>27</v>
      </c>
      <c r="E99" s="22" t="n">
        <f aca="false">Calc_1!$E131</f>
        <v>0.284084033636541</v>
      </c>
      <c r="H99" s="37" t="n">
        <v>0.284084033636541</v>
      </c>
      <c r="I99" s="37" t="n">
        <v>0.120602054328118</v>
      </c>
      <c r="J99" s="37" t="n">
        <v>0.422387837746302</v>
      </c>
      <c r="K99" s="37" t="n">
        <v>0.212090904921561</v>
      </c>
      <c r="L99" s="37" t="n">
        <v>0.284084033636541</v>
      </c>
      <c r="M99" s="37" t="n">
        <v>0.284084033636541</v>
      </c>
      <c r="N99" s="37" t="n">
        <v>0.259034311228568</v>
      </c>
      <c r="O99" s="37" t="n">
        <v>0.277982701172003</v>
      </c>
      <c r="P99" s="37" t="n">
        <v>0.279060992412784</v>
      </c>
      <c r="Q99" s="37" t="n">
        <v>0.284084033636541</v>
      </c>
      <c r="R99" s="37" t="n">
        <v>0.284084033636541</v>
      </c>
    </row>
    <row r="100" customFormat="false" ht="15" hidden="false" customHeight="false" outlineLevel="0" collapsed="false">
      <c r="C100" s="0" t="s">
        <v>150</v>
      </c>
      <c r="D100" s="11" t="s">
        <v>27</v>
      </c>
      <c r="E100" s="22" t="n">
        <f aca="false">Calc_2!$E131</f>
        <v>0.431605205102548</v>
      </c>
      <c r="H100" s="37" t="n">
        <v>0.431605205102548</v>
      </c>
      <c r="I100" s="37" t="n">
        <v>0.297451749159973</v>
      </c>
      <c r="J100" s="37" t="n">
        <v>0.546764074612228</v>
      </c>
      <c r="K100" s="37" t="n">
        <v>0.393034809879684</v>
      </c>
      <c r="L100" s="37" t="n">
        <v>0.431605205102548</v>
      </c>
      <c r="M100" s="37" t="n">
        <v>0.431605205102548</v>
      </c>
      <c r="N100" s="37" t="n">
        <v>0.407415987608548</v>
      </c>
      <c r="O100" s="37" t="n">
        <v>0.427232005478628</v>
      </c>
      <c r="P100" s="37" t="n">
        <v>0.431605205102548</v>
      </c>
      <c r="Q100" s="37" t="n">
        <v>0.431605205102548</v>
      </c>
      <c r="R100" s="37" t="n">
        <v>0.431605205102548</v>
      </c>
    </row>
    <row r="101" customFormat="false" ht="15" hidden="false" customHeight="false" outlineLevel="0" collapsed="false">
      <c r="C101" s="0" t="s">
        <v>151</v>
      </c>
      <c r="D101" s="11" t="s">
        <v>13</v>
      </c>
      <c r="E101" s="29" t="n">
        <f aca="false">Calc_1!$E132</f>
        <v>1.40784965721905</v>
      </c>
      <c r="H101" s="38" t="n">
        <v>1.40784965721905</v>
      </c>
      <c r="I101" s="38" t="n">
        <v>1.15772810864571</v>
      </c>
      <c r="J101" s="38" t="n">
        <v>1.65797120579239</v>
      </c>
      <c r="K101" s="38" t="n">
        <v>1.28772256894757</v>
      </c>
      <c r="L101" s="38" t="n">
        <v>1.40784965721905</v>
      </c>
      <c r="M101" s="38" t="n">
        <v>1.40784965721905</v>
      </c>
      <c r="N101" s="38" t="n">
        <v>1.36652049915653</v>
      </c>
      <c r="O101" s="38" t="n">
        <v>1.3977006887947</v>
      </c>
      <c r="P101" s="38" t="n">
        <v>1.39307086576232</v>
      </c>
      <c r="Q101" s="38" t="n">
        <v>1.40784965721905</v>
      </c>
      <c r="R101" s="38" t="n">
        <v>1.40784965721905</v>
      </c>
    </row>
    <row r="102" customFormat="false" ht="15" hidden="false" customHeight="false" outlineLevel="0" collapsed="false">
      <c r="C102" s="0" t="s">
        <v>152</v>
      </c>
      <c r="D102" s="11" t="s">
        <v>13</v>
      </c>
      <c r="E102" s="29" t="n">
        <f aca="false">Calc_2!$E132</f>
        <v>1.75852383469303</v>
      </c>
      <c r="H102" s="38" t="n">
        <v>1.75852383469303</v>
      </c>
      <c r="I102" s="38" t="n">
        <v>1.47769835100107</v>
      </c>
      <c r="J102" s="38" t="n">
        <v>2.039349318385</v>
      </c>
      <c r="K102" s="38" t="n">
        <v>1.66337085811058</v>
      </c>
      <c r="L102" s="38" t="n">
        <v>1.75852383469303</v>
      </c>
      <c r="M102" s="38" t="n">
        <v>1.75852383469303</v>
      </c>
      <c r="N102" s="38" t="n">
        <v>1.70438751171471</v>
      </c>
      <c r="O102" s="38" t="n">
        <v>1.74863602166122</v>
      </c>
      <c r="P102" s="38" t="n">
        <v>1.75852383469303</v>
      </c>
      <c r="Q102" s="38" t="n">
        <v>1.75852383469303</v>
      </c>
      <c r="R102" s="38" t="n">
        <v>1.75852383469303</v>
      </c>
    </row>
    <row r="103" customFormat="false" ht="15" hidden="false" customHeight="false" outlineLevel="0" collapsed="false">
      <c r="C103" s="0" t="s">
        <v>153</v>
      </c>
      <c r="D103" s="11" t="s">
        <v>27</v>
      </c>
      <c r="E103" s="22" t="n">
        <f aca="false">Calc_1!$E144</f>
        <v>0.0606372162720292</v>
      </c>
      <c r="H103" s="37" t="n">
        <v>0.0606372162720046</v>
      </c>
      <c r="I103" s="37" t="n">
        <v>0.0606372162720046</v>
      </c>
      <c r="J103" s="37" t="n">
        <v>0.0606372162720046</v>
      </c>
      <c r="K103" s="37" t="n">
        <v>0.0557820682537604</v>
      </c>
      <c r="L103" s="37" t="n">
        <v>0.0478142696242356</v>
      </c>
      <c r="M103" s="37" t="n">
        <v>0.0738399260971879</v>
      </c>
      <c r="N103" s="37" t="n">
        <v>0.0578114079542938</v>
      </c>
      <c r="O103" s="37" t="n">
        <v>0.0571943474808672</v>
      </c>
      <c r="P103" s="37" t="n">
        <v>0.0546692875295355</v>
      </c>
      <c r="Q103" s="37" t="n">
        <v>0.0798286717747286</v>
      </c>
      <c r="R103" s="37" t="n">
        <v>0.0646610202112597</v>
      </c>
    </row>
    <row r="104" customFormat="false" ht="15" hidden="false" customHeight="false" outlineLevel="0" collapsed="false">
      <c r="C104" s="0" t="s">
        <v>154</v>
      </c>
      <c r="D104" s="11" t="s">
        <v>27</v>
      </c>
      <c r="E104" s="22" t="n">
        <f aca="false">Calc_2!$E144</f>
        <v>0.0905083310230022</v>
      </c>
      <c r="H104" s="37" t="n">
        <v>0.0905083310229937</v>
      </c>
      <c r="I104" s="37" t="n">
        <v>0.0905083310229937</v>
      </c>
      <c r="J104" s="37" t="n">
        <v>0.0905083310229937</v>
      </c>
      <c r="K104" s="37" t="n">
        <v>0.0867367228269073</v>
      </c>
      <c r="L104" s="37" t="n">
        <v>0.0761854874585164</v>
      </c>
      <c r="M104" s="37" t="n">
        <v>0.10554737836152</v>
      </c>
      <c r="N104" s="37" t="n">
        <v>0.086273073711751</v>
      </c>
      <c r="O104" s="37" t="n">
        <v>0.0874932648190076</v>
      </c>
      <c r="P104" s="37" t="n">
        <v>0.0806115652924107</v>
      </c>
      <c r="Q104" s="37" t="n">
        <v>0.12033327585618</v>
      </c>
      <c r="R104" s="37" t="n">
        <v>0.0966261796661577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Calc_1!$E145</f>
        <v>2.50006512414899</v>
      </c>
      <c r="H105" s="38" t="n">
        <v>2.50006512414952</v>
      </c>
      <c r="I105" s="38" t="n">
        <v>2.50006512414952</v>
      </c>
      <c r="J105" s="38" t="n">
        <v>2.50006512414952</v>
      </c>
      <c r="K105" s="38" t="n">
        <v>2.36085919979504</v>
      </c>
      <c r="L105" s="38" t="n">
        <v>2.13461439623394</v>
      </c>
      <c r="M105" s="38" t="n">
        <v>2.90416317514681</v>
      </c>
      <c r="N105" s="38" t="n">
        <v>2.42701604756118</v>
      </c>
      <c r="O105" s="38" t="n">
        <v>2.42131988376432</v>
      </c>
      <c r="P105" s="38" t="n">
        <v>2.55948696263335</v>
      </c>
      <c r="Q105" s="38" t="n">
        <v>3.37367367104445</v>
      </c>
      <c r="R105" s="38" t="n">
        <v>2.66737417784363</v>
      </c>
    </row>
    <row r="106" customFormat="false" ht="15" hidden="false" customHeight="false" outlineLevel="0" collapsed="false">
      <c r="C106" s="0" t="s">
        <v>156</v>
      </c>
      <c r="D106" s="11" t="s">
        <v>13</v>
      </c>
      <c r="E106" s="29" t="n">
        <f aca="false">Calc_2!$E145</f>
        <v>3.43770962247376</v>
      </c>
      <c r="H106" s="38" t="n">
        <v>3.43770962247385</v>
      </c>
      <c r="I106" s="38" t="n">
        <v>3.43770962247385</v>
      </c>
      <c r="J106" s="38" t="n">
        <v>3.43770962247385</v>
      </c>
      <c r="K106" s="38" t="n">
        <v>3.31176937992003</v>
      </c>
      <c r="L106" s="38" t="n">
        <v>2.96535756034474</v>
      </c>
      <c r="M106" s="38" t="n">
        <v>3.96578676650909</v>
      </c>
      <c r="N106" s="38" t="n">
        <v>3.3220978734695</v>
      </c>
      <c r="O106" s="38" t="n">
        <v>3.36209660166024</v>
      </c>
      <c r="P106" s="38" t="n">
        <v>3.53914182508149</v>
      </c>
      <c r="Q106" s="38" t="n">
        <v>4.85394047019184</v>
      </c>
      <c r="R106" s="38" t="n">
        <v>3.70951527654084</v>
      </c>
    </row>
    <row r="107" customFormat="false" ht="15" hidden="false" customHeight="false" outlineLevel="0" collapsed="false">
      <c r="C107" s="0" t="s">
        <v>157</v>
      </c>
      <c r="D107" s="11" t="s">
        <v>80</v>
      </c>
      <c r="E107" s="32" t="n">
        <f aca="false">Calc_1!$E94/Thousand</f>
        <v>58.1360350233236</v>
      </c>
      <c r="H107" s="39" t="n">
        <v>58.1360350233236</v>
      </c>
      <c r="I107" s="39" t="n">
        <v>58.1360350233236</v>
      </c>
      <c r="J107" s="39" t="n">
        <v>58.1360350233236</v>
      </c>
      <c r="K107" s="39" t="n">
        <v>61.2887861751086</v>
      </c>
      <c r="L107" s="39" t="n">
        <v>58.1360350233236</v>
      </c>
      <c r="M107" s="39" t="n">
        <v>58.1360350233236</v>
      </c>
      <c r="N107" s="39" t="n">
        <v>58.1360350233236</v>
      </c>
      <c r="O107" s="39" t="n">
        <v>58.6673182381231</v>
      </c>
      <c r="P107" s="39" t="n">
        <v>55.4387120816495</v>
      </c>
      <c r="Q107" s="39" t="n">
        <v>58.1360350233236</v>
      </c>
      <c r="R107" s="39" t="n">
        <v>58.1360350233236</v>
      </c>
    </row>
    <row r="108" customFormat="false" ht="15" hidden="false" customHeight="false" outlineLevel="0" collapsed="false">
      <c r="C108" s="0" t="s">
        <v>158</v>
      </c>
      <c r="D108" s="11" t="s">
        <v>80</v>
      </c>
      <c r="E108" s="32" t="n">
        <f aca="false">Calc_2!$E94/Thousand</f>
        <v>42.4778738005823</v>
      </c>
      <c r="H108" s="39" t="n">
        <v>42.4778738005823</v>
      </c>
      <c r="I108" s="39" t="n">
        <v>42.4778738005823</v>
      </c>
      <c r="J108" s="39" t="n">
        <v>42.4778738005823</v>
      </c>
      <c r="K108" s="39" t="n">
        <v>44.1372165120482</v>
      </c>
      <c r="L108" s="39" t="n">
        <v>42.4778738005823</v>
      </c>
      <c r="M108" s="39" t="n">
        <v>42.4778738005823</v>
      </c>
      <c r="N108" s="39" t="n">
        <v>42.4778738005823</v>
      </c>
      <c r="O108" s="39" t="n">
        <v>42.8706783724966</v>
      </c>
      <c r="P108" s="39" t="n">
        <v>42.4778738005823</v>
      </c>
      <c r="Q108" s="39" t="n">
        <v>42.4778738005823</v>
      </c>
      <c r="R108" s="39" t="n">
        <v>42.4778738005823</v>
      </c>
    </row>
    <row r="109" customFormat="false" ht="15" hidden="false" customHeight="false" outlineLevel="0" collapsed="false">
      <c r="C109" s="0" t="s">
        <v>159</v>
      </c>
      <c r="D109" s="11" t="s">
        <v>80</v>
      </c>
      <c r="E109" s="32" t="n">
        <f aca="false">Calc_1!$E120/Thousand</f>
        <v>53.6289259222578</v>
      </c>
      <c r="H109" s="39" t="n">
        <v>53.6289259222578</v>
      </c>
      <c r="I109" s="39" t="n">
        <v>53.6289259222578</v>
      </c>
      <c r="J109" s="39" t="n">
        <v>53.6289259222578</v>
      </c>
      <c r="K109" s="39" t="n">
        <v>56.1834634023852</v>
      </c>
      <c r="L109" s="39" t="n">
        <v>53.6289259222578</v>
      </c>
      <c r="M109" s="39" t="n">
        <v>53.6289259222578</v>
      </c>
      <c r="N109" s="39" t="n">
        <v>53.6289259222578</v>
      </c>
      <c r="O109" s="39" t="n">
        <v>53.6382233785168</v>
      </c>
      <c r="P109" s="39" t="n">
        <v>56.134106196786</v>
      </c>
      <c r="Q109" s="39" t="n">
        <v>53.6289259222578</v>
      </c>
      <c r="R109" s="39" t="n">
        <v>53.6289259222578</v>
      </c>
    </row>
    <row r="110" customFormat="false" ht="15" hidden="false" customHeight="false" outlineLevel="0" collapsed="false">
      <c r="C110" s="0" t="s">
        <v>160</v>
      </c>
      <c r="D110" s="11" t="s">
        <v>80</v>
      </c>
      <c r="E110" s="32" t="n">
        <f aca="false">Calc_2!$E120/Thousand</f>
        <v>40.9417971932041</v>
      </c>
      <c r="H110" s="39" t="n">
        <v>40.9417971932041</v>
      </c>
      <c r="I110" s="39" t="n">
        <v>40.9417971932041</v>
      </c>
      <c r="J110" s="39" t="n">
        <v>40.9417971932041</v>
      </c>
      <c r="K110" s="39" t="n">
        <v>42.2862906037974</v>
      </c>
      <c r="L110" s="39" t="n">
        <v>40.9417971932041</v>
      </c>
      <c r="M110" s="39" t="n">
        <v>40.9417971932041</v>
      </c>
      <c r="N110" s="39" t="n">
        <v>40.9417971932041</v>
      </c>
      <c r="O110" s="39" t="n">
        <v>40.9486712732126</v>
      </c>
      <c r="P110" s="39" t="n">
        <v>40.9417971932041</v>
      </c>
      <c r="Q110" s="39" t="n">
        <v>40.9417971932041</v>
      </c>
      <c r="R110" s="39" t="n">
        <v>40.9417971932041</v>
      </c>
    </row>
    <row r="111" customFormat="false" ht="15" hidden="false" customHeight="false" outlineLevel="0" collapsed="false">
      <c r="C111" s="0" t="s">
        <v>161</v>
      </c>
      <c r="D111" s="11" t="s">
        <v>27</v>
      </c>
      <c r="E111" s="22" t="n">
        <f aca="false">Calc_1!$E136</f>
        <v>0.0429903921440367</v>
      </c>
      <c r="H111" s="37" t="n">
        <v>0.0429903921440254</v>
      </c>
      <c r="I111" s="37" t="n">
        <v>0.0535069850854765</v>
      </c>
      <c r="J111" s="37" t="n">
        <v>0.0340439890425465</v>
      </c>
      <c r="K111" s="37" t="n">
        <v>0.0445848126703774</v>
      </c>
      <c r="L111" s="37" t="n">
        <v>0.0346373043099516</v>
      </c>
      <c r="M111" s="37" t="n">
        <v>0.0516313670185266</v>
      </c>
      <c r="N111" s="37" t="n">
        <v>0.0430235691203004</v>
      </c>
      <c r="O111" s="37" t="n">
        <v>0.0447600791153719</v>
      </c>
      <c r="P111" s="37" t="n">
        <v>0.0397209675769653</v>
      </c>
      <c r="Q111" s="37" t="n">
        <v>0.0568046288872868</v>
      </c>
      <c r="R111" s="37" t="n">
        <v>0.0458758648775214</v>
      </c>
    </row>
    <row r="112" customFormat="false" ht="15" hidden="false" customHeight="false" outlineLevel="0" collapsed="false">
      <c r="C112" s="0" t="s">
        <v>162</v>
      </c>
      <c r="D112" s="11" t="s">
        <v>27</v>
      </c>
      <c r="E112" s="22" t="n">
        <f aca="false">Calc_2!$E136</f>
        <v>0.0492800304534111</v>
      </c>
      <c r="H112" s="37" t="n">
        <v>0.0492800304534092</v>
      </c>
      <c r="I112" s="37" t="n">
        <v>0.0599812099314391</v>
      </c>
      <c r="J112" s="37" t="n">
        <v>0.040190036871507</v>
      </c>
      <c r="K112" s="37" t="n">
        <v>0.0502715566252939</v>
      </c>
      <c r="L112" s="37" t="n">
        <v>0.0402658830433766</v>
      </c>
      <c r="M112" s="37" t="n">
        <v>0.0587385672240889</v>
      </c>
      <c r="N112" s="37" t="n">
        <v>0.049324948775925</v>
      </c>
      <c r="O112" s="37" t="n">
        <v>0.0508477226678147</v>
      </c>
      <c r="P112" s="37" t="n">
        <v>0.0467342724559937</v>
      </c>
      <c r="Q112" s="37" t="n">
        <v>0.0696894448393208</v>
      </c>
      <c r="R112" s="37" t="n">
        <v>0.0535139642804279</v>
      </c>
    </row>
    <row r="113" customFormat="false" ht="15" hidden="false" customHeight="false" outlineLevel="0" collapsed="false">
      <c r="C113" s="0" t="s">
        <v>163</v>
      </c>
      <c r="D113" s="11" t="s">
        <v>27</v>
      </c>
      <c r="E113" s="22" t="n">
        <f aca="false">Calc_1!$E138</f>
        <v>0.0387114953684034</v>
      </c>
      <c r="H113" s="37" t="n">
        <v>0.0387114953683959</v>
      </c>
      <c r="I113" s="37" t="n">
        <v>0.0538921863897771</v>
      </c>
      <c r="J113" s="37" t="n">
        <v>0.0270008568234066</v>
      </c>
      <c r="K113" s="37" t="n">
        <v>0.0406862070077766</v>
      </c>
      <c r="L113" s="37" t="n">
        <v>0.0267379194331164</v>
      </c>
      <c r="M113" s="37" t="n">
        <v>0.0511289549221789</v>
      </c>
      <c r="N113" s="37" t="n">
        <v>0.0387523922783901</v>
      </c>
      <c r="O113" s="37" t="n">
        <v>0.0362830033736927</v>
      </c>
      <c r="P113" s="37" t="n">
        <v>0.0368825849338879</v>
      </c>
      <c r="Q113" s="37" t="n">
        <v>0.0585329319728923</v>
      </c>
      <c r="R113" s="37" t="n">
        <v>0.0429135597509692</v>
      </c>
    </row>
    <row r="114" customFormat="false" ht="15" hidden="false" customHeight="false" outlineLevel="0" collapsed="false">
      <c r="C114" s="0" t="s">
        <v>164</v>
      </c>
      <c r="D114" s="11" t="s">
        <v>27</v>
      </c>
      <c r="E114" s="22" t="n">
        <f aca="false">Calc_2!$E138</f>
        <v>0.0480650884558693</v>
      </c>
      <c r="H114" s="37" t="n">
        <v>0.0480650884558669</v>
      </c>
      <c r="I114" s="37" t="n">
        <v>0.0629478946484496</v>
      </c>
      <c r="J114" s="37" t="n">
        <v>0.0364008051956781</v>
      </c>
      <c r="K114" s="37" t="n">
        <v>0.0493503064793546</v>
      </c>
      <c r="L114" s="37" t="n">
        <v>0.0359475230976775</v>
      </c>
      <c r="M114" s="37" t="n">
        <v>0.0608294924215604</v>
      </c>
      <c r="N114" s="37" t="n">
        <v>0.0481233478013681</v>
      </c>
      <c r="O114" s="37" t="n">
        <v>0.0462801724529846</v>
      </c>
      <c r="P114" s="37" t="n">
        <v>0.0454420676631633</v>
      </c>
      <c r="Q114" s="37" t="n">
        <v>0.0754971888634903</v>
      </c>
      <c r="R114" s="37" t="n">
        <v>0.0537843245902982</v>
      </c>
    </row>
    <row r="115" customFormat="false" ht="15" hidden="false" customHeight="false" outlineLevel="0" collapsed="false">
      <c r="C115" s="0" t="s">
        <v>165</v>
      </c>
      <c r="D115" s="11" t="s">
        <v>13</v>
      </c>
      <c r="E115" s="29" t="n">
        <f aca="false">Calc_1!$E98</f>
        <v>1.75599824880643</v>
      </c>
      <c r="H115" s="38" t="n">
        <v>1.75599824880743</v>
      </c>
      <c r="I115" s="38" t="n">
        <v>1.75599824880743</v>
      </c>
      <c r="J115" s="38" t="n">
        <v>1.75599824880743</v>
      </c>
      <c r="K115" s="38" t="n">
        <v>1.69798990434232</v>
      </c>
      <c r="L115" s="38" t="n">
        <v>1.62287290112789</v>
      </c>
      <c r="M115" s="38" t="n">
        <v>1.90057261684935</v>
      </c>
      <c r="N115" s="38" t="n">
        <v>1.75599824880641</v>
      </c>
      <c r="O115" s="38" t="n">
        <v>1.65340257348994</v>
      </c>
      <c r="P115" s="38" t="n">
        <v>1.2</v>
      </c>
      <c r="Q115" s="38" t="n">
        <v>1.90833454824405</v>
      </c>
      <c r="R115" s="38" t="n">
        <v>1.7842807867143</v>
      </c>
    </row>
    <row r="116" customFormat="false" ht="15" hidden="false" customHeight="false" outlineLevel="0" collapsed="false">
      <c r="C116" s="0" t="s">
        <v>166</v>
      </c>
      <c r="D116" s="11" t="s">
        <v>13</v>
      </c>
      <c r="E116" s="29" t="n">
        <f aca="false">Calc_2!$E98</f>
        <v>2.16227830634594</v>
      </c>
      <c r="H116" s="38" t="n">
        <v>2.16227830634592</v>
      </c>
      <c r="I116" s="38" t="n">
        <v>2.16227830634592</v>
      </c>
      <c r="J116" s="38" t="n">
        <v>2.16227830634592</v>
      </c>
      <c r="K116" s="38" t="n">
        <v>2.10576346011106</v>
      </c>
      <c r="L116" s="38" t="n">
        <v>1.98564807134992</v>
      </c>
      <c r="M116" s="38" t="n">
        <v>2.3582268317775</v>
      </c>
      <c r="N116" s="38" t="n">
        <v>2.162278306346</v>
      </c>
      <c r="O116" s="38" t="n">
        <v>2.02872874935507</v>
      </c>
      <c r="P116" s="38" t="n">
        <v>1.41593181791701</v>
      </c>
      <c r="Q116" s="38" t="n">
        <v>2.53300130461831</v>
      </c>
      <c r="R116" s="38" t="n">
        <v>2.23193496239969</v>
      </c>
    </row>
    <row r="117" customFormat="false" ht="15" hidden="false" customHeight="false" outlineLevel="0" collapsed="false">
      <c r="C117" s="0" t="s">
        <v>167</v>
      </c>
      <c r="D117" s="11" t="s">
        <v>147</v>
      </c>
      <c r="E117" s="30" t="n">
        <f aca="false">Model_Checks</f>
        <v>0</v>
      </c>
      <c r="H117" s="40" t="n">
        <v>0</v>
      </c>
      <c r="I117" s="40" t="n">
        <v>0</v>
      </c>
      <c r="J117" s="40" t="n">
        <v>0</v>
      </c>
      <c r="K117" s="40" t="n">
        <v>0</v>
      </c>
      <c r="L117" s="40" t="n">
        <v>0</v>
      </c>
      <c r="M117" s="40" t="n">
        <v>0</v>
      </c>
      <c r="N117" s="40" t="n">
        <v>0</v>
      </c>
      <c r="O117" s="40" t="n">
        <v>0</v>
      </c>
      <c r="P117" s="40" t="n">
        <v>0</v>
      </c>
      <c r="Q117" s="40" t="n">
        <v>0</v>
      </c>
      <c r="R117" s="40" t="n">
        <v>0</v>
      </c>
    </row>
    <row r="118" customFormat="false" ht="15" hidden="false" customHeight="false" outlineLevel="0" collapsed="false">
      <c r="C118" s="0" t="s">
        <v>168</v>
      </c>
      <c r="D118" s="11" t="s">
        <v>147</v>
      </c>
      <c r="E118" s="30" t="n">
        <f aca="false">Model_Checks</f>
        <v>0</v>
      </c>
      <c r="H118" s="40" t="n">
        <v>0</v>
      </c>
      <c r="I118" s="40" t="n">
        <v>0</v>
      </c>
      <c r="J118" s="40" t="n">
        <v>0</v>
      </c>
      <c r="K118" s="40" t="n">
        <v>0</v>
      </c>
      <c r="L118" s="40" t="n">
        <v>0</v>
      </c>
      <c r="M118" s="40" t="n">
        <v>0</v>
      </c>
      <c r="N118" s="40" t="n">
        <v>0</v>
      </c>
      <c r="O118" s="40" t="n">
        <v>0</v>
      </c>
      <c r="P118" s="40" t="n">
        <v>0</v>
      </c>
      <c r="Q118" s="40" t="n">
        <v>0</v>
      </c>
      <c r="R118" s="40" t="n">
        <v>0</v>
      </c>
    </row>
    <row r="120" customFormat="false" ht="15" hidden="false" customHeight="false" outlineLevel="0" collapsed="false">
      <c r="C120" s="41" t="s">
        <v>169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10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2"/>
    <col collapsed="false" customWidth="false" hidden="true" outlineLevel="1" max="16384" min="21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4" customFormat="false" ht="15" hidden="false" customHeight="false" outlineLevel="0" collapsed="false">
      <c r="B4" s="0" t="s">
        <v>170</v>
      </c>
      <c r="D4" s="0" t="s">
        <v>171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172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173</v>
      </c>
      <c r="C7" s="7" t="s">
        <v>8</v>
      </c>
      <c r="D7" s="7" t="s">
        <v>174</v>
      </c>
      <c r="F7" s="8" t="s">
        <v>12</v>
      </c>
      <c r="H7" s="44" t="s">
        <v>22</v>
      </c>
      <c r="I7" s="44" t="s">
        <v>175</v>
      </c>
      <c r="J7" s="44" t="s">
        <v>176</v>
      </c>
      <c r="K7" s="44" t="s">
        <v>177</v>
      </c>
      <c r="L7" s="44" t="s">
        <v>178</v>
      </c>
      <c r="M7" s="44" t="s">
        <v>179</v>
      </c>
      <c r="N7" s="44" t="s">
        <v>180</v>
      </c>
      <c r="O7" s="44" t="s">
        <v>181</v>
      </c>
      <c r="P7" s="44" t="s">
        <v>182</v>
      </c>
      <c r="Q7" s="44" t="s">
        <v>183</v>
      </c>
      <c r="R7" s="44" t="s">
        <v>184</v>
      </c>
      <c r="S7" s="8"/>
    </row>
    <row r="10" customFormat="false" ht="15" hidden="false" customHeight="false" outlineLevel="0" collapsed="false">
      <c r="A10" s="9" t="s">
        <v>13</v>
      </c>
      <c r="B10" s="9"/>
      <c r="C10" s="9" t="s">
        <v>185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customFormat="false" ht="15" hidden="false" customHeight="false" outlineLevel="0" collapsed="false">
      <c r="B11" s="0" t="s">
        <v>186</v>
      </c>
      <c r="C11" s="11" t="s">
        <v>147</v>
      </c>
      <c r="D11" s="13" t="s">
        <v>187</v>
      </c>
      <c r="F11" s="44" t="n">
        <v>1000</v>
      </c>
    </row>
    <row r="12" customFormat="false" ht="15" hidden="false" customHeight="false" outlineLevel="0" collapsed="false">
      <c r="B12" s="0" t="s">
        <v>188</v>
      </c>
      <c r="C12" s="11" t="s">
        <v>147</v>
      </c>
      <c r="D12" s="13" t="s">
        <v>187</v>
      </c>
      <c r="F12" s="44" t="n">
        <v>1000000</v>
      </c>
    </row>
    <row r="13" customFormat="false" ht="15" hidden="false" customHeight="false" outlineLevel="0" collapsed="false">
      <c r="B13" s="0" t="s">
        <v>189</v>
      </c>
      <c r="C13" s="11" t="s">
        <v>190</v>
      </c>
      <c r="D13" s="13" t="s">
        <v>191</v>
      </c>
      <c r="F13" s="44" t="n">
        <v>365</v>
      </c>
    </row>
    <row r="14" customFormat="false" ht="15" hidden="false" customHeight="false" outlineLevel="0" collapsed="false">
      <c r="B14" s="0" t="s">
        <v>192</v>
      </c>
      <c r="C14" s="11" t="s">
        <v>193</v>
      </c>
      <c r="F14" s="44" t="n">
        <v>12</v>
      </c>
    </row>
    <row r="15" customFormat="false" ht="15" hidden="false" customHeight="false" outlineLevel="0" collapsed="false">
      <c r="B15" s="0" t="s">
        <v>194</v>
      </c>
      <c r="C15" s="11" t="s">
        <v>193</v>
      </c>
      <c r="D15" s="13" t="s">
        <v>195</v>
      </c>
      <c r="F15" s="44" t="n">
        <v>3</v>
      </c>
    </row>
    <row r="16" customFormat="false" ht="15" hidden="false" customHeight="false" outlineLevel="0" collapsed="false">
      <c r="B16" s="0" t="s">
        <v>196</v>
      </c>
      <c r="C16" s="11" t="s">
        <v>147</v>
      </c>
      <c r="D16" s="13" t="s">
        <v>197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198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customFormat="false" ht="15" hidden="false" customHeight="false" outlineLevel="0" collapsed="false">
      <c r="B19" s="0" t="s">
        <v>199</v>
      </c>
      <c r="C19" s="11" t="s">
        <v>38</v>
      </c>
      <c r="D19" s="13" t="s">
        <v>200</v>
      </c>
      <c r="F19" s="45" t="n">
        <f aca="false">IF(INDEX($H19:$S19,1,Scenario_Selected)="",$H19,INDEX($H19:$S19,1,Scenario_Selected))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</row>
    <row r="20" customFormat="false" ht="15" hidden="false" customHeight="false" outlineLevel="0" collapsed="false">
      <c r="B20" s="0" t="s">
        <v>201</v>
      </c>
      <c r="C20" s="11" t="s">
        <v>27</v>
      </c>
      <c r="D20" s="13" t="s">
        <v>202</v>
      </c>
      <c r="F20" s="44" t="n">
        <v>0.1</v>
      </c>
    </row>
    <row r="21" customFormat="false" ht="15" hidden="false" customHeight="false" outlineLevel="0" collapsed="false">
      <c r="B21" s="0" t="s">
        <v>203</v>
      </c>
      <c r="C21" s="11" t="s">
        <v>38</v>
      </c>
      <c r="D21" s="13" t="s">
        <v>204</v>
      </c>
      <c r="F21" s="45" t="n">
        <f aca="false">IF(INDEX($H21:$S21,1,Scenario_Selected)="",$H21,INDEX($H21:$S21,1,Scenario_Selected))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</row>
    <row r="22" customFormat="false" ht="15" hidden="false" customHeight="false" outlineLevel="0" collapsed="false">
      <c r="B22" s="0" t="s">
        <v>205</v>
      </c>
      <c r="C22" s="11" t="s">
        <v>38</v>
      </c>
      <c r="D22" s="13" t="s">
        <v>206</v>
      </c>
      <c r="F22" s="45" t="n">
        <f aca="false">IF(INDEX($H22:$S22,1,Scenario_Selected)="",$H22,INDEX($H22:$S22,1,Scenario_Selected))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</row>
    <row r="23" customFormat="false" ht="15" hidden="false" customHeight="false" outlineLevel="0" collapsed="false">
      <c r="B23" s="0" t="s">
        <v>207</v>
      </c>
      <c r="C23" s="11" t="s">
        <v>38</v>
      </c>
      <c r="D23" s="13" t="s">
        <v>208</v>
      </c>
      <c r="F23" s="45" t="n">
        <f aca="false">IF(INDEX($H23:$S23,1,Scenario_Selected)="",$H23,INDEX($H23:$S23,1,Scenario_Selected))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</row>
    <row r="24" customFormat="false" ht="15" hidden="false" customHeight="false" outlineLevel="0" collapsed="false">
      <c r="B24" s="0" t="s">
        <v>209</v>
      </c>
      <c r="C24" s="11" t="s">
        <v>190</v>
      </c>
      <c r="D24" s="13" t="s">
        <v>210</v>
      </c>
      <c r="F24" s="43" t="n">
        <f aca="false">IF(INDEX($H24:$S24,1,Scenario_Selected)="",$H24,INDEX($H24:$S24,1,Scenario_Selected))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</row>
    <row r="25" customFormat="false" ht="15" hidden="false" customHeight="false" outlineLevel="0" collapsed="false">
      <c r="B25" s="0" t="s">
        <v>211</v>
      </c>
      <c r="C25" s="11" t="s">
        <v>38</v>
      </c>
      <c r="D25" s="13" t="s">
        <v>212</v>
      </c>
      <c r="F25" s="45" t="n">
        <f aca="false">IF(INDEX($H25:$S25,1,Scenario_Selected)="",$H25,INDEX($H25:$S25,1,Scenario_Selected))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</row>
    <row r="26" customFormat="false" ht="15" hidden="false" customHeight="false" outlineLevel="0" collapsed="false">
      <c r="B26" s="0" t="s">
        <v>213</v>
      </c>
      <c r="C26" s="11" t="s">
        <v>38</v>
      </c>
      <c r="D26" s="13" t="s">
        <v>214</v>
      </c>
      <c r="F26" s="45" t="n">
        <f aca="false">IF(INDEX($H26:$S26,1,Scenario_Selected)="",$H26,INDEX($H26:$S26,1,Scenario_Selected))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</row>
    <row r="27" customFormat="false" ht="15" hidden="false" customHeight="false" outlineLevel="0" collapsed="false">
      <c r="B27" s="0" t="s">
        <v>215</v>
      </c>
      <c r="C27" s="11" t="s">
        <v>38</v>
      </c>
      <c r="D27" s="13" t="s">
        <v>216</v>
      </c>
      <c r="F27" s="45" t="n">
        <f aca="false">IF(INDEX($H27:$S27,1,Scenario_Selected)="",$H27,INDEX($H27:$S27,1,Scenario_Selected))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</row>
    <row r="28" customFormat="false" ht="15" hidden="false" customHeight="false" outlineLevel="0" collapsed="false">
      <c r="B28" s="0" t="s">
        <v>217</v>
      </c>
      <c r="C28" s="11" t="s">
        <v>38</v>
      </c>
      <c r="D28" s="13" t="s">
        <v>218</v>
      </c>
      <c r="F28" s="45" t="n">
        <f aca="false">IF(INDEX($H28:$S28,1,Scenario_Selected)="",$H28,INDEX($H28:$S28,1,Scenario_Selected))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</row>
    <row r="29" customFormat="false" ht="15" hidden="false" customHeight="false" outlineLevel="0" collapsed="false">
      <c r="B29" s="0" t="s">
        <v>219</v>
      </c>
      <c r="C29" s="11" t="s">
        <v>66</v>
      </c>
      <c r="D29" s="13" t="s">
        <v>220</v>
      </c>
      <c r="F29" s="43" t="n">
        <f aca="false">IF(INDEX($H29:$S29,1,Scenario_Selected)="",$H29,INDEX($H29:$S29,1,Scenario_Selected))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customFormat="false" ht="15" hidden="false" customHeight="false" outlineLevel="0" collapsed="false">
      <c r="B30" s="0" t="s">
        <v>221</v>
      </c>
      <c r="C30" s="11" t="s">
        <v>38</v>
      </c>
      <c r="D30" s="13" t="s">
        <v>222</v>
      </c>
      <c r="F30" s="45" t="n">
        <f aca="false">IF(INDEX($H30:$S30,1,Scenario_Selected)="",$H30,INDEX($H30:$S30,1,Scenario_Selected))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</row>
    <row r="32" customFormat="false" ht="15" hidden="false" customHeight="false" outlineLevel="0" collapsed="false">
      <c r="A32" s="9" t="s">
        <v>13</v>
      </c>
      <c r="B32" s="9"/>
      <c r="C32" s="9" t="s">
        <v>223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customFormat="false" ht="15" hidden="false" customHeight="false" outlineLevel="0" collapsed="false">
      <c r="B33" s="0" t="s">
        <v>224</v>
      </c>
      <c r="C33" s="11" t="s">
        <v>78</v>
      </c>
      <c r="D33" s="13" t="s">
        <v>225</v>
      </c>
      <c r="F33" s="47" t="n">
        <f aca="false">IF(INDEX($H33:$S33,1,Scenario_Selected)="",$H33,INDEX($H33:$S33,1,Scenario_Selected))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customFormat="false" ht="15" hidden="false" customHeight="false" outlineLevel="0" collapsed="false">
      <c r="B34" s="0" t="s">
        <v>226</v>
      </c>
      <c r="C34" s="11" t="s">
        <v>33</v>
      </c>
      <c r="D34" s="13" t="s">
        <v>227</v>
      </c>
      <c r="F34" s="47" t="n">
        <f aca="false">IF(INDEX($H34:$S34,1,Scenario_Selected)="",$H34,INDEX($H34:$S34,1,Scenario_Selected))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customFormat="false" ht="15" hidden="false" customHeight="false" outlineLevel="0" collapsed="false">
      <c r="B35" s="0" t="s">
        <v>228</v>
      </c>
      <c r="C35" s="11" t="s">
        <v>33</v>
      </c>
      <c r="D35" s="13" t="s">
        <v>229</v>
      </c>
      <c r="F35" s="47" t="n">
        <f aca="false">IF(INDEX($H35:$S35,1,Scenario_Selected)="",$H35,INDEX($H35:$S35,1,Scenario_Selected))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customFormat="false" ht="15" hidden="false" customHeight="false" outlineLevel="0" collapsed="false">
      <c r="B36" s="0" t="s">
        <v>230</v>
      </c>
      <c r="C36" s="11" t="s">
        <v>33</v>
      </c>
      <c r="D36" s="13" t="s">
        <v>231</v>
      </c>
      <c r="F36" s="47" t="n">
        <f aca="false">IF(INDEX($H36:$S36,1,Scenario_Selected)="",$H36,INDEX($H36:$S36,1,Scenario_Selected))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customFormat="false" ht="15" hidden="false" customHeight="false" outlineLevel="0" collapsed="false">
      <c r="B37" s="0" t="s">
        <v>232</v>
      </c>
      <c r="C37" s="11" t="s">
        <v>19</v>
      </c>
      <c r="D37" s="13" t="s">
        <v>233</v>
      </c>
      <c r="F37" s="47" t="n">
        <f aca="false">IF(INDEX($H37:$S37,1,Scenario_Selected)="",$H37,INDEX($H37:$S37,1,Scenario_Selected))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</row>
    <row r="38" customFormat="false" ht="15" hidden="false" customHeight="false" outlineLevel="0" collapsed="false">
      <c r="B38" s="0" t="s">
        <v>234</v>
      </c>
      <c r="C38" s="11" t="s">
        <v>19</v>
      </c>
      <c r="D38" s="13" t="s">
        <v>235</v>
      </c>
      <c r="F38" s="47" t="n">
        <f aca="false">IF(INDEX($H38:$S38,1,Scenario_Selected)="",$H38,INDEX($H38:$S38,1,Scenario_Selected))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</row>
    <row r="39" customFormat="false" ht="15" hidden="false" customHeight="false" outlineLevel="0" collapsed="false">
      <c r="B39" s="0" t="s">
        <v>236</v>
      </c>
      <c r="C39" s="11" t="s">
        <v>33</v>
      </c>
      <c r="D39" s="13" t="s">
        <v>237</v>
      </c>
      <c r="F39" s="47" t="n">
        <f aca="false">IF(INDEX($H39:$S39,1,Scenario_Selected)="",$H39,INDEX($H39:$S39,1,Scenario_Selected))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customFormat="false" ht="15" hidden="false" customHeight="false" outlineLevel="0" collapsed="false">
      <c r="B40" s="0" t="s">
        <v>238</v>
      </c>
      <c r="C40" s="11" t="s">
        <v>27</v>
      </c>
      <c r="D40" s="13" t="s">
        <v>239</v>
      </c>
      <c r="F40" s="48" t="n">
        <f aca="false">IF(INDEX($H40:$S40,1,Scenario_Selected)="",$H40,INDEX($H40:$S40,1,Scenario_Selected))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customFormat="false" ht="15" hidden="false" customHeight="false" outlineLevel="0" collapsed="false">
      <c r="B41" s="0" t="s">
        <v>240</v>
      </c>
      <c r="C41" s="11" t="s">
        <v>27</v>
      </c>
      <c r="D41" s="13" t="s">
        <v>241</v>
      </c>
      <c r="F41" s="48" t="n">
        <f aca="false">IF(INDEX($H41:$S41,1,Scenario_Selected)="",$H41,INDEX($H41:$S41,1,Scenario_Selected))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</row>
    <row r="42" customFormat="false" ht="15" hidden="false" customHeight="false" outlineLevel="0" collapsed="false">
      <c r="B42" s="0" t="s">
        <v>242</v>
      </c>
      <c r="C42" s="11" t="s">
        <v>43</v>
      </c>
      <c r="D42" s="13" t="s">
        <v>243</v>
      </c>
      <c r="F42" s="49" t="n">
        <f aca="false">IF(INDEX($H42:$S42,1,Scenario_Selected)="",$H42,INDEX($H42:$S42,1,Scenario_Selected))</f>
        <v>1</v>
      </c>
      <c r="H42" s="23" t="n">
        <v>1</v>
      </c>
      <c r="I42" s="23"/>
      <c r="J42" s="23"/>
      <c r="K42" s="23"/>
      <c r="L42" s="23"/>
      <c r="M42" s="23"/>
      <c r="N42" s="23"/>
      <c r="O42" s="23"/>
      <c r="P42" s="23"/>
      <c r="Q42" s="23" t="n">
        <v>0</v>
      </c>
      <c r="R42" s="23"/>
    </row>
    <row r="43" customFormat="false" ht="15" hidden="false" customHeight="false" outlineLevel="0" collapsed="false">
      <c r="B43" s="0" t="s">
        <v>244</v>
      </c>
      <c r="C43" s="11" t="s">
        <v>27</v>
      </c>
      <c r="D43" s="13" t="s">
        <v>245</v>
      </c>
      <c r="F43" s="48" t="n">
        <f aca="false">IF(INDEX($H43:$S43,1,Scenario_Selected)="",$H43,INDEX($H43:$S43,1,Scenario_Selected))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customFormat="false" ht="15" hidden="false" customHeight="false" outlineLevel="0" collapsed="false">
      <c r="B44" s="0" t="s">
        <v>246</v>
      </c>
      <c r="C44" s="11" t="s">
        <v>43</v>
      </c>
      <c r="D44" s="13" t="s">
        <v>247</v>
      </c>
      <c r="F44" s="49" t="n">
        <f aca="false">IF(INDEX($H44:$S44,1,Scenario_Selected)="",$H44,INDEX($H44:$S44,1,Scenario_Selected))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</row>
    <row r="45" customFormat="false" ht="15" hidden="false" customHeight="false" outlineLevel="0" collapsed="false">
      <c r="B45" s="0" t="s">
        <v>248</v>
      </c>
      <c r="C45" s="11" t="s">
        <v>66</v>
      </c>
      <c r="D45" s="13" t="s">
        <v>249</v>
      </c>
      <c r="F45" s="43" t="n">
        <f aca="false">IF(INDEX($H45:$S45,1,Scenario_Selected)="",$H45,INDEX($H45:$S45,1,Scenario_Selected))</f>
        <v>20</v>
      </c>
      <c r="H45" s="46" t="n">
        <v>20</v>
      </c>
      <c r="I45" s="46"/>
      <c r="J45" s="46"/>
      <c r="K45" s="46"/>
      <c r="L45" s="46"/>
      <c r="M45" s="46"/>
      <c r="N45" s="46"/>
      <c r="O45" s="46"/>
      <c r="P45" s="46"/>
      <c r="Q45" s="46"/>
      <c r="R45" s="46"/>
    </row>
    <row r="46" customFormat="false" ht="15" hidden="false" customHeight="false" outlineLevel="0" collapsed="false">
      <c r="B46" s="0" t="s">
        <v>250</v>
      </c>
      <c r="C46" s="11" t="s">
        <v>27</v>
      </c>
      <c r="D46" s="13" t="s">
        <v>251</v>
      </c>
      <c r="F46" s="48" t="n">
        <f aca="false">IF(INDEX($H46:$S46,1,Scenario_Selected)="",$H46,INDEX($H46:$S46,1,Scenario_Selected))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customFormat="false" ht="15" hidden="false" customHeight="false" outlineLevel="0" collapsed="false">
      <c r="B47" s="0" t="s">
        <v>252</v>
      </c>
      <c r="C47" s="11" t="s">
        <v>66</v>
      </c>
      <c r="D47" s="13" t="s">
        <v>253</v>
      </c>
      <c r="F47" s="43" t="n">
        <f aca="false">IF(INDEX($H47:$S47,1,Scenario_Selected)="",$H47,INDEX($H47:$S47,1,Scenario_Selected))</f>
        <v>5</v>
      </c>
      <c r="H47" s="46" t="n">
        <v>5</v>
      </c>
      <c r="I47" s="46"/>
      <c r="J47" s="46"/>
      <c r="K47" s="46"/>
      <c r="L47" s="46"/>
      <c r="M47" s="46"/>
      <c r="N47" s="46"/>
      <c r="O47" s="46"/>
      <c r="P47" s="46"/>
      <c r="Q47" s="46"/>
      <c r="R47" s="46"/>
    </row>
    <row r="49" customFormat="false" ht="15" hidden="false" customHeight="false" outlineLevel="0" collapsed="false">
      <c r="A49" s="9" t="s">
        <v>13</v>
      </c>
      <c r="B49" s="9"/>
      <c r="C49" s="9" t="s">
        <v>254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customFormat="false" ht="15" hidden="false" customHeight="false" outlineLevel="0" collapsed="false">
      <c r="B50" s="0" t="s">
        <v>255</v>
      </c>
      <c r="C50" s="11" t="s">
        <v>147</v>
      </c>
      <c r="D50" s="13" t="s">
        <v>256</v>
      </c>
      <c r="F50" s="44" t="n">
        <v>2</v>
      </c>
    </row>
    <row r="51" customFormat="false" ht="15" hidden="false" customHeight="false" outlineLevel="0" collapsed="false">
      <c r="B51" s="0" t="s">
        <v>257</v>
      </c>
      <c r="C51" s="11" t="s">
        <v>258</v>
      </c>
      <c r="D51" s="13" t="s">
        <v>259</v>
      </c>
      <c r="F51" s="47" t="n">
        <f aca="false">IF(INDEX($H51:$S51,1,Scenario_Selected)="",$H51,INDEX($H51:$S51,1,Scenario_Selected))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customFormat="false" ht="15" hidden="false" customHeight="false" outlineLevel="0" collapsed="false">
      <c r="B52" s="0" t="s">
        <v>260</v>
      </c>
      <c r="C52" s="11" t="s">
        <v>27</v>
      </c>
      <c r="D52" s="13" t="s">
        <v>202</v>
      </c>
      <c r="F52" s="48" t="n">
        <f aca="false">IF(INDEX($H52:$S52,1,Scenario_Selected)="",$H52,INDEX($H52:$S52,1,Scenario_Selected))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customFormat="false" ht="15" hidden="false" customHeight="false" outlineLevel="0" collapsed="false">
      <c r="B53" s="0" t="s">
        <v>261</v>
      </c>
      <c r="C53" s="11" t="s">
        <v>27</v>
      </c>
      <c r="D53" s="13" t="s">
        <v>262</v>
      </c>
      <c r="F53" s="48" t="n">
        <f aca="false">IF(INDEX($H53:$S53,1,Scenario_Selected)="",$H53,INDEX($H53:$S53,1,Scenario_Selected))</f>
        <v>0.05</v>
      </c>
      <c r="H53" s="17" t="n">
        <v>0.05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customFormat="false" ht="15" hidden="false" customHeight="false" outlineLevel="0" collapsed="false">
      <c r="B54" s="0" t="s">
        <v>263</v>
      </c>
      <c r="C54" s="11" t="s">
        <v>43</v>
      </c>
      <c r="D54" s="13" t="s">
        <v>264</v>
      </c>
      <c r="F54" s="49" t="n">
        <f aca="false">IF(INDEX($H54:$S54,1,Scenario_Selected)="",$H54,INDEX($H54:$S54,1,Scenario_Selected))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</row>
    <row r="55" customFormat="false" ht="15" hidden="false" customHeight="false" outlineLevel="0" collapsed="false">
      <c r="B55" s="0" t="s">
        <v>265</v>
      </c>
      <c r="C55" s="11" t="s">
        <v>35</v>
      </c>
      <c r="D55" s="13" t="s">
        <v>266</v>
      </c>
      <c r="F55" s="36" t="n">
        <f aca="false">IF(INDEX($H55:$S55,1,Scenario_Selected)="",$H55,INDEX($H55:$S55,1,Scenario_Selected))</f>
        <v>4</v>
      </c>
      <c r="H55" s="19" t="n">
        <v>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customFormat="false" ht="15" hidden="false" customHeight="false" outlineLevel="0" collapsed="false">
      <c r="B56" s="0" t="s">
        <v>267</v>
      </c>
      <c r="C56" s="11" t="s">
        <v>27</v>
      </c>
      <c r="D56" s="13" t="s">
        <v>268</v>
      </c>
      <c r="F56" s="48" t="n">
        <f aca="false">IF(INDEX($H56:$S56,1,Scenario_Selected)="",$H56,INDEX($H56:$S56,1,Scenario_Selected))</f>
        <v>0.1</v>
      </c>
      <c r="H56" s="17" t="n">
        <v>0.1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customFormat="false" ht="15" hidden="false" customHeight="false" outlineLevel="0" collapsed="false">
      <c r="B57" s="0" t="s">
        <v>269</v>
      </c>
      <c r="C57" s="11" t="s">
        <v>43</v>
      </c>
      <c r="D57" s="13" t="s">
        <v>270</v>
      </c>
      <c r="F57" s="49" t="n">
        <f aca="false">IF(INDEX($H57:$S57,1,Scenario_Selected)="",$H57,INDEX($H57:$S57,1,Scenario_Selected))</f>
        <v>1</v>
      </c>
      <c r="H57" s="23" t="n">
        <v>1</v>
      </c>
      <c r="I57" s="23"/>
      <c r="J57" s="23"/>
      <c r="K57" s="23"/>
      <c r="L57" s="23"/>
      <c r="M57" s="23"/>
      <c r="N57" s="23" t="n">
        <v>2</v>
      </c>
      <c r="O57" s="23"/>
      <c r="P57" s="23"/>
      <c r="Q57" s="23"/>
      <c r="R57" s="23"/>
    </row>
    <row r="58" customFormat="false" ht="15" hidden="false" customHeight="false" outlineLevel="0" collapsed="false">
      <c r="B58" s="0" t="s">
        <v>271</v>
      </c>
      <c r="C58" s="11" t="s">
        <v>193</v>
      </c>
      <c r="D58" s="13" t="s">
        <v>272</v>
      </c>
      <c r="F58" s="43" t="n">
        <f aca="false">IF(INDEX($H58:$S58,1,Scenario_Selected)="",$H58,INDEX($H58:$S58,1,Scenario_Selected))</f>
        <v>6</v>
      </c>
      <c r="H58" s="46" t="n">
        <v>6</v>
      </c>
      <c r="I58" s="46"/>
      <c r="J58" s="46"/>
      <c r="K58" s="46"/>
      <c r="L58" s="46"/>
      <c r="M58" s="46"/>
      <c r="N58" s="46"/>
      <c r="O58" s="46"/>
      <c r="P58" s="46"/>
      <c r="Q58" s="46"/>
      <c r="R58" s="46"/>
    </row>
    <row r="59" customFormat="false" ht="15" hidden="false" customHeight="false" outlineLevel="0" collapsed="false">
      <c r="B59" s="0" t="s">
        <v>273</v>
      </c>
      <c r="C59" s="11" t="s">
        <v>274</v>
      </c>
      <c r="D59" s="13" t="s">
        <v>275</v>
      </c>
      <c r="F59" s="47" t="n">
        <f aca="false">IF(INDEX($H59:$S59,1,Scenario_Selected)="",$H59,INDEX($H59:$S59,1,Scenario_Selected))</f>
        <v>200</v>
      </c>
      <c r="H59" s="12" t="n">
        <v>200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customFormat="false" ht="15" hidden="false" customHeight="false" outlineLevel="0" collapsed="false">
      <c r="B60" s="0" t="s">
        <v>276</v>
      </c>
      <c r="C60" s="11" t="s">
        <v>277</v>
      </c>
      <c r="D60" s="13" t="s">
        <v>275</v>
      </c>
      <c r="F60" s="47" t="n">
        <f aca="false">IF(INDEX($H60:$S60,1,Scenario_Selected)="",$H60,INDEX($H60:$S60,1,Scenario_Selected))</f>
        <v>406</v>
      </c>
      <c r="H60" s="12" t="n">
        <v>406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customFormat="false" ht="15" hidden="false" customHeight="false" outlineLevel="0" collapsed="false">
      <c r="B61" s="0" t="s">
        <v>278</v>
      </c>
      <c r="C61" s="11" t="s">
        <v>279</v>
      </c>
      <c r="D61" s="13" t="s">
        <v>280</v>
      </c>
      <c r="F61" s="36" t="n">
        <f aca="false">IF(INDEX($H61:$S61,1,Scenario_Selected)="",$H61,INDEX($H61:$S61,1,Scenario_Selected))</f>
        <v>3</v>
      </c>
      <c r="H61" s="19" t="n">
        <v>3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customFormat="false" ht="15" hidden="false" customHeight="false" outlineLevel="0" collapsed="false">
      <c r="B62" s="0" t="s">
        <v>281</v>
      </c>
      <c r="C62" s="11" t="s">
        <v>27</v>
      </c>
      <c r="D62" s="13" t="s">
        <v>282</v>
      </c>
      <c r="F62" s="50" t="n">
        <f aca="false">IF(INDEX($H62:$S62,1,Scenario_Selected)="",$H62,INDEX($H62:$S62,1,Scenario_Selected))</f>
        <v>0.005</v>
      </c>
      <c r="H62" s="51" t="n">
        <v>0.005</v>
      </c>
      <c r="I62" s="51"/>
      <c r="J62" s="51"/>
      <c r="K62" s="51"/>
      <c r="L62" s="51"/>
      <c r="M62" s="51"/>
      <c r="N62" s="51"/>
      <c r="O62" s="51"/>
      <c r="P62" s="51"/>
      <c r="Q62" s="51"/>
      <c r="R62" s="51"/>
    </row>
    <row r="63" customFormat="false" ht="15" hidden="false" customHeight="false" outlineLevel="0" collapsed="false">
      <c r="B63" s="0" t="s">
        <v>283</v>
      </c>
      <c r="C63" s="11" t="s">
        <v>27</v>
      </c>
      <c r="D63" s="13" t="s">
        <v>284</v>
      </c>
      <c r="F63" s="50" t="n">
        <f aca="false">IF(INDEX($H63:$S63,1,Scenario_Selected)="",$H63,INDEX($H63:$S63,1,Scenario_Selected))</f>
        <v>0.025</v>
      </c>
      <c r="H63" s="51" t="n">
        <v>0.025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</row>
    <row r="64" customFormat="false" ht="15" hidden="false" customHeight="false" outlineLevel="0" collapsed="false">
      <c r="B64" s="0" t="s">
        <v>285</v>
      </c>
      <c r="C64" s="11" t="s">
        <v>286</v>
      </c>
      <c r="D64" s="13" t="s">
        <v>287</v>
      </c>
      <c r="F64" s="36" t="n">
        <f aca="false">IF(INDEX($H64:$S64,1,Scenario_Selected)="",$H64,INDEX($H64:$S64,1,Scenario_Selected))</f>
        <v>4.5</v>
      </c>
      <c r="H64" s="19" t="n">
        <v>4.5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customFormat="false" ht="15" hidden="false" customHeight="false" outlineLevel="0" collapsed="false">
      <c r="B65" s="0" t="s">
        <v>288</v>
      </c>
      <c r="C65" s="11" t="s">
        <v>279</v>
      </c>
      <c r="D65" s="13" t="s">
        <v>289</v>
      </c>
      <c r="F65" s="36" t="n">
        <f aca="false">IF(INDEX($H65:$S65,1,Scenario_Selected)="",$H65,INDEX($H65:$S65,1,Scenario_Selected))</f>
        <v>460</v>
      </c>
      <c r="H65" s="19" t="n">
        <v>460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customFormat="false" ht="15" hidden="false" customHeight="false" outlineLevel="0" collapsed="false">
      <c r="B66" s="0" t="s">
        <v>290</v>
      </c>
      <c r="C66" s="11" t="s">
        <v>286</v>
      </c>
      <c r="D66" s="13" t="s">
        <v>291</v>
      </c>
      <c r="F66" s="32" t="n">
        <f aca="false">IF(INDEX($H66:$S66,1,Scenario_Selected)="",$H66,INDEX($H66:$S66,1,Scenario_Selected))</f>
        <v>54.830209</v>
      </c>
      <c r="H66" s="16" t="n">
        <v>54.830209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customFormat="false" ht="15" hidden="false" customHeight="false" outlineLevel="0" collapsed="false">
      <c r="B67" s="0" t="s">
        <v>292</v>
      </c>
      <c r="C67" s="11" t="s">
        <v>27</v>
      </c>
      <c r="D67" s="13" t="s">
        <v>293</v>
      </c>
      <c r="F67" s="48" t="n">
        <f aca="false">IF(INDEX($H67:$S67,1,Scenario_Selected)="",$H67,INDEX($H67:$S67,1,Scenario_Selected))</f>
        <v>0.06</v>
      </c>
      <c r="H67" s="17" t="n">
        <v>0.06</v>
      </c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9" customFormat="false" ht="15" hidden="false" customHeight="false" outlineLevel="0" collapsed="false">
      <c r="A69" s="9" t="s">
        <v>13</v>
      </c>
      <c r="B69" s="9"/>
      <c r="C69" s="9" t="s">
        <v>294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customFormat="false" ht="15" hidden="false" customHeight="false" outlineLevel="0" collapsed="false">
      <c r="B70" s="0" t="s">
        <v>295</v>
      </c>
      <c r="C70" s="11" t="s">
        <v>19</v>
      </c>
      <c r="D70" s="13" t="s">
        <v>296</v>
      </c>
      <c r="F70" s="47" t="n">
        <f aca="false">IF(INDEX($H70:$S70,1,Scenario_Selected)="",$H70,INDEX($H70:$S70,1,Scenario_Selected))</f>
        <v>950</v>
      </c>
      <c r="H70" s="12" t="n">
        <v>950</v>
      </c>
      <c r="I70" s="12"/>
      <c r="J70" s="12"/>
      <c r="K70" s="12" t="n">
        <f aca="false">H70*(1+Sens_Step)</f>
        <v>1045</v>
      </c>
      <c r="L70" s="12"/>
      <c r="M70" s="12"/>
      <c r="N70" s="12"/>
      <c r="O70" s="12"/>
      <c r="P70" s="12"/>
      <c r="Q70" s="12"/>
      <c r="R70" s="12"/>
    </row>
    <row r="71" customFormat="false" ht="15" hidden="false" customHeight="false" outlineLevel="0" collapsed="false">
      <c r="B71" s="0" t="s">
        <v>297</v>
      </c>
      <c r="C71" s="11" t="s">
        <v>19</v>
      </c>
      <c r="D71" s="13" t="s">
        <v>298</v>
      </c>
      <c r="F71" s="47" t="n">
        <f aca="false">IF(INDEX($H71:$S71,1,Scenario_Selected)="",$H71,INDEX($H71:$S71,1,Scenario_Selected))</f>
        <v>500</v>
      </c>
      <c r="H71" s="12" t="n">
        <v>500</v>
      </c>
      <c r="I71" s="12"/>
      <c r="J71" s="12"/>
      <c r="K71" s="12" t="n">
        <f aca="false">H71*(1+Sens_Step)</f>
        <v>550</v>
      </c>
      <c r="L71" s="12"/>
      <c r="M71" s="12"/>
      <c r="N71" s="12"/>
      <c r="O71" s="12"/>
      <c r="P71" s="12"/>
      <c r="Q71" s="12"/>
      <c r="R71" s="12"/>
    </row>
    <row r="72" customFormat="false" ht="15" hidden="false" customHeight="false" outlineLevel="0" collapsed="false">
      <c r="B72" s="0" t="s">
        <v>299</v>
      </c>
      <c r="C72" s="11" t="s">
        <v>19</v>
      </c>
      <c r="D72" s="13" t="s">
        <v>300</v>
      </c>
      <c r="F72" s="47" t="n">
        <f aca="false">IF(INDEX($H72:$S72,1,Scenario_Selected)="",$H72,INDEX($H72:$S72,1,Scenario_Selected))</f>
        <v>355</v>
      </c>
      <c r="H72" s="12" t="n">
        <v>355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customFormat="false" ht="15" hidden="false" customHeight="false" outlineLevel="0" collapsed="false">
      <c r="B73" s="0" t="s">
        <v>301</v>
      </c>
      <c r="C73" s="11" t="s">
        <v>33</v>
      </c>
      <c r="D73" s="13" t="s">
        <v>302</v>
      </c>
      <c r="F73" s="47" t="n">
        <f aca="false">IF(INDEX($H73:$S73,1,Scenario_Selected)="",$H73,INDEX($H73:$S73,1,Scenario_Selected))</f>
        <v>12000</v>
      </c>
      <c r="H73" s="12" t="n">
        <v>12000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customFormat="false" ht="15" hidden="false" customHeight="false" outlineLevel="0" collapsed="false">
      <c r="B74" s="0" t="s">
        <v>303</v>
      </c>
      <c r="C74" s="11" t="s">
        <v>33</v>
      </c>
      <c r="D74" s="13" t="s">
        <v>304</v>
      </c>
      <c r="F74" s="47" t="n">
        <f aca="false">IF(INDEX($H74:$S74,1,Scenario_Selected)="",$H74,INDEX($H74:$S74,1,Scenario_Selected))</f>
        <v>10800</v>
      </c>
      <c r="H74" s="12" t="n">
        <v>10800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customFormat="false" ht="15" hidden="false" customHeight="false" outlineLevel="0" collapsed="false">
      <c r="B75" s="0" t="s">
        <v>305</v>
      </c>
      <c r="C75" s="11" t="s">
        <v>27</v>
      </c>
      <c r="D75" s="13" t="s">
        <v>306</v>
      </c>
      <c r="F75" s="48" t="n">
        <f aca="false">IF(INDEX($H75:$S75,1,Scenario_Selected)="",$H75,INDEX($H75:$S75,1,Scenario_Selected))</f>
        <v>0.05</v>
      </c>
      <c r="H75" s="17" t="n">
        <v>0.05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customFormat="false" ht="15" hidden="false" customHeight="false" outlineLevel="0" collapsed="false">
      <c r="B76" s="0" t="s">
        <v>307</v>
      </c>
      <c r="C76" s="11" t="s">
        <v>19</v>
      </c>
      <c r="D76" s="13" t="s">
        <v>308</v>
      </c>
      <c r="F76" s="47" t="n">
        <f aca="false">IF(INDEX($H76:$S76,1,Scenario_Selected)="",$H76,INDEX($H76:$S76,1,Scenario_Selected))</f>
        <v>240</v>
      </c>
      <c r="H76" s="12" t="n">
        <v>240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8" customFormat="false" ht="15" hidden="false" customHeight="false" outlineLevel="0" collapsed="false">
      <c r="A78" s="9" t="s">
        <v>13</v>
      </c>
      <c r="B78" s="9"/>
      <c r="C78" s="9" t="s">
        <v>309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</row>
    <row r="79" customFormat="false" ht="15" hidden="false" customHeight="false" outlineLevel="0" collapsed="false">
      <c r="B79" s="0" t="s">
        <v>56</v>
      </c>
      <c r="C79" s="11" t="s">
        <v>57</v>
      </c>
      <c r="D79" s="13" t="s">
        <v>202</v>
      </c>
      <c r="F79" s="47" t="n">
        <f aca="false">IF(INDEX($H79:$S79,1,Scenario_Selected)="",$H79,INDEX($H79:$S79,1,Scenario_Selected))</f>
        <v>2600</v>
      </c>
      <c r="H79" s="12" t="n">
        <v>2600</v>
      </c>
      <c r="I79" s="12"/>
      <c r="J79" s="12"/>
      <c r="K79" s="12"/>
      <c r="L79" s="12" t="n">
        <f aca="false">H79*(1-Sens_Step)</f>
        <v>2340</v>
      </c>
      <c r="M79" s="12"/>
      <c r="N79" s="12"/>
      <c r="O79" s="12"/>
      <c r="P79" s="12"/>
      <c r="Q79" s="12"/>
      <c r="R79" s="12"/>
    </row>
    <row r="80" customFormat="false" ht="15" hidden="false" customHeight="false" outlineLevel="0" collapsed="false">
      <c r="B80" s="0" t="s">
        <v>310</v>
      </c>
      <c r="C80" s="11" t="s">
        <v>27</v>
      </c>
      <c r="D80" s="13" t="s">
        <v>311</v>
      </c>
      <c r="F80" s="48" t="n">
        <f aca="false">IF(INDEX($H80:$S80,1,Scenario_Selected)="",$H80,INDEX($H80:$S80,1,Scenario_Selected))</f>
        <v>0.02</v>
      </c>
      <c r="H80" s="17" t="n">
        <v>0.02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customFormat="false" ht="15" hidden="false" customHeight="false" outlineLevel="0" collapsed="false">
      <c r="B81" s="0" t="s">
        <v>312</v>
      </c>
      <c r="C81" s="11" t="s">
        <v>27</v>
      </c>
      <c r="D81" s="13" t="s">
        <v>313</v>
      </c>
      <c r="F81" s="50" t="n">
        <f aca="false">IF(INDEX($H81:$S81,1,Scenario_Selected)="",$H81,INDEX($H81:$S81,1,Scenario_Selected))</f>
        <v>0.003</v>
      </c>
      <c r="H81" s="51" t="n">
        <v>0.003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customFormat="false" ht="15" hidden="false" customHeight="false" outlineLevel="0" collapsed="false">
      <c r="B82" s="0" t="s">
        <v>314</v>
      </c>
      <c r="C82" s="11" t="s">
        <v>24</v>
      </c>
      <c r="D82" s="13" t="s">
        <v>202</v>
      </c>
      <c r="F82" s="36" t="n">
        <f aca="false">IF(INDEX($H82:$S82,1,Scenario_Selected)="",$H82,INDEX($H82:$S82,1,Scenario_Selected))</f>
        <v>90</v>
      </c>
      <c r="H82" s="19" t="n">
        <v>90</v>
      </c>
      <c r="I82" s="19"/>
      <c r="J82" s="19"/>
      <c r="K82" s="19"/>
      <c r="L82" s="19"/>
      <c r="M82" s="19" t="n">
        <v>99</v>
      </c>
      <c r="N82" s="19"/>
      <c r="O82" s="19"/>
      <c r="P82" s="19"/>
      <c r="Q82" s="19"/>
      <c r="R82" s="19"/>
    </row>
    <row r="83" customFormat="false" ht="15" hidden="false" customHeight="false" outlineLevel="0" collapsed="false">
      <c r="B83" s="0" t="s">
        <v>315</v>
      </c>
      <c r="C83" s="11" t="s">
        <v>27</v>
      </c>
      <c r="D83" s="13" t="s">
        <v>316</v>
      </c>
      <c r="F83" s="48" t="n">
        <f aca="false">IF(INDEX($H83:$S83,1,Scenario_Selected)="",$H83,INDEX($H83:$S83,1,Scenario_Selected))</f>
        <v>0.01</v>
      </c>
      <c r="H83" s="17" t="n">
        <v>0.01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customFormat="false" ht="15" hidden="false" customHeight="false" outlineLevel="0" collapsed="false">
      <c r="B84" s="0" t="s">
        <v>317</v>
      </c>
      <c r="C84" s="11" t="s">
        <v>24</v>
      </c>
      <c r="D84" s="13" t="s">
        <v>318</v>
      </c>
      <c r="F84" s="36" t="n">
        <f aca="false">IF(INDEX($H84:$S84,1,Scenario_Selected)="",$H84,INDEX($H84:$S84,1,Scenario_Selected))</f>
        <v>5</v>
      </c>
      <c r="H84" s="19" t="n">
        <v>5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15" hidden="false" customHeight="false" outlineLevel="0" collapsed="false">
      <c r="B85" s="0" t="s">
        <v>319</v>
      </c>
      <c r="C85" s="11" t="s">
        <v>19</v>
      </c>
      <c r="D85" s="13" t="s">
        <v>320</v>
      </c>
      <c r="F85" s="47" t="n">
        <f aca="false">IF(INDEX($H85:$S85,1,Scenario_Selected)="",$H85,INDEX($H85:$S85,1,Scenario_Selected))</f>
        <v>22</v>
      </c>
      <c r="H85" s="12" t="n">
        <v>22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customFormat="false" ht="15" hidden="false" customHeight="false" outlineLevel="0" collapsed="false">
      <c r="B86" s="0" t="s">
        <v>321</v>
      </c>
      <c r="C86" s="11" t="s">
        <v>19</v>
      </c>
      <c r="D86" s="13" t="s">
        <v>322</v>
      </c>
      <c r="F86" s="47" t="n">
        <f aca="false">IF(INDEX($H86:$S86,1,Scenario_Selected)="",$H86,INDEX($H86:$S86,1,Scenario_Selected))</f>
        <v>3</v>
      </c>
      <c r="H86" s="12" t="n">
        <v>3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customFormat="false" ht="15" hidden="false" customHeight="false" outlineLevel="0" collapsed="false">
      <c r="B87" s="0" t="s">
        <v>323</v>
      </c>
      <c r="C87" s="11" t="s">
        <v>33</v>
      </c>
      <c r="D87" s="13" t="s">
        <v>324</v>
      </c>
      <c r="F87" s="47" t="n">
        <f aca="false">IF(INDEX($H87:$S87,1,Scenario_Selected)="",$H87,INDEX($H87:$S87,1,Scenario_Selected))</f>
        <v>150</v>
      </c>
      <c r="H87" s="12" t="n">
        <v>150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customFormat="false" ht="15" hidden="false" customHeight="false" outlineLevel="0" collapsed="false">
      <c r="B88" s="0" t="s">
        <v>325</v>
      </c>
      <c r="C88" s="11" t="s">
        <v>27</v>
      </c>
      <c r="D88" s="13" t="s">
        <v>326</v>
      </c>
      <c r="F88" s="48" t="n">
        <f aca="false">IF(INDEX($H88:$S88,1,Scenario_Selected)="",$H88,INDEX($H88:$S88,1,Scenario_Selected))</f>
        <v>0.05</v>
      </c>
      <c r="H88" s="17" t="n">
        <v>0.05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customFormat="false" ht="15" hidden="false" customHeight="false" outlineLevel="0" collapsed="false">
      <c r="B89" s="0" t="s">
        <v>327</v>
      </c>
      <c r="C89" s="11" t="s">
        <v>27</v>
      </c>
      <c r="D89" s="13" t="s">
        <v>328</v>
      </c>
      <c r="F89" s="48" t="n">
        <f aca="false">IF(INDEX($H89:$S89,1,Scenario_Selected)="",$H89,INDEX($H89:$S89,1,Scenario_Selected))</f>
        <v>0.025</v>
      </c>
      <c r="H89" s="17" t="n">
        <v>0.025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customFormat="false" ht="15" hidden="false" customHeight="false" outlineLevel="0" collapsed="false">
      <c r="B90" s="0" t="s">
        <v>329</v>
      </c>
      <c r="C90" s="11" t="s">
        <v>27</v>
      </c>
      <c r="D90" s="13" t="s">
        <v>330</v>
      </c>
      <c r="F90" s="50" t="n">
        <f aca="false">IF(INDEX($H90:$S90,1,Scenario_Selected)="",$H90,INDEX($H90:$S90,1,Scenario_Selected))</f>
        <v>0.001</v>
      </c>
      <c r="H90" s="51" t="n">
        <v>0.001</v>
      </c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customFormat="false" ht="15" hidden="false" customHeight="false" outlineLevel="0" collapsed="false">
      <c r="B91" s="0" t="s">
        <v>331</v>
      </c>
      <c r="C91" s="11" t="s">
        <v>27</v>
      </c>
      <c r="D91" s="13" t="s">
        <v>332</v>
      </c>
      <c r="F91" s="48" t="n">
        <f aca="false">IF(INDEX($H91:$S91,1,Scenario_Selected)="",$H91,INDEX($H91:$S91,1,Scenario_Selected))</f>
        <v>0.02</v>
      </c>
      <c r="H91" s="17" t="n">
        <v>0.02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customFormat="false" ht="15" hidden="false" customHeight="false" outlineLevel="0" collapsed="false">
      <c r="B92" s="0" t="s">
        <v>333</v>
      </c>
      <c r="C92" s="11" t="s">
        <v>27</v>
      </c>
      <c r="D92" s="13" t="s">
        <v>334</v>
      </c>
      <c r="F92" s="50" t="n">
        <f aca="false">IF(INDEX($H92:$S92,1,Scenario_Selected)="",$H92,INDEX($H92:$S92,1,Scenario_Selected))</f>
        <v>0.003</v>
      </c>
      <c r="H92" s="51" t="n">
        <v>0.003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4" customFormat="false" ht="15" hidden="false" customHeight="false" outlineLevel="0" collapsed="false">
      <c r="A94" s="9" t="s">
        <v>13</v>
      </c>
      <c r="B94" s="9"/>
      <c r="C94" s="9" t="s">
        <v>335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customFormat="false" ht="15" hidden="false" customHeight="false" outlineLevel="0" collapsed="false">
      <c r="B95" s="0" t="s">
        <v>336</v>
      </c>
      <c r="C95" s="11" t="s">
        <v>27</v>
      </c>
      <c r="D95" s="13" t="s">
        <v>337</v>
      </c>
      <c r="F95" s="48" t="n">
        <f aca="false">IF(INDEX($H95:$S95,1,Scenario_Selected)="",$H95,INDEX($H95:$S95,1,Scenario_Selected))</f>
        <v>0.55</v>
      </c>
      <c r="H95" s="17" t="n">
        <v>0.55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customFormat="false" ht="15" hidden="false" customHeight="false" outlineLevel="0" collapsed="false">
      <c r="B96" s="0" t="s">
        <v>130</v>
      </c>
      <c r="C96" s="11" t="s">
        <v>13</v>
      </c>
      <c r="D96" s="13" t="s">
        <v>337</v>
      </c>
      <c r="F96" s="52" t="n">
        <f aca="false">IF(INDEX($H96:$S96,1,Scenario_Selected)="",$H96,INDEX($H96:$S96,1,Scenario_Selected))</f>
        <v>1.1</v>
      </c>
      <c r="H96" s="21" t="n">
        <v>1.1</v>
      </c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customFormat="false" ht="15" hidden="false" customHeight="false" outlineLevel="0" collapsed="false">
      <c r="B97" s="0" t="s">
        <v>133</v>
      </c>
      <c r="C97" s="11" t="s">
        <v>13</v>
      </c>
      <c r="D97" s="13" t="s">
        <v>337</v>
      </c>
      <c r="F97" s="52" t="n">
        <f aca="false">IF(INDEX($H97:$S97,1,Scenario_Selected)="",$H97,INDEX($H97:$S97,1,Scenario_Selected))</f>
        <v>1.2</v>
      </c>
      <c r="H97" s="21" t="n">
        <v>1.2</v>
      </c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customFormat="false" ht="15" hidden="false" customHeight="false" outlineLevel="0" collapsed="false">
      <c r="B98" s="0" t="s">
        <v>338</v>
      </c>
      <c r="C98" s="11" t="s">
        <v>13</v>
      </c>
      <c r="D98" s="13" t="s">
        <v>339</v>
      </c>
      <c r="F98" s="52" t="n">
        <f aca="false">IF(INDEX($H98:$S98,1,Scenario_Selected)="",$H98,INDEX($H98:$S98,1,Scenario_Selected))</f>
        <v>1.2</v>
      </c>
      <c r="H98" s="21" t="n">
        <v>1.2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customFormat="false" ht="15" hidden="false" customHeight="false" outlineLevel="0" collapsed="false">
      <c r="B99" s="0" t="s">
        <v>65</v>
      </c>
      <c r="C99" s="11" t="s">
        <v>66</v>
      </c>
      <c r="D99" s="13" t="s">
        <v>340</v>
      </c>
      <c r="F99" s="43" t="n">
        <f aca="false">IF(INDEX($H99:$S99,1,Scenario_Selected)="",$H99,INDEX($H99:$S99,1,Scenario_Selected))</f>
        <v>18</v>
      </c>
      <c r="H99" s="46" t="n">
        <v>18</v>
      </c>
      <c r="I99" s="46"/>
      <c r="J99" s="46"/>
      <c r="K99" s="46"/>
      <c r="L99" s="46"/>
      <c r="M99" s="46"/>
      <c r="N99" s="46"/>
      <c r="O99" s="46"/>
      <c r="P99" s="46" t="n">
        <v>10</v>
      </c>
      <c r="Q99" s="46"/>
      <c r="R99" s="46"/>
    </row>
    <row r="100" customFormat="false" ht="15" hidden="false" customHeight="false" outlineLevel="0" collapsed="false">
      <c r="B100" s="0" t="s">
        <v>341</v>
      </c>
      <c r="C100" s="11" t="s">
        <v>27</v>
      </c>
      <c r="D100" s="13" t="s">
        <v>342</v>
      </c>
      <c r="F100" s="48" t="n">
        <f aca="false">IF(INDEX($H100:$S100,1,Scenario_Selected)="",$H100,INDEX($H100:$S100,1,Scenario_Selected))</f>
        <v>0.05</v>
      </c>
      <c r="H100" s="17" t="n">
        <v>0.05</v>
      </c>
      <c r="I100" s="17"/>
      <c r="J100" s="17"/>
      <c r="K100" s="17"/>
      <c r="L100" s="17"/>
      <c r="M100" s="17"/>
      <c r="N100" s="17"/>
      <c r="O100" s="17" t="n">
        <v>0.06</v>
      </c>
      <c r="P100" s="17"/>
      <c r="Q100" s="17"/>
      <c r="R100" s="17"/>
    </row>
    <row r="101" customFormat="false" ht="15" hidden="false" customHeight="false" outlineLevel="0" collapsed="false">
      <c r="B101" s="0" t="s">
        <v>343</v>
      </c>
      <c r="C101" s="11" t="s">
        <v>27</v>
      </c>
      <c r="D101" s="13" t="s">
        <v>344</v>
      </c>
      <c r="F101" s="50" t="n">
        <f aca="false">IF(INDEX($H101:$S101,1,Scenario_Selected)="",$H101,INDEX($H101:$S101,1,Scenario_Selected))</f>
        <v>0.0175</v>
      </c>
      <c r="H101" s="51" t="n">
        <v>0.0175</v>
      </c>
      <c r="I101" s="51"/>
      <c r="J101" s="51"/>
      <c r="K101" s="51"/>
      <c r="L101" s="51"/>
      <c r="M101" s="51"/>
      <c r="N101" s="51"/>
      <c r="O101" s="51"/>
      <c r="P101" s="51"/>
      <c r="Q101" s="51"/>
      <c r="R101" s="51"/>
    </row>
    <row r="102" customFormat="false" ht="15" hidden="false" customHeight="false" outlineLevel="0" collapsed="false">
      <c r="B102" s="0" t="s">
        <v>345</v>
      </c>
      <c r="C102" s="11" t="s">
        <v>27</v>
      </c>
      <c r="D102" s="13" t="s">
        <v>346</v>
      </c>
      <c r="F102" s="50" t="n">
        <f aca="false">IF(INDEX($H102:$S102,1,Scenario_Selected)="",$H102,INDEX($H102:$S102,1,Scenario_Selected))</f>
        <v>0.009</v>
      </c>
      <c r="H102" s="51" t="n">
        <v>0.009</v>
      </c>
      <c r="I102" s="51"/>
      <c r="J102" s="51"/>
      <c r="K102" s="51"/>
      <c r="L102" s="51"/>
      <c r="M102" s="51"/>
      <c r="N102" s="51"/>
      <c r="O102" s="51"/>
      <c r="P102" s="51"/>
      <c r="Q102" s="51"/>
      <c r="R102" s="51"/>
    </row>
    <row r="103" customFormat="false" ht="15" hidden="false" customHeight="false" outlineLevel="0" collapsed="false">
      <c r="B103" s="0" t="s">
        <v>347</v>
      </c>
      <c r="C103" s="11" t="s">
        <v>193</v>
      </c>
      <c r="D103" s="13" t="s">
        <v>348</v>
      </c>
      <c r="F103" s="43" t="n">
        <f aca="false">IF(INDEX($H103:$S103,1,Scenario_Selected)="",$H103,INDEX($H103:$S103,1,Scenario_Selected))</f>
        <v>6</v>
      </c>
      <c r="H103" s="46" t="n">
        <v>6</v>
      </c>
      <c r="I103" s="46"/>
      <c r="J103" s="46"/>
      <c r="K103" s="46"/>
      <c r="L103" s="46"/>
      <c r="M103" s="46"/>
      <c r="N103" s="46"/>
      <c r="O103" s="46"/>
      <c r="P103" s="46"/>
      <c r="Q103" s="46"/>
      <c r="R103" s="46"/>
    </row>
    <row r="105" customFormat="false" ht="15" hidden="false" customHeight="false" outlineLevel="0" collapsed="false">
      <c r="A105" s="9" t="s">
        <v>13</v>
      </c>
      <c r="B105" s="9"/>
      <c r="C105" s="9" t="s">
        <v>349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</row>
    <row r="106" customFormat="false" ht="15" hidden="false" customHeight="false" outlineLevel="0" collapsed="false">
      <c r="B106" s="0" t="s">
        <v>350</v>
      </c>
      <c r="C106" s="11" t="s">
        <v>21</v>
      </c>
      <c r="D106" s="13" t="s">
        <v>351</v>
      </c>
      <c r="F106" s="3" t="s">
        <v>352</v>
      </c>
    </row>
    <row r="107" customFormat="false" ht="15" hidden="false" customHeight="false" outlineLevel="0" collapsed="false">
      <c r="B107" s="0" t="s">
        <v>353</v>
      </c>
      <c r="C107" s="11" t="s">
        <v>21</v>
      </c>
      <c r="D107" s="13" t="s">
        <v>354</v>
      </c>
      <c r="F107" s="3"/>
    </row>
    <row r="109" customFormat="false" ht="15" hidden="false" customHeight="false" outlineLevel="0" collapsed="false">
      <c r="C109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355</v>
      </c>
      <c r="D5" s="9"/>
      <c r="E5" s="9" t="s">
        <v>356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357</v>
      </c>
      <c r="F6" s="8" t="s">
        <v>358</v>
      </c>
      <c r="J6" s="8" t="s">
        <v>359</v>
      </c>
    </row>
    <row r="7" customFormat="false" ht="15" hidden="false" customHeight="false" outlineLevel="0" collapsed="false">
      <c r="C7" s="0" t="s">
        <v>360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361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362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363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364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365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366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367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368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369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370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371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372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373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374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375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376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377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378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-99.0572035501023</v>
      </c>
      <c r="AA82" s="57" t="n">
        <v>-99.6181322483807</v>
      </c>
      <c r="AB82" s="57" t="n">
        <v>-106.441232890205</v>
      </c>
      <c r="AC82" s="57" t="n">
        <v>-113.349427151067</v>
      </c>
      <c r="AD82" s="57" t="n">
        <v>-112.895530184252</v>
      </c>
      <c r="AE82" s="57" t="n">
        <v>-117.676184494202</v>
      </c>
      <c r="AF82" s="57" t="n">
        <v>-120.493014411677</v>
      </c>
      <c r="AG82" s="57" t="n">
        <v>-127.554505692857</v>
      </c>
      <c r="AH82" s="57" t="n">
        <v>-127.202876114628</v>
      </c>
      <c r="AI82" s="57" t="n">
        <v>-127.77284986709</v>
      </c>
      <c r="AJ82" s="57" t="n">
        <v>-147.667818585992</v>
      </c>
      <c r="AK82" s="57" t="n">
        <v>-155.081833426178</v>
      </c>
      <c r="AL82" s="57" t="n">
        <v>-185.067417508965</v>
      </c>
      <c r="AM82" s="57" t="n">
        <v>-185.394488222587</v>
      </c>
      <c r="AN82" s="57" t="n">
        <v>-194.238920524514</v>
      </c>
      <c r="AO82" s="57" t="n">
        <v>-203.185559671159</v>
      </c>
      <c r="AP82" s="57" t="n">
        <v>-202.983934137026</v>
      </c>
      <c r="AQ82" s="57" t="n">
        <v>-203.31568809251</v>
      </c>
      <c r="AR82" s="57" t="n">
        <v>-212.343368063408</v>
      </c>
      <c r="AS82" s="57" t="n">
        <v>-221.47475846269</v>
      </c>
      <c r="AT82" s="57" t="n">
        <v>-221.399700110318</v>
      </c>
      <c r="AU82" s="57" t="n">
        <v>-227.087311828761</v>
      </c>
      <c r="AV82" s="57" t="n">
        <v>-231.024555582115</v>
      </c>
      <c r="AW82" s="57" t="n">
        <v>-240.345452261373</v>
      </c>
      <c r="AX82" s="57" t="n">
        <v>-240.402796271333</v>
      </c>
      <c r="AY82" s="57" t="n">
        <v>-240.756265638665</v>
      </c>
      <c r="AZ82" s="57" t="n">
        <v>-250.163449328763</v>
      </c>
      <c r="BA82" s="57" t="n">
        <v>-259.677488736817</v>
      </c>
      <c r="BB82" s="57" t="n">
        <v>-259.871983091921</v>
      </c>
      <c r="BC82" s="57" t="n">
        <v>-260.242183559541</v>
      </c>
      <c r="BD82" s="57" t="n">
        <v>-269.845272772921</v>
      </c>
      <c r="BE82" s="57" t="n">
        <v>-279.556856613062</v>
      </c>
      <c r="BF82" s="57" t="n">
        <v>-279.894064436329</v>
      </c>
      <c r="BG82" s="57" t="n">
        <v>-280.28534314927</v>
      </c>
      <c r="BH82" s="57" t="n">
        <v>-290.088843461805</v>
      </c>
      <c r="BI82" s="57" t="n">
        <v>-300.002525505862</v>
      </c>
      <c r="BJ82" s="57" t="n">
        <v>-300.48820737139</v>
      </c>
      <c r="BK82" s="57" t="n">
        <v>-306.375054720313</v>
      </c>
      <c r="BL82" s="57" t="n">
        <v>-310.983712103375</v>
      </c>
      <c r="BM82" s="57" t="n">
        <v>-321.104850169752</v>
      </c>
      <c r="BN82" s="57" t="n">
        <v>-321.745623278118</v>
      </c>
      <c r="BO82" s="57" t="n">
        <v>-322.193483880136</v>
      </c>
      <c r="BP82" s="57" t="n">
        <v>-332.412617894148</v>
      </c>
      <c r="BQ82" s="57" t="n">
        <v>-342.745465320672</v>
      </c>
      <c r="BR82" s="57" t="n">
        <v>-343.546878576654</v>
      </c>
      <c r="BS82" s="57" t="n">
        <v>-344.029989029545</v>
      </c>
      <c r="BT82" s="57" t="n">
        <v>-354.464036475284</v>
      </c>
      <c r="BU82" s="57" t="n">
        <v>-365.013639542432</v>
      </c>
      <c r="BV82" s="57" t="n">
        <v>-365.982089725153</v>
      </c>
      <c r="BW82" s="57" t="n">
        <v>-366.505558161636</v>
      </c>
      <c r="BX82" s="57" t="n">
        <v>-377.159686507481</v>
      </c>
      <c r="BY82" s="57" t="n">
        <v>-387.931267956032</v>
      </c>
      <c r="BZ82" s="57" t="n">
        <v>-389.073378822407</v>
      </c>
      <c r="CA82" s="57" t="n">
        <v>-395.213979371327</v>
      </c>
      <c r="CB82" s="57" t="n">
        <v>-400.59251713059</v>
      </c>
      <c r="CC82" s="57" t="n">
        <v>-411.592132668531</v>
      </c>
      <c r="CD82" s="57" t="n">
        <v>-412.91541882165</v>
      </c>
      <c r="CE82" s="57" t="n">
        <v>-413.536429061526</v>
      </c>
      <c r="CF82" s="57" t="n">
        <v>-424.647621301461</v>
      </c>
      <c r="CG82" s="57" t="n">
        <v>-435.8802413786</v>
      </c>
      <c r="CH82" s="57" t="n">
        <v>-437.391173683079</v>
      </c>
      <c r="CI82" s="57" t="n">
        <v>-438.069169948675</v>
      </c>
      <c r="CJ82" s="57" t="n">
        <v>-449.417085482126</v>
      </c>
      <c r="CK82" s="57" t="n">
        <v>-460.888504248256</v>
      </c>
      <c r="CL82" s="57" t="n">
        <v>-462.594437770121</v>
      </c>
      <c r="CM82" s="57" t="n">
        <v>-463.335408319776</v>
      </c>
      <c r="CN82" s="57" t="n">
        <v>-474.92598264963</v>
      </c>
      <c r="CO82" s="57" t="n">
        <v>-486.642199042173</v>
      </c>
      <c r="CP82" s="57" t="n">
        <v>-488.550749831432</v>
      </c>
      <c r="CQ82" s="57" t="n">
        <v>-495.009695773734</v>
      </c>
      <c r="CR82" s="57" t="n">
        <v>-501.271037460935</v>
      </c>
      <c r="CS82" s="57" t="n">
        <v>-513.238915532456</v>
      </c>
      <c r="CT82" s="57" t="n">
        <v>-515.3586284821</v>
      </c>
      <c r="CU82" s="57" t="n">
        <v>-509.75416124952</v>
      </c>
      <c r="CV82" s="57" t="n">
        <v>-515.418096374515</v>
      </c>
      <c r="CW82" s="57" t="n">
        <v>-521.08203149951</v>
      </c>
      <c r="CX82" s="57" t="n">
        <v>-516.727704589866</v>
      </c>
      <c r="CY82" s="57" t="n">
        <v>-510.958926950689</v>
      </c>
      <c r="CZ82" s="57" t="n">
        <v>-516.636248361252</v>
      </c>
      <c r="DA82" s="57" t="n">
        <v>-522.313569771816</v>
      </c>
      <c r="DB82" s="57" t="n">
        <v>-1151.49254628243</v>
      </c>
      <c r="DC82" s="57" t="n">
        <v>-1131.78484906561</v>
      </c>
      <c r="DD82" s="57" t="n">
        <v>-1144.36023627745</v>
      </c>
      <c r="DE82" s="57" t="n">
        <v>-1156.93562348929</v>
      </c>
      <c r="DF82" s="57" t="n">
        <v>-1152.52933692407</v>
      </c>
      <c r="DG82" s="57" t="n">
        <v>-1145.23918926198</v>
      </c>
      <c r="DH82" s="57" t="n">
        <v>-1145.23918926198</v>
      </c>
      <c r="DI82" s="57" t="n">
        <v>-1157.82423529783</v>
      </c>
      <c r="DJ82" s="57" t="n">
        <v>-1153.39189590481</v>
      </c>
      <c r="DK82" s="57" t="n">
        <v>-1133.3475786077</v>
      </c>
      <c r="DL82" s="57" t="n">
        <v>-1145.94032948112</v>
      </c>
      <c r="DM82" s="57" t="n">
        <v>-1158.53308035454</v>
      </c>
      <c r="DN82" s="57" t="n">
        <v>-1154.07464275917</v>
      </c>
      <c r="DO82" s="57" t="n">
        <v>-1133.85955143919</v>
      </c>
      <c r="DP82" s="57" t="n">
        <v>-1146.45799089962</v>
      </c>
      <c r="DQ82" s="57" t="n">
        <v>-1159.05643036006</v>
      </c>
      <c r="DR82" s="57" t="n">
        <v>-1154.57185175582</v>
      </c>
      <c r="DS82" s="57" t="n">
        <v>-1134.18431223247</v>
      </c>
      <c r="DT82" s="57" t="n">
        <v>-1146.78636014616</v>
      </c>
      <c r="DU82" s="57" t="n">
        <v>-1159.38840805986</v>
      </c>
      <c r="DV82" s="57" t="n">
        <v>-1154.87764828969</v>
      </c>
      <c r="DW82" s="57" t="n">
        <v>-1146.91947285502</v>
      </c>
      <c r="DX82" s="57" t="n">
        <v>-1146.91947285502</v>
      </c>
      <c r="DY82" s="57" t="n">
        <v>-1159.52298354573</v>
      </c>
      <c r="DZ82" s="57" t="n">
        <v>-1154.98600518546</v>
      </c>
      <c r="EA82" s="57" t="n">
        <v>-1134.24844936935</v>
      </c>
      <c r="EB82" s="57" t="n">
        <v>-1146.8512099179</v>
      </c>
      <c r="EC82" s="57" t="n">
        <v>-1159.45397046645</v>
      </c>
      <c r="ED82" s="57" t="n">
        <v>-1154.89073891017</v>
      </c>
      <c r="EE82" s="57" t="n">
        <v>-1133.97556514211</v>
      </c>
      <c r="EF82" s="57" t="n">
        <v>-1146.57529364369</v>
      </c>
      <c r="EG82" s="57" t="n">
        <v>-1159.17502214527</v>
      </c>
      <c r="EH82" s="57" t="n">
        <v>-1154.58550569283</v>
      </c>
      <c r="EI82" s="57" t="n">
        <v>-1133.49094004559</v>
      </c>
      <c r="EJ82" s="57" t="n">
        <v>-1146.08528382388</v>
      </c>
      <c r="EK82" s="57" t="n">
        <v>-1158.67962760216</v>
      </c>
      <c r="EL82" s="57" t="n">
        <v>-1154.06379754871</v>
      </c>
      <c r="EM82" s="57" t="n">
        <v>-1145.37457370133</v>
      </c>
      <c r="EN82" s="57" t="n">
        <v>-1145.37457370133</v>
      </c>
      <c r="EO82" s="57" t="n">
        <v>-1157.96110747827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223682.664675214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2262.23740705804</v>
      </c>
      <c r="AA83" s="47" t="n">
        <f aca="false">(AA79+AA55+AA82)*(AA$4&gt;In_COD)</f>
        <v>2226.17218543672</v>
      </c>
      <c r="AB83" s="47" t="n">
        <f aca="false">(AB79+AB55+AB82)*(AB$4&gt;In_COD)</f>
        <v>2245.19119943584</v>
      </c>
      <c r="AC83" s="47" t="n">
        <f aca="false">(AC79+AC55+AC82)*(AC$4&gt;In_COD)</f>
        <v>2264.12511981593</v>
      </c>
      <c r="AD83" s="47" t="n">
        <f aca="false">(AD79+AD55+AD82)*(AD$4&gt;In_COD)</f>
        <v>2256.10495521259</v>
      </c>
      <c r="AE83" s="47" t="n">
        <f aca="false">(AE79+AE55+AE82)*(AE$4&gt;In_COD)</f>
        <v>2241.44169686329</v>
      </c>
      <c r="AF83" s="47" t="n">
        <f aca="false">(AF79+AF55+AF82)*(AF$4&gt;In_COD)</f>
        <v>2238.62486694582</v>
      </c>
      <c r="AG83" s="47" t="n">
        <f aca="false">(AG79+AG55+AG82)*(AG$4&gt;In_COD)</f>
        <v>2257.48774798725</v>
      </c>
      <c r="AH83" s="47" t="n">
        <f aca="false">(AH79+AH55+AH82)*(AH$4&gt;In_COD)</f>
        <v>2249.31158591456</v>
      </c>
      <c r="AI83" s="47" t="n">
        <f aca="false">(AI79+AI55+AI82)*(AI$4&gt;In_COD)</f>
        <v>2212.62925240765</v>
      </c>
      <c r="AJ83" s="47" t="n">
        <f aca="false">(AJ79+AJ55+AJ82)*(AJ$4&gt;In_COD)</f>
        <v>2251.89424032648</v>
      </c>
      <c r="AK83" s="47" t="n">
        <f aca="false">(AK79+AK55+AK82)*(AK$4&gt;In_COD)</f>
        <v>2270.8490393205</v>
      </c>
      <c r="AL83" s="47" t="n">
        <f aca="false">(AL79+AL55+AL82)*(AL$4&gt;In_COD)</f>
        <v>2232.28175459956</v>
      </c>
      <c r="AM83" s="47" t="n">
        <f aca="false">(AM79+AM55+AM82)*(AM$4&gt;In_COD)</f>
        <v>2194.80551373346</v>
      </c>
      <c r="AN83" s="47" t="n">
        <f aca="false">(AN79+AN55+AN82)*(AN$4&gt;In_COD)</f>
        <v>2212.40774811993</v>
      </c>
      <c r="AO83" s="47" t="n">
        <f aca="false">(AO79+AO55+AO82)*(AO$4&gt;In_COD)</f>
        <v>2229.90777566169</v>
      </c>
      <c r="AP83" s="47" t="n">
        <f aca="false">(AP79+AP55+AP82)*(AP$4&gt;In_COD)</f>
        <v>2221.47361546942</v>
      </c>
      <c r="AQ83" s="47" t="n">
        <f aca="false">(AQ79+AQ55+AQ82)*(AQ$4&gt;In_COD)</f>
        <v>2183.68180246153</v>
      </c>
      <c r="AR83" s="47" t="n">
        <f aca="false">(AR79+AR55+AR82)*(AR$4&gt;In_COD)</f>
        <v>2201.17631683012</v>
      </c>
      <c r="AS83" s="47" t="n">
        <f aca="false">(AS79+AS55+AS82)*(AS$4&gt;In_COD)</f>
        <v>2218.56712077032</v>
      </c>
      <c r="AT83" s="47" t="n">
        <f aca="false">(AT79+AT55+AT82)*(AT$4&gt;In_COD)</f>
        <v>2209.95213512158</v>
      </c>
      <c r="AU83" s="47" t="n">
        <f aca="false">(AU79+AU55+AU82)*(AU$4&gt;In_COD)</f>
        <v>2193.08608062548</v>
      </c>
      <c r="AV83" s="47" t="n">
        <f aca="false">(AV79+AV55+AV82)*(AV$4&gt;In_COD)</f>
        <v>2189.14883687213</v>
      </c>
      <c r="AW83" s="47" t="n">
        <f aca="false">(AW79+AW55+AW82)*(AW$4&gt;In_COD)</f>
        <v>2206.42325219786</v>
      </c>
      <c r="AX83" s="47" t="n">
        <f aca="false">(AX79+AX55+AX82)*(AX$4&gt;In_COD)</f>
        <v>2197.62143575202</v>
      </c>
      <c r="AY83" s="47" t="n">
        <f aca="false">(AY79+AY55+AY82)*(AY$4&gt;In_COD)</f>
        <v>2159.17767211601</v>
      </c>
      <c r="AZ83" s="47" t="n">
        <f aca="false">(AZ79+AZ55+AZ82)*(AZ$4&gt;In_COD)</f>
        <v>2176.43642106763</v>
      </c>
      <c r="BA83" s="47" t="n">
        <f aca="false">(BA79+BA55+BA82)*(BA$4&gt;In_COD)</f>
        <v>2193.5883143013</v>
      </c>
      <c r="BB83" s="47" t="n">
        <f aca="false">(BB79+BB55+BB82)*(BB$4&gt;In_COD)</f>
        <v>2184.59475205652</v>
      </c>
      <c r="BC83" s="47" t="n">
        <f aca="false">(BC79+BC55+BC82)*(BC$4&gt;In_COD)</f>
        <v>2145.81483647907</v>
      </c>
      <c r="BD83" s="47" t="n">
        <f aca="false">(BD79+BD55+BD82)*(BD$4&gt;In_COD)</f>
        <v>2162.94571415501</v>
      </c>
      <c r="BE83" s="47" t="n">
        <f aca="false">(BE79+BE55+BE82)*(BE$4&gt;In_COD)</f>
        <v>2179.96809720418</v>
      </c>
      <c r="BF83" s="47" t="n">
        <f aca="false">(BF79+BF55+BF82)*(BF$4&gt;In_COD)</f>
        <v>2170.77706227689</v>
      </c>
      <c r="BG83" s="47" t="n">
        <f aca="false">(BG79+BG55+BG82)*(BG$4&gt;In_COD)</f>
        <v>2131.65372796976</v>
      </c>
      <c r="BH83" s="47" t="n">
        <f aca="false">(BH79+BH55+BH82)*(BH$4&gt;In_COD)</f>
        <v>2148.64955066966</v>
      </c>
      <c r="BI83" s="47" t="n">
        <f aca="false">(BI79+BI55+BI82)*(BI$4&gt;In_COD)</f>
        <v>2165.53519163803</v>
      </c>
      <c r="BJ83" s="47" t="n">
        <f aca="false">(BJ79+BJ55+BJ82)*(BJ$4&gt;In_COD)</f>
        <v>2156.14076307243</v>
      </c>
      <c r="BK83" s="47" t="n">
        <f aca="false">(BK79+BK55+BK82)*(BK$4&gt;In_COD)</f>
        <v>2138.05846785116</v>
      </c>
      <c r="BL83" s="47" t="n">
        <f aca="false">(BL79+BL55+BL82)*(BL$4&gt;In_COD)</f>
        <v>2133.4498104681</v>
      </c>
      <c r="BM83" s="47" t="n">
        <f aca="false">(BM79+BM55+BM82)*(BM$4&gt;In_COD)</f>
        <v>2150.19057924317</v>
      </c>
      <c r="BN83" s="47" t="n">
        <f aca="false">(BN79+BN55+BN82)*(BN$4&gt;In_COD)</f>
        <v>2140.58598295921</v>
      </c>
      <c r="BO83" s="47" t="n">
        <f aca="false">(BO79+BO55+BO82)*(BO$4&gt;In_COD)</f>
        <v>2100.75247017696</v>
      </c>
      <c r="BP83" s="47" t="n">
        <f aca="false">(BP79+BP55+BP82)*(BP$4&gt;In_COD)</f>
        <v>2117.45495787469</v>
      </c>
      <c r="BQ83" s="47" t="n">
        <f aca="false">(BQ79+BQ55+BQ82)*(BQ$4&gt;In_COD)</f>
        <v>2134.04373215992</v>
      </c>
      <c r="BR83" s="47" t="n">
        <f aca="false">(BR79+BR55+BR82)*(BR$4&gt;In_COD)</f>
        <v>2124.22326600195</v>
      </c>
      <c r="BS83" s="47" t="n">
        <f aca="false">(BS79+BS55+BS82)*(BS$4&gt;In_COD)</f>
        <v>2084.02316710851</v>
      </c>
      <c r="BT83" s="47" t="n">
        <f aca="false">(BT79+BT55+BT82)*(BT$4&gt;In_COD)</f>
        <v>2100.56748806431</v>
      </c>
      <c r="BU83" s="47" t="n">
        <f aca="false">(BU79+BU55+BU82)*(BU$4&gt;In_COD)</f>
        <v>2116.9962533987</v>
      </c>
      <c r="BV83" s="47" t="n">
        <f aca="false">(BV79+BV55+BV82)*(BV$4&gt;In_COD)</f>
        <v>2106.95337109487</v>
      </c>
      <c r="BW83" s="47" t="n">
        <f aca="false">(BW79+BW55+BW82)*(BW$4&gt;In_COD)</f>
        <v>2066.37849796474</v>
      </c>
      <c r="BX83" s="47" t="n">
        <f aca="false">(BX79+BX55+BX82)*(BX$4&gt;In_COD)</f>
        <v>2082.75641468697</v>
      </c>
      <c r="BY83" s="47" t="n">
        <f aca="false">(BY79+BY55+BY82)*(BY$4&gt;In_COD)</f>
        <v>2099.01687830649</v>
      </c>
      <c r="BZ83" s="47" t="n">
        <f aca="false">(BZ79+BZ55+BZ82)*(BZ$4&gt;In_COD)</f>
        <v>2088.74481049799</v>
      </c>
      <c r="CA83" s="47" t="n">
        <f aca="false">(CA79+CA55+CA82)*(CA$4&gt;In_COD)</f>
        <v>2069.29781422451</v>
      </c>
      <c r="CB83" s="47" t="n">
        <f aca="false">(CB79+CB55+CB82)*(CB$4&gt;In_COD)</f>
        <v>2063.91927646525</v>
      </c>
      <c r="CC83" s="47" t="n">
        <f aca="false">(CC79+CC55+CC82)*(CC$4&gt;In_COD)</f>
        <v>2080.00220810968</v>
      </c>
      <c r="CD83" s="47" t="n">
        <f aca="false">(CD79+CD55+CD82)*(CD$4&gt;In_COD)</f>
        <v>2069.49329861831</v>
      </c>
      <c r="CE83" s="47" t="n">
        <f aca="false">(CE79+CE55+CE82)*(CE$4&gt;In_COD)</f>
        <v>2028.14264254497</v>
      </c>
      <c r="CF83" s="47" t="n">
        <f aca="false">(CF79+CF55+CF82)*(CF$4&gt;In_COD)</f>
        <v>2044.16121776733</v>
      </c>
      <c r="CG83" s="47" t="n">
        <f aca="false">(CG79+CG55+CG82)*(CG$4&gt;In_COD)</f>
        <v>2060.05836515248</v>
      </c>
      <c r="CH83" s="47" t="n">
        <f aca="false">(CH79+CH55+CH82)*(CH$4&gt;In_COD)</f>
        <v>2049.3060057046</v>
      </c>
      <c r="CI83" s="47" t="n">
        <f aca="false">(CI79+CI55+CI82)*(CI$4&gt;In_COD)</f>
        <v>2007.55445240954</v>
      </c>
      <c r="CJ83" s="47" t="n">
        <f aca="false">(CJ79+CJ55+CJ82)*(CJ$4&gt;In_COD)</f>
        <v>2023.38013268007</v>
      </c>
      <c r="CK83" s="47" t="n">
        <f aca="false">(CK79+CK55+CK82)*(CK$4&gt;In_COD)</f>
        <v>2039.08230971792</v>
      </c>
      <c r="CL83" s="47" t="n">
        <f aca="false">(CL79+CL55+CL82)*(CL$4&gt;In_COD)</f>
        <v>2028.07901214724</v>
      </c>
      <c r="CM83" s="47" t="n">
        <f aca="false">(CM79+CM55+CM82)*(CM$4&gt;In_COD)</f>
        <v>1985.91732072535</v>
      </c>
      <c r="CN83" s="47" t="n">
        <f aca="false">(CN79+CN55+CN82)*(CN$4&gt;In_COD)</f>
        <v>2001.5406656071</v>
      </c>
      <c r="CO83" s="47" t="n">
        <f aca="false">(CO79+CO55+CO82)*(CO$4&gt;In_COD)</f>
        <v>2017.03836842617</v>
      </c>
      <c r="CP83" s="47" t="n">
        <f aca="false">(CP79+CP55+CP82)*(CP$4&gt;In_COD)</f>
        <v>2005.77638803743</v>
      </c>
      <c r="CQ83" s="47" t="n">
        <f aca="false">(CQ79+CQ55+CQ82)*(CQ$4&gt;In_COD)</f>
        <v>1984.79688124199</v>
      </c>
      <c r="CR83" s="47" t="n">
        <f aca="false">(CR79+CR55+CR82)*(CR$4&gt;In_COD)</f>
        <v>1978.53553955479</v>
      </c>
      <c r="CS83" s="47" t="n">
        <f aca="false">(CS79+CS55+CS82)*(CS$4&gt;In_COD)</f>
        <v>1993.81828320871</v>
      </c>
      <c r="CT83" s="47" t="n">
        <f aca="false">(CT79+CT55+CT82)*(CT$4&gt;In_COD)</f>
        <v>1982.28895106833</v>
      </c>
      <c r="CU83" s="47" t="n">
        <f aca="false">(CU79+CU55+CU82)*(CU$4&gt;In_COD)</f>
        <v>1945.76843007739</v>
      </c>
      <c r="CV83" s="47" t="n">
        <f aca="false">(CV79+CV55+CV82)*(CV$4&gt;In_COD)</f>
        <v>1967.38807930047</v>
      </c>
      <c r="CW83" s="47" t="n">
        <f aca="false">(CW79+CW55+CW82)*(CW$4&gt;In_COD)</f>
        <v>1989.00772852355</v>
      </c>
      <c r="CX83" s="47" t="n">
        <f aca="false">(CX79+CX55+CX82)*(CX$4&gt;In_COD)</f>
        <v>1983.89612736875</v>
      </c>
      <c r="CY83" s="47" t="n">
        <f aca="false">(CY79+CY55+CY82)*(CY$4&gt;In_COD)</f>
        <v>1947.18272024833</v>
      </c>
      <c r="CZ83" s="47" t="n">
        <f aca="false">(CZ79+CZ55+CZ82)*(CZ$4&gt;In_COD)</f>
        <v>1968.81808380664</v>
      </c>
      <c r="DA83" s="47" t="n">
        <f aca="false">(DA79+DA55+DA82)*(DA$4&gt;In_COD)</f>
        <v>1990.45344736496</v>
      </c>
      <c r="DB83" s="47" t="n">
        <f aca="false">(DB79+DB55+DB82)*(DB$4&gt;In_COD)</f>
        <v>1351.75211954895</v>
      </c>
      <c r="DC83" s="47" t="n">
        <f aca="false">(DC79+DC55+DC82)*(DC$4&gt;In_COD)</f>
        <v>1328.61699672919</v>
      </c>
      <c r="DD83" s="47" t="n">
        <f aca="false">(DD79+DD55+DD82)*(DD$4&gt;In_COD)</f>
        <v>1343.37940780396</v>
      </c>
      <c r="DE83" s="47" t="n">
        <f aca="false">(DE79+DE55+DE82)*(DE$4&gt;In_COD)</f>
        <v>1358.14181887873</v>
      </c>
      <c r="DF83" s="47" t="n">
        <f aca="false">(DF79+DF55+DF82)*(DF$4&gt;In_COD)</f>
        <v>1352.96922160651</v>
      </c>
      <c r="DG83" s="47" t="n">
        <f aca="false">(DG79+DG55+DG82)*(DG$4&gt;In_COD)</f>
        <v>1344.41122217711</v>
      </c>
      <c r="DH83" s="47" t="n">
        <f aca="false">(DH79+DH55+DH82)*(DH$4&gt;In_COD)</f>
        <v>1344.41122217711</v>
      </c>
      <c r="DI83" s="47" t="n">
        <f aca="false">(DI79+DI55+DI82)*(DI$4&gt;In_COD)</f>
        <v>1359.18497187136</v>
      </c>
      <c r="DJ83" s="47" t="n">
        <f aca="false">(DJ79+DJ55+DJ82)*(DJ$4&gt;In_COD)</f>
        <v>1353.98179084478</v>
      </c>
      <c r="DK83" s="47" t="n">
        <f aca="false">(DK79+DK55+DK82)*(DK$4&gt;In_COD)</f>
        <v>1330.45150532208</v>
      </c>
      <c r="DL83" s="47" t="n">
        <f aca="false">(DL79+DL55+DL82)*(DL$4&gt;In_COD)</f>
        <v>1345.23429982566</v>
      </c>
      <c r="DM83" s="47" t="n">
        <f aca="false">(DM79+DM55+DM82)*(DM$4&gt;In_COD)</f>
        <v>1360.01709432924</v>
      </c>
      <c r="DN83" s="47" t="n">
        <f aca="false">(DN79+DN55+DN82)*(DN$4&gt;In_COD)</f>
        <v>1354.78327628251</v>
      </c>
      <c r="DO83" s="47" t="n">
        <f aca="false">(DO79+DO55+DO82)*(DO$4&gt;In_COD)</f>
        <v>1331.05251690687</v>
      </c>
      <c r="DP83" s="47" t="n">
        <f aca="false">(DP79+DP55+DP82)*(DP$4&gt;In_COD)</f>
        <v>1345.84198931695</v>
      </c>
      <c r="DQ83" s="47" t="n">
        <f aca="false">(DQ79+DQ55+DQ82)*(DQ$4&gt;In_COD)</f>
        <v>1360.63146172703</v>
      </c>
      <c r="DR83" s="47" t="n">
        <f aca="false">(DR79+DR55+DR82)*(DR$4&gt;In_COD)</f>
        <v>1355.36695640901</v>
      </c>
      <c r="DS83" s="47" t="n">
        <f aca="false">(DS79+DS55+DS82)*(DS$4&gt;In_COD)</f>
        <v>1331.43375783812</v>
      </c>
      <c r="DT83" s="47" t="n">
        <f aca="false">(DT79+DT55+DT82)*(DT$4&gt;In_COD)</f>
        <v>1346.22746625854</v>
      </c>
      <c r="DU83" s="47" t="n">
        <f aca="false">(DU79+DU55+DU82)*(DU$4&gt;In_COD)</f>
        <v>1361.02117467897</v>
      </c>
      <c r="DV83" s="47" t="n">
        <f aca="false">(DV79+DV55+DV82)*(DV$4&gt;In_COD)</f>
        <v>1355.72593494877</v>
      </c>
      <c r="DW83" s="47" t="n">
        <f aca="false">(DW79+DW55+DW82)*(DW$4&gt;In_COD)</f>
        <v>1346.38372900372</v>
      </c>
      <c r="DX83" s="47" t="n">
        <f aca="false">(DX79+DX55+DX82)*(DX$4&gt;In_COD)</f>
        <v>1346.38372900372</v>
      </c>
      <c r="DY83" s="47" t="n">
        <f aca="false">(DY79+DY55+DY82)*(DY$4&gt;In_COD)</f>
        <v>1361.17915459717</v>
      </c>
      <c r="DZ83" s="47" t="n">
        <f aca="false">(DZ79+DZ55+DZ82)*(DZ$4&gt;In_COD)</f>
        <v>1355.85313652207</v>
      </c>
      <c r="EA83" s="47" t="n">
        <f aca="false">(EA79+EA55+EA82)*(EA$4&gt;In_COD)</f>
        <v>1331.50904925968</v>
      </c>
      <c r="EB83" s="47" t="n">
        <f aca="false">(EB79+EB55+EB82)*(EB$4&gt;In_COD)</f>
        <v>1346.30359425145</v>
      </c>
      <c r="EC83" s="47" t="n">
        <f aca="false">(EC79+EC55+EC82)*(EC$4&gt;In_COD)</f>
        <v>1361.09813924322</v>
      </c>
      <c r="ED83" s="47" t="n">
        <f aca="false">(ED79+ED55+ED82)*(ED$4&gt;In_COD)</f>
        <v>1355.7413021989</v>
      </c>
      <c r="EE83" s="47" t="n">
        <f aca="false">(EE79+EE55+EE82)*(EE$4&gt;In_COD)</f>
        <v>1331.18870690596</v>
      </c>
      <c r="EF83" s="47" t="n">
        <f aca="false">(EF79+EF55+EF82)*(EF$4&gt;In_COD)</f>
        <v>1345.97969253825</v>
      </c>
      <c r="EG83" s="47" t="n">
        <f aca="false">(EG79+EG55+EG82)*(EG$4&gt;In_COD)</f>
        <v>1360.77067817053</v>
      </c>
      <c r="EH83" s="47" t="n">
        <f aca="false">(EH79+EH55+EH82)*(EH$4&gt;In_COD)</f>
        <v>1355.38298494376</v>
      </c>
      <c r="EI83" s="47" t="n">
        <f aca="false">(EI79+EI55+EI82)*(EI$4&gt;In_COD)</f>
        <v>1330.61979918396</v>
      </c>
      <c r="EJ83" s="47" t="n">
        <f aca="false">(EJ79+EJ55+EJ82)*(EJ$4&gt;In_COD)</f>
        <v>1345.40446361934</v>
      </c>
      <c r="EK83" s="47" t="n">
        <f aca="false">(EK79+EK55+EK82)*(EK$4&gt;In_COD)</f>
        <v>1360.18912805472</v>
      </c>
      <c r="EL83" s="47" t="n">
        <f aca="false">(EL79+EL55+EL82)*(EL$4&gt;In_COD)</f>
        <v>1354.77054494849</v>
      </c>
      <c r="EM83" s="47" t="n">
        <f aca="false">(EM79+EM55+EM82)*(EM$4&gt;In_COD)</f>
        <v>1344.57015173635</v>
      </c>
      <c r="EN83" s="47" t="n">
        <f aca="false">(EN79+EN55+EN82)*(EN$4&gt;In_COD)</f>
        <v>1344.57015173635</v>
      </c>
      <c r="EO83" s="47" t="n">
        <f aca="false">(EO79+EO55+EO82)*(EO$4&gt;In_COD)</f>
        <v>1359.34564790928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85072.313077921</v>
      </c>
      <c r="I84" s="47" t="n">
        <f aca="false">SUM(J84:EO84)</f>
        <v>128296.65093179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1885.19783921504</v>
      </c>
      <c r="AA84" s="47" t="n">
        <f aca="false">AA83/In_DSCR*AA17</f>
        <v>1855.14348786394</v>
      </c>
      <c r="AB84" s="47" t="n">
        <f aca="false">AB83/In_DSCR*AB17</f>
        <v>1870.99266619654</v>
      </c>
      <c r="AC84" s="47" t="n">
        <f aca="false">AC83/In_DSCR*AC17</f>
        <v>1886.77093317994</v>
      </c>
      <c r="AD84" s="47" t="n">
        <f aca="false">AD83/In_DSCR*AD17</f>
        <v>1880.08746267716</v>
      </c>
      <c r="AE84" s="47" t="n">
        <f aca="false">AE83/In_DSCR*AE17</f>
        <v>1867.86808071941</v>
      </c>
      <c r="AF84" s="47" t="n">
        <f aca="false">AF83/In_DSCR*AF17</f>
        <v>1865.52072245485</v>
      </c>
      <c r="AG84" s="47" t="n">
        <f aca="false">AG83/In_DSCR*AG17</f>
        <v>1881.23978998937</v>
      </c>
      <c r="AH84" s="47" t="n">
        <f aca="false">AH83/In_DSCR*AH17</f>
        <v>1874.42632159547</v>
      </c>
      <c r="AI84" s="47" t="n">
        <f aca="false">AI83/In_DSCR*AI17</f>
        <v>1843.85771033971</v>
      </c>
      <c r="AJ84" s="47" t="n">
        <f aca="false">AJ83/In_DSCR*AJ17</f>
        <v>1876.5785336054</v>
      </c>
      <c r="AK84" s="47" t="n">
        <f aca="false">AK83/In_DSCR*AK17</f>
        <v>1892.37419943375</v>
      </c>
      <c r="AL84" s="47" t="n">
        <f aca="false">AL83/In_DSCR*AL17</f>
        <v>1860.23479549964</v>
      </c>
      <c r="AM84" s="47" t="n">
        <f aca="false">AM83/In_DSCR*AM17</f>
        <v>1829.00459477788</v>
      </c>
      <c r="AN84" s="47" t="n">
        <f aca="false">AN83/In_DSCR*AN17</f>
        <v>1843.67312343328</v>
      </c>
      <c r="AO84" s="47" t="n">
        <f aca="false">AO83/In_DSCR*AO17</f>
        <v>1858.25647971807</v>
      </c>
      <c r="AP84" s="47" t="n">
        <f aca="false">AP83/In_DSCR*AP17</f>
        <v>1851.22801289118</v>
      </c>
      <c r="AQ84" s="47" t="n">
        <f aca="false">AQ83/In_DSCR*AQ17</f>
        <v>1819.7348353846</v>
      </c>
      <c r="AR84" s="47" t="n">
        <f aca="false">AR83/In_DSCR*AR17</f>
        <v>1834.31359735843</v>
      </c>
      <c r="AS84" s="47" t="n">
        <f aca="false">AS83/In_DSCR*AS17</f>
        <v>1848.80593397527</v>
      </c>
      <c r="AT84" s="47" t="n">
        <f aca="false">AT83/In_DSCR*AT17</f>
        <v>1841.62677926799</v>
      </c>
      <c r="AU84" s="47" t="n">
        <f aca="false">AU83/In_DSCR*AU17</f>
        <v>1827.57173385457</v>
      </c>
      <c r="AV84" s="47" t="n">
        <f aca="false">AV83/In_DSCR*AV17</f>
        <v>1824.29069739344</v>
      </c>
      <c r="AW84" s="47" t="n">
        <f aca="false">AW83/In_DSCR*AW17</f>
        <v>1838.68604349822</v>
      </c>
      <c r="AX84" s="47" t="n">
        <f aca="false">AX83/In_DSCR*AX17</f>
        <v>1831.35119646002</v>
      </c>
      <c r="AY84" s="47" t="n">
        <f aca="false">AY83/In_DSCR*AY17</f>
        <v>1799.31472676334</v>
      </c>
      <c r="AZ84" s="47" t="n">
        <f aca="false">AZ83/In_DSCR*AZ17</f>
        <v>1813.69701755636</v>
      </c>
      <c r="BA84" s="47" t="n">
        <f aca="false">BA83/In_DSCR*BA17</f>
        <v>1827.99026191775</v>
      </c>
      <c r="BB84" s="47" t="n">
        <f aca="false">BB83/In_DSCR*BB17</f>
        <v>1820.49562671377</v>
      </c>
      <c r="BC84" s="47" t="n">
        <f aca="false">BC83/In_DSCR*BC17</f>
        <v>1788.17903039922</v>
      </c>
      <c r="BD84" s="47" t="n">
        <f aca="false">BD83/In_DSCR*BD17</f>
        <v>1802.45476179584</v>
      </c>
      <c r="BE84" s="47" t="n">
        <f aca="false">BE83/In_DSCR*BE17</f>
        <v>1816.64008100348</v>
      </c>
      <c r="BF84" s="47" t="n">
        <f aca="false">BF83/In_DSCR*BF17</f>
        <v>1808.98088523074</v>
      </c>
      <c r="BG84" s="47" t="n">
        <f aca="false">BG83/In_DSCR*BG17</f>
        <v>1776.37810664147</v>
      </c>
      <c r="BH84" s="47" t="n">
        <f aca="false">BH83/In_DSCR*BH17</f>
        <v>1790.54129222471</v>
      </c>
      <c r="BI84" s="47" t="n">
        <f aca="false">BI83/In_DSCR*BI17</f>
        <v>1804.61265969836</v>
      </c>
      <c r="BJ84" s="47" t="n">
        <f aca="false">BJ83/In_DSCR*BJ17</f>
        <v>1796.78396922703</v>
      </c>
      <c r="BK84" s="47" t="n">
        <f aca="false">BK83/In_DSCR*BK17</f>
        <v>1781.71538987597</v>
      </c>
      <c r="BL84" s="47" t="n">
        <f aca="false">BL83/In_DSCR*BL17</f>
        <v>1777.87484205675</v>
      </c>
      <c r="BM84" s="47" t="n">
        <f aca="false">BM83/In_DSCR*BM17</f>
        <v>1791.82548270264</v>
      </c>
      <c r="BN84" s="47" t="n">
        <f aca="false">BN83/In_DSCR*BN17</f>
        <v>1783.821652466</v>
      </c>
      <c r="BO84" s="47" t="n">
        <f aca="false">BO83/In_DSCR*BO17</f>
        <v>1750.6270584808</v>
      </c>
      <c r="BP84" s="47" t="n">
        <f aca="false">BP83/In_DSCR*BP17</f>
        <v>1764.54579822891</v>
      </c>
      <c r="BQ84" s="47" t="n">
        <f aca="false">BQ83/In_DSCR*BQ17</f>
        <v>1778.36977679993</v>
      </c>
      <c r="BR84" s="47" t="n">
        <f aca="false">BR83/In_DSCR*BR17</f>
        <v>1770.18605500163</v>
      </c>
      <c r="BS84" s="47" t="n">
        <f aca="false">BS83/In_DSCR*BS17</f>
        <v>1736.68597259043</v>
      </c>
      <c r="BT84" s="47" t="n">
        <f aca="false">BT83/In_DSCR*BT17</f>
        <v>1750.47290672026</v>
      </c>
      <c r="BU84" s="47" t="n">
        <f aca="false">BU83/In_DSCR*BU17</f>
        <v>1764.16354449891</v>
      </c>
      <c r="BV84" s="47" t="n">
        <f aca="false">BV83/In_DSCR*BV17</f>
        <v>1755.79447591239</v>
      </c>
      <c r="BW84" s="47" t="n">
        <f aca="false">BW83/In_DSCR*BW17</f>
        <v>1721.98208163729</v>
      </c>
      <c r="BX84" s="47" t="n">
        <f aca="false">BX83/In_DSCR*BX17</f>
        <v>1735.63034557248</v>
      </c>
      <c r="BY84" s="47" t="n">
        <f aca="false">BY83/In_DSCR*BY17</f>
        <v>1749.18073192208</v>
      </c>
      <c r="BZ84" s="47" t="n">
        <f aca="false">BZ83/In_DSCR*BZ17</f>
        <v>1740.62067541499</v>
      </c>
      <c r="CA84" s="47" t="n">
        <f aca="false">CA83/In_DSCR*CA17</f>
        <v>1724.41484518709</v>
      </c>
      <c r="CB84" s="47" t="n">
        <f aca="false">CB83/In_DSCR*CB17</f>
        <v>1719.93273038771</v>
      </c>
      <c r="CC84" s="47" t="n">
        <f aca="false">CC83/In_DSCR*CC17</f>
        <v>1733.33517342473</v>
      </c>
      <c r="CD84" s="47" t="n">
        <f aca="false">CD83/In_DSCR*CD17</f>
        <v>1724.57774884859</v>
      </c>
      <c r="CE84" s="47" t="n">
        <f aca="false">CE83/In_DSCR*CE17</f>
        <v>1690.11886878747</v>
      </c>
      <c r="CF84" s="47" t="n">
        <f aca="false">CF83/In_DSCR*CF17</f>
        <v>1703.46768147277</v>
      </c>
      <c r="CG84" s="47" t="n">
        <f aca="false">CG83/In_DSCR*CG17</f>
        <v>1716.71530429374</v>
      </c>
      <c r="CH84" s="47" t="n">
        <f aca="false">CH83/In_DSCR*CH17</f>
        <v>1707.75500475383</v>
      </c>
      <c r="CI84" s="47" t="n">
        <f aca="false">CI83/In_DSCR*CI17</f>
        <v>1672.96204367462</v>
      </c>
      <c r="CJ84" s="47" t="n">
        <f aca="false">CJ83/In_DSCR*CJ17</f>
        <v>1686.15011056672</v>
      </c>
      <c r="CK84" s="47" t="n">
        <f aca="false">CK83/In_DSCR*CK17</f>
        <v>1699.23525809827</v>
      </c>
      <c r="CL84" s="47" t="n">
        <f aca="false">CL83/In_DSCR*CL17</f>
        <v>1690.06584345604</v>
      </c>
      <c r="CM84" s="47" t="n">
        <f aca="false">CM83/In_DSCR*CM17</f>
        <v>1654.93110060445</v>
      </c>
      <c r="CN84" s="47" t="n">
        <f aca="false">CN83/In_DSCR*CN17</f>
        <v>1667.95055467259</v>
      </c>
      <c r="CO84" s="47" t="n">
        <f aca="false">CO83/In_DSCR*CO17</f>
        <v>1680.86530702181</v>
      </c>
      <c r="CP84" s="47" t="n">
        <f aca="false">CP83/In_DSCR*CP17</f>
        <v>1671.48032336452</v>
      </c>
      <c r="CQ84" s="47" t="n">
        <f aca="false">CQ83/In_DSCR*CQ17</f>
        <v>1653.99740103499</v>
      </c>
      <c r="CR84" s="47" t="n">
        <f aca="false">CR83/In_DSCR*CR17</f>
        <v>1648.77961629566</v>
      </c>
      <c r="CS84" s="47" t="n">
        <f aca="false">CS83/In_DSCR*CS17</f>
        <v>1661.51523600726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0.683371979906959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-29538.3013393658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-726.700437791545</v>
      </c>
      <c r="AA88" s="47" t="n">
        <f aca="false">-Z94*$F21*(AA$4&gt;In_COD)</f>
        <v>-719.68055101518</v>
      </c>
      <c r="AB88" s="47" t="n">
        <f aca="false">-AA94*$F21*(AB$4&gt;In_COD)</f>
        <v>-712.829644423956</v>
      </c>
      <c r="AC88" s="47" t="n">
        <f aca="false">-AB94*$F21*(AC$4&gt;In_COD)</f>
        <v>-705.757715445629</v>
      </c>
      <c r="AD88" s="47" t="n">
        <f aca="false">-AC94*$F21*(AD$4&gt;In_COD)</f>
        <v>-698.462607035724</v>
      </c>
      <c r="AE88" s="47" t="n">
        <f aca="false">-AD94*$F21*(AE$4&gt;In_COD)</f>
        <v>-691.133400976571</v>
      </c>
      <c r="AF88" s="47" t="n">
        <f aca="false">-AE94*$F21*(AF$4&gt;In_COD)</f>
        <v>-683.8169596322</v>
      </c>
      <c r="AG88" s="47" t="n">
        <f aca="false">-AF94*$F21*(AG$4&gt;In_COD)</f>
        <v>-676.429114256835</v>
      </c>
      <c r="AH88" s="47" t="n">
        <f aca="false">-AG94*$F21*(AH$4&gt;In_COD)</f>
        <v>-668.814646185486</v>
      </c>
      <c r="AI88" s="47" t="n">
        <f aca="false">-AH94*$F21*(AI$4&gt;In_COD)</f>
        <v>-661.163198930574</v>
      </c>
      <c r="AJ88" s="47" t="n">
        <f aca="false">-AI94*$F21*(AJ$4&gt;In_COD)</f>
        <v>-653.677230239937</v>
      </c>
      <c r="AK88" s="47" t="n">
        <f aca="false">-AJ94*$F21*(AK$4&gt;In_COD)</f>
        <v>-645.818180768426</v>
      </c>
      <c r="AL88" s="47" t="n">
        <f aca="false">-AK94*$F21*(AL$4&gt;In_COD)</f>
        <v>-637.725964235632</v>
      </c>
      <c r="AM88" s="47" t="n">
        <f aca="false">-AL94*$F21*(AM$4&gt;In_COD)</f>
        <v>-629.807134597423</v>
      </c>
      <c r="AN88" s="47" t="n">
        <f aca="false">-AM94*$F21*(AN$4&gt;In_COD)</f>
        <v>-622.056092639987</v>
      </c>
      <c r="AO88" s="47" t="n">
        <f aca="false">-AN94*$F21*(AO$4&gt;In_COD)</f>
        <v>-614.082861889714</v>
      </c>
      <c r="AP88" s="47" t="n">
        <f aca="false">-AO94*$F21*(AP$4&gt;In_COD)</f>
        <v>-605.885392541837</v>
      </c>
      <c r="AQ88" s="47" t="n">
        <f aca="false">-AP94*$F21*(AQ$4&gt;In_COD)</f>
        <v>-597.645493043251</v>
      </c>
      <c r="AR88" s="47" t="n">
        <f aca="false">-AQ94*$F21*(AR$4&gt;In_COD)</f>
        <v>-589.571614239261</v>
      </c>
      <c r="AS88" s="47" t="n">
        <f aca="false">-AR94*$F21*(AS$4&gt;In_COD)</f>
        <v>-581.272277982288</v>
      </c>
      <c r="AT88" s="47" t="n">
        <f aca="false">-AS94*$F21*(AT$4&gt;In_COD)</f>
        <v>-572.745404312512</v>
      </c>
      <c r="AU88" s="47" t="n">
        <f aca="false">-AT94*$F21*(AU$4&gt;In_COD)</f>
        <v>-564.173270136443</v>
      </c>
      <c r="AV88" s="47" t="n">
        <f aca="false">-AU94*$F21*(AV$4&gt;In_COD)</f>
        <v>-555.614044585821</v>
      </c>
      <c r="AW88" s="47" t="n">
        <f aca="false">-AV94*$F21*(AW$4&gt;In_COD)</f>
        <v>-546.975855820599</v>
      </c>
      <c r="AX88" s="47" t="n">
        <f aca="false">-AW94*$F21*(AX$4&gt;In_COD)</f>
        <v>-538.106722493698</v>
      </c>
      <c r="AY88" s="47" t="n">
        <f aca="false">-AX94*$F21*(AY$4&gt;In_COD)</f>
        <v>-529.189380361996</v>
      </c>
      <c r="AZ88" s="47" t="n">
        <f aca="false">-AY94*$F21*(AZ$4&gt;In_COD)</f>
        <v>-520.43423177522</v>
      </c>
      <c r="BA88" s="47" t="n">
        <f aca="false">-AZ94*$F21*(BA$4&gt;In_COD)</f>
        <v>-511.446788149425</v>
      </c>
      <c r="BB88" s="47" t="n">
        <f aca="false">-BA94*$F21*(BB$4&gt;In_COD)</f>
        <v>-502.224906444576</v>
      </c>
      <c r="BC88" s="47" t="n">
        <f aca="false">-BB94*$F21*(BC$4&gt;In_COD)</f>
        <v>-492.951771514641</v>
      </c>
      <c r="BD88" s="47" t="n">
        <f aca="false">-BC94*$F21*(BD$4&gt;In_COD)</f>
        <v>-483.838775603174</v>
      </c>
      <c r="BE88" s="47" t="n">
        <f aca="false">-BD94*$F21*(BE$4&gt;In_COD)</f>
        <v>-474.489921807449</v>
      </c>
      <c r="BF88" s="47" t="n">
        <f aca="false">-BE94*$F21*(BF$4&gt;In_COD)</f>
        <v>-464.903034218371</v>
      </c>
      <c r="BG88" s="47" t="n">
        <f aca="false">-BF94*$F21*(BG$4&gt;In_COD)</f>
        <v>-455.261736531676</v>
      </c>
      <c r="BH88" s="47" t="n">
        <f aca="false">-BG94*$F21*(BH$4&gt;In_COD)</f>
        <v>-445.778420440835</v>
      </c>
      <c r="BI88" s="47" t="n">
        <f aca="false">-BH94*$F21*(BI$4&gt;In_COD)</f>
        <v>-436.055578846686</v>
      </c>
      <c r="BJ88" s="47" t="n">
        <f aca="false">-BI94*$F21*(BJ$4&gt;In_COD)</f>
        <v>-426.091002004479</v>
      </c>
      <c r="BK88" s="47" t="n">
        <f aca="false">-BJ94*$F21*(BK$4&gt;In_COD)</f>
        <v>-416.068741798088</v>
      </c>
      <c r="BL88" s="47" t="n">
        <f aca="false">-BK94*$F21*(BL$4&gt;In_COD)</f>
        <v>-406.049921400436</v>
      </c>
      <c r="BM88" s="47" t="n">
        <f aca="false">-BL94*$F21*(BM$4&gt;In_COD)</f>
        <v>-395.938672282403</v>
      </c>
      <c r="BN88" s="47" t="n">
        <f aca="false">-BM94*$F21*(BN$4&gt;In_COD)</f>
        <v>-385.581864088905</v>
      </c>
      <c r="BO88" s="47" t="n">
        <f aca="false">-BN94*$F21*(BO$4&gt;In_COD)</f>
        <v>-375.163965709434</v>
      </c>
      <c r="BP88" s="47" t="n">
        <f aca="false">-BO94*$F21*(BP$4&gt;In_COD)</f>
        <v>-364.899396792893</v>
      </c>
      <c r="BQ88" s="47" t="n">
        <f aca="false">-BP94*$F21*(BQ$4&gt;In_COD)</f>
        <v>-354.387624805652</v>
      </c>
      <c r="BR88" s="47" t="n">
        <f aca="false">-BQ94*$F21*(BR$4&gt;In_COD)</f>
        <v>-343.626369173492</v>
      </c>
      <c r="BS88" s="47" t="n">
        <f aca="false">-BR94*$F21*(BS$4&gt;In_COD)</f>
        <v>-332.800504423033</v>
      </c>
      <c r="BT88" s="47" t="n">
        <f aca="false">-BS94*$F21*(BT$4&gt;In_COD)</f>
        <v>-322.125479083749</v>
      </c>
      <c r="BU88" s="47" t="n">
        <f aca="false">-BT94*$F21*(BU$4&gt;In_COD)</f>
        <v>-311.19924587181</v>
      </c>
      <c r="BV88" s="47" t="n">
        <f aca="false">-BU94*$F21*(BV$4&gt;In_COD)</f>
        <v>-300.019487266659</v>
      </c>
      <c r="BW88" s="47" t="n">
        <f aca="false">-BV94*$F21*(BW$4&gt;In_COD)</f>
        <v>-288.771471516067</v>
      </c>
      <c r="BX88" s="47" t="n">
        <f aca="false">-BW94*$F21*(BX$4&gt;In_COD)</f>
        <v>-277.671686103858</v>
      </c>
      <c r="BY88" s="47" t="n">
        <f aca="false">-BX94*$F21*(BY$4&gt;In_COD)</f>
        <v>-266.316567859651</v>
      </c>
      <c r="BZ88" s="47" t="n">
        <f aca="false">-BY94*$F21*(BZ$4&gt;In_COD)</f>
        <v>-254.703761208038</v>
      </c>
      <c r="CA88" s="47" t="n">
        <f aca="false">-BZ94*$F21*(CA$4&gt;In_COD)</f>
        <v>-243.018915757822</v>
      </c>
      <c r="CB88" s="47" t="n">
        <f aca="false">-CA94*$F21*(CB$4&gt;In_COD)</f>
        <v>-231.326442368089</v>
      </c>
      <c r="CC88" s="47" t="n">
        <f aca="false">-CB94*$F21*(CC$4&gt;In_COD)</f>
        <v>-219.526099956792</v>
      </c>
      <c r="CD88" s="47" t="n">
        <f aca="false">-CC94*$F21*(CD$4&gt;In_COD)</f>
        <v>-207.463767589931</v>
      </c>
      <c r="CE88" s="47" t="n">
        <f aca="false">-CD94*$F21*(CE$4&gt;In_COD)</f>
        <v>-195.325463300629</v>
      </c>
      <c r="CF88" s="47" t="n">
        <f aca="false">-CE94*$F21*(CF$4&gt;In_COD)</f>
        <v>-183.329783121369</v>
      </c>
      <c r="CG88" s="47" t="n">
        <f aca="false">-CF94*$F21*(CG$4&gt;In_COD)</f>
        <v>-171.070129382942</v>
      </c>
      <c r="CH88" s="47" t="n">
        <f aca="false">-CG94*$F21*(CH$4&gt;In_COD)</f>
        <v>-158.544066794831</v>
      </c>
      <c r="CI88" s="47" t="n">
        <f aca="false">-CH94*$F21*(CI$4&gt;In_COD)</f>
        <v>-145.937968644833</v>
      </c>
      <c r="CJ88" s="47" t="n">
        <f aca="false">-CI94*$F21*(CJ$4&gt;In_COD)</f>
        <v>-133.471500951705</v>
      </c>
      <c r="CK88" s="47" t="n">
        <f aca="false">-CJ94*$F21*(CK$4&gt;In_COD)</f>
        <v>-120.736547970122</v>
      </c>
      <c r="CL88" s="47" t="n">
        <f aca="false">-CK94*$F21*(CL$4&gt;In_COD)</f>
        <v>-107.73063278657</v>
      </c>
      <c r="CM88" s="47" t="n">
        <f aca="false">-CL94*$F21*(CM$4&gt;In_COD)</f>
        <v>-94.6404701762058</v>
      </c>
      <c r="CN88" s="47" t="n">
        <f aca="false">-CM94*$F21*(CN$4&gt;In_COD)</f>
        <v>-81.6868067680375</v>
      </c>
      <c r="CO88" s="47" t="n">
        <f aca="false">-CN94*$F21*(CO$4&gt;In_COD)</f>
        <v>-68.460008440969</v>
      </c>
      <c r="CP88" s="47" t="n">
        <f aca="false">-CO94*$F21*(CP$4&gt;In_COD)</f>
        <v>-54.957555386276</v>
      </c>
      <c r="CQ88" s="47" t="n">
        <f aca="false">-CP94*$F21*(CQ$4&gt;In_COD)</f>
        <v>-41.3664896041902</v>
      </c>
      <c r="CR88" s="47" t="n">
        <f aca="false">-CQ94*$F21*(CR$4&gt;In_COD)</f>
        <v>-27.7548772404145</v>
      </c>
      <c r="CS88" s="47" t="n">
        <f aca="false">-CR94*$F21*(CS$4&gt;In_COD)</f>
        <v>-14.0176908206922</v>
      </c>
      <c r="CT88" s="47" t="n">
        <f aca="false">-CS94*$F21*(CT$4&gt;In_COD)</f>
        <v>-2.62048160948325E-012</v>
      </c>
      <c r="CU88" s="47" t="n">
        <f aca="false">-CT94*$F21*(CU$4&gt;In_COD)</f>
        <v>-2.65323762960179E-012</v>
      </c>
      <c r="CV88" s="47" t="n">
        <f aca="false">-CU94*$F21*(CV$4&gt;In_COD)</f>
        <v>-2.68640309997181E-012</v>
      </c>
      <c r="CW88" s="47" t="n">
        <f aca="false">-CV94*$F21*(CW$4&gt;In_COD)</f>
        <v>-2.71998313872146E-012</v>
      </c>
      <c r="CX88" s="47" t="n">
        <f aca="false">-CW94*$F21*(CX$4&gt;In_COD)</f>
        <v>-2.75398292795548E-012</v>
      </c>
      <c r="CY88" s="47" t="n">
        <f aca="false">-CX94*$F21*(CY$4&gt;In_COD)</f>
        <v>-2.78840771455492E-012</v>
      </c>
      <c r="CZ88" s="47" t="n">
        <f aca="false">-CY94*$F21*(CZ$4&gt;In_COD)</f>
        <v>-2.82326281098686E-012</v>
      </c>
      <c r="DA88" s="47" t="n">
        <f aca="false">-CZ94*$F21*(DA$4&gt;In_COD)</f>
        <v>-2.85855359612419E-012</v>
      </c>
      <c r="DB88" s="47" t="n">
        <f aca="false">-DA94*$F21*(DB$4&gt;In_COD)</f>
        <v>-2.89428551607575E-012</v>
      </c>
      <c r="DC88" s="47" t="n">
        <f aca="false">-DB94*$F21*(DC$4&gt;In_COD)</f>
        <v>-2.93046408502669E-012</v>
      </c>
      <c r="DD88" s="47" t="n">
        <f aca="false">-DC94*$F21*(DD$4&gt;In_COD)</f>
        <v>-2.96709488608953E-012</v>
      </c>
      <c r="DE88" s="47" t="n">
        <f aca="false">-DD94*$F21*(DE$4&gt;In_COD)</f>
        <v>-3.00418357216565E-012</v>
      </c>
      <c r="DF88" s="47" t="n">
        <f aca="false">-DE94*$F21*(DF$4&gt;In_COD)</f>
        <v>-3.04173586681772E-012</v>
      </c>
      <c r="DG88" s="47" t="n">
        <f aca="false">-DF94*$F21*(DG$4&gt;In_COD)</f>
        <v>-3.07975756515294E-012</v>
      </c>
      <c r="DH88" s="47" t="n">
        <f aca="false">-DG94*$F21*(DH$4&gt;In_COD)</f>
        <v>-3.11825453471735E-012</v>
      </c>
      <c r="DI88" s="47" t="n">
        <f aca="false">-DH94*$F21*(DI$4&gt;In_COD)</f>
        <v>-3.15723271640132E-012</v>
      </c>
      <c r="DJ88" s="47" t="n">
        <f aca="false">-DI94*$F21*(DJ$4&gt;In_COD)</f>
        <v>-3.19669812535633E-012</v>
      </c>
      <c r="DK88" s="47" t="n">
        <f aca="false">-DJ94*$F21*(DK$4&gt;In_COD)</f>
        <v>-3.23665685192329E-012</v>
      </c>
      <c r="DL88" s="47" t="n">
        <f aca="false">-DK94*$F21*(DL$4&gt;In_COD)</f>
        <v>-3.27711506257233E-012</v>
      </c>
      <c r="DM88" s="47" t="n">
        <f aca="false">-DL94*$F21*(DM$4&gt;In_COD)</f>
        <v>-3.31807900085448E-012</v>
      </c>
      <c r="DN88" s="47" t="n">
        <f aca="false">-DM94*$F21*(DN$4&gt;In_COD)</f>
        <v>-3.35955498836516E-012</v>
      </c>
      <c r="DO88" s="47" t="n">
        <f aca="false">-DN94*$F21*(DO$4&gt;In_COD)</f>
        <v>-3.40154942571973E-012</v>
      </c>
      <c r="DP88" s="47" t="n">
        <f aca="false">-DO94*$F21*(DP$4&gt;In_COD)</f>
        <v>-3.44406879354123E-012</v>
      </c>
      <c r="DQ88" s="47" t="n">
        <f aca="false">-DP94*$F21*(DQ$4&gt;In_COD)</f>
        <v>-3.48711965346049E-012</v>
      </c>
      <c r="DR88" s="47" t="n">
        <f aca="false">-DQ94*$F21*(DR$4&gt;In_COD)</f>
        <v>-3.53070864912875E-012</v>
      </c>
      <c r="DS88" s="47" t="n">
        <f aca="false">-DR94*$F21*(DS$4&gt;In_COD)</f>
        <v>-3.57484250724286E-012</v>
      </c>
      <c r="DT88" s="47" t="n">
        <f aca="false">-DS94*$F21*(DT$4&gt;In_COD)</f>
        <v>-3.61952803858339E-012</v>
      </c>
      <c r="DU88" s="47" t="n">
        <f aca="false">-DT94*$F21*(DU$4&gt;In_COD)</f>
        <v>-3.66477213906569E-012</v>
      </c>
      <c r="DV88" s="47" t="n">
        <f aca="false">-DU94*$F21*(DV$4&gt;In_COD)</f>
        <v>-3.71058179080401E-012</v>
      </c>
      <c r="DW88" s="47" t="n">
        <f aca="false">-DV94*$F21*(DW$4&gt;In_COD)</f>
        <v>-3.75696406318906E-012</v>
      </c>
      <c r="DX88" s="47" t="n">
        <f aca="false">-DW94*$F21*(DX$4&gt;In_COD)</f>
        <v>-3.80392611397892E-012</v>
      </c>
      <c r="DY88" s="47" t="n">
        <f aca="false">-DX94*$F21*(DY$4&gt;In_COD)</f>
        <v>-3.85147519040366E-012</v>
      </c>
      <c r="DZ88" s="47" t="n">
        <f aca="false">-DY94*$F21*(DZ$4&gt;In_COD)</f>
        <v>-3.8996186302837E-012</v>
      </c>
      <c r="EA88" s="47" t="n">
        <f aca="false">-DZ94*$F21*(EA$4&gt;In_COD)</f>
        <v>-3.94836386316225E-012</v>
      </c>
      <c r="EB88" s="47" t="n">
        <f aca="false">-EA94*$F21*(EB$4&gt;In_COD)</f>
        <v>-3.99771841145178E-012</v>
      </c>
      <c r="EC88" s="47" t="n">
        <f aca="false">-EB94*$F21*(EC$4&gt;In_COD)</f>
        <v>-4.04768989159492E-012</v>
      </c>
      <c r="ED88" s="47" t="n">
        <f aca="false">-EC94*$F21*(ED$4&gt;In_COD)</f>
        <v>-4.09828601523986E-012</v>
      </c>
      <c r="EE88" s="47" t="n">
        <f aca="false">-ED94*$F21*(EE$4&gt;In_COD)</f>
        <v>-4.14951459043036E-012</v>
      </c>
      <c r="EF88" s="47" t="n">
        <f aca="false">-EE94*$F21*(EF$4&gt;In_COD)</f>
        <v>-4.20138352281074E-012</v>
      </c>
      <c r="EG88" s="47" t="n">
        <f aca="false">-EF94*$F21*(EG$4&gt;In_COD)</f>
        <v>-4.25390081684587E-012</v>
      </c>
      <c r="EH88" s="47" t="n">
        <f aca="false">-EG94*$F21*(EH$4&gt;In_COD)</f>
        <v>-4.30707457705644E-012</v>
      </c>
      <c r="EI88" s="47" t="n">
        <f aca="false">-EH94*$F21*(EI$4&gt;In_COD)</f>
        <v>-4.36091300926965E-012</v>
      </c>
      <c r="EJ88" s="47" t="n">
        <f aca="false">-EI94*$F21*(EJ$4&gt;In_COD)</f>
        <v>-4.41542442188552E-012</v>
      </c>
      <c r="EK88" s="47" t="n">
        <f aca="false">-EJ94*$F21*(EK$4&gt;In_COD)</f>
        <v>-4.47061722715909E-012</v>
      </c>
      <c r="EL88" s="47" t="n">
        <f aca="false">-EK94*$F21*(EL$4&gt;In_COD)</f>
        <v>-4.52649994249858E-012</v>
      </c>
      <c r="EM88" s="47" t="n">
        <f aca="false">-EL94*$F21*(EM$4&gt;In_COD)</f>
        <v>-4.58308119177981E-012</v>
      </c>
      <c r="EN88" s="47" t="n">
        <f aca="false">-EM94*$F21*(EN$4&gt;In_COD)</f>
        <v>-4.64036970667706E-012</v>
      </c>
      <c r="EO88" s="47" t="n">
        <f aca="false">-EN94*$F21*(EO$4&gt;In_COD)</f>
        <v>-4.69837432801052E-012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-87674.336362689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-1288.2913799007</v>
      </c>
      <c r="AA89" s="47" t="n">
        <f aca="false">-AA84*$F85</f>
        <v>-1267.75307831308</v>
      </c>
      <c r="AB89" s="47" t="n">
        <f aca="false">-AB84*$F85</f>
        <v>-1278.58396269013</v>
      </c>
      <c r="AC89" s="47" t="n">
        <f aca="false">-AC84*$F85</f>
        <v>-1289.36638823808</v>
      </c>
      <c r="AD89" s="47" t="n">
        <f aca="false">-AD84*$F85</f>
        <v>-1284.79909176794</v>
      </c>
      <c r="AE89" s="47" t="n">
        <f aca="false">-AE84*$F85</f>
        <v>-1276.44870852623</v>
      </c>
      <c r="AF89" s="47" t="n">
        <f aca="false">-AF84*$F85</f>
        <v>-1274.84458966143</v>
      </c>
      <c r="AG89" s="47" t="n">
        <f aca="false">-AG84*$F85</f>
        <v>-1285.58655996479</v>
      </c>
      <c r="AH89" s="47" t="n">
        <f aca="false">-AH84*$F85</f>
        <v>-1280.93042657841</v>
      </c>
      <c r="AI89" s="47" t="n">
        <f aca="false">-AI84*$F85</f>
        <v>-1260.04069418156</v>
      </c>
      <c r="AJ89" s="47" t="n">
        <f aca="false">-AJ84*$F85</f>
        <v>-1282.40118796082</v>
      </c>
      <c r="AK89" s="47" t="n">
        <f aca="false">-AK84*$F85</f>
        <v>-1293.19550339189</v>
      </c>
      <c r="AL89" s="47" t="n">
        <f aca="false">-AL84*$F85</f>
        <v>-1271.2323352924</v>
      </c>
      <c r="AM89" s="47" t="n">
        <f aca="false">-AM84*$F85</f>
        <v>-1249.89049119229</v>
      </c>
      <c r="AN89" s="47" t="n">
        <f aca="false">-AN84*$F85</f>
        <v>-1259.91455266185</v>
      </c>
      <c r="AO89" s="47" t="n">
        <f aca="false">-AO84*$F85</f>
        <v>-1269.88040971988</v>
      </c>
      <c r="AP89" s="47" t="n">
        <f aca="false">-AP84*$F85</f>
        <v>-1265.07735242867</v>
      </c>
      <c r="AQ89" s="47" t="n">
        <f aca="false">-AQ84*$F85</f>
        <v>-1243.55579736244</v>
      </c>
      <c r="AR89" s="47" t="n">
        <f aca="false">-AR84*$F85</f>
        <v>-1253.51851479709</v>
      </c>
      <c r="AS89" s="47" t="n">
        <f aca="false">-AS84*$F85</f>
        <v>-1263.42217156441</v>
      </c>
      <c r="AT89" s="47" t="n">
        <f aca="false">-AT84*$F85</f>
        <v>-1258.51613839804</v>
      </c>
      <c r="AU89" s="47" t="n">
        <f aca="false">-AU84*$F85</f>
        <v>-1248.91131418619</v>
      </c>
      <c r="AV89" s="47" t="n">
        <f aca="false">-AV84*$F85</f>
        <v>-1246.6691458036</v>
      </c>
      <c r="AW89" s="47" t="n">
        <f aca="false">-AW84*$F85</f>
        <v>-1256.50652197267</v>
      </c>
      <c r="AX89" s="47" t="n">
        <f aca="false">-AX84*$F85</f>
        <v>-1251.49409302986</v>
      </c>
      <c r="AY89" s="47" t="n">
        <f aca="false">-AY84*$F85</f>
        <v>-1229.60126730402</v>
      </c>
      <c r="AZ89" s="47" t="n">
        <f aca="false">-AZ84*$F85</f>
        <v>-1239.42972183884</v>
      </c>
      <c r="BA89" s="47" t="n">
        <f aca="false">-BA84*$F85</f>
        <v>-1249.19732453737</v>
      </c>
      <c r="BB89" s="47" t="n">
        <f aca="false">-BB84*$F85</f>
        <v>-1244.07570083935</v>
      </c>
      <c r="BC89" s="47" t="n">
        <f aca="false">-BC84*$F85</f>
        <v>-1221.99144443202</v>
      </c>
      <c r="BD89" s="47" t="n">
        <f aca="false">-BD84*$F85</f>
        <v>-1231.74707926115</v>
      </c>
      <c r="BE89" s="47" t="n">
        <f aca="false">-BE84*$F85</f>
        <v>-1241.44092893369</v>
      </c>
      <c r="BF89" s="47" t="n">
        <f aca="false">-BF84*$F85</f>
        <v>-1236.20684915397</v>
      </c>
      <c r="BG89" s="47" t="n">
        <f aca="false">-BG84*$F85</f>
        <v>-1213.92702379895</v>
      </c>
      <c r="BH89" s="47" t="n">
        <f aca="false">-BH84*$F85</f>
        <v>-1223.60574797277</v>
      </c>
      <c r="BI89" s="47" t="n">
        <f aca="false">-BI84*$F85</f>
        <v>-1233.22172622323</v>
      </c>
      <c r="BJ89" s="47" t="n">
        <f aca="false">-BJ84*$F85</f>
        <v>-1227.87181851576</v>
      </c>
      <c r="BK89" s="47" t="n">
        <f aca="false">-BK84*$F85</f>
        <v>-1217.57437361024</v>
      </c>
      <c r="BL89" s="47" t="n">
        <f aca="false">-BL84*$F85</f>
        <v>-1214.94985084309</v>
      </c>
      <c r="BM89" s="47" t="n">
        <f aca="false">-BM84*$F85</f>
        <v>-1224.48332776224</v>
      </c>
      <c r="BN89" s="47" t="n">
        <f aca="false">-BN84*$F85</f>
        <v>-1219.0137344466</v>
      </c>
      <c r="BO89" s="47" t="n">
        <f aca="false">-BO84*$F85</f>
        <v>-1196.32947903272</v>
      </c>
      <c r="BP89" s="47" t="n">
        <f aca="false">-BP84*$F85</f>
        <v>-1205.8411557722</v>
      </c>
      <c r="BQ89" s="47" t="n">
        <f aca="false">-BQ84*$F85</f>
        <v>-1215.28807537847</v>
      </c>
      <c r="BR89" s="47" t="n">
        <f aca="false">-BR84*$F85</f>
        <v>-1209.69554921015</v>
      </c>
      <c r="BS89" s="47" t="n">
        <f aca="false">-BS84*$F85</f>
        <v>-1186.80253156576</v>
      </c>
      <c r="BT89" s="47" t="n">
        <f aca="false">-BT84*$F85</f>
        <v>-1196.22413603891</v>
      </c>
      <c r="BU89" s="47" t="n">
        <f aca="false">-BU84*$F85</f>
        <v>-1205.5799342839</v>
      </c>
      <c r="BV89" s="47" t="n">
        <f aca="false">-BV84*$F85</f>
        <v>-1199.86074731395</v>
      </c>
      <c r="BW89" s="47" t="n">
        <f aca="false">-BW84*$F85</f>
        <v>-1176.75430449278</v>
      </c>
      <c r="BX89" s="47" t="n">
        <f aca="false">-BX84*$F85</f>
        <v>-1186.08114564046</v>
      </c>
      <c r="BY89" s="47" t="n">
        <f aca="false">-BY84*$F85</f>
        <v>-1195.34109998869</v>
      </c>
      <c r="BZ89" s="47" t="n">
        <f aca="false">-BZ84*$F85</f>
        <v>-1189.49139722533</v>
      </c>
      <c r="CA89" s="47" t="n">
        <f aca="false">-CA84*$F85</f>
        <v>-1178.41678693646</v>
      </c>
      <c r="CB89" s="47" t="n">
        <f aca="false">-CB84*$F85</f>
        <v>-1175.35383527183</v>
      </c>
      <c r="CC89" s="47" t="n">
        <f aca="false">-CC84*$F85</f>
        <v>-1184.51268930563</v>
      </c>
      <c r="CD89" s="47" t="n">
        <f aca="false">-CD84*$F85</f>
        <v>-1178.52811073415</v>
      </c>
      <c r="CE89" s="47" t="n">
        <f aca="false">-CE84*$F85</f>
        <v>-1154.97987764141</v>
      </c>
      <c r="CF89" s="47" t="n">
        <f aca="false">-CF84*$F85</f>
        <v>-1164.10208219557</v>
      </c>
      <c r="CG89" s="47" t="n">
        <f aca="false">-CG84*$F85</f>
        <v>-1173.15513643179</v>
      </c>
      <c r="CH89" s="47" t="n">
        <f aca="false">-CH84*$F85</f>
        <v>-1167.03191879464</v>
      </c>
      <c r="CI89" s="47" t="n">
        <f aca="false">-CI84*$F85</f>
        <v>-1143.25538409511</v>
      </c>
      <c r="CJ89" s="47" t="n">
        <f aca="false">-CJ84*$F85</f>
        <v>-1152.26773947832</v>
      </c>
      <c r="CK89" s="47" t="n">
        <f aca="false">-CK84*$F85</f>
        <v>-1161.20976265432</v>
      </c>
      <c r="CL89" s="47" t="n">
        <f aca="false">-CL84*$F85</f>
        <v>-1154.94364161568</v>
      </c>
      <c r="CM89" s="47" t="n">
        <f aca="false">-CM84*$F85</f>
        <v>-1130.93354282967</v>
      </c>
      <c r="CN89" s="47" t="n">
        <f aca="false">-CN84*$F85</f>
        <v>-1139.83067293352</v>
      </c>
      <c r="CO89" s="47" t="n">
        <f aca="false">-CO84*$F85</f>
        <v>-1148.65625281641</v>
      </c>
      <c r="CP89" s="47" t="n">
        <f aca="false">-CP84*$F85</f>
        <v>-1142.24281795314</v>
      </c>
      <c r="CQ89" s="47" t="n">
        <f aca="false">-CQ84*$F85</f>
        <v>-1130.29547870625</v>
      </c>
      <c r="CR89" s="47" t="n">
        <f aca="false">-CR84*$F85</f>
        <v>-1126.7297908182</v>
      </c>
      <c r="CS89" s="47" t="n">
        <f aca="false">-CS84*$F85</f>
        <v>-1135.43295647586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6263.56952054795</v>
      </c>
      <c r="T90" s="18" t="n">
        <f aca="false">S94</f>
        <v>16954.4218381849</v>
      </c>
      <c r="U90" s="18" t="n">
        <f aca="false">T94</f>
        <v>23361.8393543129</v>
      </c>
      <c r="V90" s="18" t="n">
        <f aca="false">U94</f>
        <v>29917.4318667898</v>
      </c>
      <c r="W90" s="18" t="n">
        <f aca="false">V94</f>
        <v>36554.9692856726</v>
      </c>
      <c r="X90" s="18" t="n">
        <f aca="false">W94</f>
        <v>43139.3113674969</v>
      </c>
      <c r="Y90" s="18" t="n">
        <f aca="false">X94</f>
        <v>49874.0400027413</v>
      </c>
      <c r="Z90" s="18" t="n">
        <f aca="false">Y94</f>
        <v>58136.0350233236</v>
      </c>
      <c r="AA90" s="18" t="n">
        <f aca="false">Z94</f>
        <v>57574.4440812144</v>
      </c>
      <c r="AB90" s="18" t="n">
        <f aca="false">AA94</f>
        <v>57026.3715539165</v>
      </c>
      <c r="AC90" s="18" t="n">
        <f aca="false">AB94</f>
        <v>56460.6172356503</v>
      </c>
      <c r="AD90" s="18" t="n">
        <f aca="false">AC94</f>
        <v>55877.0085628579</v>
      </c>
      <c r="AE90" s="18" t="n">
        <f aca="false">AD94</f>
        <v>55290.6720781257</v>
      </c>
      <c r="AF90" s="18" t="n">
        <f aca="false">AE94</f>
        <v>54705.356770576</v>
      </c>
      <c r="AG90" s="18" t="n">
        <f aca="false">AF94</f>
        <v>54114.3291405468</v>
      </c>
      <c r="AH90" s="18" t="n">
        <f aca="false">AG94</f>
        <v>53505.1716948388</v>
      </c>
      <c r="AI90" s="18" t="n">
        <f aca="false">AH94</f>
        <v>52893.0559144459</v>
      </c>
      <c r="AJ90" s="18" t="n">
        <f aca="false">AI94</f>
        <v>52294.1784191949</v>
      </c>
      <c r="AK90" s="18" t="n">
        <f aca="false">AJ94</f>
        <v>51665.454461474</v>
      </c>
      <c r="AL90" s="18" t="n">
        <f aca="false">AK94</f>
        <v>51018.0771388506</v>
      </c>
      <c r="AM90" s="18" t="n">
        <f aca="false">AL94</f>
        <v>50384.5707677938</v>
      </c>
      <c r="AN90" s="18" t="n">
        <f aca="false">AM94</f>
        <v>49764.4874111989</v>
      </c>
      <c r="AO90" s="18" t="n">
        <f aca="false">AN94</f>
        <v>49126.6289511771</v>
      </c>
      <c r="AP90" s="18" t="n">
        <f aca="false">AO94</f>
        <v>48470.8314033469</v>
      </c>
      <c r="AQ90" s="18" t="n">
        <f aca="false">AP94</f>
        <v>47811.6394434601</v>
      </c>
      <c r="AR90" s="18" t="n">
        <f aca="false">AQ94</f>
        <v>47165.7291391409</v>
      </c>
      <c r="AS90" s="18" t="n">
        <f aca="false">AR94</f>
        <v>46501.7822385831</v>
      </c>
      <c r="AT90" s="18" t="n">
        <f aca="false">AS94</f>
        <v>45819.6323450009</v>
      </c>
      <c r="AU90" s="18" t="n">
        <f aca="false">AT94</f>
        <v>45133.8616109154</v>
      </c>
      <c r="AV90" s="18" t="n">
        <f aca="false">AU94</f>
        <v>44449.1235668657</v>
      </c>
      <c r="AW90" s="18" t="n">
        <f aca="false">AV94</f>
        <v>43758.0684656479</v>
      </c>
      <c r="AX90" s="18" t="n">
        <f aca="false">AW94</f>
        <v>43048.5377994958</v>
      </c>
      <c r="AY90" s="18" t="n">
        <f aca="false">AX94</f>
        <v>42335.1504289596</v>
      </c>
      <c r="AZ90" s="18" t="n">
        <f aca="false">AY94</f>
        <v>41634.7385420176</v>
      </c>
      <c r="BA90" s="18" t="n">
        <f aca="false">AZ94</f>
        <v>40915.743051954</v>
      </c>
      <c r="BB90" s="18" t="n">
        <f aca="false">BA94</f>
        <v>40177.9925155661</v>
      </c>
      <c r="BC90" s="18" t="n">
        <f aca="false">BB94</f>
        <v>39436.1417211713</v>
      </c>
      <c r="BD90" s="18" t="n">
        <f aca="false">BC94</f>
        <v>38707.1020482539</v>
      </c>
      <c r="BE90" s="18" t="n">
        <f aca="false">BD94</f>
        <v>37959.1937445959</v>
      </c>
      <c r="BF90" s="18" t="n">
        <f aca="false">BE94</f>
        <v>37192.2427374697</v>
      </c>
      <c r="BG90" s="18" t="n">
        <f aca="false">BF94</f>
        <v>36420.9389225341</v>
      </c>
      <c r="BH90" s="18" t="n">
        <f aca="false">BG94</f>
        <v>35662.2736352668</v>
      </c>
      <c r="BI90" s="18" t="n">
        <f aca="false">BH94</f>
        <v>34884.4463077349</v>
      </c>
      <c r="BJ90" s="18" t="n">
        <f aca="false">BI94</f>
        <v>34087.2801603583</v>
      </c>
      <c r="BK90" s="18" t="n">
        <f aca="false">BJ94</f>
        <v>33285.4993438471</v>
      </c>
      <c r="BL90" s="18" t="n">
        <f aca="false">BK94</f>
        <v>32483.9937120349</v>
      </c>
      <c r="BM90" s="18" t="n">
        <f aca="false">BL94</f>
        <v>31675.0937825923</v>
      </c>
      <c r="BN90" s="18" t="n">
        <f aca="false">BM94</f>
        <v>30846.5491271124</v>
      </c>
      <c r="BO90" s="18" t="n">
        <f aca="false">BN94</f>
        <v>30013.1172567547</v>
      </c>
      <c r="BP90" s="18" t="n">
        <f aca="false">BO94</f>
        <v>29191.9517434314</v>
      </c>
      <c r="BQ90" s="18" t="n">
        <f aca="false">BP94</f>
        <v>28351.0099844521</v>
      </c>
      <c r="BR90" s="18" t="n">
        <f aca="false">BQ94</f>
        <v>27490.1095338793</v>
      </c>
      <c r="BS90" s="18" t="n">
        <f aca="false">BR94</f>
        <v>26624.0403538427</v>
      </c>
      <c r="BT90" s="18" t="n">
        <f aca="false">BS94</f>
        <v>25770.0383266999</v>
      </c>
      <c r="BU90" s="18" t="n">
        <f aca="false">BT94</f>
        <v>24895.9396697448</v>
      </c>
      <c r="BV90" s="18" t="n">
        <f aca="false">BU94</f>
        <v>24001.5589813327</v>
      </c>
      <c r="BW90" s="18" t="n">
        <f aca="false">BV94</f>
        <v>23101.7177212854</v>
      </c>
      <c r="BX90" s="18" t="n">
        <f aca="false">BW94</f>
        <v>22213.7348883087</v>
      </c>
      <c r="BY90" s="18" t="n">
        <f aca="false">BX94</f>
        <v>21305.3254287721</v>
      </c>
      <c r="BZ90" s="18" t="n">
        <f aca="false">BY94</f>
        <v>20376.300896643</v>
      </c>
      <c r="CA90" s="18" t="n">
        <f aca="false">BZ94</f>
        <v>19441.5132606257</v>
      </c>
      <c r="CB90" s="18" t="n">
        <f aca="false">CA94</f>
        <v>18506.1153894471</v>
      </c>
      <c r="CC90" s="18" t="n">
        <f aca="false">CB94</f>
        <v>17562.0879965434</v>
      </c>
      <c r="CD90" s="18" t="n">
        <f aca="false">CC94</f>
        <v>16597.1014071945</v>
      </c>
      <c r="CE90" s="18" t="n">
        <f aca="false">CD94</f>
        <v>15626.0370640503</v>
      </c>
      <c r="CF90" s="18" t="n">
        <f aca="false">CE94</f>
        <v>14666.3826497095</v>
      </c>
      <c r="CG90" s="18" t="n">
        <f aca="false">CF94</f>
        <v>13685.6103506353</v>
      </c>
      <c r="CH90" s="18" t="n">
        <f aca="false">CG94</f>
        <v>12683.5253435865</v>
      </c>
      <c r="CI90" s="18" t="n">
        <f aca="false">CH94</f>
        <v>11675.0374915867</v>
      </c>
      <c r="CJ90" s="18" t="n">
        <f aca="false">CI94</f>
        <v>10677.7200761364</v>
      </c>
      <c r="CK90" s="18" t="n">
        <f aca="false">CJ94</f>
        <v>9658.92383760977</v>
      </c>
      <c r="CL90" s="18" t="n">
        <f aca="false">CK94</f>
        <v>8618.45062292557</v>
      </c>
      <c r="CM90" s="18" t="n">
        <f aca="false">CL94</f>
        <v>7571.23761409646</v>
      </c>
      <c r="CN90" s="18" t="n">
        <f aca="false">CM94</f>
        <v>6534.944541443</v>
      </c>
      <c r="CO90" s="18" t="n">
        <f aca="false">CN94</f>
        <v>5476.80067527752</v>
      </c>
      <c r="CP90" s="18" t="n">
        <f aca="false">CO94</f>
        <v>4396.60443090208</v>
      </c>
      <c r="CQ90" s="18" t="n">
        <f aca="false">CP94</f>
        <v>3309.31916833522</v>
      </c>
      <c r="CR90" s="18" t="n">
        <f aca="false">CQ94</f>
        <v>2220.39017923316</v>
      </c>
      <c r="CS90" s="18" t="n">
        <f aca="false">CR94</f>
        <v>1121.41526565538</v>
      </c>
      <c r="CT90" s="18" t="n">
        <f aca="false">CS94</f>
        <v>2.0963852875866E-010</v>
      </c>
      <c r="CU90" s="18" t="n">
        <f aca="false">CT94</f>
        <v>2.12259010368143E-010</v>
      </c>
      <c r="CV90" s="18" t="n">
        <f aca="false">CU94</f>
        <v>2.14912247997745E-010</v>
      </c>
      <c r="CW90" s="18" t="n">
        <f aca="false">CV94</f>
        <v>2.17598651097717E-010</v>
      </c>
      <c r="CX90" s="18" t="n">
        <f aca="false">CW94</f>
        <v>2.20318634236438E-010</v>
      </c>
      <c r="CY90" s="18" t="n">
        <f aca="false">CX94</f>
        <v>2.23072617164394E-010</v>
      </c>
      <c r="CZ90" s="18" t="n">
        <f aca="false">CY94</f>
        <v>2.25861024878949E-010</v>
      </c>
      <c r="DA90" s="18" t="n">
        <f aca="false">CZ94</f>
        <v>2.28684287689936E-010</v>
      </c>
      <c r="DB90" s="18" t="n">
        <f aca="false">DA94</f>
        <v>2.3154284128606E-010</v>
      </c>
      <c r="DC90" s="18" t="n">
        <f aca="false">DB94</f>
        <v>2.34437126802135E-010</v>
      </c>
      <c r="DD90" s="18" t="n">
        <f aca="false">DC94</f>
        <v>2.37367590887162E-010</v>
      </c>
      <c r="DE90" s="18" t="n">
        <f aca="false">DD94</f>
        <v>2.40334685773252E-010</v>
      </c>
      <c r="DF90" s="18" t="n">
        <f aca="false">DE94</f>
        <v>2.43338869345417E-010</v>
      </c>
      <c r="DG90" s="18" t="n">
        <f aca="false">DF94</f>
        <v>2.46380605212235E-010</v>
      </c>
      <c r="DH90" s="18" t="n">
        <f aca="false">DG94</f>
        <v>2.49460362777388E-010</v>
      </c>
      <c r="DI90" s="18" t="n">
        <f aca="false">DH94</f>
        <v>2.52578617312105E-010</v>
      </c>
      <c r="DJ90" s="18" t="n">
        <f aca="false">DI94</f>
        <v>2.55735850028507E-010</v>
      </c>
      <c r="DK90" s="18" t="n">
        <f aca="false">DJ94</f>
        <v>2.58932548153863E-010</v>
      </c>
      <c r="DL90" s="18" t="n">
        <f aca="false">DK94</f>
        <v>2.62169205005786E-010</v>
      </c>
      <c r="DM90" s="18" t="n">
        <f aca="false">DL94</f>
        <v>2.65446320068359E-010</v>
      </c>
      <c r="DN90" s="18" t="n">
        <f aca="false">DM94</f>
        <v>2.68764399069213E-010</v>
      </c>
      <c r="DO90" s="18" t="n">
        <f aca="false">DN94</f>
        <v>2.72123954057578E-010</v>
      </c>
      <c r="DP90" s="18" t="n">
        <f aca="false">DO94</f>
        <v>2.75525503483298E-010</v>
      </c>
      <c r="DQ90" s="18" t="n">
        <f aca="false">DP94</f>
        <v>2.78969572276839E-010</v>
      </c>
      <c r="DR90" s="18" t="n">
        <f aca="false">DQ94</f>
        <v>2.824566919303E-010</v>
      </c>
      <c r="DS90" s="18" t="n">
        <f aca="false">DR94</f>
        <v>2.85987400579428E-010</v>
      </c>
      <c r="DT90" s="18" t="n">
        <f aca="false">DS94</f>
        <v>2.89562243086671E-010</v>
      </c>
      <c r="DU90" s="18" t="n">
        <f aca="false">DT94</f>
        <v>2.93181771125255E-010</v>
      </c>
      <c r="DV90" s="18" t="n">
        <f aca="false">DU94</f>
        <v>2.9684654326432E-010</v>
      </c>
      <c r="DW90" s="18" t="n">
        <f aca="false">DV94</f>
        <v>3.00557125055124E-010</v>
      </c>
      <c r="DX90" s="18" t="n">
        <f aca="false">DW94</f>
        <v>3.04314089118314E-010</v>
      </c>
      <c r="DY90" s="18" t="n">
        <f aca="false">DX94</f>
        <v>3.08118015232292E-010</v>
      </c>
      <c r="DZ90" s="18" t="n">
        <f aca="false">DY94</f>
        <v>3.11969490422696E-010</v>
      </c>
      <c r="EA90" s="18" t="n">
        <f aca="false">DZ94</f>
        <v>3.1586910905298E-010</v>
      </c>
      <c r="EB90" s="18" t="n">
        <f aca="false">EA94</f>
        <v>3.19817472916142E-010</v>
      </c>
      <c r="EC90" s="18" t="n">
        <f aca="false">EB94</f>
        <v>3.23815191327594E-010</v>
      </c>
      <c r="ED90" s="18" t="n">
        <f aca="false">EC94</f>
        <v>3.27862881219189E-010</v>
      </c>
      <c r="EE90" s="18" t="n">
        <f aca="false">ED94</f>
        <v>3.31961167234429E-010</v>
      </c>
      <c r="EF90" s="18" t="n">
        <f aca="false">EE94</f>
        <v>3.36110681824859E-010</v>
      </c>
      <c r="EG90" s="18" t="n">
        <f aca="false">EF94</f>
        <v>3.4031206534767E-010</v>
      </c>
      <c r="EH90" s="18" t="n">
        <f aca="false">EG94</f>
        <v>3.44565966164515E-010</v>
      </c>
      <c r="EI90" s="18" t="n">
        <f aca="false">EH94</f>
        <v>3.48873040741572E-010</v>
      </c>
      <c r="EJ90" s="18" t="n">
        <f aca="false">EI94</f>
        <v>3.53233953750842E-010</v>
      </c>
      <c r="EK90" s="18" t="n">
        <f aca="false">EJ94</f>
        <v>3.57649378172727E-010</v>
      </c>
      <c r="EL90" s="18" t="n">
        <f aca="false">EK94</f>
        <v>3.62119995399886E-010</v>
      </c>
      <c r="EM90" s="18" t="n">
        <f aca="false">EL94</f>
        <v>3.66646495342385E-010</v>
      </c>
      <c r="EN90" s="18" t="n">
        <f aca="false">EM94</f>
        <v>3.71229576534165E-010</v>
      </c>
      <c r="EO90" s="18" t="n">
        <f aca="false">EN94</f>
        <v>3.75869946240842E-010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55560.2152328767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6263.56952054795</v>
      </c>
      <c r="S91" s="47" t="n">
        <f aca="false">-$E85*S66</f>
        <v>10612.5576986301</v>
      </c>
      <c r="T91" s="47" t="n">
        <f aca="false">-$E85*T66</f>
        <v>6195.48724315069</v>
      </c>
      <c r="U91" s="47" t="n">
        <f aca="false">-$E85*U66</f>
        <v>6263.56952054795</v>
      </c>
      <c r="V91" s="47" t="n">
        <f aca="false">-$E85*V66</f>
        <v>6263.56952054795</v>
      </c>
      <c r="W91" s="47" t="n">
        <f aca="false">-$E85*W66</f>
        <v>6127.40496575343</v>
      </c>
      <c r="X91" s="47" t="n">
        <f aca="false">-$E85*X66</f>
        <v>6195.48724315069</v>
      </c>
      <c r="Y91" s="47" t="n">
        <f aca="false">-$E85*Y66</f>
        <v>7638.56952054795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2575.81979044683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78.2946190068494</v>
      </c>
      <c r="T92" s="47" t="n">
        <f aca="false">T90*$F21*(T$4&lt;=In_COD)</f>
        <v>211.930272977312</v>
      </c>
      <c r="U92" s="47" t="n">
        <f aca="false">U90*$F21*(U$4&lt;=In_COD)</f>
        <v>292.022991928912</v>
      </c>
      <c r="V92" s="47" t="n">
        <f aca="false">V90*$F21*(V$4&lt;=In_COD)</f>
        <v>373.967898334873</v>
      </c>
      <c r="W92" s="47" t="n">
        <f aca="false">W90*$F21*(W$4&lt;=In_COD)</f>
        <v>456.937116070908</v>
      </c>
      <c r="X92" s="47" t="n">
        <f aca="false">X90*$F21*(X$4&lt;=In_COD)</f>
        <v>539.241392093712</v>
      </c>
      <c r="Y92" s="47" t="n">
        <f aca="false">Y90*$F21*(Y$4&lt;=In_COD)</f>
        <v>623.425500034267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-58136.0350233232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-561.590942109155</v>
      </c>
      <c r="AA93" s="47" t="n">
        <f aca="false">AA89-AA88</f>
        <v>-548.072527297899</v>
      </c>
      <c r="AB93" s="47" t="n">
        <f aca="false">AB89-AB88</f>
        <v>-565.75431826617</v>
      </c>
      <c r="AC93" s="47" t="n">
        <f aca="false">AC89-AC88</f>
        <v>-583.608672792446</v>
      </c>
      <c r="AD93" s="47" t="n">
        <f aca="false">AD89-AD88</f>
        <v>-586.336484732214</v>
      </c>
      <c r="AE93" s="47" t="n">
        <f aca="false">AE89-AE88</f>
        <v>-585.315307549663</v>
      </c>
      <c r="AF93" s="47" t="n">
        <f aca="false">AF89-AF88</f>
        <v>-591.027630029228</v>
      </c>
      <c r="AG93" s="47" t="n">
        <f aca="false">AG89-AG88</f>
        <v>-609.157445707953</v>
      </c>
      <c r="AH93" s="47" t="n">
        <f aca="false">AH89-AH88</f>
        <v>-612.115780392928</v>
      </c>
      <c r="AI93" s="47" t="n">
        <f aca="false">AI89-AI88</f>
        <v>-598.877495250985</v>
      </c>
      <c r="AJ93" s="47" t="n">
        <f aca="false">AJ89-AJ88</f>
        <v>-628.723957720883</v>
      </c>
      <c r="AK93" s="47" t="n">
        <f aca="false">AK89-AK88</f>
        <v>-647.377322623461</v>
      </c>
      <c r="AL93" s="47" t="n">
        <f aca="false">AL89-AL88</f>
        <v>-633.506371056771</v>
      </c>
      <c r="AM93" s="47" t="n">
        <f aca="false">AM89-AM88</f>
        <v>-620.083356594863</v>
      </c>
      <c r="AN93" s="47" t="n">
        <f aca="false">AN89-AN88</f>
        <v>-637.858460021858</v>
      </c>
      <c r="AO93" s="47" t="n">
        <f aca="false">AO89-AO88</f>
        <v>-655.797547830162</v>
      </c>
      <c r="AP93" s="47" t="n">
        <f aca="false">AP89-AP88</f>
        <v>-659.191959886836</v>
      </c>
      <c r="AQ93" s="47" t="n">
        <f aca="false">AQ89-AQ88</f>
        <v>-645.91030431919</v>
      </c>
      <c r="AR93" s="47" t="n">
        <f aca="false">AR89-AR88</f>
        <v>-663.946900557826</v>
      </c>
      <c r="AS93" s="47" t="n">
        <f aca="false">AS89-AS88</f>
        <v>-682.149893582126</v>
      </c>
      <c r="AT93" s="47" t="n">
        <f aca="false">AT89-AT88</f>
        <v>-685.770734085528</v>
      </c>
      <c r="AU93" s="47" t="n">
        <f aca="false">AU89-AU88</f>
        <v>-684.738044049746</v>
      </c>
      <c r="AV93" s="47" t="n">
        <f aca="false">AV89-AV88</f>
        <v>-691.05510121778</v>
      </c>
      <c r="AW93" s="47" t="n">
        <f aca="false">AW89-AW88</f>
        <v>-709.530666152071</v>
      </c>
      <c r="AX93" s="47" t="n">
        <f aca="false">AX89-AX88</f>
        <v>-713.387370536164</v>
      </c>
      <c r="AY93" s="47" t="n">
        <f aca="false">AY89-AY88</f>
        <v>-700.411886942019</v>
      </c>
      <c r="AZ93" s="47" t="n">
        <f aca="false">AZ89-AZ88</f>
        <v>-718.995490063616</v>
      </c>
      <c r="BA93" s="47" t="n">
        <f aca="false">BA89-BA88</f>
        <v>-737.750536387947</v>
      </c>
      <c r="BB93" s="47" t="n">
        <f aca="false">BB89-BB88</f>
        <v>-741.85079439477</v>
      </c>
      <c r="BC93" s="47" t="n">
        <f aca="false">BC89-BC88</f>
        <v>-729.039672917382</v>
      </c>
      <c r="BD93" s="47" t="n">
        <f aca="false">BD89-BD88</f>
        <v>-747.908303657974</v>
      </c>
      <c r="BE93" s="47" t="n">
        <f aca="false">BE89-BE88</f>
        <v>-766.95100712624</v>
      </c>
      <c r="BF93" s="47" t="n">
        <f aca="false">BF89-BF88</f>
        <v>-771.303814935603</v>
      </c>
      <c r="BG93" s="47" t="n">
        <f aca="false">BG89-BG88</f>
        <v>-758.665287267277</v>
      </c>
      <c r="BH93" s="47" t="n">
        <f aca="false">BH89-BH88</f>
        <v>-777.827327531932</v>
      </c>
      <c r="BI93" s="47" t="n">
        <f aca="false">BI89-BI88</f>
        <v>-797.166147376546</v>
      </c>
      <c r="BJ93" s="47" t="n">
        <f aca="false">BJ89-BJ88</f>
        <v>-801.780816511279</v>
      </c>
      <c r="BK93" s="47" t="n">
        <f aca="false">BK89-BK88</f>
        <v>-801.50563181215</v>
      </c>
      <c r="BL93" s="47" t="n">
        <f aca="false">BL89-BL88</f>
        <v>-808.899929442655</v>
      </c>
      <c r="BM93" s="47" t="n">
        <f aca="false">BM89-BM88</f>
        <v>-828.544655479841</v>
      </c>
      <c r="BN93" s="47" t="n">
        <f aca="false">BN89-BN88</f>
        <v>-833.431870357692</v>
      </c>
      <c r="BO93" s="47" t="n">
        <f aca="false">BO89-BO88</f>
        <v>-821.165513323286</v>
      </c>
      <c r="BP93" s="47" t="n">
        <f aca="false">BP89-BP88</f>
        <v>-840.941758979304</v>
      </c>
      <c r="BQ93" s="47" t="n">
        <f aca="false">BQ89-BQ88</f>
        <v>-860.900450572813</v>
      </c>
      <c r="BR93" s="47" t="n">
        <f aca="false">BR89-BR88</f>
        <v>-866.069180036659</v>
      </c>
      <c r="BS93" s="47" t="n">
        <f aca="false">BS89-BS88</f>
        <v>-854.00202714273</v>
      </c>
      <c r="BT93" s="47" t="n">
        <f aca="false">BT89-BT88</f>
        <v>-874.098656955163</v>
      </c>
      <c r="BU93" s="47" t="n">
        <f aca="false">BU89-BU88</f>
        <v>-894.380688412091</v>
      </c>
      <c r="BV93" s="47" t="n">
        <f aca="false">BV89-BV88</f>
        <v>-899.841260047295</v>
      </c>
      <c r="BW93" s="47" t="n">
        <f aca="false">BW89-BW88</f>
        <v>-887.982832976712</v>
      </c>
      <c r="BX93" s="47" t="n">
        <f aca="false">BX89-BX88</f>
        <v>-908.409459536603</v>
      </c>
      <c r="BY93" s="47" t="n">
        <f aca="false">BY89-BY88</f>
        <v>-929.024532129041</v>
      </c>
      <c r="BZ93" s="47" t="n">
        <f aca="false">BZ89-BZ88</f>
        <v>-934.787636017295</v>
      </c>
      <c r="CA93" s="47" t="n">
        <f aca="false">CA89-CA88</f>
        <v>-935.397871178635</v>
      </c>
      <c r="CB93" s="47" t="n">
        <f aca="false">CB89-CB88</f>
        <v>-944.027392903741</v>
      </c>
      <c r="CC93" s="47" t="n">
        <f aca="false">CC89-CC88</f>
        <v>-964.986589348841</v>
      </c>
      <c r="CD93" s="47" t="n">
        <f aca="false">CD89-CD88</f>
        <v>-971.064343144216</v>
      </c>
      <c r="CE93" s="47" t="n">
        <f aca="false">CE89-CE88</f>
        <v>-959.654414340777</v>
      </c>
      <c r="CF93" s="47" t="n">
        <f aca="false">CF89-CF88</f>
        <v>-980.772299074197</v>
      </c>
      <c r="CG93" s="47" t="n">
        <f aca="false">CG89-CG88</f>
        <v>-1002.08500704885</v>
      </c>
      <c r="CH93" s="47" t="n">
        <f aca="false">CH89-CH88</f>
        <v>-1008.48785199981</v>
      </c>
      <c r="CI93" s="47" t="n">
        <f aca="false">CI89-CI88</f>
        <v>-997.317415450281</v>
      </c>
      <c r="CJ93" s="47" t="n">
        <f aca="false">CJ89-CJ88</f>
        <v>-1018.79623852661</v>
      </c>
      <c r="CK93" s="47" t="n">
        <f aca="false">CK89-CK88</f>
        <v>-1040.4732146842</v>
      </c>
      <c r="CL93" s="47" t="n">
        <f aca="false">CL89-CL88</f>
        <v>-1047.21300882911</v>
      </c>
      <c r="CM93" s="47" t="n">
        <f aca="false">CM89-CM88</f>
        <v>-1036.29307265346</v>
      </c>
      <c r="CN93" s="47" t="n">
        <f aca="false">CN89-CN88</f>
        <v>-1058.14386616548</v>
      </c>
      <c r="CO93" s="47" t="n">
        <f aca="false">CO89-CO88</f>
        <v>-1080.19624437544</v>
      </c>
      <c r="CP93" s="47" t="n">
        <f aca="false">CP89-CP88</f>
        <v>-1087.28526256686</v>
      </c>
      <c r="CQ93" s="47" t="n">
        <f aca="false">CQ89-CQ88</f>
        <v>-1088.92898910206</v>
      </c>
      <c r="CR93" s="47" t="n">
        <f aca="false">CR89-CR88</f>
        <v>-1098.97491357778</v>
      </c>
      <c r="CS93" s="47" t="n">
        <f aca="false">CS89-CS88</f>
        <v>-1121.41526565517</v>
      </c>
      <c r="CT93" s="47" t="n">
        <f aca="false">CT89-CT88</f>
        <v>2.62048160948325E-012</v>
      </c>
      <c r="CU93" s="47" t="n">
        <f aca="false">CU89-CU88</f>
        <v>2.65323762960179E-012</v>
      </c>
      <c r="CV93" s="47" t="n">
        <f aca="false">CV89-CV88</f>
        <v>2.68640309997181E-012</v>
      </c>
      <c r="CW93" s="47" t="n">
        <f aca="false">CW89-CW88</f>
        <v>2.71998313872146E-012</v>
      </c>
      <c r="CX93" s="47" t="n">
        <f aca="false">CX89-CX88</f>
        <v>2.75398292795548E-012</v>
      </c>
      <c r="CY93" s="47" t="n">
        <f aca="false">CY89-CY88</f>
        <v>2.78840771455492E-012</v>
      </c>
      <c r="CZ93" s="47" t="n">
        <f aca="false">CZ89-CZ88</f>
        <v>2.82326281098686E-012</v>
      </c>
      <c r="DA93" s="47" t="n">
        <f aca="false">DA89-DA88</f>
        <v>2.85855359612419E-012</v>
      </c>
      <c r="DB93" s="47" t="n">
        <f aca="false">DB89-DB88</f>
        <v>2.89428551607575E-012</v>
      </c>
      <c r="DC93" s="47" t="n">
        <f aca="false">DC89-DC88</f>
        <v>2.93046408502669E-012</v>
      </c>
      <c r="DD93" s="47" t="n">
        <f aca="false">DD89-DD88</f>
        <v>2.96709488608953E-012</v>
      </c>
      <c r="DE93" s="47" t="n">
        <f aca="false">DE89-DE88</f>
        <v>3.00418357216565E-012</v>
      </c>
      <c r="DF93" s="47" t="n">
        <f aca="false">DF89-DF88</f>
        <v>3.04173586681772E-012</v>
      </c>
      <c r="DG93" s="47" t="n">
        <f aca="false">DG89-DG88</f>
        <v>3.07975756515294E-012</v>
      </c>
      <c r="DH93" s="47" t="n">
        <f aca="false">DH89-DH88</f>
        <v>3.11825453471735E-012</v>
      </c>
      <c r="DI93" s="47" t="n">
        <f aca="false">DI89-DI88</f>
        <v>3.15723271640132E-012</v>
      </c>
      <c r="DJ93" s="47" t="n">
        <f aca="false">DJ89-DJ88</f>
        <v>3.19669812535633E-012</v>
      </c>
      <c r="DK93" s="47" t="n">
        <f aca="false">DK89-DK88</f>
        <v>3.23665685192329E-012</v>
      </c>
      <c r="DL93" s="47" t="n">
        <f aca="false">DL89-DL88</f>
        <v>3.27711506257233E-012</v>
      </c>
      <c r="DM93" s="47" t="n">
        <f aca="false">DM89-DM88</f>
        <v>3.31807900085448E-012</v>
      </c>
      <c r="DN93" s="47" t="n">
        <f aca="false">DN89-DN88</f>
        <v>3.35955498836516E-012</v>
      </c>
      <c r="DO93" s="47" t="n">
        <f aca="false">DO89-DO88</f>
        <v>3.40154942571973E-012</v>
      </c>
      <c r="DP93" s="47" t="n">
        <f aca="false">DP89-DP88</f>
        <v>3.44406879354123E-012</v>
      </c>
      <c r="DQ93" s="47" t="n">
        <f aca="false">DQ89-DQ88</f>
        <v>3.48711965346049E-012</v>
      </c>
      <c r="DR93" s="47" t="n">
        <f aca="false">DR89-DR88</f>
        <v>3.53070864912875E-012</v>
      </c>
      <c r="DS93" s="47" t="n">
        <f aca="false">DS89-DS88</f>
        <v>3.57484250724286E-012</v>
      </c>
      <c r="DT93" s="47" t="n">
        <f aca="false">DT89-DT88</f>
        <v>3.61952803858339E-012</v>
      </c>
      <c r="DU93" s="47" t="n">
        <f aca="false">DU89-DU88</f>
        <v>3.66477213906569E-012</v>
      </c>
      <c r="DV93" s="47" t="n">
        <f aca="false">DV89-DV88</f>
        <v>3.71058179080401E-012</v>
      </c>
      <c r="DW93" s="47" t="n">
        <f aca="false">DW89-DW88</f>
        <v>3.75696406318906E-012</v>
      </c>
      <c r="DX93" s="47" t="n">
        <f aca="false">DX89-DX88</f>
        <v>3.80392611397892E-012</v>
      </c>
      <c r="DY93" s="47" t="n">
        <f aca="false">DY89-DY88</f>
        <v>3.85147519040366E-012</v>
      </c>
      <c r="DZ93" s="47" t="n">
        <f aca="false">DZ89-DZ88</f>
        <v>3.8996186302837E-012</v>
      </c>
      <c r="EA93" s="47" t="n">
        <f aca="false">EA89-EA88</f>
        <v>3.94836386316225E-012</v>
      </c>
      <c r="EB93" s="47" t="n">
        <f aca="false">EB89-EB88</f>
        <v>3.99771841145178E-012</v>
      </c>
      <c r="EC93" s="47" t="n">
        <f aca="false">EC89-EC88</f>
        <v>4.04768989159492E-012</v>
      </c>
      <c r="ED93" s="47" t="n">
        <f aca="false">ED89-ED88</f>
        <v>4.09828601523986E-012</v>
      </c>
      <c r="EE93" s="47" t="n">
        <f aca="false">EE89-EE88</f>
        <v>4.14951459043036E-012</v>
      </c>
      <c r="EF93" s="47" t="n">
        <f aca="false">EF89-EF88</f>
        <v>4.20138352281074E-012</v>
      </c>
      <c r="EG93" s="47" t="n">
        <f aca="false">EG89-EG88</f>
        <v>4.25390081684587E-012</v>
      </c>
      <c r="EH93" s="47" t="n">
        <f aca="false">EH89-EH88</f>
        <v>4.30707457705644E-012</v>
      </c>
      <c r="EI93" s="47" t="n">
        <f aca="false">EI89-EI88</f>
        <v>4.36091300926965E-012</v>
      </c>
      <c r="EJ93" s="47" t="n">
        <f aca="false">EJ89-EJ88</f>
        <v>4.41542442188552E-012</v>
      </c>
      <c r="EK93" s="47" t="n">
        <f aca="false">EK89-EK88</f>
        <v>4.47061722715909E-012</v>
      </c>
      <c r="EL93" s="47" t="n">
        <f aca="false">EL89-EL88</f>
        <v>4.52649994249858E-012</v>
      </c>
      <c r="EM93" s="47" t="n">
        <f aca="false">EM89-EM88</f>
        <v>4.58308119177981E-012</v>
      </c>
      <c r="EN93" s="47" t="n">
        <f aca="false">EN89-EN88</f>
        <v>4.64036970667706E-012</v>
      </c>
      <c r="EO93" s="47" t="n">
        <f aca="false">EO89-EO88</f>
        <v>4.69837432801052E-012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58136.0350233236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6263.56952054795</v>
      </c>
      <c r="S94" s="56" t="n">
        <f aca="false">SUM(S90:S93)</f>
        <v>16954.4218381849</v>
      </c>
      <c r="T94" s="56" t="n">
        <f aca="false">SUM(T90:T93)</f>
        <v>23361.8393543129</v>
      </c>
      <c r="U94" s="56" t="n">
        <f aca="false">SUM(U90:U93)</f>
        <v>29917.4318667898</v>
      </c>
      <c r="V94" s="56" t="n">
        <f aca="false">SUM(V90:V93)</f>
        <v>36554.9692856726</v>
      </c>
      <c r="W94" s="56" t="n">
        <f aca="false">SUM(W90:W93)</f>
        <v>43139.3113674969</v>
      </c>
      <c r="X94" s="56" t="n">
        <f aca="false">SUM(X90:X93)</f>
        <v>49874.0400027413</v>
      </c>
      <c r="Y94" s="56" t="n">
        <f aca="false">SUM(Y90:Y93)</f>
        <v>58136.0350233236</v>
      </c>
      <c r="Z94" s="56" t="n">
        <f aca="false">SUM(Z90:Z93)</f>
        <v>57574.4440812144</v>
      </c>
      <c r="AA94" s="56" t="n">
        <f aca="false">SUM(AA90:AA93)</f>
        <v>57026.3715539165</v>
      </c>
      <c r="AB94" s="56" t="n">
        <f aca="false">SUM(AB90:AB93)</f>
        <v>56460.6172356503</v>
      </c>
      <c r="AC94" s="56" t="n">
        <f aca="false">SUM(AC90:AC93)</f>
        <v>55877.0085628579</v>
      </c>
      <c r="AD94" s="56" t="n">
        <f aca="false">SUM(AD90:AD93)</f>
        <v>55290.6720781257</v>
      </c>
      <c r="AE94" s="56" t="n">
        <f aca="false">SUM(AE90:AE93)</f>
        <v>54705.356770576</v>
      </c>
      <c r="AF94" s="56" t="n">
        <f aca="false">SUM(AF90:AF93)</f>
        <v>54114.3291405468</v>
      </c>
      <c r="AG94" s="56" t="n">
        <f aca="false">SUM(AG90:AG93)</f>
        <v>53505.1716948388</v>
      </c>
      <c r="AH94" s="56" t="n">
        <f aca="false">SUM(AH90:AH93)</f>
        <v>52893.0559144459</v>
      </c>
      <c r="AI94" s="56" t="n">
        <f aca="false">SUM(AI90:AI93)</f>
        <v>52294.1784191949</v>
      </c>
      <c r="AJ94" s="56" t="n">
        <f aca="false">SUM(AJ90:AJ93)</f>
        <v>51665.454461474</v>
      </c>
      <c r="AK94" s="56" t="n">
        <f aca="false">SUM(AK90:AK93)</f>
        <v>51018.0771388506</v>
      </c>
      <c r="AL94" s="56" t="n">
        <f aca="false">SUM(AL90:AL93)</f>
        <v>50384.5707677938</v>
      </c>
      <c r="AM94" s="56" t="n">
        <f aca="false">SUM(AM90:AM93)</f>
        <v>49764.4874111989</v>
      </c>
      <c r="AN94" s="56" t="n">
        <f aca="false">SUM(AN90:AN93)</f>
        <v>49126.6289511771</v>
      </c>
      <c r="AO94" s="56" t="n">
        <f aca="false">SUM(AO90:AO93)</f>
        <v>48470.8314033469</v>
      </c>
      <c r="AP94" s="56" t="n">
        <f aca="false">SUM(AP90:AP93)</f>
        <v>47811.6394434601</v>
      </c>
      <c r="AQ94" s="56" t="n">
        <f aca="false">SUM(AQ90:AQ93)</f>
        <v>47165.7291391409</v>
      </c>
      <c r="AR94" s="56" t="n">
        <f aca="false">SUM(AR90:AR93)</f>
        <v>46501.7822385831</v>
      </c>
      <c r="AS94" s="56" t="n">
        <f aca="false">SUM(AS90:AS93)</f>
        <v>45819.6323450009</v>
      </c>
      <c r="AT94" s="56" t="n">
        <f aca="false">SUM(AT90:AT93)</f>
        <v>45133.8616109154</v>
      </c>
      <c r="AU94" s="56" t="n">
        <f aca="false">SUM(AU90:AU93)</f>
        <v>44449.1235668657</v>
      </c>
      <c r="AV94" s="56" t="n">
        <f aca="false">SUM(AV90:AV93)</f>
        <v>43758.0684656479</v>
      </c>
      <c r="AW94" s="56" t="n">
        <f aca="false">SUM(AW90:AW93)</f>
        <v>43048.5377994958</v>
      </c>
      <c r="AX94" s="56" t="n">
        <f aca="false">SUM(AX90:AX93)</f>
        <v>42335.1504289596</v>
      </c>
      <c r="AY94" s="56" t="n">
        <f aca="false">SUM(AY90:AY93)</f>
        <v>41634.7385420176</v>
      </c>
      <c r="AZ94" s="56" t="n">
        <f aca="false">SUM(AZ90:AZ93)</f>
        <v>40915.743051954</v>
      </c>
      <c r="BA94" s="56" t="n">
        <f aca="false">SUM(BA90:BA93)</f>
        <v>40177.9925155661</v>
      </c>
      <c r="BB94" s="56" t="n">
        <f aca="false">SUM(BB90:BB93)</f>
        <v>39436.1417211713</v>
      </c>
      <c r="BC94" s="56" t="n">
        <f aca="false">SUM(BC90:BC93)</f>
        <v>38707.1020482539</v>
      </c>
      <c r="BD94" s="56" t="n">
        <f aca="false">SUM(BD90:BD93)</f>
        <v>37959.1937445959</v>
      </c>
      <c r="BE94" s="56" t="n">
        <f aca="false">SUM(BE90:BE93)</f>
        <v>37192.2427374697</v>
      </c>
      <c r="BF94" s="56" t="n">
        <f aca="false">SUM(BF90:BF93)</f>
        <v>36420.9389225341</v>
      </c>
      <c r="BG94" s="56" t="n">
        <f aca="false">SUM(BG90:BG93)</f>
        <v>35662.2736352668</v>
      </c>
      <c r="BH94" s="56" t="n">
        <f aca="false">SUM(BH90:BH93)</f>
        <v>34884.4463077349</v>
      </c>
      <c r="BI94" s="56" t="n">
        <f aca="false">SUM(BI90:BI93)</f>
        <v>34087.2801603583</v>
      </c>
      <c r="BJ94" s="56" t="n">
        <f aca="false">SUM(BJ90:BJ93)</f>
        <v>33285.4993438471</v>
      </c>
      <c r="BK94" s="56" t="n">
        <f aca="false">SUM(BK90:BK93)</f>
        <v>32483.9937120349</v>
      </c>
      <c r="BL94" s="56" t="n">
        <f aca="false">SUM(BL90:BL93)</f>
        <v>31675.0937825923</v>
      </c>
      <c r="BM94" s="56" t="n">
        <f aca="false">SUM(BM90:BM93)</f>
        <v>30846.5491271124</v>
      </c>
      <c r="BN94" s="56" t="n">
        <f aca="false">SUM(BN90:BN93)</f>
        <v>30013.1172567547</v>
      </c>
      <c r="BO94" s="56" t="n">
        <f aca="false">SUM(BO90:BO93)</f>
        <v>29191.9517434314</v>
      </c>
      <c r="BP94" s="56" t="n">
        <f aca="false">SUM(BP90:BP93)</f>
        <v>28351.0099844521</v>
      </c>
      <c r="BQ94" s="56" t="n">
        <f aca="false">SUM(BQ90:BQ93)</f>
        <v>27490.1095338793</v>
      </c>
      <c r="BR94" s="56" t="n">
        <f aca="false">SUM(BR90:BR93)</f>
        <v>26624.0403538427</v>
      </c>
      <c r="BS94" s="56" t="n">
        <f aca="false">SUM(BS90:BS93)</f>
        <v>25770.0383266999</v>
      </c>
      <c r="BT94" s="56" t="n">
        <f aca="false">SUM(BT90:BT93)</f>
        <v>24895.9396697448</v>
      </c>
      <c r="BU94" s="56" t="n">
        <f aca="false">SUM(BU90:BU93)</f>
        <v>24001.5589813327</v>
      </c>
      <c r="BV94" s="56" t="n">
        <f aca="false">SUM(BV90:BV93)</f>
        <v>23101.7177212854</v>
      </c>
      <c r="BW94" s="56" t="n">
        <f aca="false">SUM(BW90:BW93)</f>
        <v>22213.7348883087</v>
      </c>
      <c r="BX94" s="56" t="n">
        <f aca="false">SUM(BX90:BX93)</f>
        <v>21305.3254287721</v>
      </c>
      <c r="BY94" s="56" t="n">
        <f aca="false">SUM(BY90:BY93)</f>
        <v>20376.300896643</v>
      </c>
      <c r="BZ94" s="56" t="n">
        <f aca="false">SUM(BZ90:BZ93)</f>
        <v>19441.5132606257</v>
      </c>
      <c r="CA94" s="56" t="n">
        <f aca="false">SUM(CA90:CA93)</f>
        <v>18506.1153894471</v>
      </c>
      <c r="CB94" s="56" t="n">
        <f aca="false">SUM(CB90:CB93)</f>
        <v>17562.0879965434</v>
      </c>
      <c r="CC94" s="56" t="n">
        <f aca="false">SUM(CC90:CC93)</f>
        <v>16597.1014071945</v>
      </c>
      <c r="CD94" s="56" t="n">
        <f aca="false">SUM(CD90:CD93)</f>
        <v>15626.0370640503</v>
      </c>
      <c r="CE94" s="56" t="n">
        <f aca="false">SUM(CE90:CE93)</f>
        <v>14666.3826497095</v>
      </c>
      <c r="CF94" s="56" t="n">
        <f aca="false">SUM(CF90:CF93)</f>
        <v>13685.6103506353</v>
      </c>
      <c r="CG94" s="56" t="n">
        <f aca="false">SUM(CG90:CG93)</f>
        <v>12683.5253435865</v>
      </c>
      <c r="CH94" s="56" t="n">
        <f aca="false">SUM(CH90:CH93)</f>
        <v>11675.0374915867</v>
      </c>
      <c r="CI94" s="56" t="n">
        <f aca="false">SUM(CI90:CI93)</f>
        <v>10677.7200761364</v>
      </c>
      <c r="CJ94" s="56" t="n">
        <f aca="false">SUM(CJ90:CJ93)</f>
        <v>9658.92383760977</v>
      </c>
      <c r="CK94" s="56" t="n">
        <f aca="false">SUM(CK90:CK93)</f>
        <v>8618.45062292557</v>
      </c>
      <c r="CL94" s="56" t="n">
        <f aca="false">SUM(CL90:CL93)</f>
        <v>7571.23761409646</v>
      </c>
      <c r="CM94" s="56" t="n">
        <f aca="false">SUM(CM90:CM93)</f>
        <v>6534.944541443</v>
      </c>
      <c r="CN94" s="56" t="n">
        <f aca="false">SUM(CN90:CN93)</f>
        <v>5476.80067527752</v>
      </c>
      <c r="CO94" s="56" t="n">
        <f aca="false">SUM(CO90:CO93)</f>
        <v>4396.60443090208</v>
      </c>
      <c r="CP94" s="56" t="n">
        <f aca="false">SUM(CP90:CP93)</f>
        <v>3309.31916833522</v>
      </c>
      <c r="CQ94" s="56" t="n">
        <f aca="false">SUM(CQ90:CQ93)</f>
        <v>2220.39017923316</v>
      </c>
      <c r="CR94" s="56" t="n">
        <f aca="false">SUM(CR90:CR93)</f>
        <v>1121.41526565538</v>
      </c>
      <c r="CS94" s="56" t="n">
        <f aca="false">SUM(CS90:CS93)</f>
        <v>2.0963852875866E-010</v>
      </c>
      <c r="CT94" s="56" t="n">
        <f aca="false">SUM(CT90:CT93)</f>
        <v>2.12259010368143E-010</v>
      </c>
      <c r="CU94" s="56" t="n">
        <f aca="false">SUM(CU90:CU93)</f>
        <v>2.14912247997745E-010</v>
      </c>
      <c r="CV94" s="56" t="n">
        <f aca="false">SUM(CV90:CV93)</f>
        <v>2.17598651097717E-010</v>
      </c>
      <c r="CW94" s="56" t="n">
        <f aca="false">SUM(CW90:CW93)</f>
        <v>2.20318634236438E-010</v>
      </c>
      <c r="CX94" s="56" t="n">
        <f aca="false">SUM(CX90:CX93)</f>
        <v>2.23072617164394E-010</v>
      </c>
      <c r="CY94" s="56" t="n">
        <f aca="false">SUM(CY90:CY93)</f>
        <v>2.25861024878949E-010</v>
      </c>
      <c r="CZ94" s="56" t="n">
        <f aca="false">SUM(CZ90:CZ93)</f>
        <v>2.28684287689936E-010</v>
      </c>
      <c r="DA94" s="56" t="n">
        <f aca="false">SUM(DA90:DA93)</f>
        <v>2.3154284128606E-010</v>
      </c>
      <c r="DB94" s="56" t="n">
        <f aca="false">SUM(DB90:DB93)</f>
        <v>2.34437126802135E-010</v>
      </c>
      <c r="DC94" s="56" t="n">
        <f aca="false">SUM(DC90:DC93)</f>
        <v>2.37367590887162E-010</v>
      </c>
      <c r="DD94" s="56" t="n">
        <f aca="false">SUM(DD90:DD93)</f>
        <v>2.40334685773252E-010</v>
      </c>
      <c r="DE94" s="56" t="n">
        <f aca="false">SUM(DE90:DE93)</f>
        <v>2.43338869345417E-010</v>
      </c>
      <c r="DF94" s="56" t="n">
        <f aca="false">SUM(DF90:DF93)</f>
        <v>2.46380605212235E-010</v>
      </c>
      <c r="DG94" s="56" t="n">
        <f aca="false">SUM(DG90:DG93)</f>
        <v>2.49460362777388E-010</v>
      </c>
      <c r="DH94" s="56" t="n">
        <f aca="false">SUM(DH90:DH93)</f>
        <v>2.52578617312105E-010</v>
      </c>
      <c r="DI94" s="56" t="n">
        <f aca="false">SUM(DI90:DI93)</f>
        <v>2.55735850028507E-010</v>
      </c>
      <c r="DJ94" s="56" t="n">
        <f aca="false">SUM(DJ90:DJ93)</f>
        <v>2.58932548153863E-010</v>
      </c>
      <c r="DK94" s="56" t="n">
        <f aca="false">SUM(DK90:DK93)</f>
        <v>2.62169205005786E-010</v>
      </c>
      <c r="DL94" s="56" t="n">
        <f aca="false">SUM(DL90:DL93)</f>
        <v>2.65446320068359E-010</v>
      </c>
      <c r="DM94" s="56" t="n">
        <f aca="false">SUM(DM90:DM93)</f>
        <v>2.68764399069213E-010</v>
      </c>
      <c r="DN94" s="56" t="n">
        <f aca="false">SUM(DN90:DN93)</f>
        <v>2.72123954057578E-010</v>
      </c>
      <c r="DO94" s="56" t="n">
        <f aca="false">SUM(DO90:DO93)</f>
        <v>2.75525503483298E-010</v>
      </c>
      <c r="DP94" s="56" t="n">
        <f aca="false">SUM(DP90:DP93)</f>
        <v>2.78969572276839E-010</v>
      </c>
      <c r="DQ94" s="56" t="n">
        <f aca="false">SUM(DQ90:DQ93)</f>
        <v>2.824566919303E-010</v>
      </c>
      <c r="DR94" s="56" t="n">
        <f aca="false">SUM(DR90:DR93)</f>
        <v>2.85987400579428E-010</v>
      </c>
      <c r="DS94" s="56" t="n">
        <f aca="false">SUM(DS90:DS93)</f>
        <v>2.89562243086671E-010</v>
      </c>
      <c r="DT94" s="56" t="n">
        <f aca="false">SUM(DT90:DT93)</f>
        <v>2.93181771125255E-010</v>
      </c>
      <c r="DU94" s="56" t="n">
        <f aca="false">SUM(DU90:DU93)</f>
        <v>2.9684654326432E-010</v>
      </c>
      <c r="DV94" s="56" t="n">
        <f aca="false">SUM(DV90:DV93)</f>
        <v>3.00557125055124E-010</v>
      </c>
      <c r="DW94" s="56" t="n">
        <f aca="false">SUM(DW90:DW93)</f>
        <v>3.04314089118314E-010</v>
      </c>
      <c r="DX94" s="56" t="n">
        <f aca="false">SUM(DX90:DX93)</f>
        <v>3.08118015232292E-010</v>
      </c>
      <c r="DY94" s="56" t="n">
        <f aca="false">SUM(DY90:DY93)</f>
        <v>3.11969490422696E-010</v>
      </c>
      <c r="DZ94" s="56" t="n">
        <f aca="false">SUM(DZ90:DZ93)</f>
        <v>3.1586910905298E-010</v>
      </c>
      <c r="EA94" s="56" t="n">
        <f aca="false">SUM(EA90:EA93)</f>
        <v>3.19817472916142E-010</v>
      </c>
      <c r="EB94" s="56" t="n">
        <f aca="false">SUM(EB90:EB93)</f>
        <v>3.23815191327594E-010</v>
      </c>
      <c r="EC94" s="56" t="n">
        <f aca="false">SUM(EC90:EC93)</f>
        <v>3.27862881219189E-010</v>
      </c>
      <c r="ED94" s="56" t="n">
        <f aca="false">SUM(ED90:ED93)</f>
        <v>3.31961167234429E-010</v>
      </c>
      <c r="EE94" s="56" t="n">
        <f aca="false">SUM(EE90:EE93)</f>
        <v>3.36110681824859E-010</v>
      </c>
      <c r="EF94" s="56" t="n">
        <f aca="false">SUM(EF90:EF93)</f>
        <v>3.4031206534767E-010</v>
      </c>
      <c r="EG94" s="56" t="n">
        <f aca="false">SUM(EG90:EG93)</f>
        <v>3.44565966164515E-010</v>
      </c>
      <c r="EH94" s="56" t="n">
        <f aca="false">SUM(EH90:EH93)</f>
        <v>3.48873040741572E-010</v>
      </c>
      <c r="EI94" s="56" t="n">
        <f aca="false">SUM(EI90:EI93)</f>
        <v>3.53233953750842E-010</v>
      </c>
      <c r="EJ94" s="56" t="n">
        <f aca="false">SUM(EJ90:EJ93)</f>
        <v>3.57649378172727E-010</v>
      </c>
      <c r="EK94" s="56" t="n">
        <f aca="false">SUM(EK90:EK93)</f>
        <v>3.62119995399886E-010</v>
      </c>
      <c r="EL94" s="56" t="n">
        <f aca="false">SUM(EL90:EL93)</f>
        <v>3.66646495342385E-010</v>
      </c>
      <c r="EM94" s="56" t="n">
        <f aca="false">SUM(EM90:EM93)</f>
        <v>3.71229576534165E-010</v>
      </c>
      <c r="EN94" s="56" t="n">
        <f aca="false">SUM(EN90:EN93)</f>
        <v>3.75869946240842E-010</v>
      </c>
      <c r="EO94" s="56" t="n">
        <f aca="false">SUM(EO90:EO93)</f>
        <v>3.80568320568852E-010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-1017.38061290816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-1017.38061290816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-548.095640244877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-126.037967706361</v>
      </c>
      <c r="S96" s="47" t="n">
        <f aca="false">-In_Commitment_Fee*($I91-SUM($J91:S91)+S91)*S$6*(S12&gt;0)</f>
        <v>-109.398035690373</v>
      </c>
      <c r="T96" s="47" t="n">
        <f aca="false">-In_Commitment_Fee*($I91-SUM($J91:T91)+T91)*T$6*(T12&gt;0)</f>
        <v>-86.8007344745731</v>
      </c>
      <c r="U96" s="47" t="n">
        <f aca="false">-In_Commitment_Fee*($I91-SUM($J91:U91)+U91)*U$6*(U12&gt;0)</f>
        <v>-73.7001683233252</v>
      </c>
      <c r="V96" s="47" t="n">
        <f aca="false">-In_Commitment_Fee*($I91-SUM($J91:V91)+V91)*V$6*(V12&gt;0)</f>
        <v>-59.4913037671233</v>
      </c>
      <c r="W96" s="47" t="n">
        <f aca="false">-In_Commitment_Fee*($I91-SUM($J91:W91)+W91)*W$6*(W12&gt;0)</f>
        <v>-44.29803835851</v>
      </c>
      <c r="X96" s="47" t="n">
        <f aca="false">-In_Commitment_Fee*($I91-SUM($J91:X91)+X91)*X$6*(X12&gt;0)</f>
        <v>-31.0413492862169</v>
      </c>
      <c r="Y96" s="47" t="n">
        <f aca="false">-In_Commitment_Fee*($I91-SUM($J91:Y91)+Y91)*Y$6*(Y12&gt;0)</f>
        <v>-17.3280426383937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1288.2913799007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-1288.2913799007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1288.2913799007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1.75599824880643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1.75599824880643</v>
      </c>
      <c r="AA98" s="52" t="n">
        <f aca="false">IF(AA89&lt;0,AA83/-AA89,"")</f>
        <v>1.75599824880643</v>
      </c>
      <c r="AB98" s="52" t="n">
        <f aca="false">IF(AB89&lt;0,AB83/-AB89,"")</f>
        <v>1.75599824880643</v>
      </c>
      <c r="AC98" s="52" t="n">
        <f aca="false">IF(AC89&lt;0,AC83/-AC89,"")</f>
        <v>1.75599824880643</v>
      </c>
      <c r="AD98" s="52" t="n">
        <f aca="false">IF(AD89&lt;0,AD83/-AD89,"")</f>
        <v>1.75599824880643</v>
      </c>
      <c r="AE98" s="52" t="n">
        <f aca="false">IF(AE89&lt;0,AE83/-AE89,"")</f>
        <v>1.75599824880643</v>
      </c>
      <c r="AF98" s="52" t="n">
        <f aca="false">IF(AF89&lt;0,AF83/-AF89,"")</f>
        <v>1.75599824880643</v>
      </c>
      <c r="AG98" s="52" t="n">
        <f aca="false">IF(AG89&lt;0,AG83/-AG89,"")</f>
        <v>1.75599824880643</v>
      </c>
      <c r="AH98" s="52" t="n">
        <f aca="false">IF(AH89&lt;0,AH83/-AH89,"")</f>
        <v>1.75599824880643</v>
      </c>
      <c r="AI98" s="52" t="n">
        <f aca="false">IF(AI89&lt;0,AI83/-AI89,"")</f>
        <v>1.75599824880643</v>
      </c>
      <c r="AJ98" s="52" t="n">
        <f aca="false">IF(AJ89&lt;0,AJ83/-AJ89,"")</f>
        <v>1.75599824880643</v>
      </c>
      <c r="AK98" s="52" t="n">
        <f aca="false">IF(AK89&lt;0,AK83/-AK89,"")</f>
        <v>1.75599824880643</v>
      </c>
      <c r="AL98" s="52" t="n">
        <f aca="false">IF(AL89&lt;0,AL83/-AL89,"")</f>
        <v>1.75599824880643</v>
      </c>
      <c r="AM98" s="52" t="n">
        <f aca="false">IF(AM89&lt;0,AM83/-AM89,"")</f>
        <v>1.75599824880643</v>
      </c>
      <c r="AN98" s="52" t="n">
        <f aca="false">IF(AN89&lt;0,AN83/-AN89,"")</f>
        <v>1.75599824880643</v>
      </c>
      <c r="AO98" s="52" t="n">
        <f aca="false">IF(AO89&lt;0,AO83/-AO89,"")</f>
        <v>1.75599824880643</v>
      </c>
      <c r="AP98" s="52" t="n">
        <f aca="false">IF(AP89&lt;0,AP83/-AP89,"")</f>
        <v>1.75599824880643</v>
      </c>
      <c r="AQ98" s="52" t="n">
        <f aca="false">IF(AQ89&lt;0,AQ83/-AQ89,"")</f>
        <v>1.75599824880643</v>
      </c>
      <c r="AR98" s="52" t="n">
        <f aca="false">IF(AR89&lt;0,AR83/-AR89,"")</f>
        <v>1.75599824880643</v>
      </c>
      <c r="AS98" s="52" t="n">
        <f aca="false">IF(AS89&lt;0,AS83/-AS89,"")</f>
        <v>1.75599824880643</v>
      </c>
      <c r="AT98" s="52" t="n">
        <f aca="false">IF(AT89&lt;0,AT83/-AT89,"")</f>
        <v>1.75599824880643</v>
      </c>
      <c r="AU98" s="52" t="n">
        <f aca="false">IF(AU89&lt;0,AU83/-AU89,"")</f>
        <v>1.75599824880643</v>
      </c>
      <c r="AV98" s="52" t="n">
        <f aca="false">IF(AV89&lt;0,AV83/-AV89,"")</f>
        <v>1.75599824880643</v>
      </c>
      <c r="AW98" s="52" t="n">
        <f aca="false">IF(AW89&lt;0,AW83/-AW89,"")</f>
        <v>1.75599824880643</v>
      </c>
      <c r="AX98" s="52" t="n">
        <f aca="false">IF(AX89&lt;0,AX83/-AX89,"")</f>
        <v>1.75599824880643</v>
      </c>
      <c r="AY98" s="52" t="n">
        <f aca="false">IF(AY89&lt;0,AY83/-AY89,"")</f>
        <v>1.75599824880643</v>
      </c>
      <c r="AZ98" s="52" t="n">
        <f aca="false">IF(AZ89&lt;0,AZ83/-AZ89,"")</f>
        <v>1.75599824880643</v>
      </c>
      <c r="BA98" s="52" t="n">
        <f aca="false">IF(BA89&lt;0,BA83/-BA89,"")</f>
        <v>1.75599824880643</v>
      </c>
      <c r="BB98" s="52" t="n">
        <f aca="false">IF(BB89&lt;0,BB83/-BB89,"")</f>
        <v>1.75599824880643</v>
      </c>
      <c r="BC98" s="52" t="n">
        <f aca="false">IF(BC89&lt;0,BC83/-BC89,"")</f>
        <v>1.75599824880643</v>
      </c>
      <c r="BD98" s="52" t="n">
        <f aca="false">IF(BD89&lt;0,BD83/-BD89,"")</f>
        <v>1.75599824880643</v>
      </c>
      <c r="BE98" s="52" t="n">
        <f aca="false">IF(BE89&lt;0,BE83/-BE89,"")</f>
        <v>1.75599824880643</v>
      </c>
      <c r="BF98" s="52" t="n">
        <f aca="false">IF(BF89&lt;0,BF83/-BF89,"")</f>
        <v>1.75599824880643</v>
      </c>
      <c r="BG98" s="52" t="n">
        <f aca="false">IF(BG89&lt;0,BG83/-BG89,"")</f>
        <v>1.75599824880643</v>
      </c>
      <c r="BH98" s="52" t="n">
        <f aca="false">IF(BH89&lt;0,BH83/-BH89,"")</f>
        <v>1.75599824880643</v>
      </c>
      <c r="BI98" s="52" t="n">
        <f aca="false">IF(BI89&lt;0,BI83/-BI89,"")</f>
        <v>1.75599824880643</v>
      </c>
      <c r="BJ98" s="52" t="n">
        <f aca="false">IF(BJ89&lt;0,BJ83/-BJ89,"")</f>
        <v>1.75599824880643</v>
      </c>
      <c r="BK98" s="52" t="n">
        <f aca="false">IF(BK89&lt;0,BK83/-BK89,"")</f>
        <v>1.75599824880643</v>
      </c>
      <c r="BL98" s="52" t="n">
        <f aca="false">IF(BL89&lt;0,BL83/-BL89,"")</f>
        <v>1.75599824880643</v>
      </c>
      <c r="BM98" s="52" t="n">
        <f aca="false">IF(BM89&lt;0,BM83/-BM89,"")</f>
        <v>1.75599824880643</v>
      </c>
      <c r="BN98" s="52" t="n">
        <f aca="false">IF(BN89&lt;0,BN83/-BN89,"")</f>
        <v>1.75599824880643</v>
      </c>
      <c r="BO98" s="52" t="n">
        <f aca="false">IF(BO89&lt;0,BO83/-BO89,"")</f>
        <v>1.75599824880643</v>
      </c>
      <c r="BP98" s="52" t="n">
        <f aca="false">IF(BP89&lt;0,BP83/-BP89,"")</f>
        <v>1.75599824880643</v>
      </c>
      <c r="BQ98" s="52" t="n">
        <f aca="false">IF(BQ89&lt;0,BQ83/-BQ89,"")</f>
        <v>1.75599824880643</v>
      </c>
      <c r="BR98" s="52" t="n">
        <f aca="false">IF(BR89&lt;0,BR83/-BR89,"")</f>
        <v>1.75599824880643</v>
      </c>
      <c r="BS98" s="52" t="n">
        <f aca="false">IF(BS89&lt;0,BS83/-BS89,"")</f>
        <v>1.75599824880643</v>
      </c>
      <c r="BT98" s="52" t="n">
        <f aca="false">IF(BT89&lt;0,BT83/-BT89,"")</f>
        <v>1.75599824880643</v>
      </c>
      <c r="BU98" s="52" t="n">
        <f aca="false">IF(BU89&lt;0,BU83/-BU89,"")</f>
        <v>1.75599824880643</v>
      </c>
      <c r="BV98" s="52" t="n">
        <f aca="false">IF(BV89&lt;0,BV83/-BV89,"")</f>
        <v>1.75599824880643</v>
      </c>
      <c r="BW98" s="52" t="n">
        <f aca="false">IF(BW89&lt;0,BW83/-BW89,"")</f>
        <v>1.75599824880643</v>
      </c>
      <c r="BX98" s="52" t="n">
        <f aca="false">IF(BX89&lt;0,BX83/-BX89,"")</f>
        <v>1.75599824880643</v>
      </c>
      <c r="BY98" s="52" t="n">
        <f aca="false">IF(BY89&lt;0,BY83/-BY89,"")</f>
        <v>1.75599824880643</v>
      </c>
      <c r="BZ98" s="52" t="n">
        <f aca="false">IF(BZ89&lt;0,BZ83/-BZ89,"")</f>
        <v>1.75599824880643</v>
      </c>
      <c r="CA98" s="52" t="n">
        <f aca="false">IF(CA89&lt;0,CA83/-CA89,"")</f>
        <v>1.75599824880643</v>
      </c>
      <c r="CB98" s="52" t="n">
        <f aca="false">IF(CB89&lt;0,CB83/-CB89,"")</f>
        <v>1.75599824880643</v>
      </c>
      <c r="CC98" s="52" t="n">
        <f aca="false">IF(CC89&lt;0,CC83/-CC89,"")</f>
        <v>1.75599824880643</v>
      </c>
      <c r="CD98" s="52" t="n">
        <f aca="false">IF(CD89&lt;0,CD83/-CD89,"")</f>
        <v>1.75599824880643</v>
      </c>
      <c r="CE98" s="52" t="n">
        <f aca="false">IF(CE89&lt;0,CE83/-CE89,"")</f>
        <v>1.75599824880643</v>
      </c>
      <c r="CF98" s="52" t="n">
        <f aca="false">IF(CF89&lt;0,CF83/-CF89,"")</f>
        <v>1.75599824880643</v>
      </c>
      <c r="CG98" s="52" t="n">
        <f aca="false">IF(CG89&lt;0,CG83/-CG89,"")</f>
        <v>1.75599824880643</v>
      </c>
      <c r="CH98" s="52" t="n">
        <f aca="false">IF(CH89&lt;0,CH83/-CH89,"")</f>
        <v>1.75599824880643</v>
      </c>
      <c r="CI98" s="52" t="n">
        <f aca="false">IF(CI89&lt;0,CI83/-CI89,"")</f>
        <v>1.75599824880643</v>
      </c>
      <c r="CJ98" s="52" t="n">
        <f aca="false">IF(CJ89&lt;0,CJ83/-CJ89,"")</f>
        <v>1.75599824880643</v>
      </c>
      <c r="CK98" s="52" t="n">
        <f aca="false">IF(CK89&lt;0,CK83/-CK89,"")</f>
        <v>1.75599824880643</v>
      </c>
      <c r="CL98" s="52" t="n">
        <f aca="false">IF(CL89&lt;0,CL83/-CL89,"")</f>
        <v>1.75599824880643</v>
      </c>
      <c r="CM98" s="52" t="n">
        <f aca="false">IF(CM89&lt;0,CM83/-CM89,"")</f>
        <v>1.75599824880643</v>
      </c>
      <c r="CN98" s="52" t="n">
        <f aca="false">IF(CN89&lt;0,CN83/-CN89,"")</f>
        <v>1.75599824880643</v>
      </c>
      <c r="CO98" s="52" t="n">
        <f aca="false">IF(CO89&lt;0,CO83/-CO89,"")</f>
        <v>1.75599824880643</v>
      </c>
      <c r="CP98" s="52" t="n">
        <f aca="false">IF(CP89&lt;0,CP83/-CP89,"")</f>
        <v>1.75599824880643</v>
      </c>
      <c r="CQ98" s="52" t="n">
        <f aca="false">IF(CQ89&lt;0,CQ83/-CQ89,"")</f>
        <v>1.75599824880643</v>
      </c>
      <c r="CR98" s="52" t="n">
        <f aca="false">IF(CR89&lt;0,CR83/-CR89,"")</f>
        <v>1.75599824880643</v>
      </c>
      <c r="CS98" s="52" t="n">
        <f aca="false">IF(CS89&lt;0,CS83/-CS89,"")</f>
        <v>1.75599824880643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109360.831297296</v>
      </c>
      <c r="I101" s="47" t="n">
        <f aca="false">SUM(J101:EO101)</f>
        <v>-109360.831297296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-1377.30273502413</v>
      </c>
      <c r="AA101" s="47" t="n">
        <f aca="false">-$E101*AA19</f>
        <v>-1347.36137121925</v>
      </c>
      <c r="AB101" s="47" t="n">
        <f aca="false">-$E101*AB19</f>
        <v>-1362.33205312169</v>
      </c>
      <c r="AC101" s="47" t="n">
        <f aca="false">-$E101*AC19</f>
        <v>-1377.30273502413</v>
      </c>
      <c r="AD101" s="47" t="n">
        <f aca="false">-$E101*AD19</f>
        <v>-1377.30273502413</v>
      </c>
      <c r="AE101" s="47" t="n">
        <f aca="false">-$E101*AE19</f>
        <v>-1362.33205312169</v>
      </c>
      <c r="AF101" s="47" t="n">
        <f aca="false">-$E101*AF19</f>
        <v>-1362.33205312169</v>
      </c>
      <c r="AG101" s="47" t="n">
        <f aca="false">-$E101*AG19</f>
        <v>-1377.30273502413</v>
      </c>
      <c r="AH101" s="47" t="n">
        <f aca="false">-$E101*AH19</f>
        <v>-1377.30273502413</v>
      </c>
      <c r="AI101" s="47" t="n">
        <f aca="false">-$E101*AI19</f>
        <v>-1347.36137121925</v>
      </c>
      <c r="AJ101" s="47" t="n">
        <f aca="false">-$E101*AJ19</f>
        <v>-1362.33205312169</v>
      </c>
      <c r="AK101" s="47" t="n">
        <f aca="false">-$E101*AK19</f>
        <v>-1377.30273502413</v>
      </c>
      <c r="AL101" s="47" t="n">
        <f aca="false">-$E101*AL19</f>
        <v>-1377.30273502413</v>
      </c>
      <c r="AM101" s="47" t="n">
        <f aca="false">-$E101*AM19</f>
        <v>-1347.36137121925</v>
      </c>
      <c r="AN101" s="47" t="n">
        <f aca="false">-$E101*AN19</f>
        <v>-1362.33205312169</v>
      </c>
      <c r="AO101" s="47" t="n">
        <f aca="false">-$E101*AO19</f>
        <v>-1377.30273502413</v>
      </c>
      <c r="AP101" s="47" t="n">
        <f aca="false">-$E101*AP19</f>
        <v>-1377.30273502413</v>
      </c>
      <c r="AQ101" s="47" t="n">
        <f aca="false">-$E101*AQ19</f>
        <v>-1347.36137121925</v>
      </c>
      <c r="AR101" s="47" t="n">
        <f aca="false">-$E101*AR19</f>
        <v>-1362.33205312169</v>
      </c>
      <c r="AS101" s="47" t="n">
        <f aca="false">-$E101*AS19</f>
        <v>-1377.30273502413</v>
      </c>
      <c r="AT101" s="47" t="n">
        <f aca="false">-$E101*AT19</f>
        <v>-1377.30273502413</v>
      </c>
      <c r="AU101" s="47" t="n">
        <f aca="false">-$E101*AU19</f>
        <v>-1362.33205312169</v>
      </c>
      <c r="AV101" s="47" t="n">
        <f aca="false">-$E101*AV19</f>
        <v>-1362.33205312169</v>
      </c>
      <c r="AW101" s="47" t="n">
        <f aca="false">-$E101*AW19</f>
        <v>-1377.30273502413</v>
      </c>
      <c r="AX101" s="47" t="n">
        <f aca="false">-$E101*AX19</f>
        <v>-1377.30273502413</v>
      </c>
      <c r="AY101" s="47" t="n">
        <f aca="false">-$E101*AY19</f>
        <v>-1347.36137121925</v>
      </c>
      <c r="AZ101" s="47" t="n">
        <f aca="false">-$E101*AZ19</f>
        <v>-1362.33205312169</v>
      </c>
      <c r="BA101" s="47" t="n">
        <f aca="false">-$E101*BA19</f>
        <v>-1377.30273502413</v>
      </c>
      <c r="BB101" s="47" t="n">
        <f aca="false">-$E101*BB19</f>
        <v>-1377.30273502413</v>
      </c>
      <c r="BC101" s="47" t="n">
        <f aca="false">-$E101*BC19</f>
        <v>-1347.36137121925</v>
      </c>
      <c r="BD101" s="47" t="n">
        <f aca="false">-$E101*BD19</f>
        <v>-1362.33205312169</v>
      </c>
      <c r="BE101" s="47" t="n">
        <f aca="false">-$E101*BE19</f>
        <v>-1377.30273502413</v>
      </c>
      <c r="BF101" s="47" t="n">
        <f aca="false">-$E101*BF19</f>
        <v>-1377.30273502413</v>
      </c>
      <c r="BG101" s="47" t="n">
        <f aca="false">-$E101*BG19</f>
        <v>-1347.36137121925</v>
      </c>
      <c r="BH101" s="47" t="n">
        <f aca="false">-$E101*BH19</f>
        <v>-1362.33205312169</v>
      </c>
      <c r="BI101" s="47" t="n">
        <f aca="false">-$E101*BI19</f>
        <v>-1377.30273502413</v>
      </c>
      <c r="BJ101" s="47" t="n">
        <f aca="false">-$E101*BJ19</f>
        <v>-1377.30273502413</v>
      </c>
      <c r="BK101" s="47" t="n">
        <f aca="false">-$E101*BK19</f>
        <v>-1362.33205312169</v>
      </c>
      <c r="BL101" s="47" t="n">
        <f aca="false">-$E101*BL19</f>
        <v>-1362.33205312169</v>
      </c>
      <c r="BM101" s="47" t="n">
        <f aca="false">-$E101*BM19</f>
        <v>-1377.30273502413</v>
      </c>
      <c r="BN101" s="47" t="n">
        <f aca="false">-$E101*BN19</f>
        <v>-1377.30273502413</v>
      </c>
      <c r="BO101" s="47" t="n">
        <f aca="false">-$E101*BO19</f>
        <v>-1347.36137121925</v>
      </c>
      <c r="BP101" s="47" t="n">
        <f aca="false">-$E101*BP19</f>
        <v>-1362.33205312169</v>
      </c>
      <c r="BQ101" s="47" t="n">
        <f aca="false">-$E101*BQ19</f>
        <v>-1377.30273502413</v>
      </c>
      <c r="BR101" s="47" t="n">
        <f aca="false">-$E101*BR19</f>
        <v>-1377.30273502413</v>
      </c>
      <c r="BS101" s="47" t="n">
        <f aca="false">-$E101*BS19</f>
        <v>-1347.36137121925</v>
      </c>
      <c r="BT101" s="47" t="n">
        <f aca="false">-$E101*BT19</f>
        <v>-1362.33205312169</v>
      </c>
      <c r="BU101" s="47" t="n">
        <f aca="false">-$E101*BU19</f>
        <v>-1377.30273502413</v>
      </c>
      <c r="BV101" s="47" t="n">
        <f aca="false">-$E101*BV19</f>
        <v>-1377.30273502413</v>
      </c>
      <c r="BW101" s="47" t="n">
        <f aca="false">-$E101*BW19</f>
        <v>-1347.36137121925</v>
      </c>
      <c r="BX101" s="47" t="n">
        <f aca="false">-$E101*BX19</f>
        <v>-1362.33205312169</v>
      </c>
      <c r="BY101" s="47" t="n">
        <f aca="false">-$E101*BY19</f>
        <v>-1377.30273502413</v>
      </c>
      <c r="BZ101" s="47" t="n">
        <f aca="false">-$E101*BZ19</f>
        <v>-1377.30273502413</v>
      </c>
      <c r="CA101" s="47" t="n">
        <f aca="false">-$E101*CA19</f>
        <v>-1362.33205312169</v>
      </c>
      <c r="CB101" s="47" t="n">
        <f aca="false">-$E101*CB19</f>
        <v>-1362.33205312169</v>
      </c>
      <c r="CC101" s="47" t="n">
        <f aca="false">-$E101*CC19</f>
        <v>-1377.30273502413</v>
      </c>
      <c r="CD101" s="47" t="n">
        <f aca="false">-$E101*CD19</f>
        <v>-1377.30273502413</v>
      </c>
      <c r="CE101" s="47" t="n">
        <f aca="false">-$E101*CE19</f>
        <v>-1347.36137121925</v>
      </c>
      <c r="CF101" s="47" t="n">
        <f aca="false">-$E101*CF19</f>
        <v>-1362.33205312169</v>
      </c>
      <c r="CG101" s="47" t="n">
        <f aca="false">-$E101*CG19</f>
        <v>-1377.30273502413</v>
      </c>
      <c r="CH101" s="47" t="n">
        <f aca="false">-$E101*CH19</f>
        <v>-1377.30273502413</v>
      </c>
      <c r="CI101" s="47" t="n">
        <f aca="false">-$E101*CI19</f>
        <v>-1347.36137121925</v>
      </c>
      <c r="CJ101" s="47" t="n">
        <f aca="false">-$E101*CJ19</f>
        <v>-1362.33205312169</v>
      </c>
      <c r="CK101" s="47" t="n">
        <f aca="false">-$E101*CK19</f>
        <v>-1377.30273502413</v>
      </c>
      <c r="CL101" s="47" t="n">
        <f aca="false">-$E101*CL19</f>
        <v>-1377.30273502413</v>
      </c>
      <c r="CM101" s="47" t="n">
        <f aca="false">-$E101*CM19</f>
        <v>-1347.36137121925</v>
      </c>
      <c r="CN101" s="47" t="n">
        <f aca="false">-$E101*CN19</f>
        <v>-1362.33205312169</v>
      </c>
      <c r="CO101" s="47" t="n">
        <f aca="false">-$E101*CO19</f>
        <v>-1377.30273502413</v>
      </c>
      <c r="CP101" s="47" t="n">
        <f aca="false">-$E101*CP19</f>
        <v>-1377.30273502413</v>
      </c>
      <c r="CQ101" s="47" t="n">
        <f aca="false">-$E101*CQ19</f>
        <v>-1362.33205312169</v>
      </c>
      <c r="CR101" s="47" t="n">
        <f aca="false">-$E101*CR19</f>
        <v>-1362.33205312169</v>
      </c>
      <c r="CS101" s="47" t="n">
        <f aca="false">-$E101*CS19</f>
        <v>-1377.30273502413</v>
      </c>
      <c r="CT101" s="47" t="n">
        <f aca="false">-$E101*CT19</f>
        <v>-1377.30273502413</v>
      </c>
      <c r="CU101" s="47" t="n">
        <f aca="false">-$E101*CU19</f>
        <v>-1347.36137121925</v>
      </c>
      <c r="CV101" s="47" t="n">
        <f aca="false">-$E101*CV19</f>
        <v>-1362.33205312169</v>
      </c>
      <c r="CW101" s="47" t="n">
        <f aca="false">-$E101*CW19</f>
        <v>-1377.30273502413</v>
      </c>
      <c r="CX101" s="47" t="n">
        <f aca="false">-$E101*CX19</f>
        <v>-1377.30273502413</v>
      </c>
      <c r="CY101" s="47" t="n">
        <f aca="false">-$E101*CY19</f>
        <v>-1347.36137121925</v>
      </c>
      <c r="CZ101" s="47" t="n">
        <f aca="false">-$E101*CZ19</f>
        <v>-1362.33205312169</v>
      </c>
      <c r="DA101" s="47" t="n">
        <f aca="false">-$E101*DA19</f>
        <v>-1377.30273502413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154077.587711986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-1218.50271592122</v>
      </c>
      <c r="S102" s="47" t="n">
        <f aca="false">S79+S101+S88+S95+S96+S48+S55</f>
        <v>-183.866425403357</v>
      </c>
      <c r="T102" s="47" t="n">
        <f aca="false">T79+T101+T88+T95+T96+T48+T55</f>
        <v>-162.096550739923</v>
      </c>
      <c r="U102" s="47" t="n">
        <f aca="false">U79+U101+U88+U95+U96+U48+U55</f>
        <v>-149.823411141041</v>
      </c>
      <c r="V102" s="47" t="n">
        <f aca="false">V79+V101+V88+V95+V96+V48+V55</f>
        <v>-135.61454658484</v>
      </c>
      <c r="W102" s="47" t="n">
        <f aca="false">W79+W101+W88+W95+W96+W48+W55</f>
        <v>-119.80835924423</v>
      </c>
      <c r="X102" s="47" t="n">
        <f aca="false">X79+X101+X88+X95+X96+X48+X55</f>
        <v>-107.390673737333</v>
      </c>
      <c r="Y102" s="47" t="n">
        <f aca="false">Y79+Y101+Y88+Y95+Y96+Y48+Y55</f>
        <v>-94.5163706549071</v>
      </c>
      <c r="Z102" s="47" t="n">
        <f aca="false">Z79+Z101+Z88+Z95+Z96+Z48+Z55</f>
        <v>257.291437792473</v>
      </c>
      <c r="AA102" s="47" t="n">
        <f aca="false">AA79+AA101+AA88+AA95+AA96+AA48+AA55</f>
        <v>258.748395450669</v>
      </c>
      <c r="AB102" s="47" t="n">
        <f aca="false">AB79+AB101+AB88+AB95+AB96+AB48+AB55</f>
        <v>276.470734780401</v>
      </c>
      <c r="AC102" s="47" t="n">
        <f aca="false">AC79+AC101+AC88+AC95+AC96+AC48+AC55</f>
        <v>294.414096497238</v>
      </c>
      <c r="AD102" s="47" t="n">
        <f aca="false">AD79+AD101+AD88+AD95+AD96+AD48+AD55</f>
        <v>293.235143336988</v>
      </c>
      <c r="AE102" s="47" t="n">
        <f aca="false">AE79+AE101+AE88+AE95+AE96+AE48+AE55</f>
        <v>305.652427259231</v>
      </c>
      <c r="AF102" s="47" t="n">
        <f aca="false">AF79+AF101+AF88+AF95+AF96+AF48+AF55</f>
        <v>312.968868603602</v>
      </c>
      <c r="AG102" s="47" t="n">
        <f aca="false">AG79+AG101+AG88+AG95+AG96+AG48+AG55</f>
        <v>331.310404399141</v>
      </c>
      <c r="AH102" s="47" t="n">
        <f aca="false">AH79+AH101+AH88+AH95+AH96+AH48+AH55</f>
        <v>330.397080819578</v>
      </c>
      <c r="AI102" s="47" t="n">
        <f aca="false">AI79+AI101+AI88+AI95+AI96+AI48+AI55</f>
        <v>331.877532124912</v>
      </c>
      <c r="AJ102" s="47" t="n">
        <f aca="false">AJ79+AJ101+AJ88+AJ95+AJ96+AJ48+AJ55</f>
        <v>383.552775550844</v>
      </c>
      <c r="AK102" s="47" t="n">
        <f aca="false">AK79+AK101+AK88+AK95+AK96+AK48+AK55</f>
        <v>402.809956954123</v>
      </c>
      <c r="AL102" s="47" t="n">
        <f aca="false">AL79+AL101+AL88+AL95+AL96+AL48+AL55</f>
        <v>402.32047284877</v>
      </c>
      <c r="AM102" s="47" t="n">
        <f aca="false">AM79+AM101+AM88+AM95+AM96+AM48+AM55</f>
        <v>403.031496139368</v>
      </c>
      <c r="AN102" s="47" t="n">
        <f aca="false">AN79+AN101+AN88+AN95+AN96+AN48+AN55</f>
        <v>422.258522882768</v>
      </c>
      <c r="AO102" s="47" t="n">
        <f aca="false">AO79+AO101+AO88+AO95+AO96+AO48+AO55</f>
        <v>441.707738419007</v>
      </c>
      <c r="AP102" s="47" t="n">
        <f aca="false">AP79+AP101+AP88+AP95+AP96+AP48+AP55</f>
        <v>441.269422040482</v>
      </c>
      <c r="AQ102" s="47" t="n">
        <f aca="false">AQ79+AQ101+AQ88+AQ95+AQ96+AQ48+AQ55</f>
        <v>441.99062629153</v>
      </c>
      <c r="AR102" s="47" t="n">
        <f aca="false">AR79+AR101+AR88+AR95+AR96+AR48+AR55</f>
        <v>461.616017532573</v>
      </c>
      <c r="AS102" s="47" t="n">
        <f aca="false">AS79+AS101+AS88+AS95+AS96+AS48+AS55</f>
        <v>481.466866226599</v>
      </c>
      <c r="AT102" s="47" t="n">
        <f aca="false">AT79+AT101+AT88+AT95+AT96+AT48+AT55</f>
        <v>481.303695895263</v>
      </c>
      <c r="AU102" s="47" t="n">
        <f aca="false">AU79+AU101+AU88+AU95+AU96+AU48+AU55</f>
        <v>493.668069196108</v>
      </c>
      <c r="AV102" s="47" t="n">
        <f aca="false">AV79+AV101+AV88+AV95+AV96+AV48+AV55</f>
        <v>502.22729474673</v>
      </c>
      <c r="AW102" s="47" t="n">
        <f aca="false">AW79+AW101+AW88+AW95+AW96+AW48+AW55</f>
        <v>522.490113614508</v>
      </c>
      <c r="AX102" s="47" t="n">
        <f aca="false">AX79+AX101+AX88+AX95+AX96+AX48+AX55</f>
        <v>522.614774505532</v>
      </c>
      <c r="AY102" s="47" t="n">
        <f aca="false">AY79+AY101+AY88+AY95+AY96+AY48+AY55</f>
        <v>523.383186173428</v>
      </c>
      <c r="AZ102" s="47" t="n">
        <f aca="false">AZ79+AZ101+AZ88+AZ95+AZ96+AZ48+AZ55</f>
        <v>543.833585499485</v>
      </c>
      <c r="BA102" s="47" t="n">
        <f aca="false">BA79+BA101+BA88+BA95+BA96+BA48+BA55</f>
        <v>564.516279864563</v>
      </c>
      <c r="BB102" s="47" t="n">
        <f aca="false">BB79+BB101+BB88+BB95+BB96+BB48+BB55</f>
        <v>564.939093679736</v>
      </c>
      <c r="BC102" s="47" t="n">
        <f aca="false">BC79+BC101+BC88+BC95+BC96+BC48+BC55</f>
        <v>565.743877304713</v>
      </c>
      <c r="BD102" s="47" t="n">
        <f aca="false">BD79+BD101+BD88+BD95+BD96+BD48+BD55</f>
        <v>586.620158203062</v>
      </c>
      <c r="BE102" s="47" t="n">
        <f aca="false">BE79+BE101+BE88+BE95+BE96+BE48+BE55</f>
        <v>607.732296985668</v>
      </c>
      <c r="BF102" s="47" t="n">
        <f aca="false">BF79+BF101+BF88+BF95+BF96+BF48+BF55</f>
        <v>608.465357470719</v>
      </c>
      <c r="BG102" s="47" t="n">
        <f aca="false">BG79+BG101+BG88+BG95+BG96+BG48+BG55</f>
        <v>609.315963368097</v>
      </c>
      <c r="BH102" s="47" t="n">
        <f aca="false">BH79+BH101+BH88+BH95+BH96+BH48+BH55</f>
        <v>630.627920568935</v>
      </c>
      <c r="BI102" s="47" t="n">
        <f aca="false">BI79+BI101+BI88+BI95+BI96+BI48+BI55</f>
        <v>652.179403273082</v>
      </c>
      <c r="BJ102" s="47" t="n">
        <f aca="false">BJ79+BJ101+BJ88+BJ95+BJ96+BJ48+BJ55</f>
        <v>653.235233415217</v>
      </c>
      <c r="BK102" s="47" t="n">
        <f aca="false">BK79+BK101+BK88+BK95+BK96+BK48+BK55</f>
        <v>666.032727651694</v>
      </c>
      <c r="BL102" s="47" t="n">
        <f aca="false">BL79+BL101+BL88+BL95+BL96+BL48+BL55</f>
        <v>676.051548049346</v>
      </c>
      <c r="BM102" s="47" t="n">
        <f aca="false">BM79+BM101+BM88+BM95+BM96+BM48+BM55</f>
        <v>698.054022106388</v>
      </c>
      <c r="BN102" s="47" t="n">
        <f aca="false">BN79+BN101+BN88+BN95+BN96+BN48+BN55</f>
        <v>699.447007124291</v>
      </c>
      <c r="BO102" s="47" t="n">
        <f aca="false">BO79+BO101+BO88+BO95+BO96+BO48+BO55</f>
        <v>700.420617128408</v>
      </c>
      <c r="BP102" s="47" t="n">
        <f aca="false">BP79+BP101+BP88+BP95+BP96+BP48+BP55</f>
        <v>722.636125854259</v>
      </c>
      <c r="BQ102" s="47" t="n">
        <f aca="false">BQ79+BQ101+BQ88+BQ95+BQ96+BQ48+BQ55</f>
        <v>745.09883765081</v>
      </c>
      <c r="BR102" s="47" t="n">
        <f aca="false">BR79+BR101+BR88+BR95+BR96+BR48+BR55</f>
        <v>746.841040380989</v>
      </c>
      <c r="BS102" s="47" t="n">
        <f aca="false">BS79+BS101+BS88+BS95+BS96+BS48+BS55</f>
        <v>747.891280495771</v>
      </c>
      <c r="BT102" s="47" t="n">
        <f aca="false">BT79+BT101+BT88+BT95+BT96+BT48+BT55</f>
        <v>770.573992334154</v>
      </c>
      <c r="BU102" s="47" t="n">
        <f aca="false">BU79+BU101+BU88+BU95+BU96+BU48+BU55</f>
        <v>793.507912045192</v>
      </c>
      <c r="BV102" s="47" t="n">
        <f aca="false">BV79+BV101+BV88+BV95+BV96+BV48+BV55</f>
        <v>795.61323852924</v>
      </c>
      <c r="BW102" s="47" t="n">
        <f aca="false">BW79+BW101+BW88+BW95+BW96+BW48+BW55</f>
        <v>796.751213391058</v>
      </c>
      <c r="BX102" s="47" t="n">
        <f aca="false">BX79+BX101+BX88+BX95+BX96+BX48+BX55</f>
        <v>819.912361968903</v>
      </c>
      <c r="BY102" s="47" t="n">
        <f aca="false">BY79+BY101+BY88+BY95+BY96+BY48+BY55</f>
        <v>843.328843378744</v>
      </c>
      <c r="BZ102" s="47" t="n">
        <f aca="false">BZ79+BZ101+BZ88+BZ95+BZ96+BZ48+BZ55</f>
        <v>845.811693088236</v>
      </c>
      <c r="CA102" s="47" t="n">
        <f aca="false">CA79+CA101+CA88+CA95+CA96+CA48+CA55</f>
        <v>859.160824716328</v>
      </c>
      <c r="CB102" s="47" t="n">
        <f aca="false">CB79+CB101+CB88+CB95+CB96+CB48+CB55</f>
        <v>870.853298106061</v>
      </c>
      <c r="CC102" s="47" t="n">
        <f aca="false">CC79+CC101+CC88+CC95+CC96+CC48+CC55</f>
        <v>894.765505797294</v>
      </c>
      <c r="CD102" s="47" t="n">
        <f aca="false">CD79+CD101+CD88+CD95+CD96+CD48+CD55</f>
        <v>897.642214825901</v>
      </c>
      <c r="CE102" s="47" t="n">
        <f aca="false">CE79+CE101+CE88+CE95+CE96+CE48+CE55</f>
        <v>898.992237086612</v>
      </c>
      <c r="CF102" s="47" t="n">
        <f aca="false">CF79+CF101+CF88+CF95+CF96+CF48+CF55</f>
        <v>923.14700282573</v>
      </c>
      <c r="CG102" s="47" t="n">
        <f aca="false">CG79+CG101+CG88+CG95+CG96+CG48+CG55</f>
        <v>947.565742124016</v>
      </c>
      <c r="CH102" s="47" t="n">
        <f aca="false">CH79+CH101+CH88+CH95+CH96+CH48+CH55</f>
        <v>950.850377568717</v>
      </c>
      <c r="CI102" s="47" t="n">
        <f aca="false">CI79+CI101+CI88+CI95+CI96+CI48+CI55</f>
        <v>952.324282494125</v>
      </c>
      <c r="CJ102" s="47" t="n">
        <f aca="false">CJ79+CJ101+CJ88+CJ95+CJ96+CJ48+CJ55</f>
        <v>976.993664088799</v>
      </c>
      <c r="CK102" s="47" t="n">
        <f aca="false">CK79+CK101+CK88+CK95+CK96+CK48+CK55</f>
        <v>1001.93153097193</v>
      </c>
      <c r="CL102" s="47" t="n">
        <f aca="false">CL79+CL101+CL88+CL95+CL96+CL48+CL55</f>
        <v>1005.64008210667</v>
      </c>
      <c r="CM102" s="47" t="n">
        <f aca="false">CM79+CM101+CM88+CM95+CM96+CM48+CM55</f>
        <v>1007.25088764966</v>
      </c>
      <c r="CN102" s="47" t="n">
        <f aca="false">CN79+CN101+CN88+CN95+CN96+CN48+CN55</f>
        <v>1032.44778836701</v>
      </c>
      <c r="CO102" s="47" t="n">
        <f aca="false">CO79+CO101+CO88+CO95+CO96+CO48+CO55</f>
        <v>1057.91782400325</v>
      </c>
      <c r="CP102" s="47" t="n">
        <f aca="false">CP79+CP101+CP88+CP95+CP96+CP48+CP55</f>
        <v>1062.06684745845</v>
      </c>
      <c r="CQ102" s="47" t="n">
        <f aca="false">CQ79+CQ101+CQ88+CQ95+CQ96+CQ48+CQ55</f>
        <v>1076.10803428984</v>
      </c>
      <c r="CR102" s="47" t="n">
        <f aca="false">CR79+CR101+CR88+CR95+CR96+CR48+CR55</f>
        <v>1089.71964665362</v>
      </c>
      <c r="CS102" s="47" t="n">
        <f aca="false">CS79+CS101+CS88+CS95+CS96+CS48+CS55</f>
        <v>1115.73677289635</v>
      </c>
      <c r="CT102" s="47" t="n">
        <f aca="false">CT79+CT101+CT88+CT95+CT96+CT48+CT55</f>
        <v>1120.3448445263</v>
      </c>
      <c r="CU102" s="47" t="n">
        <f aca="false">CU79+CU101+CU88+CU95+CU96+CU48+CU55</f>
        <v>1108.16122010765</v>
      </c>
      <c r="CV102" s="47" t="n">
        <f aca="false">CV79+CV101+CV88+CV95+CV96+CV48+CV55</f>
        <v>1120.47412255329</v>
      </c>
      <c r="CW102" s="47" t="n">
        <f aca="false">CW79+CW101+CW88+CW95+CW96+CW48+CW55</f>
        <v>1132.78702499893</v>
      </c>
      <c r="CX102" s="47" t="n">
        <f aca="false">CX79+CX101+CX88+CX95+CX96+CX48+CX55</f>
        <v>1123.32109693449</v>
      </c>
      <c r="CY102" s="47" t="n">
        <f aca="false">CY79+CY101+CY88+CY95+CY96+CY48+CY55</f>
        <v>1110.78027597976</v>
      </c>
      <c r="CZ102" s="47" t="n">
        <f aca="false">CZ79+CZ101+CZ88+CZ95+CZ96+CZ48+CZ55</f>
        <v>1123.1222790462</v>
      </c>
      <c r="DA102" s="47" t="n">
        <f aca="false">DA79+DA101+DA88+DA95+DA96+DA48+DA55</f>
        <v>1135.46428211264</v>
      </c>
      <c r="DB102" s="47" t="n">
        <f aca="false">DB79+DB101+DB88+DB95+DB96+DB48+DB55</f>
        <v>2503.24466583137</v>
      </c>
      <c r="DC102" s="47" t="n">
        <f aca="false">DC79+DC101+DC88+DC95+DC96+DC48+DC55</f>
        <v>2460.4018457948</v>
      </c>
      <c r="DD102" s="47" t="n">
        <f aca="false">DD79+DD101+DD88+DD95+DD96+DD48+DD55</f>
        <v>2487.7396440814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2491.17462930677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2464.91206834605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2465.61807007058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2510.83914170752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2510.63204110906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2464.11073922955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1451.01331077954</v>
      </c>
      <c r="T103" s="18" t="n">
        <f aca="false">S107</f>
        <v>1634.8797361829</v>
      </c>
      <c r="U103" s="18" t="n">
        <f aca="false">T107</f>
        <v>1796.97628692282</v>
      </c>
      <c r="V103" s="18" t="n">
        <f aca="false">U107</f>
        <v>1946.79969806386</v>
      </c>
      <c r="W103" s="18" t="n">
        <f aca="false">V107</f>
        <v>2082.4142446487</v>
      </c>
      <c r="X103" s="18" t="n">
        <f aca="false">W107</f>
        <v>2202.22260389293</v>
      </c>
      <c r="Y103" s="18" t="n">
        <f aca="false">X107</f>
        <v>2309.61327763026</v>
      </c>
      <c r="Z103" s="18" t="n">
        <f aca="false">Y107</f>
        <v>2404.12964828517</v>
      </c>
      <c r="AA103" s="18" t="n">
        <f aca="false">Z107</f>
        <v>2275.48392938894</v>
      </c>
      <c r="AB103" s="18" t="n">
        <f aca="false">AA107</f>
        <v>2146.1097316636</v>
      </c>
      <c r="AC103" s="18" t="n">
        <f aca="false">AB107</f>
        <v>2007.8743642734</v>
      </c>
      <c r="AD103" s="18" t="n">
        <f aca="false">AC107</f>
        <v>1860.66731602478</v>
      </c>
      <c r="AE103" s="18" t="n">
        <f aca="false">AD107</f>
        <v>1714.04974435629</v>
      </c>
      <c r="AF103" s="18" t="n">
        <f aca="false">AE107</f>
        <v>1561.22353072667</v>
      </c>
      <c r="AG103" s="18" t="n">
        <f aca="false">AF107</f>
        <v>1404.73909642487</v>
      </c>
      <c r="AH103" s="18" t="n">
        <f aca="false">AG107</f>
        <v>1239.0838942253</v>
      </c>
      <c r="AI103" s="18" t="n">
        <f aca="false">AH107</f>
        <v>1073.88535381551</v>
      </c>
      <c r="AJ103" s="18" t="n">
        <f aca="false">AI107</f>
        <v>907.946587753055</v>
      </c>
      <c r="AK103" s="18" t="n">
        <f aca="false">AJ107</f>
        <v>716.170199977632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2404.12964828517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1218.50271592122</v>
      </c>
      <c r="S104" s="47" t="n">
        <f aca="false">MAX(0,-S102)</f>
        <v>183.866425403357</v>
      </c>
      <c r="T104" s="47" t="n">
        <f aca="false">MAX(0,-T102)</f>
        <v>162.096550739923</v>
      </c>
      <c r="U104" s="47" t="n">
        <f aca="false">MAX(0,-U102)</f>
        <v>149.823411141041</v>
      </c>
      <c r="V104" s="47" t="n">
        <f aca="false">MAX(0,-V102)</f>
        <v>135.61454658484</v>
      </c>
      <c r="W104" s="47" t="n">
        <f aca="false">MAX(0,-W102)</f>
        <v>119.80835924423</v>
      </c>
      <c r="X104" s="47" t="n">
        <f aca="false">MAX(0,-X102)</f>
        <v>107.390673737333</v>
      </c>
      <c r="Y104" s="47" t="n">
        <f aca="false">MAX(0,-Y102)</f>
        <v>94.5163706549071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-1889.3644267846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-128.645718896237</v>
      </c>
      <c r="AA105" s="47" t="n">
        <f aca="false">-MIN(AA103,In_Loss_Cap*MAX(0,AA102))</f>
        <v>-129.374197725334</v>
      </c>
      <c r="AB105" s="47" t="n">
        <f aca="false">-MIN(AB103,In_Loss_Cap*MAX(0,AB102))</f>
        <v>-138.235367390201</v>
      </c>
      <c r="AC105" s="47" t="n">
        <f aca="false">-MIN(AC103,In_Loss_Cap*MAX(0,AC102))</f>
        <v>-147.207048248619</v>
      </c>
      <c r="AD105" s="47" t="n">
        <f aca="false">-MIN(AD103,In_Loss_Cap*MAX(0,AD102))</f>
        <v>-146.617571668494</v>
      </c>
      <c r="AE105" s="47" t="n">
        <f aca="false">-MIN(AE103,In_Loss_Cap*MAX(0,AE102))</f>
        <v>-152.826213629616</v>
      </c>
      <c r="AF105" s="47" t="n">
        <f aca="false">-MIN(AF103,In_Loss_Cap*MAX(0,AF102))</f>
        <v>-156.484434301801</v>
      </c>
      <c r="AG105" s="47" t="n">
        <f aca="false">-MIN(AG103,In_Loss_Cap*MAX(0,AG102))</f>
        <v>-165.65520219957</v>
      </c>
      <c r="AH105" s="47" t="n">
        <f aca="false">-MIN(AH103,In_Loss_Cap*MAX(0,AH102))</f>
        <v>-165.198540409789</v>
      </c>
      <c r="AI105" s="47" t="n">
        <f aca="false">-MIN(AI103,In_Loss_Cap*MAX(0,AI102))</f>
        <v>-165.938766062456</v>
      </c>
      <c r="AJ105" s="47" t="n">
        <f aca="false">-MIN(AJ103,In_Loss_Cap*MAX(0,AJ102))</f>
        <v>-191.776387775422</v>
      </c>
      <c r="AK105" s="47" t="n">
        <f aca="false">-MIN(AK103,In_Loss_Cap*MAX(0,AK102))</f>
        <v>-201.404978477062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-514.765221500571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-514.765221500571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1451.01331077954</v>
      </c>
      <c r="S107" s="47" t="n">
        <f aca="false">SUM(S103:S106)</f>
        <v>1634.8797361829</v>
      </c>
      <c r="T107" s="47" t="n">
        <f aca="false">SUM(T103:T106)</f>
        <v>1796.97628692282</v>
      </c>
      <c r="U107" s="47" t="n">
        <f aca="false">SUM(U103:U106)</f>
        <v>1946.79969806386</v>
      </c>
      <c r="V107" s="47" t="n">
        <f aca="false">SUM(V103:V106)</f>
        <v>2082.4142446487</v>
      </c>
      <c r="W107" s="47" t="n">
        <f aca="false">SUM(W103:W106)</f>
        <v>2202.22260389293</v>
      </c>
      <c r="X107" s="47" t="n">
        <f aca="false">SUM(X103:X106)</f>
        <v>2309.61327763026</v>
      </c>
      <c r="Y107" s="47" t="n">
        <f aca="false">SUM(Y103:Y106)</f>
        <v>2404.12964828517</v>
      </c>
      <c r="Z107" s="47" t="n">
        <f aca="false">SUM(Z103:Z106)</f>
        <v>2275.48392938894</v>
      </c>
      <c r="AA107" s="47" t="n">
        <f aca="false">SUM(AA103:AA106)</f>
        <v>2146.1097316636</v>
      </c>
      <c r="AB107" s="47" t="n">
        <f aca="false">SUM(AB103:AB106)</f>
        <v>2007.8743642734</v>
      </c>
      <c r="AC107" s="47" t="n">
        <f aca="false">SUM(AC103:AC106)</f>
        <v>1860.66731602478</v>
      </c>
      <c r="AD107" s="47" t="n">
        <f aca="false">SUM(AD103:AD106)</f>
        <v>1714.04974435629</v>
      </c>
      <c r="AE107" s="47" t="n">
        <f aca="false">SUM(AE103:AE106)</f>
        <v>1561.22353072667</v>
      </c>
      <c r="AF107" s="47" t="n">
        <f aca="false">SUM(AF103:AF106)</f>
        <v>1404.73909642487</v>
      </c>
      <c r="AG107" s="47" t="n">
        <f aca="false">SUM(AG103:AG106)</f>
        <v>1239.0838942253</v>
      </c>
      <c r="AH107" s="47" t="n">
        <f aca="false">SUM(AH103:AH106)</f>
        <v>1073.88535381551</v>
      </c>
      <c r="AI107" s="47" t="n">
        <f aca="false">SUM(AI103:AI106)</f>
        <v>907.946587753055</v>
      </c>
      <c r="AJ107" s="47" t="n">
        <f aca="false">SUM(AJ103:AJ106)</f>
        <v>716.170199977632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-99.0572035501023</v>
      </c>
      <c r="AA108" s="47" t="n">
        <f aca="false">-In_CIT*(MAX(0,AA102)+AA105)-In_RH_On*In_RH_Rate*MAX(0,AA102)</f>
        <v>-99.6181322485074</v>
      </c>
      <c r="AB108" s="47" t="n">
        <f aca="false">-In_CIT*(MAX(0,AB102)+AB105)-In_RH_On*In_RH_Rate*MAX(0,AB102)</f>
        <v>-106.441232890455</v>
      </c>
      <c r="AC108" s="47" t="n">
        <f aca="false">-In_CIT*(MAX(0,AC102)+AC105)-In_RH_On*In_RH_Rate*MAX(0,AC102)</f>
        <v>-113.349427151437</v>
      </c>
      <c r="AD108" s="47" t="n">
        <f aca="false">-In_CIT*(MAX(0,AD102)+AD105)-In_RH_On*In_RH_Rate*MAX(0,AD102)</f>
        <v>-112.895530184741</v>
      </c>
      <c r="AE108" s="47" t="n">
        <f aca="false">-In_CIT*(MAX(0,AE102)+AE105)-In_RH_On*In_RH_Rate*MAX(0,AE102)</f>
        <v>-117.676184494804</v>
      </c>
      <c r="AF108" s="47" t="n">
        <f aca="false">-In_CIT*(MAX(0,AF102)+AF105)-In_RH_On*In_RH_Rate*MAX(0,AF102)</f>
        <v>-120.493014412387</v>
      </c>
      <c r="AG108" s="47" t="n">
        <f aca="false">-In_CIT*(MAX(0,AG102)+AG105)-In_RH_On*In_RH_Rate*MAX(0,AG102)</f>
        <v>-127.554505693669</v>
      </c>
      <c r="AH108" s="47" t="n">
        <f aca="false">-In_CIT*(MAX(0,AH102)+AH105)-In_RH_On*In_RH_Rate*MAX(0,AH102)</f>
        <v>-127.202876115538</v>
      </c>
      <c r="AI108" s="47" t="n">
        <f aca="false">-In_CIT*(MAX(0,AI102)+AI105)-In_RH_On*In_RH_Rate*MAX(0,AI102)</f>
        <v>-127.772849868091</v>
      </c>
      <c r="AJ108" s="47" t="n">
        <f aca="false">-In_CIT*(MAX(0,AJ102)+AJ105)-In_RH_On*In_RH_Rate*MAX(0,AJ102)</f>
        <v>-147.667818587075</v>
      </c>
      <c r="AK108" s="47" t="n">
        <f aca="false">-In_CIT*(MAX(0,AK102)+AK105)-In_RH_On*In_RH_Rate*MAX(0,AK102)</f>
        <v>-155.081833427337</v>
      </c>
      <c r="AL108" s="47" t="n">
        <f aca="false">-In_CIT*(MAX(0,AL102)+AL105)-In_RH_On*In_RH_Rate*MAX(0,AL102)</f>
        <v>-185.067417510434</v>
      </c>
      <c r="AM108" s="47" t="n">
        <f aca="false">-In_CIT*(MAX(0,AM102)+AM105)-In_RH_On*In_RH_Rate*MAX(0,AM102)</f>
        <v>-185.394488224109</v>
      </c>
      <c r="AN108" s="47" t="n">
        <f aca="false">-In_CIT*(MAX(0,AN102)+AN105)-In_RH_On*In_RH_Rate*MAX(0,AN102)</f>
        <v>-194.238920526073</v>
      </c>
      <c r="AO108" s="47" t="n">
        <f aca="false">-In_CIT*(MAX(0,AO102)+AO105)-In_RH_On*In_RH_Rate*MAX(0,AO102)</f>
        <v>-203.185559672743</v>
      </c>
      <c r="AP108" s="47" t="n">
        <f aca="false">-In_CIT*(MAX(0,AP102)+AP105)-In_RH_On*In_RH_Rate*MAX(0,AP102)</f>
        <v>-202.983934138622</v>
      </c>
      <c r="AQ108" s="47" t="n">
        <f aca="false">-In_CIT*(MAX(0,AQ102)+AQ105)-In_RH_On*In_RH_Rate*MAX(0,AQ102)</f>
        <v>-203.315688094104</v>
      </c>
      <c r="AR108" s="47" t="n">
        <f aca="false">-In_CIT*(MAX(0,AR102)+AR105)-In_RH_On*In_RH_Rate*MAX(0,AR102)</f>
        <v>-212.343368064984</v>
      </c>
      <c r="AS108" s="47" t="n">
        <f aca="false">-In_CIT*(MAX(0,AS102)+AS105)-In_RH_On*In_RH_Rate*MAX(0,AS102)</f>
        <v>-221.474758464236</v>
      </c>
      <c r="AT108" s="47" t="n">
        <f aca="false">-In_CIT*(MAX(0,AT102)+AT105)-In_RH_On*In_RH_Rate*MAX(0,AT102)</f>
        <v>-221.399700111821</v>
      </c>
      <c r="AU108" s="47" t="n">
        <f aca="false">-In_CIT*(MAX(0,AU102)+AU105)-In_RH_On*In_RH_Rate*MAX(0,AU102)</f>
        <v>-227.08731183021</v>
      </c>
      <c r="AV108" s="47" t="n">
        <f aca="false">-In_CIT*(MAX(0,AV102)+AV105)-In_RH_On*In_RH_Rate*MAX(0,AV102)</f>
        <v>-231.024555583496</v>
      </c>
      <c r="AW108" s="47" t="n">
        <f aca="false">-In_CIT*(MAX(0,AW102)+AW105)-In_RH_On*In_RH_Rate*MAX(0,AW102)</f>
        <v>-240.345452262674</v>
      </c>
      <c r="AX108" s="47" t="n">
        <f aca="false">-In_CIT*(MAX(0,AX102)+AX105)-In_RH_On*In_RH_Rate*MAX(0,AX102)</f>
        <v>-240.402796272545</v>
      </c>
      <c r="AY108" s="47" t="n">
        <f aca="false">-In_CIT*(MAX(0,AY102)+AY105)-In_RH_On*In_RH_Rate*MAX(0,AY102)</f>
        <v>-240.756265639777</v>
      </c>
      <c r="AZ108" s="47" t="n">
        <f aca="false">-In_CIT*(MAX(0,AZ102)+AZ105)-In_RH_On*In_RH_Rate*MAX(0,AZ102)</f>
        <v>-250.163449329763</v>
      </c>
      <c r="BA108" s="47" t="n">
        <f aca="false">-In_CIT*(MAX(0,BA102)+BA105)-In_RH_On*In_RH_Rate*MAX(0,BA102)</f>
        <v>-259.677488737699</v>
      </c>
      <c r="BB108" s="47" t="n">
        <f aca="false">-In_CIT*(MAX(0,BB102)+BB105)-In_RH_On*In_RH_Rate*MAX(0,BB102)</f>
        <v>-259.871983092679</v>
      </c>
      <c r="BC108" s="47" t="n">
        <f aca="false">-In_CIT*(MAX(0,BC102)+BC105)-In_RH_On*In_RH_Rate*MAX(0,BC102)</f>
        <v>-260.242183560168</v>
      </c>
      <c r="BD108" s="47" t="n">
        <f aca="false">-In_CIT*(MAX(0,BD102)+BD105)-In_RH_On*In_RH_Rate*MAX(0,BD102)</f>
        <v>-269.845272773408</v>
      </c>
      <c r="BE108" s="47" t="n">
        <f aca="false">-In_CIT*(MAX(0,BE102)+BE105)-In_RH_On*In_RH_Rate*MAX(0,BE102)</f>
        <v>-279.556856613407</v>
      </c>
      <c r="BF108" s="47" t="n">
        <f aca="false">-In_CIT*(MAX(0,BF102)+BF105)-In_RH_On*In_RH_Rate*MAX(0,BF102)</f>
        <v>-279.894064436531</v>
      </c>
      <c r="BG108" s="47" t="n">
        <f aca="false">-In_CIT*(MAX(0,BG102)+BG105)-In_RH_On*In_RH_Rate*MAX(0,BG102)</f>
        <v>-280.285343149325</v>
      </c>
      <c r="BH108" s="47" t="n">
        <f aca="false">-In_CIT*(MAX(0,BH102)+BH105)-In_RH_On*In_RH_Rate*MAX(0,BH102)</f>
        <v>-290.08884346171</v>
      </c>
      <c r="BI108" s="47" t="n">
        <f aca="false">-In_CIT*(MAX(0,BI102)+BI105)-In_RH_On*In_RH_Rate*MAX(0,BI102)</f>
        <v>-300.002525505618</v>
      </c>
      <c r="BJ108" s="47" t="n">
        <f aca="false">-In_CIT*(MAX(0,BJ102)+BJ105)-In_RH_On*In_RH_Rate*MAX(0,BJ102)</f>
        <v>-300.488207371</v>
      </c>
      <c r="BK108" s="47" t="n">
        <f aca="false">-In_CIT*(MAX(0,BK102)+BK105)-In_RH_On*In_RH_Rate*MAX(0,BK102)</f>
        <v>-306.375054719779</v>
      </c>
      <c r="BL108" s="47" t="n">
        <f aca="false">-In_CIT*(MAX(0,BL102)+BL105)-In_RH_On*In_RH_Rate*MAX(0,BL102)</f>
        <v>-310.983712102699</v>
      </c>
      <c r="BM108" s="47" t="n">
        <f aca="false">-In_CIT*(MAX(0,BM102)+BM105)-In_RH_On*In_RH_Rate*MAX(0,BM102)</f>
        <v>-321.104850168939</v>
      </c>
      <c r="BN108" s="47" t="n">
        <f aca="false">-In_CIT*(MAX(0,BN102)+BN105)-In_RH_On*In_RH_Rate*MAX(0,BN102)</f>
        <v>-321.745623277174</v>
      </c>
      <c r="BO108" s="47" t="n">
        <f aca="false">-In_CIT*(MAX(0,BO102)+BO105)-In_RH_On*In_RH_Rate*MAX(0,BO102)</f>
        <v>-322.193483879068</v>
      </c>
      <c r="BP108" s="47" t="n">
        <f aca="false">-In_CIT*(MAX(0,BP102)+BP105)-In_RH_On*In_RH_Rate*MAX(0,BP102)</f>
        <v>-332.412617892959</v>
      </c>
      <c r="BQ108" s="47" t="n">
        <f aca="false">-In_CIT*(MAX(0,BQ102)+BQ105)-In_RH_On*In_RH_Rate*MAX(0,BQ102)</f>
        <v>-342.745465319373</v>
      </c>
      <c r="BR108" s="47" t="n">
        <f aca="false">-In_CIT*(MAX(0,BR102)+BR105)-In_RH_On*In_RH_Rate*MAX(0,BR102)</f>
        <v>-343.546878575255</v>
      </c>
      <c r="BS108" s="47" t="n">
        <f aca="false">-In_CIT*(MAX(0,BS102)+BS105)-In_RH_On*In_RH_Rate*MAX(0,BS102)</f>
        <v>-344.029989028055</v>
      </c>
      <c r="BT108" s="47" t="n">
        <f aca="false">-In_CIT*(MAX(0,BT102)+BT105)-In_RH_On*In_RH_Rate*MAX(0,BT102)</f>
        <v>-354.464036473711</v>
      </c>
      <c r="BU108" s="47" t="n">
        <f aca="false">-In_CIT*(MAX(0,BU102)+BU105)-In_RH_On*In_RH_Rate*MAX(0,BU102)</f>
        <v>-365.013639540788</v>
      </c>
      <c r="BV108" s="47" t="n">
        <f aca="false">-In_CIT*(MAX(0,BV102)+BV105)-In_RH_On*In_RH_Rate*MAX(0,BV102)</f>
        <v>-365.98208972345</v>
      </c>
      <c r="BW108" s="47" t="n">
        <f aca="false">-In_CIT*(MAX(0,BW102)+BW105)-In_RH_On*In_RH_Rate*MAX(0,BW102)</f>
        <v>-366.505558159887</v>
      </c>
      <c r="BX108" s="47" t="n">
        <f aca="false">-In_CIT*(MAX(0,BX102)+BX105)-In_RH_On*In_RH_Rate*MAX(0,BX102)</f>
        <v>-377.159686505695</v>
      </c>
      <c r="BY108" s="47" t="n">
        <f aca="false">-In_CIT*(MAX(0,BY102)+BY105)-In_RH_On*In_RH_Rate*MAX(0,BY102)</f>
        <v>-387.931267954222</v>
      </c>
      <c r="BZ108" s="47" t="n">
        <f aca="false">-In_CIT*(MAX(0,BZ102)+BZ105)-In_RH_On*In_RH_Rate*MAX(0,BZ102)</f>
        <v>-389.073378820588</v>
      </c>
      <c r="CA108" s="47" t="n">
        <f aca="false">-In_CIT*(MAX(0,CA102)+CA105)-In_RH_On*In_RH_Rate*MAX(0,CA102)</f>
        <v>-395.213979369511</v>
      </c>
      <c r="CB108" s="47" t="n">
        <f aca="false">-In_CIT*(MAX(0,CB102)+CB105)-In_RH_On*In_RH_Rate*MAX(0,CB102)</f>
        <v>-400.592517128788</v>
      </c>
      <c r="CC108" s="47" t="n">
        <f aca="false">-In_CIT*(MAX(0,CC102)+CC105)-In_RH_On*In_RH_Rate*MAX(0,CC102)</f>
        <v>-411.592132666755</v>
      </c>
      <c r="CD108" s="47" t="n">
        <f aca="false">-In_CIT*(MAX(0,CD102)+CD105)-In_RH_On*In_RH_Rate*MAX(0,CD102)</f>
        <v>-412.915418819914</v>
      </c>
      <c r="CE108" s="47" t="n">
        <f aca="false">-In_CIT*(MAX(0,CE102)+CE105)-In_RH_On*In_RH_Rate*MAX(0,CE102)</f>
        <v>-413.536429059841</v>
      </c>
      <c r="CF108" s="47" t="n">
        <f aca="false">-In_CIT*(MAX(0,CF102)+CF105)-In_RH_On*In_RH_Rate*MAX(0,CF102)</f>
        <v>-424.647621299836</v>
      </c>
      <c r="CG108" s="47" t="n">
        <f aca="false">-In_CIT*(MAX(0,CG102)+CG105)-In_RH_On*In_RH_Rate*MAX(0,CG102)</f>
        <v>-435.880241377047</v>
      </c>
      <c r="CH108" s="47" t="n">
        <f aca="false">-In_CIT*(MAX(0,CH102)+CH105)-In_RH_On*In_RH_Rate*MAX(0,CH102)</f>
        <v>-437.39117368161</v>
      </c>
      <c r="CI108" s="47" t="n">
        <f aca="false">-In_CIT*(MAX(0,CI102)+CI105)-In_RH_On*In_RH_Rate*MAX(0,CI102)</f>
        <v>-438.069169947298</v>
      </c>
      <c r="CJ108" s="47" t="n">
        <f aca="false">-In_CIT*(MAX(0,CJ102)+CJ105)-In_RH_On*In_RH_Rate*MAX(0,CJ102)</f>
        <v>-449.417085480847</v>
      </c>
      <c r="CK108" s="47" t="n">
        <f aca="false">-In_CIT*(MAX(0,CK102)+CK105)-In_RH_On*In_RH_Rate*MAX(0,CK102)</f>
        <v>-460.888504247086</v>
      </c>
      <c r="CL108" s="47" t="n">
        <f aca="false">-In_CIT*(MAX(0,CL102)+CL105)-In_RH_On*In_RH_Rate*MAX(0,CL102)</f>
        <v>-462.594437769067</v>
      </c>
      <c r="CM108" s="47" t="n">
        <f aca="false">-In_CIT*(MAX(0,CM102)+CM105)-In_RH_On*In_RH_Rate*MAX(0,CM102)</f>
        <v>-463.335408318844</v>
      </c>
      <c r="CN108" s="47" t="n">
        <f aca="false">-In_CIT*(MAX(0,CN102)+CN105)-In_RH_On*In_RH_Rate*MAX(0,CN102)</f>
        <v>-474.925982648823</v>
      </c>
      <c r="CO108" s="47" t="n">
        <f aca="false">-In_CIT*(MAX(0,CO102)+CO105)-In_RH_On*In_RH_Rate*MAX(0,CO102)</f>
        <v>-486.642199041496</v>
      </c>
      <c r="CP108" s="47" t="n">
        <f aca="false">-In_CIT*(MAX(0,CP102)+CP105)-In_RH_On*In_RH_Rate*MAX(0,CP102)</f>
        <v>-488.550749830889</v>
      </c>
      <c r="CQ108" s="47" t="n">
        <f aca="false">-In_CIT*(MAX(0,CQ102)+CQ105)-In_RH_On*In_RH_Rate*MAX(0,CQ102)</f>
        <v>-495.009695773327</v>
      </c>
      <c r="CR108" s="47" t="n">
        <f aca="false">-In_CIT*(MAX(0,CR102)+CR105)-In_RH_On*In_RH_Rate*MAX(0,CR102)</f>
        <v>-501.271037460664</v>
      </c>
      <c r="CS108" s="47" t="n">
        <f aca="false">-In_CIT*(MAX(0,CS102)+CS105)-In_RH_On*In_RH_Rate*MAX(0,CS102)</f>
        <v>-513.238915532321</v>
      </c>
      <c r="CT108" s="47" t="n">
        <f aca="false">-In_CIT*(MAX(0,CT102)+CT105)-In_RH_On*In_RH_Rate*MAX(0,CT102)</f>
        <v>-515.3586284821</v>
      </c>
      <c r="CU108" s="47" t="n">
        <f aca="false">-In_CIT*(MAX(0,CU102)+CU105)-In_RH_On*In_RH_Rate*MAX(0,CU102)</f>
        <v>-509.75416124952</v>
      </c>
      <c r="CV108" s="47" t="n">
        <f aca="false">-In_CIT*(MAX(0,CV102)+CV105)-In_RH_On*In_RH_Rate*MAX(0,CV102)</f>
        <v>-515.418096374516</v>
      </c>
      <c r="CW108" s="47" t="n">
        <f aca="false">-In_CIT*(MAX(0,CW102)+CW105)-In_RH_On*In_RH_Rate*MAX(0,CW102)</f>
        <v>-521.08203149951</v>
      </c>
      <c r="CX108" s="47" t="n">
        <f aca="false">-In_CIT*(MAX(0,CX102)+CX105)-In_RH_On*In_RH_Rate*MAX(0,CX102)</f>
        <v>-516.727704589866</v>
      </c>
      <c r="CY108" s="47" t="n">
        <f aca="false">-In_CIT*(MAX(0,CY102)+CY105)-In_RH_On*In_RH_Rate*MAX(0,CY102)</f>
        <v>-510.958926950689</v>
      </c>
      <c r="CZ108" s="47" t="n">
        <f aca="false">-In_CIT*(MAX(0,CZ102)+CZ105)-In_RH_On*In_RH_Rate*MAX(0,CZ102)</f>
        <v>-516.636248361252</v>
      </c>
      <c r="DA108" s="47" t="n">
        <f aca="false">-In_CIT*(MAX(0,DA102)+DA105)-In_RH_On*In_RH_Rate*MAX(0,DA102)</f>
        <v>-522.313569771816</v>
      </c>
      <c r="DB108" s="47" t="n">
        <f aca="false">-In_CIT*(MAX(0,DB102)+DB105)-In_RH_On*In_RH_Rate*MAX(0,DB102)</f>
        <v>-1151.49254628243</v>
      </c>
      <c r="DC108" s="47" t="n">
        <f aca="false">-In_CIT*(MAX(0,DC102)+DC105)-In_RH_On*In_RH_Rate*MAX(0,DC102)</f>
        <v>-1131.78484906561</v>
      </c>
      <c r="DD108" s="47" t="n">
        <f aca="false">-In_CIT*(MAX(0,DD102)+DD105)-In_RH_On*In_RH_Rate*MAX(0,DD102)</f>
        <v>-1144.36023627745</v>
      </c>
      <c r="DE108" s="47" t="n">
        <f aca="false">-In_CIT*(MAX(0,DE102)+DE105)-In_RH_On*In_RH_Rate*MAX(0,DE102)</f>
        <v>-1156.93562348929</v>
      </c>
      <c r="DF108" s="47" t="n">
        <f aca="false">-In_CIT*(MAX(0,DF102)+DF105)-In_RH_On*In_RH_Rate*MAX(0,DF102)</f>
        <v>-1152.52933692407</v>
      </c>
      <c r="DG108" s="47" t="n">
        <f aca="false">-In_CIT*(MAX(0,DG102)+DG105)-In_RH_On*In_RH_Rate*MAX(0,DG102)</f>
        <v>-1145.23918926198</v>
      </c>
      <c r="DH108" s="47" t="n">
        <f aca="false">-In_CIT*(MAX(0,DH102)+DH105)-In_RH_On*In_RH_Rate*MAX(0,DH102)</f>
        <v>-1145.23918926198</v>
      </c>
      <c r="DI108" s="47" t="n">
        <f aca="false">-In_CIT*(MAX(0,DI102)+DI105)-In_RH_On*In_RH_Rate*MAX(0,DI102)</f>
        <v>-1157.82423529783</v>
      </c>
      <c r="DJ108" s="47" t="n">
        <f aca="false">-In_CIT*(MAX(0,DJ102)+DJ105)-In_RH_On*In_RH_Rate*MAX(0,DJ102)</f>
        <v>-1153.39189590481</v>
      </c>
      <c r="DK108" s="47" t="n">
        <f aca="false">-In_CIT*(MAX(0,DK102)+DK105)-In_RH_On*In_RH_Rate*MAX(0,DK102)</f>
        <v>-1133.3475786077</v>
      </c>
      <c r="DL108" s="47" t="n">
        <f aca="false">-In_CIT*(MAX(0,DL102)+DL105)-In_RH_On*In_RH_Rate*MAX(0,DL102)</f>
        <v>-1145.94032948112</v>
      </c>
      <c r="DM108" s="47" t="n">
        <f aca="false">-In_CIT*(MAX(0,DM102)+DM105)-In_RH_On*In_RH_Rate*MAX(0,DM102)</f>
        <v>-1158.53308035454</v>
      </c>
      <c r="DN108" s="47" t="n">
        <f aca="false">-In_CIT*(MAX(0,DN102)+DN105)-In_RH_On*In_RH_Rate*MAX(0,DN102)</f>
        <v>-1154.07464275917</v>
      </c>
      <c r="DO108" s="47" t="n">
        <f aca="false">-In_CIT*(MAX(0,DO102)+DO105)-In_RH_On*In_RH_Rate*MAX(0,DO102)</f>
        <v>-1133.85955143919</v>
      </c>
      <c r="DP108" s="47" t="n">
        <f aca="false">-In_CIT*(MAX(0,DP102)+DP105)-In_RH_On*In_RH_Rate*MAX(0,DP102)</f>
        <v>-1146.45799089962</v>
      </c>
      <c r="DQ108" s="47" t="n">
        <f aca="false">-In_CIT*(MAX(0,DQ102)+DQ105)-In_RH_On*In_RH_Rate*MAX(0,DQ102)</f>
        <v>-1159.05643036006</v>
      </c>
      <c r="DR108" s="47" t="n">
        <f aca="false">-In_CIT*(MAX(0,DR102)+DR105)-In_RH_On*In_RH_Rate*MAX(0,DR102)</f>
        <v>-1154.57185175582</v>
      </c>
      <c r="DS108" s="47" t="n">
        <f aca="false">-In_CIT*(MAX(0,DS102)+DS105)-In_RH_On*In_RH_Rate*MAX(0,DS102)</f>
        <v>-1134.18431223247</v>
      </c>
      <c r="DT108" s="47" t="n">
        <f aca="false">-In_CIT*(MAX(0,DT102)+DT105)-In_RH_On*In_RH_Rate*MAX(0,DT102)</f>
        <v>-1146.78636014616</v>
      </c>
      <c r="DU108" s="47" t="n">
        <f aca="false">-In_CIT*(MAX(0,DU102)+DU105)-In_RH_On*In_RH_Rate*MAX(0,DU102)</f>
        <v>-1159.38840805986</v>
      </c>
      <c r="DV108" s="47" t="n">
        <f aca="false">-In_CIT*(MAX(0,DV102)+DV105)-In_RH_On*In_RH_Rate*MAX(0,DV102)</f>
        <v>-1154.87764828969</v>
      </c>
      <c r="DW108" s="47" t="n">
        <f aca="false">-In_CIT*(MAX(0,DW102)+DW105)-In_RH_On*In_RH_Rate*MAX(0,DW102)</f>
        <v>-1146.91947285502</v>
      </c>
      <c r="DX108" s="47" t="n">
        <f aca="false">-In_CIT*(MAX(0,DX102)+DX105)-In_RH_On*In_RH_Rate*MAX(0,DX102)</f>
        <v>-1146.91947285502</v>
      </c>
      <c r="DY108" s="47" t="n">
        <f aca="false">-In_CIT*(MAX(0,DY102)+DY105)-In_RH_On*In_RH_Rate*MAX(0,DY102)</f>
        <v>-1159.52298354573</v>
      </c>
      <c r="DZ108" s="47" t="n">
        <f aca="false">-In_CIT*(MAX(0,DZ102)+DZ105)-In_RH_On*In_RH_Rate*MAX(0,DZ102)</f>
        <v>-1154.98600518546</v>
      </c>
      <c r="EA108" s="47" t="n">
        <f aca="false">-In_CIT*(MAX(0,EA102)+EA105)-In_RH_On*In_RH_Rate*MAX(0,EA102)</f>
        <v>-1134.24844936935</v>
      </c>
      <c r="EB108" s="47" t="n">
        <f aca="false">-In_CIT*(MAX(0,EB102)+EB105)-In_RH_On*In_RH_Rate*MAX(0,EB102)</f>
        <v>-1146.8512099179</v>
      </c>
      <c r="EC108" s="47" t="n">
        <f aca="false">-In_CIT*(MAX(0,EC102)+EC105)-In_RH_On*In_RH_Rate*MAX(0,EC102)</f>
        <v>-1159.45397046645</v>
      </c>
      <c r="ED108" s="47" t="n">
        <f aca="false">-In_CIT*(MAX(0,ED102)+ED105)-In_RH_On*In_RH_Rate*MAX(0,ED102)</f>
        <v>-1154.89073891017</v>
      </c>
      <c r="EE108" s="47" t="n">
        <f aca="false">-In_CIT*(MAX(0,EE102)+EE105)-In_RH_On*In_RH_Rate*MAX(0,EE102)</f>
        <v>-1133.97556514211</v>
      </c>
      <c r="EF108" s="47" t="n">
        <f aca="false">-In_CIT*(MAX(0,EF102)+EF105)-In_RH_On*In_RH_Rate*MAX(0,EF102)</f>
        <v>-1146.57529364369</v>
      </c>
      <c r="EG108" s="47" t="n">
        <f aca="false">-In_CIT*(MAX(0,EG102)+EG105)-In_RH_On*In_RH_Rate*MAX(0,EG102)</f>
        <v>-1159.17502214527</v>
      </c>
      <c r="EH108" s="47" t="n">
        <f aca="false">-In_CIT*(MAX(0,EH102)+EH105)-In_RH_On*In_RH_Rate*MAX(0,EH102)</f>
        <v>-1154.58550569283</v>
      </c>
      <c r="EI108" s="47" t="n">
        <f aca="false">-In_CIT*(MAX(0,EI102)+EI105)-In_RH_On*In_RH_Rate*MAX(0,EI102)</f>
        <v>-1133.4909400456</v>
      </c>
      <c r="EJ108" s="47" t="n">
        <f aca="false">-In_CIT*(MAX(0,EJ102)+EJ105)-In_RH_On*In_RH_Rate*MAX(0,EJ102)</f>
        <v>-1146.08528382388</v>
      </c>
      <c r="EK108" s="47" t="n">
        <f aca="false">-In_CIT*(MAX(0,EK102)+EK105)-In_RH_On*In_RH_Rate*MAX(0,EK102)</f>
        <v>-1158.67962760216</v>
      </c>
      <c r="EL108" s="47" t="n">
        <f aca="false">-In_CIT*(MAX(0,EL102)+EL105)-In_RH_On*In_RH_Rate*MAX(0,EL102)</f>
        <v>-1154.06379754871</v>
      </c>
      <c r="EM108" s="47" t="n">
        <f aca="false">-In_CIT*(MAX(0,EM102)+EM105)-In_RH_On*In_RH_Rate*MAX(0,EM102)</f>
        <v>-1145.37457370133</v>
      </c>
      <c r="EN108" s="47" t="n">
        <f aca="false">-In_CIT*(MAX(0,EN102)+EN105)-In_RH_On*In_RH_Rate*MAX(0,EN102)</f>
        <v>-1145.37457370133</v>
      </c>
      <c r="EO108" s="47" t="n">
        <f aca="false">-In_CIT*(MAX(0,EO102)+EO105)-In_RH_On*In_RH_Rate*MAX(0,EO102)</f>
        <v>-1157.96110747827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7.66034276011851E-008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1.26718191495456E-010</v>
      </c>
      <c r="AB109" s="47" t="n">
        <f aca="false">ABS(AB108-AB82)</f>
        <v>2.49215759140498E-010</v>
      </c>
      <c r="AC109" s="47" t="n">
        <f aca="false">ABS(AC108-AC82)</f>
        <v>3.69894337381993E-010</v>
      </c>
      <c r="AD109" s="47" t="n">
        <f aca="false">ABS(AD108-AD82)</f>
        <v>4.88171281176619E-010</v>
      </c>
      <c r="AE109" s="47" t="n">
        <f aca="false">ABS(AE108-AE82)</f>
        <v>6.01787064624659E-010</v>
      </c>
      <c r="AF109" s="47" t="n">
        <f aca="false">ABS(AF108-AF82)</f>
        <v>7.09775349605479E-010</v>
      </c>
      <c r="AG109" s="47" t="n">
        <f aca="false">ABS(AG108-AG82)</f>
        <v>8.12278244666231E-010</v>
      </c>
      <c r="AH109" s="47" t="n">
        <f aca="false">ABS(AH108-AH82)</f>
        <v>9.10006292542676E-010</v>
      </c>
      <c r="AI109" s="47" t="n">
        <f aca="false">ABS(AI108-AI82)</f>
        <v>1.00084207588225E-009</v>
      </c>
      <c r="AJ109" s="47" t="n">
        <f aca="false">ABS(AJ108-AJ82)</f>
        <v>1.08269659904181E-009</v>
      </c>
      <c r="AK109" s="47" t="n">
        <f aca="false">ABS(AK108-AK82)</f>
        <v>1.15954890134162E-009</v>
      </c>
      <c r="AL109" s="47" t="n">
        <f aca="false">ABS(AL108-AL82)</f>
        <v>1.4692318472953E-009</v>
      </c>
      <c r="AM109" s="47" t="n">
        <f aca="false">ABS(AM108-AM82)</f>
        <v>1.52220991367358E-009</v>
      </c>
      <c r="AN109" s="47" t="n">
        <f aca="false">ABS(AN108-AN82)</f>
        <v>1.55921497935196E-009</v>
      </c>
      <c r="AO109" s="47" t="n">
        <f aca="false">ABS(AO108-AO82)</f>
        <v>1.58379975800926E-009</v>
      </c>
      <c r="AP109" s="47" t="n">
        <f aca="false">ABS(AP108-AP82)</f>
        <v>1.59593582793605E-009</v>
      </c>
      <c r="AQ109" s="47" t="n">
        <f aca="false">ABS(AQ108-AQ82)</f>
        <v>1.59377577801934E-009</v>
      </c>
      <c r="AR109" s="47" t="n">
        <f aca="false">ABS(AR108-AR82)</f>
        <v>1.57564272740274E-009</v>
      </c>
      <c r="AS109" s="47" t="n">
        <f aca="false">ABS(AS108-AS82)</f>
        <v>1.54545887198765E-009</v>
      </c>
      <c r="AT109" s="47" t="n">
        <f aca="false">ABS(AT108-AT82)</f>
        <v>1.50350842886837E-009</v>
      </c>
      <c r="AU109" s="47" t="n">
        <f aca="false">ABS(AU108-AU82)</f>
        <v>1.44848399941111E-009</v>
      </c>
      <c r="AV109" s="47" t="n">
        <f aca="false">ABS(AV108-AV82)</f>
        <v>1.38038558361586E-009</v>
      </c>
      <c r="AW109" s="47" t="n">
        <f aca="false">ABS(AW108-AW82)</f>
        <v>1.30066268866358E-009</v>
      </c>
      <c r="AX109" s="47" t="n">
        <f aca="false">ABS(AX108-AX82)</f>
        <v>1.2115037861804E-009</v>
      </c>
      <c r="AY109" s="47" t="n">
        <f aca="false">ABS(AY108-AY82)</f>
        <v>1.11180042949854E-009</v>
      </c>
      <c r="AZ109" s="47" t="n">
        <f aca="false">ABS(AZ108-AZ82)</f>
        <v>1.00050101536908E-009</v>
      </c>
      <c r="BA109" s="47" t="n">
        <f aca="false">ABS(BA108-BA82)</f>
        <v>8.8215301730088E-010</v>
      </c>
      <c r="BB109" s="47" t="n">
        <f aca="false">ABS(BB108-BB82)</f>
        <v>7.5766592999571E-010</v>
      </c>
      <c r="BC109" s="47" t="n">
        <f aca="false">ABS(BC108-BC82)</f>
        <v>6.26471319264965E-010</v>
      </c>
      <c r="BD109" s="47" t="n">
        <f aca="false">ABS(BD108-BD82)</f>
        <v>4.87432316731429E-010</v>
      </c>
      <c r="BE109" s="47" t="n">
        <f aca="false">ABS(BE108-BE82)</f>
        <v>3.45323769579409E-010</v>
      </c>
      <c r="BF109" s="47" t="n">
        <f aca="false">ABS(BF108-BF82)</f>
        <v>2.01453076442704E-010</v>
      </c>
      <c r="BG109" s="47" t="n">
        <f aca="false">ABS(BG108-BG82)</f>
        <v>5.49107426195405E-011</v>
      </c>
      <c r="BH109" s="47" t="n">
        <f aca="false">ABS(BH108-BH82)</f>
        <v>9.50990397541318E-011</v>
      </c>
      <c r="BI109" s="47" t="n">
        <f aca="false">ABS(BI108-BI82)</f>
        <v>2.43687736656284E-010</v>
      </c>
      <c r="BJ109" s="47" t="n">
        <f aca="false">ABS(BJ108-BJ82)</f>
        <v>3.89661636290839E-010</v>
      </c>
      <c r="BK109" s="47" t="n">
        <f aca="false">ABS(BK108-BK82)</f>
        <v>5.33759703102987E-010</v>
      </c>
      <c r="BL109" s="47" t="n">
        <f aca="false">ABS(BL108-BL82)</f>
        <v>6.75527189741842E-010</v>
      </c>
      <c r="BM109" s="47" t="n">
        <f aca="false">ABS(BM108-BM82)</f>
        <v>8.13088263384998E-010</v>
      </c>
      <c r="BN109" s="47" t="n">
        <f aca="false">ABS(BN108-BN82)</f>
        <v>9.43714439927135E-010</v>
      </c>
      <c r="BO109" s="47" t="n">
        <f aca="false">ABS(BO108-BO82)</f>
        <v>1.06859943116433E-009</v>
      </c>
      <c r="BP109" s="47" t="n">
        <f aca="false">ABS(BP108-BP82)</f>
        <v>1.1885958883795E-009</v>
      </c>
      <c r="BQ109" s="47" t="n">
        <f aca="false">ABS(BQ108-BQ82)</f>
        <v>1.29904265122605E-009</v>
      </c>
      <c r="BR109" s="47" t="n">
        <f aca="false">ABS(BR108-BR82)</f>
        <v>1.39925759867765E-009</v>
      </c>
      <c r="BS109" s="47" t="n">
        <f aca="false">ABS(BS108-BS82)</f>
        <v>1.49020706885494E-009</v>
      </c>
      <c r="BT109" s="47" t="n">
        <f aca="false">ABS(BT108-BT82)</f>
        <v>1.57331214722944E-009</v>
      </c>
      <c r="BU109" s="47" t="n">
        <f aca="false">ABS(BU108-BU82)</f>
        <v>1.64408220371115E-009</v>
      </c>
      <c r="BV109" s="47" t="n">
        <f aca="false">ABS(BV108-BV82)</f>
        <v>1.70211933436804E-009</v>
      </c>
      <c r="BW109" s="47" t="n">
        <f aca="false">ABS(BW108-BW82)</f>
        <v>1.74878778125276E-009</v>
      </c>
      <c r="BX109" s="47" t="n">
        <f aca="false">ABS(BX108-BX82)</f>
        <v>1.78590653376887E-009</v>
      </c>
      <c r="BY109" s="47" t="n">
        <f aca="false">ABS(BY108-BY82)</f>
        <v>1.80909864866408E-009</v>
      </c>
      <c r="BZ109" s="47" t="n">
        <f aca="false">ABS(BZ108-BZ82)</f>
        <v>1.81853465619497E-009</v>
      </c>
      <c r="CA109" s="47" t="n">
        <f aca="false">ABS(CA108-CA82)</f>
        <v>1.81591985892737E-009</v>
      </c>
      <c r="CB109" s="47" t="n">
        <f aca="false">ABS(CB108-CB82)</f>
        <v>1.80182269104989E-009</v>
      </c>
      <c r="CC109" s="47" t="n">
        <f aca="false">ABS(CC108-CC82)</f>
        <v>1.77550418811734E-009</v>
      </c>
      <c r="CD109" s="47" t="n">
        <f aca="false">ABS(CD108-CD82)</f>
        <v>1.73582748175249E-009</v>
      </c>
      <c r="CE109" s="47" t="n">
        <f aca="false">ABS(CE108-CE82)</f>
        <v>1.68489577845321E-009</v>
      </c>
      <c r="CF109" s="47" t="n">
        <f aca="false">ABS(CF108-CF82)</f>
        <v>1.62503965839278E-009</v>
      </c>
      <c r="CG109" s="47" t="n">
        <f aca="false">ABS(CG108-CG82)</f>
        <v>1.553075890115E-009</v>
      </c>
      <c r="CH109" s="47" t="n">
        <f aca="false">ABS(CH108-CH82)</f>
        <v>1.46962975122733E-009</v>
      </c>
      <c r="CI109" s="47" t="n">
        <f aca="false">ABS(CI108-CI82)</f>
        <v>1.37708866532194E-009</v>
      </c>
      <c r="CJ109" s="47" t="n">
        <f aca="false">ABS(CJ108-CJ82)</f>
        <v>1.27835164676071E-009</v>
      </c>
      <c r="CK109" s="47" t="n">
        <f aca="false">ABS(CK108-CK82)</f>
        <v>1.17040599434404E-009</v>
      </c>
      <c r="CL109" s="47" t="n">
        <f aca="false">ABS(CL108-CL82)</f>
        <v>1.0539906725171E-009</v>
      </c>
      <c r="CM109" s="47" t="n">
        <f aca="false">ABS(CM108-CM82)</f>
        <v>9.31777321966365E-010</v>
      </c>
      <c r="CN109" s="47" t="n">
        <f aca="false">ABS(CN108-CN82)</f>
        <v>8.07233391242335E-010</v>
      </c>
      <c r="CO109" s="47" t="n">
        <f aca="false">ABS(CO108-CO82)</f>
        <v>6.77005118632224E-010</v>
      </c>
      <c r="CP109" s="47" t="n">
        <f aca="false">ABS(CP108-CP82)</f>
        <v>5.42513589607552E-010</v>
      </c>
      <c r="CQ109" s="47" t="n">
        <f aca="false">ABS(CQ108-CQ82)</f>
        <v>4.0660097511136E-010</v>
      </c>
      <c r="CR109" s="47" t="n">
        <f aca="false">ABS(CR108-CR82)</f>
        <v>2.70802047452889E-010</v>
      </c>
      <c r="CS109" s="47" t="n">
        <f aca="false">ABS(CS108-CS82)</f>
        <v>1.35401023726445E-010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90363.75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4141.29604359987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111764.960945581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53628.9259222578</v>
      </c>
      <c r="F120" s="47" t="n">
        <f aca="false">$E120+$E97</f>
        <v>54917.2173021585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0.520163336804906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92806.1597213684</v>
      </c>
      <c r="F122" s="47" t="n">
        <f aca="false">$E84*In_DSCR/In_DSCR_Max_High</f>
        <v>85072.313077921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0.830369007747929</v>
      </c>
      <c r="F123" s="48" t="n">
        <f aca="false">$F122/$E119</f>
        <v>0.761171590435601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-53628.9259222578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-6343.24141455136</v>
      </c>
      <c r="S126" s="47" t="n">
        <f aca="false">(S59+S66+S91+S95+S96+S79)*(S$4&lt;=In_COD)</f>
        <v>-8866.86817882802</v>
      </c>
      <c r="T126" s="47" t="n">
        <f aca="false">(T59+T66+T91+T95+T96+T79)*(T$4&lt;=In_COD)</f>
        <v>-5231.13156786321</v>
      </c>
      <c r="U126" s="47" t="n">
        <f aca="false">(U59+U66+U91+U95+U96+U79)*(U$4&lt;=In_COD)</f>
        <v>-5274.56210977118</v>
      </c>
      <c r="V126" s="47" t="n">
        <f aca="false">(V59+V66+V91+V95+V96+V79)*(V$4&lt;=In_COD)</f>
        <v>-5260.35324521498</v>
      </c>
      <c r="W126" s="47" t="n">
        <f aca="false">(W59+W66+W91+W95+W96+W79)*(W$4&lt;=In_COD)</f>
        <v>-5133.13969486067</v>
      </c>
      <c r="X126" s="47" t="n">
        <f aca="false">(X59+X66+X91+X95+X96+X79)*(X$4&lt;=In_COD)</f>
        <v>-5176.42569086062</v>
      </c>
      <c r="Y126" s="47" t="n">
        <f aca="false">(Y59+Y66+Y91+Y95+Y96+Y79)*(Y$4&lt;=In_COD)</f>
        <v>-6344.25506928505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134137.5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75501.4649766765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21872.5390544187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-6343.24141455136</v>
      </c>
      <c r="S130" s="56" t="n">
        <f aca="false">S126+($E128+$E129)*S14</f>
        <v>-8866.86817882802</v>
      </c>
      <c r="T130" s="56" t="n">
        <f aca="false">T126+($E128+$E129)*T14</f>
        <v>-5231.13156786321</v>
      </c>
      <c r="U130" s="56" t="n">
        <f aca="false">U126+($E128+$E129)*U14</f>
        <v>-5274.56210977118</v>
      </c>
      <c r="V130" s="56" t="n">
        <f aca="false">V126+($E128+$E129)*V14</f>
        <v>-5260.35324521498</v>
      </c>
      <c r="W130" s="56" t="n">
        <f aca="false">W126+($E128+$E129)*W14</f>
        <v>-5133.13969486067</v>
      </c>
      <c r="X130" s="56" t="n">
        <f aca="false">X126+($E128+$E129)*X14</f>
        <v>-5176.42569086062</v>
      </c>
      <c r="Y130" s="56" t="n">
        <f aca="false">Y126+($E128+$E129)*Y14</f>
        <v>69157.2099073914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0.284084033636541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1.40784965721905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12277.8594824033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89545.1646752263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-134137.5</v>
      </c>
      <c r="Z135" s="47" t="n">
        <f aca="false">(Z79+Z55+Z58+Z108)*(Z$4&gt;In_COD)-($E127+$I58)*Z14</f>
        <v>2262.23740705804</v>
      </c>
      <c r="AA135" s="47" t="n">
        <f aca="false">(AA79+AA55+AA58+AA108)*(AA$4&gt;In_COD)-($E127+$I58)*AA14</f>
        <v>2226.1721854366</v>
      </c>
      <c r="AB135" s="47" t="n">
        <f aca="false">(AB79+AB55+AB58+AB108)*(AB$4&gt;In_COD)-($E127+$I58)*AB14</f>
        <v>2245.19119943559</v>
      </c>
      <c r="AC135" s="47" t="n">
        <f aca="false">(AC79+AC55+AC58+AC108)*(AC$4&gt;In_COD)-($E127+$I58)*AC14</f>
        <v>2264.12511981556</v>
      </c>
      <c r="AD135" s="47" t="n">
        <f aca="false">(AD79+AD55+AD58+AD108)*(AD$4&gt;In_COD)-($E127+$I58)*AD14</f>
        <v>2256.1049552121</v>
      </c>
      <c r="AE135" s="47" t="n">
        <f aca="false">(AE79+AE55+AE58+AE108)*(AE$4&gt;In_COD)-($E127+$I58)*AE14</f>
        <v>2241.44169686269</v>
      </c>
      <c r="AF135" s="47" t="n">
        <f aca="false">(AF79+AF55+AF58+AF108)*(AF$4&gt;In_COD)-($E127+$I58)*AF14</f>
        <v>2238.62486694511</v>
      </c>
      <c r="AG135" s="47" t="n">
        <f aca="false">(AG79+AG55+AG58+AG108)*(AG$4&gt;In_COD)-($E127+$I58)*AG14</f>
        <v>2257.48774798643</v>
      </c>
      <c r="AH135" s="47" t="n">
        <f aca="false">(AH79+AH55+AH58+AH108)*(AH$4&gt;In_COD)-($E127+$I58)*AH14</f>
        <v>2249.31158591365</v>
      </c>
      <c r="AI135" s="47" t="n">
        <f aca="false">(AI79+AI55+AI58+AI108)*(AI$4&gt;In_COD)-($E127+$I58)*AI14</f>
        <v>2212.62925240665</v>
      </c>
      <c r="AJ135" s="47" t="n">
        <f aca="false">(AJ79+AJ55+AJ58+AJ108)*(AJ$4&gt;In_COD)-($E127+$I58)*AJ14</f>
        <v>2251.8942403254</v>
      </c>
      <c r="AK135" s="47" t="n">
        <f aca="false">(AK79+AK55+AK58+AK108)*(AK$4&gt;In_COD)-($E127+$I58)*AK14</f>
        <v>2270.84903931934</v>
      </c>
      <c r="AL135" s="47" t="n">
        <f aca="false">(AL79+AL55+AL58+AL108)*(AL$4&gt;In_COD)-($E127+$I58)*AL14</f>
        <v>2232.28175459809</v>
      </c>
      <c r="AM135" s="47" t="n">
        <f aca="false">(AM79+AM55+AM58+AM108)*(AM$4&gt;In_COD)-($E127+$I58)*AM14</f>
        <v>2194.80551373194</v>
      </c>
      <c r="AN135" s="47" t="n">
        <f aca="false">(AN79+AN55+AN58+AN108)*(AN$4&gt;In_COD)-($E127+$I58)*AN14</f>
        <v>2212.40774811837</v>
      </c>
      <c r="AO135" s="47" t="n">
        <f aca="false">(AO79+AO55+AO58+AO108)*(AO$4&gt;In_COD)-($E127+$I58)*AO14</f>
        <v>2229.9077756601</v>
      </c>
      <c r="AP135" s="47" t="n">
        <f aca="false">(AP79+AP55+AP58+AP108)*(AP$4&gt;In_COD)-($E127+$I58)*AP14</f>
        <v>2221.47361546782</v>
      </c>
      <c r="AQ135" s="47" t="n">
        <f aca="false">(AQ79+AQ55+AQ58+AQ108)*(AQ$4&gt;In_COD)-($E127+$I58)*AQ14</f>
        <v>2183.68180245993</v>
      </c>
      <c r="AR135" s="47" t="n">
        <f aca="false">(AR79+AR55+AR58+AR108)*(AR$4&gt;In_COD)-($E127+$I58)*AR14</f>
        <v>2201.17631682854</v>
      </c>
      <c r="AS135" s="47" t="n">
        <f aca="false">(AS79+AS55+AS58+AS108)*(AS$4&gt;In_COD)-($E127+$I58)*AS14</f>
        <v>2218.56712076878</v>
      </c>
      <c r="AT135" s="47" t="n">
        <f aca="false">(AT79+AT55+AT58+AT108)*(AT$4&gt;In_COD)-($E127+$I58)*AT14</f>
        <v>2209.95213512008</v>
      </c>
      <c r="AU135" s="47" t="n">
        <f aca="false">(AU79+AU55+AU58+AU108)*(AU$4&gt;In_COD)-($E127+$I58)*AU14</f>
        <v>2193.08608062403</v>
      </c>
      <c r="AV135" s="47" t="n">
        <f aca="false">(AV79+AV55+AV58+AV108)*(AV$4&gt;In_COD)-($E127+$I58)*AV14</f>
        <v>2189.14883687075</v>
      </c>
      <c r="AW135" s="47" t="n">
        <f aca="false">(AW79+AW55+AW58+AW108)*(AW$4&gt;In_COD)-($E127+$I58)*AW14</f>
        <v>2206.42325219656</v>
      </c>
      <c r="AX135" s="47" t="n">
        <f aca="false">(AX79+AX55+AX58+AX108)*(AX$4&gt;In_COD)-($E127+$I58)*AX14</f>
        <v>2197.62143575081</v>
      </c>
      <c r="AY135" s="47" t="n">
        <f aca="false">(AY79+AY55+AY58+AY108)*(AY$4&gt;In_COD)-($E127+$I58)*AY14</f>
        <v>2159.1776721149</v>
      </c>
      <c r="AZ135" s="47" t="n">
        <f aca="false">(AZ79+AZ55+AZ58+AZ108)*(AZ$4&gt;In_COD)-($E127+$I58)*AZ14</f>
        <v>2176.43642106663</v>
      </c>
      <c r="BA135" s="47" t="n">
        <f aca="false">(BA79+BA55+BA58+BA108)*(BA$4&gt;In_COD)-($E127+$I58)*BA14</f>
        <v>2193.58831430042</v>
      </c>
      <c r="BB135" s="47" t="n">
        <f aca="false">(BB79+BB55+BB58+BB108)*(BB$4&gt;In_COD)-($E127+$I58)*BB14</f>
        <v>2184.59475205576</v>
      </c>
      <c r="BC135" s="47" t="n">
        <f aca="false">(BC79+BC55+BC58+BC108)*(BC$4&gt;In_COD)-($E127+$I58)*BC14</f>
        <v>2145.81483647844</v>
      </c>
      <c r="BD135" s="47" t="n">
        <f aca="false">(BD79+BD55+BD58+BD108)*(BD$4&gt;In_COD)-($E127+$I58)*BD14</f>
        <v>2162.94571415452</v>
      </c>
      <c r="BE135" s="47" t="n">
        <f aca="false">(BE79+BE55+BE58+BE108)*(BE$4&gt;In_COD)-($E127+$I58)*BE14</f>
        <v>2179.96809720384</v>
      </c>
      <c r="BF135" s="47" t="n">
        <f aca="false">(BF79+BF55+BF58+BF108)*(BF$4&gt;In_COD)-($E127+$I58)*BF14</f>
        <v>2170.77706227669</v>
      </c>
      <c r="BG135" s="47" t="n">
        <f aca="false">(BG79+BG55+BG58+BG108)*(BG$4&gt;In_COD)-($E127+$I58)*BG14</f>
        <v>2131.6537279697</v>
      </c>
      <c r="BH135" s="47" t="n">
        <f aca="false">(BH79+BH55+BH58+BH108)*(BH$4&gt;In_COD)-($E127+$I58)*BH14</f>
        <v>2148.64955066975</v>
      </c>
      <c r="BI135" s="47" t="n">
        <f aca="false">(BI79+BI55+BI58+BI108)*(BI$4&gt;In_COD)-($E127+$I58)*BI14</f>
        <v>2165.53519163828</v>
      </c>
      <c r="BJ135" s="47" t="n">
        <f aca="false">(BJ79+BJ55+BJ58+BJ108)*(BJ$4&gt;In_COD)-($E127+$I58)*BJ14</f>
        <v>2156.14076307282</v>
      </c>
      <c r="BK135" s="47" t="n">
        <f aca="false">(BK79+BK55+BK58+BK108)*(BK$4&gt;In_COD)-($E127+$I58)*BK14</f>
        <v>2138.05846785169</v>
      </c>
      <c r="BL135" s="47" t="n">
        <f aca="false">(BL79+BL55+BL58+BL108)*(BL$4&gt;In_COD)-($E127+$I58)*BL14</f>
        <v>2133.44981046877</v>
      </c>
      <c r="BM135" s="47" t="n">
        <f aca="false">(BM79+BM55+BM58+BM108)*(BM$4&gt;In_COD)-($E127+$I58)*BM14</f>
        <v>2150.19057924398</v>
      </c>
      <c r="BN135" s="47" t="n">
        <f aca="false">(BN79+BN55+BN58+BN108)*(BN$4&gt;In_COD)-($E127+$I58)*BN14</f>
        <v>2140.58598296015</v>
      </c>
      <c r="BO135" s="47" t="n">
        <f aca="false">(BO79+BO55+BO58+BO108)*(BO$4&gt;In_COD)-($E127+$I58)*BO14</f>
        <v>2100.75247017803</v>
      </c>
      <c r="BP135" s="47" t="n">
        <f aca="false">(BP79+BP55+BP58+BP108)*(BP$4&gt;In_COD)-($E127+$I58)*BP14</f>
        <v>2117.45495787588</v>
      </c>
      <c r="BQ135" s="47" t="n">
        <f aca="false">(BQ79+BQ55+BQ58+BQ108)*(BQ$4&gt;In_COD)-($E127+$I58)*BQ14</f>
        <v>2134.04373216122</v>
      </c>
      <c r="BR135" s="47" t="n">
        <f aca="false">(BR79+BR55+BR58+BR108)*(BR$4&gt;In_COD)-($E127+$I58)*BR14</f>
        <v>2124.22326600335</v>
      </c>
      <c r="BS135" s="47" t="n">
        <f aca="false">(BS79+BS55+BS58+BS108)*(BS$4&gt;In_COD)-($E127+$I58)*BS14</f>
        <v>2084.02316711</v>
      </c>
      <c r="BT135" s="47" t="n">
        <f aca="false">(BT79+BT55+BT58+BT108)*(BT$4&gt;In_COD)-($E127+$I58)*BT14</f>
        <v>2100.56748806588</v>
      </c>
      <c r="BU135" s="47" t="n">
        <f aca="false">(BU79+BU55+BU58+BU108)*(BU$4&gt;In_COD)-($E127+$I58)*BU14</f>
        <v>2116.99625340034</v>
      </c>
      <c r="BV135" s="47" t="n">
        <f aca="false">(BV79+BV55+BV58+BV108)*(BV$4&gt;In_COD)-($E127+$I58)*BV14</f>
        <v>2106.95337109657</v>
      </c>
      <c r="BW135" s="47" t="n">
        <f aca="false">(BW79+BW55+BW58+BW108)*(BW$4&gt;In_COD)-($E127+$I58)*BW14</f>
        <v>2066.37849796649</v>
      </c>
      <c r="BX135" s="47" t="n">
        <f aca="false">(BX79+BX55+BX58+BX108)*(BX$4&gt;In_COD)-($E127+$I58)*BX14</f>
        <v>2082.75641468876</v>
      </c>
      <c r="BY135" s="47" t="n">
        <f aca="false">(BY79+BY55+BY58+BY108)*(BY$4&gt;In_COD)-($E127+$I58)*BY14</f>
        <v>2099.0168783083</v>
      </c>
      <c r="BZ135" s="47" t="n">
        <f aca="false">(BZ79+BZ55+BZ58+BZ108)*(BZ$4&gt;In_COD)-($E127+$I58)*BZ14</f>
        <v>2088.74481049981</v>
      </c>
      <c r="CA135" s="47" t="n">
        <f aca="false">(CA79+CA55+CA58+CA108)*(CA$4&gt;In_COD)-($E127+$I58)*CA14</f>
        <v>2069.29781422633</v>
      </c>
      <c r="CB135" s="47" t="n">
        <f aca="false">(CB79+CB55+CB58+CB108)*(CB$4&gt;In_COD)-($E127+$I58)*CB14</f>
        <v>2063.91927646705</v>
      </c>
      <c r="CC135" s="47" t="n">
        <f aca="false">(CC79+CC55+CC58+CC108)*(CC$4&gt;In_COD)-($E127+$I58)*CC14</f>
        <v>2080.00220811146</v>
      </c>
      <c r="CD135" s="47" t="n">
        <f aca="false">(CD79+CD55+CD58+CD108)*(CD$4&gt;In_COD)-($E127+$I58)*CD14</f>
        <v>2069.49329862004</v>
      </c>
      <c r="CE135" s="47" t="n">
        <f aca="false">(CE79+CE55+CE58+CE108)*(CE$4&gt;In_COD)-($E127+$I58)*CE14</f>
        <v>2028.14264254665</v>
      </c>
      <c r="CF135" s="47" t="n">
        <f aca="false">(CF79+CF55+CF58+CF108)*(CF$4&gt;In_COD)-($E127+$I58)*CF14</f>
        <v>2044.16121776895</v>
      </c>
      <c r="CG135" s="47" t="n">
        <f aca="false">(CG79+CG55+CG58+CG108)*(CG$4&gt;In_COD)-($E127+$I58)*CG14</f>
        <v>2060.05836515404</v>
      </c>
      <c r="CH135" s="47" t="n">
        <f aca="false">(CH79+CH55+CH58+CH108)*(CH$4&gt;In_COD)-($E127+$I58)*CH14</f>
        <v>2049.30600570606</v>
      </c>
      <c r="CI135" s="47" t="n">
        <f aca="false">(CI79+CI55+CI58+CI108)*(CI$4&gt;In_COD)-($E127+$I58)*CI14</f>
        <v>2007.55445241092</v>
      </c>
      <c r="CJ135" s="47" t="n">
        <f aca="false">(CJ79+CJ55+CJ58+CJ108)*(CJ$4&gt;In_COD)-($E127+$I58)*CJ14</f>
        <v>2023.38013268135</v>
      </c>
      <c r="CK135" s="47" t="n">
        <f aca="false">(CK79+CK55+CK58+CK108)*(CK$4&gt;In_COD)-($E127+$I58)*CK14</f>
        <v>2039.08230971909</v>
      </c>
      <c r="CL135" s="47" t="n">
        <f aca="false">(CL79+CL55+CL58+CL108)*(CL$4&gt;In_COD)-($E127+$I58)*CL14</f>
        <v>2028.0790121483</v>
      </c>
      <c r="CM135" s="47" t="n">
        <f aca="false">(CM79+CM55+CM58+CM108)*(CM$4&gt;In_COD)-($E127+$I58)*CM14</f>
        <v>1985.91732072628</v>
      </c>
      <c r="CN135" s="47" t="n">
        <f aca="false">(CN79+CN55+CN58+CN108)*(CN$4&gt;In_COD)-($E127+$I58)*CN14</f>
        <v>2001.54066560791</v>
      </c>
      <c r="CO135" s="47" t="n">
        <f aca="false">(CO79+CO55+CO58+CO108)*(CO$4&gt;In_COD)-($E127+$I58)*CO14</f>
        <v>2017.03836842685</v>
      </c>
      <c r="CP135" s="47" t="n">
        <f aca="false">(CP79+CP55+CP58+CP108)*(CP$4&gt;In_COD)-($E127+$I58)*CP14</f>
        <v>2005.77638803797</v>
      </c>
      <c r="CQ135" s="47" t="n">
        <f aca="false">(CQ79+CQ55+CQ58+CQ108)*(CQ$4&gt;In_COD)-($E127+$I58)*CQ14</f>
        <v>1984.79688124239</v>
      </c>
      <c r="CR135" s="47" t="n">
        <f aca="false">(CR79+CR55+CR58+CR108)*(CR$4&gt;In_COD)-($E127+$I58)*CR14</f>
        <v>1978.53553955506</v>
      </c>
      <c r="CS135" s="47" t="n">
        <f aca="false">(CS79+CS55+CS58+CS108)*(CS$4&gt;In_COD)-($E127+$I58)*CS14</f>
        <v>1993.81828320885</v>
      </c>
      <c r="CT135" s="47" t="n">
        <f aca="false">(CT79+CT55+CT58+CT108)*(CT$4&gt;In_COD)-($E127+$I58)*CT14</f>
        <v>1982.28895106833</v>
      </c>
      <c r="CU135" s="47" t="n">
        <f aca="false">(CU79+CU55+CU58+CU108)*(CU$4&gt;In_COD)-($E127+$I58)*CU14</f>
        <v>1945.76843007739</v>
      </c>
      <c r="CV135" s="47" t="n">
        <f aca="false">(CV79+CV55+CV58+CV108)*(CV$4&gt;In_COD)-($E127+$I58)*CV14</f>
        <v>1967.38807930047</v>
      </c>
      <c r="CW135" s="47" t="n">
        <f aca="false">(CW79+CW55+CW58+CW108)*(CW$4&gt;In_COD)-($E127+$I58)*CW14</f>
        <v>1989.00772852355</v>
      </c>
      <c r="CX135" s="47" t="n">
        <f aca="false">(CX79+CX55+CX58+CX108)*(CX$4&gt;In_COD)-($E127+$I58)*CX14</f>
        <v>1983.89612736875</v>
      </c>
      <c r="CY135" s="47" t="n">
        <f aca="false">(CY79+CY55+CY58+CY108)*(CY$4&gt;In_COD)-($E127+$I58)*CY14</f>
        <v>1947.18272024833</v>
      </c>
      <c r="CZ135" s="47" t="n">
        <f aca="false">(CZ79+CZ55+CZ58+CZ108)*(CZ$4&gt;In_COD)-($E127+$I58)*CZ14</f>
        <v>1968.81808380664</v>
      </c>
      <c r="DA135" s="47" t="n">
        <f aca="false">(DA79+DA55+DA58+DA108)*(DA$4&gt;In_COD)-($E127+$I58)*DA14</f>
        <v>1990.45344736496</v>
      </c>
      <c r="DB135" s="47" t="n">
        <f aca="false">(DB79+DB55+DB58+DB108)*(DB$4&gt;In_COD)-($E127+$I58)*DB14</f>
        <v>1351.75211954895</v>
      </c>
      <c r="DC135" s="47" t="n">
        <f aca="false">(DC79+DC55+DC58+DC108)*(DC$4&gt;In_COD)-($E127+$I58)*DC14</f>
        <v>1328.61699672919</v>
      </c>
      <c r="DD135" s="47" t="n">
        <f aca="false">(DD79+DD55+DD58+DD108)*(DD$4&gt;In_COD)-($E127+$I58)*DD14</f>
        <v>1343.37940780396</v>
      </c>
      <c r="DE135" s="47" t="n">
        <f aca="false">(DE79+DE55+DE58+DE108)*(DE$4&gt;In_COD)-($E127+$I58)*DE14</f>
        <v>1358.14181887873</v>
      </c>
      <c r="DF135" s="47" t="n">
        <f aca="false">(DF79+DF55+DF58+DF108)*(DF$4&gt;In_COD)-($E127+$I58)*DF14</f>
        <v>1352.96922160651</v>
      </c>
      <c r="DG135" s="47" t="n">
        <f aca="false">(DG79+DG55+DG58+DG108)*(DG$4&gt;In_COD)-($E127+$I58)*DG14</f>
        <v>1344.41122217711</v>
      </c>
      <c r="DH135" s="47" t="n">
        <f aca="false">(DH79+DH55+DH58+DH108)*(DH$4&gt;In_COD)-($E127+$I58)*DH14</f>
        <v>1344.41122217711</v>
      </c>
      <c r="DI135" s="47" t="n">
        <f aca="false">(DI79+DI55+DI58+DI108)*(DI$4&gt;In_COD)-($E127+$I58)*DI14</f>
        <v>1359.18497187136</v>
      </c>
      <c r="DJ135" s="47" t="n">
        <f aca="false">(DJ79+DJ55+DJ58+DJ108)*(DJ$4&gt;In_COD)-($E127+$I58)*DJ14</f>
        <v>1353.98179084478</v>
      </c>
      <c r="DK135" s="47" t="n">
        <f aca="false">(DK79+DK55+DK58+DK108)*(DK$4&gt;In_COD)-($E127+$I58)*DK14</f>
        <v>1330.45150532208</v>
      </c>
      <c r="DL135" s="47" t="n">
        <f aca="false">(DL79+DL55+DL58+DL108)*(DL$4&gt;In_COD)-($E127+$I58)*DL14</f>
        <v>1345.23429982566</v>
      </c>
      <c r="DM135" s="47" t="n">
        <f aca="false">(DM79+DM55+DM58+DM108)*(DM$4&gt;In_COD)-($E127+$I58)*DM14</f>
        <v>1360.01709432924</v>
      </c>
      <c r="DN135" s="47" t="n">
        <f aca="false">(DN79+DN55+DN58+DN108)*(DN$4&gt;In_COD)-($E127+$I58)*DN14</f>
        <v>1354.78327628251</v>
      </c>
      <c r="DO135" s="47" t="n">
        <f aca="false">(DO79+DO55+DO58+DO108)*(DO$4&gt;In_COD)-($E127+$I58)*DO14</f>
        <v>1331.05251690687</v>
      </c>
      <c r="DP135" s="47" t="n">
        <f aca="false">(DP79+DP55+DP58+DP108)*(DP$4&gt;In_COD)-($E127+$I58)*DP14</f>
        <v>1345.84198931695</v>
      </c>
      <c r="DQ135" s="47" t="n">
        <f aca="false">(DQ79+DQ55+DQ58+DQ108)*(DQ$4&gt;In_COD)-($E127+$I58)*DQ14</f>
        <v>1360.63146172703</v>
      </c>
      <c r="DR135" s="47" t="n">
        <f aca="false">(DR79+DR55+DR58+DR108)*(DR$4&gt;In_COD)-($E127+$I58)*DR14</f>
        <v>1355.36695640901</v>
      </c>
      <c r="DS135" s="47" t="n">
        <f aca="false">(DS79+DS55+DS58+DS108)*(DS$4&gt;In_COD)-($E127+$I58)*DS14</f>
        <v>1331.43375783812</v>
      </c>
      <c r="DT135" s="47" t="n">
        <f aca="false">(DT79+DT55+DT58+DT108)*(DT$4&gt;In_COD)-($E127+$I58)*DT14</f>
        <v>1346.22746625854</v>
      </c>
      <c r="DU135" s="47" t="n">
        <f aca="false">(DU79+DU55+DU58+DU108)*(DU$4&gt;In_COD)-($E127+$I58)*DU14</f>
        <v>1361.02117467897</v>
      </c>
      <c r="DV135" s="47" t="n">
        <f aca="false">(DV79+DV55+DV58+DV108)*(DV$4&gt;In_COD)-($E127+$I58)*DV14</f>
        <v>1355.72593494877</v>
      </c>
      <c r="DW135" s="47" t="n">
        <f aca="false">(DW79+DW55+DW58+DW108)*(DW$4&gt;In_COD)-($E127+$I58)*DW14</f>
        <v>1346.38372900372</v>
      </c>
      <c r="DX135" s="47" t="n">
        <f aca="false">(DX79+DX55+DX58+DX108)*(DX$4&gt;In_COD)-($E127+$I58)*DX14</f>
        <v>1346.38372900372</v>
      </c>
      <c r="DY135" s="47" t="n">
        <f aca="false">(DY79+DY55+DY58+DY108)*(DY$4&gt;In_COD)-($E127+$I58)*DY14</f>
        <v>1361.17915459717</v>
      </c>
      <c r="DZ135" s="47" t="n">
        <f aca="false">(DZ79+DZ55+DZ58+DZ108)*(DZ$4&gt;In_COD)-($E127+$I58)*DZ14</f>
        <v>1355.85313652207</v>
      </c>
      <c r="EA135" s="47" t="n">
        <f aca="false">(EA79+EA55+EA58+EA108)*(EA$4&gt;In_COD)-($E127+$I58)*EA14</f>
        <v>1331.50904925968</v>
      </c>
      <c r="EB135" s="47" t="n">
        <f aca="false">(EB79+EB55+EB58+EB108)*(EB$4&gt;In_COD)-($E127+$I58)*EB14</f>
        <v>1346.30359425145</v>
      </c>
      <c r="EC135" s="47" t="n">
        <f aca="false">(EC79+EC55+EC58+EC108)*(EC$4&gt;In_COD)-($E127+$I58)*EC14</f>
        <v>1361.09813924322</v>
      </c>
      <c r="ED135" s="47" t="n">
        <f aca="false">(ED79+ED55+ED58+ED108)*(ED$4&gt;In_COD)-($E127+$I58)*ED14</f>
        <v>1355.7413021989</v>
      </c>
      <c r="EE135" s="47" t="n">
        <f aca="false">(EE79+EE55+EE58+EE108)*(EE$4&gt;In_COD)-($E127+$I58)*EE14</f>
        <v>1331.18870690596</v>
      </c>
      <c r="EF135" s="47" t="n">
        <f aca="false">(EF79+EF55+EF58+EF108)*(EF$4&gt;In_COD)-($E127+$I58)*EF14</f>
        <v>1345.97969253825</v>
      </c>
      <c r="EG135" s="47" t="n">
        <f aca="false">(EG79+EG55+EG58+EG108)*(EG$4&gt;In_COD)-($E127+$I58)*EG14</f>
        <v>1360.77067817053</v>
      </c>
      <c r="EH135" s="47" t="n">
        <f aca="false">(EH79+EH55+EH58+EH108)*(EH$4&gt;In_COD)-($E127+$I58)*EH14</f>
        <v>1355.38298494376</v>
      </c>
      <c r="EI135" s="47" t="n">
        <f aca="false">(EI79+EI55+EI58+EI108)*(EI$4&gt;In_COD)-($E127+$I58)*EI14</f>
        <v>1330.61979918396</v>
      </c>
      <c r="EJ135" s="47" t="n">
        <f aca="false">(EJ79+EJ55+EJ58+EJ108)*(EJ$4&gt;In_COD)-($E127+$I58)*EJ14</f>
        <v>1345.40446361934</v>
      </c>
      <c r="EK135" s="47" t="n">
        <f aca="false">(EK79+EK55+EK58+EK108)*(EK$4&gt;In_COD)-($E127+$I58)*EK14</f>
        <v>1360.18912805472</v>
      </c>
      <c r="EL135" s="47" t="n">
        <f aca="false">(EL79+EL55+EL58+EL108)*(EL$4&gt;In_COD)-($E127+$I58)*EL14</f>
        <v>1354.77054494849</v>
      </c>
      <c r="EM135" s="47" t="n">
        <f aca="false">(EM79+EM55+EM58+EM108)*(EM$4&gt;In_COD)-($E127+$I58)*EM14</f>
        <v>1344.57015173635</v>
      </c>
      <c r="EN135" s="47" t="n">
        <f aca="false">(EN79+EN55+EN58+EN108)*(EN$4&gt;In_COD)-($E127+$I58)*EN14</f>
        <v>1344.57015173635</v>
      </c>
      <c r="EO135" s="47" t="n">
        <f aca="false">(EO79+EO55+EO58+EO108)*(EO$4&gt;In_COD)-($E127+$I58)*EO14</f>
        <v>1359.34564790928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0.0429903921440367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60006.8633358608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-77289.7563565772</v>
      </c>
      <c r="Z137" s="47" t="n">
        <f aca="false">Z135+Z89+Z97+$E94*Z14</f>
        <v>973.946027157343</v>
      </c>
      <c r="AA137" s="47" t="n">
        <f aca="false">AA135+AA89+AA97+$E94*AA14</f>
        <v>958.419107123517</v>
      </c>
      <c r="AB137" s="47" t="n">
        <f aca="false">AB135+AB89+AB97+$E94*AB14</f>
        <v>966.607236745467</v>
      </c>
      <c r="AC137" s="47" t="n">
        <f aca="false">AC135+AC89+AC97+$E94*AC14</f>
        <v>974.758731577482</v>
      </c>
      <c r="AD137" s="47" t="n">
        <f aca="false">AD135+AD89+AD97+$E94*AD14</f>
        <v>971.30586344416</v>
      </c>
      <c r="AE137" s="47" t="n">
        <f aca="false">AE135+AE89+AE97+$E94*AE14</f>
        <v>964.992988336455</v>
      </c>
      <c r="AF137" s="47" t="n">
        <f aca="false">AF135+AF89+AF97+$E94*AF14</f>
        <v>963.780277283677</v>
      </c>
      <c r="AG137" s="47" t="n">
        <f aca="false">AG135+AG89+AG97+$E94*AG14</f>
        <v>971.901188021645</v>
      </c>
      <c r="AH137" s="47" t="n">
        <f aca="false">AH135+AH89+AH97+$E94*AH14</f>
        <v>968.381159335239</v>
      </c>
      <c r="AI137" s="47" t="n">
        <f aca="false">AI135+AI89+AI97+$E94*AI14</f>
        <v>952.588558225091</v>
      </c>
      <c r="AJ137" s="47" t="n">
        <f aca="false">AJ135+AJ89+AJ97+$E94*AJ14</f>
        <v>969.493052364577</v>
      </c>
      <c r="AK137" s="47" t="n">
        <f aca="false">AK135+AK89+AK97+$E94*AK14</f>
        <v>977.653535927451</v>
      </c>
      <c r="AL137" s="47" t="n">
        <f aca="false">AL135+AL89+AL97+$E94*AL14</f>
        <v>961.049419305691</v>
      </c>
      <c r="AM137" s="47" t="n">
        <f aca="false">AM135+AM89+AM97+$E94*AM14</f>
        <v>944.91502253965</v>
      </c>
      <c r="AN137" s="47" t="n">
        <f aca="false">AN135+AN89+AN97+$E94*AN14</f>
        <v>952.493195456527</v>
      </c>
      <c r="AO137" s="47" t="n">
        <f aca="false">AO135+AO89+AO97+$E94*AO14</f>
        <v>960.027365940229</v>
      </c>
      <c r="AP137" s="47" t="n">
        <f aca="false">AP135+AP89+AP97+$E94*AP14</f>
        <v>956.39626303915</v>
      </c>
      <c r="AQ137" s="47" t="n">
        <f aca="false">AQ135+AQ89+AQ97+$E94*AQ14</f>
        <v>940.126005097491</v>
      </c>
      <c r="AR137" s="47" t="n">
        <f aca="false">AR135+AR89+AR97+$E94*AR14</f>
        <v>947.657802031454</v>
      </c>
      <c r="AS137" s="47" t="n">
        <f aca="false">AS135+AS89+AS97+$E94*AS14</f>
        <v>955.144949204364</v>
      </c>
      <c r="AT137" s="47" t="n">
        <f aca="false">AT135+AT89+AT97+$E94*AT14</f>
        <v>951.435996722041</v>
      </c>
      <c r="AU137" s="47" t="n">
        <f aca="false">AU135+AU89+AU97+$E94*AU14</f>
        <v>944.174766437842</v>
      </c>
      <c r="AV137" s="47" t="n">
        <f aca="false">AV135+AV89+AV97+$E94*AV14</f>
        <v>942.479691067144</v>
      </c>
      <c r="AW137" s="47" t="n">
        <f aca="false">AW135+AW89+AW97+$E94*AW14</f>
        <v>949.916730223891</v>
      </c>
      <c r="AX137" s="47" t="n">
        <f aca="false">AX135+AX89+AX97+$E94*AX14</f>
        <v>946.12734272095</v>
      </c>
      <c r="AY137" s="47" t="n">
        <f aca="false">AY135+AY89+AY97+$E94*AY14</f>
        <v>929.576404810886</v>
      </c>
      <c r="AZ137" s="47" t="n">
        <f aca="false">AZ135+AZ89+AZ97+$E94*AZ14</f>
        <v>937.006699227796</v>
      </c>
      <c r="BA137" s="47" t="n">
        <f aca="false">BA135+BA89+BA97+$E94*BA14</f>
        <v>944.390989763044</v>
      </c>
      <c r="BB137" s="47" t="n">
        <f aca="false">BB135+BB89+BB97+$E94*BB14</f>
        <v>940.519051216415</v>
      </c>
      <c r="BC137" s="47" t="n">
        <f aca="false">BC135+BC89+BC97+$E94*BC14</f>
        <v>923.823392046417</v>
      </c>
      <c r="BD137" s="47" t="n">
        <f aca="false">BD135+BD89+BD97+$E94*BD14</f>
        <v>931.19863489337</v>
      </c>
      <c r="BE137" s="47" t="n">
        <f aca="false">BE135+BE89+BE97+$E94*BE14</f>
        <v>938.527168270147</v>
      </c>
      <c r="BF137" s="47" t="n">
        <f aca="false">BF135+BF89+BF97+$E94*BF14</f>
        <v>934.570213122712</v>
      </c>
      <c r="BG137" s="47" t="n">
        <f aca="false">BG135+BG89+BG97+$E94*BG14</f>
        <v>917.72670417075</v>
      </c>
      <c r="BH137" s="47" t="n">
        <f aca="false">BH135+BH89+BH97+$E94*BH14</f>
        <v>925.043802696984</v>
      </c>
      <c r="BI137" s="47" t="n">
        <f aca="false">BI135+BI89+BI97+$E94*BI14</f>
        <v>932.313465415045</v>
      </c>
      <c r="BJ137" s="47" t="n">
        <f aca="false">BJ135+BJ89+BJ97+$E94*BJ14</f>
        <v>928.268944557065</v>
      </c>
      <c r="BK137" s="47" t="n">
        <f aca="false">BK135+BK89+BK97+$E94*BK14</f>
        <v>920.484094241455</v>
      </c>
      <c r="BL137" s="47" t="n">
        <f aca="false">BL135+BL89+BL97+$E94*BL14</f>
        <v>918.499959625682</v>
      </c>
      <c r="BM137" s="47" t="n">
        <f aca="false">BM135+BM89+BM97+$E94*BM14</f>
        <v>925.707251481735</v>
      </c>
      <c r="BN137" s="47" t="n">
        <f aca="false">BN135+BN89+BN97+$E94*BN14</f>
        <v>921.572248513552</v>
      </c>
      <c r="BO137" s="47" t="n">
        <f aca="false">BO135+BO89+BO97+$E94*BO14</f>
        <v>904.422991145309</v>
      </c>
      <c r="BP137" s="47" t="n">
        <f aca="false">BP135+BP89+BP97+$E94*BP14</f>
        <v>911.613802103687</v>
      </c>
      <c r="BQ137" s="47" t="n">
        <f aca="false">BQ135+BQ89+BQ97+$E94*BQ14</f>
        <v>918.755656782751</v>
      </c>
      <c r="BR137" s="47" t="n">
        <f aca="false">BR135+BR89+BR97+$E94*BR14</f>
        <v>914.527716793201</v>
      </c>
      <c r="BS137" s="47" t="n">
        <f aca="false">BS135+BS89+BS97+$E94*BS14</f>
        <v>897.220635544241</v>
      </c>
      <c r="BT137" s="47" t="n">
        <f aca="false">BT135+BT89+BT97+$E94*BT14</f>
        <v>904.343352026971</v>
      </c>
      <c r="BU137" s="47" t="n">
        <f aca="false">BU135+BU89+BU97+$E94*BU14</f>
        <v>911.416319116439</v>
      </c>
      <c r="BV137" s="47" t="n">
        <f aca="false">BV135+BV89+BV97+$E94*BV14</f>
        <v>907.092623782621</v>
      </c>
      <c r="BW137" s="47" t="n">
        <f aca="false">BW135+BW89+BW97+$E94*BW14</f>
        <v>889.624193473714</v>
      </c>
      <c r="BX137" s="47" t="n">
        <f aca="false">BX135+BX89+BX97+$E94*BX14</f>
        <v>896.675269048295</v>
      </c>
      <c r="BY137" s="47" t="n">
        <f aca="false">BY135+BY89+BY97+$E94*BY14</f>
        <v>903.675778319608</v>
      </c>
      <c r="BZ137" s="47" t="n">
        <f aca="false">BZ135+BZ89+BZ97+$E94*BZ14</f>
        <v>899.253413274479</v>
      </c>
      <c r="CA137" s="47" t="n">
        <f aca="false">CA135+CA89+CA97+$E94*CA14</f>
        <v>890.881027289873</v>
      </c>
      <c r="CB137" s="47" t="n">
        <f aca="false">CB135+CB89+CB97+$E94*CB14</f>
        <v>888.565441195222</v>
      </c>
      <c r="CC137" s="47" t="n">
        <f aca="false">CC135+CC89+CC97+$E94*CC14</f>
        <v>895.489518805824</v>
      </c>
      <c r="CD137" s="47" t="n">
        <f aca="false">CD135+CD89+CD97+$E94*CD14</f>
        <v>890.965187885897</v>
      </c>
      <c r="CE137" s="47" t="n">
        <f aca="false">CE135+CE89+CE97+$E94*CE14</f>
        <v>873.162764905248</v>
      </c>
      <c r="CF137" s="47" t="n">
        <f aca="false">CF135+CF89+CF97+$E94*CF14</f>
        <v>880.059135573388</v>
      </c>
      <c r="CG137" s="47" t="n">
        <f aca="false">CG135+CG89+CG97+$E94*CG14</f>
        <v>886.903228722249</v>
      </c>
      <c r="CH137" s="47" t="n">
        <f aca="false">CH135+CH89+CH97+$E94*CH14</f>
        <v>882.274086911423</v>
      </c>
      <c r="CI137" s="47" t="n">
        <f aca="false">CI135+CI89+CI97+$E94*CI14</f>
        <v>864.299068315801</v>
      </c>
      <c r="CJ137" s="47" t="n">
        <f aca="false">CJ135+CJ89+CJ97+$E94*CJ14</f>
        <v>871.112393203027</v>
      </c>
      <c r="CK137" s="47" t="n">
        <f aca="false">CK135+CK89+CK97+$E94*CK14</f>
        <v>877.872547064765</v>
      </c>
      <c r="CL137" s="47" t="n">
        <f aca="false">CL135+CL89+CL97+$E94*CL14</f>
        <v>873.135370532621</v>
      </c>
      <c r="CM137" s="47" t="n">
        <f aca="false">CM135+CM89+CM97+$E94*CM14</f>
        <v>854.983777896609</v>
      </c>
      <c r="CN137" s="47" t="n">
        <f aca="false">CN135+CN89+CN97+$E94*CN14</f>
        <v>861.709992674395</v>
      </c>
      <c r="CO137" s="47" t="n">
        <f aca="false">CO135+CO89+CO97+$E94*CO14</f>
        <v>868.382115610438</v>
      </c>
      <c r="CP137" s="47" t="n">
        <f aca="false">CP135+CP89+CP97+$E94*CP14</f>
        <v>863.533570084831</v>
      </c>
      <c r="CQ137" s="47" t="n">
        <f aca="false">CQ135+CQ89+CQ97+$E94*CQ14</f>
        <v>854.501402536149</v>
      </c>
      <c r="CR137" s="47" t="n">
        <f aca="false">CR135+CR89+CR97+$E94*CR14</f>
        <v>851.80574873686</v>
      </c>
      <c r="CS137" s="47" t="n">
        <f aca="false">CS135+CS89+CS97+$E94*CS14</f>
        <v>2146.67670663369</v>
      </c>
      <c r="CT137" s="47" t="n">
        <f aca="false">CT135+CT89+CT97+$E94*CT14</f>
        <v>1982.28895106833</v>
      </c>
      <c r="CU137" s="47" t="n">
        <f aca="false">CU135+CU89+CU97+$E94*CU14</f>
        <v>1945.76843007739</v>
      </c>
      <c r="CV137" s="47" t="n">
        <f aca="false">CV135+CV89+CV97+$E94*CV14</f>
        <v>1967.38807930047</v>
      </c>
      <c r="CW137" s="47" t="n">
        <f aca="false">CW135+CW89+CW97+$E94*CW14</f>
        <v>1989.00772852355</v>
      </c>
      <c r="CX137" s="47" t="n">
        <f aca="false">CX135+CX89+CX97+$E94*CX14</f>
        <v>1983.89612736875</v>
      </c>
      <c r="CY137" s="47" t="n">
        <f aca="false">CY135+CY89+CY97+$E94*CY14</f>
        <v>1947.18272024833</v>
      </c>
      <c r="CZ137" s="47" t="n">
        <f aca="false">CZ135+CZ89+CZ97+$E94*CZ14</f>
        <v>1968.81808380664</v>
      </c>
      <c r="DA137" s="47" t="n">
        <f aca="false">DA135+DA89+DA97+$E94*DA14</f>
        <v>1990.45344736496</v>
      </c>
      <c r="DB137" s="47" t="n">
        <f aca="false">DB135+DB89+DB97+$E94*DB14</f>
        <v>1351.75211954895</v>
      </c>
      <c r="DC137" s="47" t="n">
        <f aca="false">DC135+DC89+DC97+$E94*DC14</f>
        <v>1328.61699672919</v>
      </c>
      <c r="DD137" s="47" t="n">
        <f aca="false">DD135+DD89+DD97+$E94*DD14</f>
        <v>1343.37940780396</v>
      </c>
      <c r="DE137" s="47" t="n">
        <f aca="false">DE135+DE89+DE97+$E94*DE14</f>
        <v>1358.14181887873</v>
      </c>
      <c r="DF137" s="47" t="n">
        <f aca="false">DF135+DF89+DF97+$E94*DF14</f>
        <v>1352.96922160651</v>
      </c>
      <c r="DG137" s="47" t="n">
        <f aca="false">DG135+DG89+DG97+$E94*DG14</f>
        <v>1344.41122217711</v>
      </c>
      <c r="DH137" s="47" t="n">
        <f aca="false">DH135+DH89+DH97+$E94*DH14</f>
        <v>1344.41122217711</v>
      </c>
      <c r="DI137" s="47" t="n">
        <f aca="false">DI135+DI89+DI97+$E94*DI14</f>
        <v>1359.18497187136</v>
      </c>
      <c r="DJ137" s="47" t="n">
        <f aca="false">DJ135+DJ89+DJ97+$E94*DJ14</f>
        <v>1353.98179084478</v>
      </c>
      <c r="DK137" s="47" t="n">
        <f aca="false">DK135+DK89+DK97+$E94*DK14</f>
        <v>1330.45150532208</v>
      </c>
      <c r="DL137" s="47" t="n">
        <f aca="false">DL135+DL89+DL97+$E94*DL14</f>
        <v>1345.23429982566</v>
      </c>
      <c r="DM137" s="47" t="n">
        <f aca="false">DM135+DM89+DM97+$E94*DM14</f>
        <v>1360.01709432924</v>
      </c>
      <c r="DN137" s="47" t="n">
        <f aca="false">DN135+DN89+DN97+$E94*DN14</f>
        <v>1354.78327628251</v>
      </c>
      <c r="DO137" s="47" t="n">
        <f aca="false">DO135+DO89+DO97+$E94*DO14</f>
        <v>1331.05251690687</v>
      </c>
      <c r="DP137" s="47" t="n">
        <f aca="false">DP135+DP89+DP97+$E94*DP14</f>
        <v>1345.84198931695</v>
      </c>
      <c r="DQ137" s="47" t="n">
        <f aca="false">DQ135+DQ89+DQ97+$E94*DQ14</f>
        <v>1360.63146172703</v>
      </c>
      <c r="DR137" s="47" t="n">
        <f aca="false">DR135+DR89+DR97+$E94*DR14</f>
        <v>1355.36695640901</v>
      </c>
      <c r="DS137" s="47" t="n">
        <f aca="false">DS135+DS89+DS97+$E94*DS14</f>
        <v>1331.43375783812</v>
      </c>
      <c r="DT137" s="47" t="n">
        <f aca="false">DT135+DT89+DT97+$E94*DT14</f>
        <v>1346.22746625854</v>
      </c>
      <c r="DU137" s="47" t="n">
        <f aca="false">DU135+DU89+DU97+$E94*DU14</f>
        <v>1361.02117467897</v>
      </c>
      <c r="DV137" s="47" t="n">
        <f aca="false">DV135+DV89+DV97+$E94*DV14</f>
        <v>1355.72593494877</v>
      </c>
      <c r="DW137" s="47" t="n">
        <f aca="false">DW135+DW89+DW97+$E94*DW14</f>
        <v>1346.38372900372</v>
      </c>
      <c r="DX137" s="47" t="n">
        <f aca="false">DX135+DX89+DX97+$E94*DX14</f>
        <v>1346.38372900372</v>
      </c>
      <c r="DY137" s="47" t="n">
        <f aca="false">DY135+DY89+DY97+$E94*DY14</f>
        <v>1361.17915459717</v>
      </c>
      <c r="DZ137" s="47" t="n">
        <f aca="false">DZ135+DZ89+DZ97+$E94*DZ14</f>
        <v>1355.85313652207</v>
      </c>
      <c r="EA137" s="47" t="n">
        <f aca="false">EA135+EA89+EA97+$E94*EA14</f>
        <v>1331.50904925968</v>
      </c>
      <c r="EB137" s="47" t="n">
        <f aca="false">EB135+EB89+EB97+$E94*EB14</f>
        <v>1346.30359425145</v>
      </c>
      <c r="EC137" s="47" t="n">
        <f aca="false">EC135+EC89+EC97+$E94*EC14</f>
        <v>1361.09813924322</v>
      </c>
      <c r="ED137" s="47" t="n">
        <f aca="false">ED135+ED89+ED97+$E94*ED14</f>
        <v>1355.7413021989</v>
      </c>
      <c r="EE137" s="47" t="n">
        <f aca="false">EE135+EE89+EE97+$E94*EE14</f>
        <v>1331.18870690596</v>
      </c>
      <c r="EF137" s="47" t="n">
        <f aca="false">EF135+EF89+EF97+$E94*EF14</f>
        <v>1345.97969253825</v>
      </c>
      <c r="EG137" s="47" t="n">
        <f aca="false">EG135+EG89+EG97+$E94*EG14</f>
        <v>1360.77067817053</v>
      </c>
      <c r="EH137" s="47" t="n">
        <f aca="false">EH135+EH89+EH97+$E94*EH14</f>
        <v>1355.38298494376</v>
      </c>
      <c r="EI137" s="47" t="n">
        <f aca="false">EI135+EI89+EI97+$E94*EI14</f>
        <v>1330.61979918396</v>
      </c>
      <c r="EJ137" s="47" t="n">
        <f aca="false">EJ135+EJ89+EJ97+$E94*EJ14</f>
        <v>1345.40446361934</v>
      </c>
      <c r="EK137" s="47" t="n">
        <f aca="false">EK135+EK89+EK97+$E94*EK14</f>
        <v>1360.18912805472</v>
      </c>
      <c r="EL137" s="47" t="n">
        <f aca="false">EL135+EL89+EL97+$E94*EL14</f>
        <v>1354.77054494849</v>
      </c>
      <c r="EM137" s="47" t="n">
        <f aca="false">EM135+EM89+EM97+$E94*EM14</f>
        <v>1344.57015173635</v>
      </c>
      <c r="EN137" s="47" t="n">
        <f aca="false">EN135+EN89+EN97+$E94*EN14</f>
        <v>1344.57015173635</v>
      </c>
      <c r="EO137" s="47" t="n">
        <f aca="false">EO135+EO89+EO97+$E94*EO14</f>
        <v>1359.34564790928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0.0387114953684034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116058.999773245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-11463.3923544848</v>
      </c>
      <c r="S141" s="47" t="n">
        <f aca="false">S59+S66+S79+S58+S108</f>
        <v>-19370.0278417678</v>
      </c>
      <c r="T141" s="47" t="n">
        <f aca="false">T59+T66+T79+T58+T108</f>
        <v>-11339.8180765393</v>
      </c>
      <c r="U141" s="47" t="n">
        <f aca="false">U59+U66+U79+U58+U108</f>
        <v>-11464.4314619958</v>
      </c>
      <c r="V141" s="47" t="n">
        <f aca="false">V59+V66+V79+V58+V108</f>
        <v>-11464.4314619958</v>
      </c>
      <c r="W141" s="47" t="n">
        <f aca="false">W59+W66+W79+W58+W108</f>
        <v>-11216.2466222556</v>
      </c>
      <c r="X141" s="47" t="n">
        <f aca="false">X59+X66+X79+X58+X108</f>
        <v>-11340.8715847251</v>
      </c>
      <c r="Y141" s="47" t="n">
        <f aca="false">Y59+Y66+Y79+Y58+Y108</f>
        <v>-13965.4965471946</v>
      </c>
      <c r="Z141" s="47" t="n">
        <f aca="false">Z59+Z66+Z79+Z58+Z108</f>
        <v>2262.23740705804</v>
      </c>
      <c r="AA141" s="47" t="n">
        <f aca="false">AA59+AA66+AA79+AA58+AA108</f>
        <v>2226.1721854366</v>
      </c>
      <c r="AB141" s="47" t="n">
        <f aca="false">AB59+AB66+AB79+AB58+AB108</f>
        <v>2245.19119943559</v>
      </c>
      <c r="AC141" s="47" t="n">
        <f aca="false">AC59+AC66+AC79+AC58+AC108</f>
        <v>2264.12511981556</v>
      </c>
      <c r="AD141" s="47" t="n">
        <f aca="false">AD59+AD66+AD79+AD58+AD108</f>
        <v>2256.1049552121</v>
      </c>
      <c r="AE141" s="47" t="n">
        <f aca="false">AE59+AE66+AE79+AE58+AE108</f>
        <v>2241.44169686269</v>
      </c>
      <c r="AF141" s="47" t="n">
        <f aca="false">AF59+AF66+AF79+AF58+AF108</f>
        <v>2238.62486694511</v>
      </c>
      <c r="AG141" s="47" t="n">
        <f aca="false">AG59+AG66+AG79+AG58+AG108</f>
        <v>2257.48774798643</v>
      </c>
      <c r="AH141" s="47" t="n">
        <f aca="false">AH59+AH66+AH79+AH58+AH108</f>
        <v>2249.31158591365</v>
      </c>
      <c r="AI141" s="47" t="n">
        <f aca="false">AI59+AI66+AI79+AI58+AI108</f>
        <v>2212.62925240665</v>
      </c>
      <c r="AJ141" s="47" t="n">
        <f aca="false">AJ59+AJ66+AJ79+AJ58+AJ108</f>
        <v>2251.8942403254</v>
      </c>
      <c r="AK141" s="47" t="n">
        <f aca="false">AK59+AK66+AK79+AK58+AK108</f>
        <v>2270.84903931934</v>
      </c>
      <c r="AL141" s="47" t="n">
        <f aca="false">AL59+AL66+AL79+AL58+AL108</f>
        <v>2232.28175459809</v>
      </c>
      <c r="AM141" s="47" t="n">
        <f aca="false">AM59+AM66+AM79+AM58+AM108</f>
        <v>2194.80551373194</v>
      </c>
      <c r="AN141" s="47" t="n">
        <f aca="false">AN59+AN66+AN79+AN58+AN108</f>
        <v>2212.40774811837</v>
      </c>
      <c r="AO141" s="47" t="n">
        <f aca="false">AO59+AO66+AO79+AO58+AO108</f>
        <v>2229.9077756601</v>
      </c>
      <c r="AP141" s="47" t="n">
        <f aca="false">AP59+AP66+AP79+AP58+AP108</f>
        <v>2221.47361546782</v>
      </c>
      <c r="AQ141" s="47" t="n">
        <f aca="false">AQ59+AQ66+AQ79+AQ58+AQ108</f>
        <v>2183.68180245993</v>
      </c>
      <c r="AR141" s="47" t="n">
        <f aca="false">AR59+AR66+AR79+AR58+AR108</f>
        <v>2201.17631682854</v>
      </c>
      <c r="AS141" s="47" t="n">
        <f aca="false">AS59+AS66+AS79+AS58+AS108</f>
        <v>2218.56712076878</v>
      </c>
      <c r="AT141" s="47" t="n">
        <f aca="false">AT59+AT66+AT79+AT58+AT108</f>
        <v>2209.95213512008</v>
      </c>
      <c r="AU141" s="47" t="n">
        <f aca="false">AU59+AU66+AU79+AU58+AU108</f>
        <v>2193.08608062403</v>
      </c>
      <c r="AV141" s="47" t="n">
        <f aca="false">AV59+AV66+AV79+AV58+AV108</f>
        <v>2189.14883687075</v>
      </c>
      <c r="AW141" s="47" t="n">
        <f aca="false">AW59+AW66+AW79+AW58+AW108</f>
        <v>2206.42325219656</v>
      </c>
      <c r="AX141" s="47" t="n">
        <f aca="false">AX59+AX66+AX79+AX58+AX108</f>
        <v>2197.62143575081</v>
      </c>
      <c r="AY141" s="47" t="n">
        <f aca="false">AY59+AY66+AY79+AY58+AY108</f>
        <v>2159.1776721149</v>
      </c>
      <c r="AZ141" s="47" t="n">
        <f aca="false">AZ59+AZ66+AZ79+AZ58+AZ108</f>
        <v>2176.43642106663</v>
      </c>
      <c r="BA141" s="47" t="n">
        <f aca="false">BA59+BA66+BA79+BA58+BA108</f>
        <v>2193.58831430042</v>
      </c>
      <c r="BB141" s="47" t="n">
        <f aca="false">BB59+BB66+BB79+BB58+BB108</f>
        <v>2184.59475205576</v>
      </c>
      <c r="BC141" s="47" t="n">
        <f aca="false">BC59+BC66+BC79+BC58+BC108</f>
        <v>2145.81483647844</v>
      </c>
      <c r="BD141" s="47" t="n">
        <f aca="false">BD59+BD66+BD79+BD58+BD108</f>
        <v>2162.94571415452</v>
      </c>
      <c r="BE141" s="47" t="n">
        <f aca="false">BE59+BE66+BE79+BE58+BE108</f>
        <v>2179.96809720384</v>
      </c>
      <c r="BF141" s="47" t="n">
        <f aca="false">BF59+BF66+BF79+BF58+BF108</f>
        <v>2170.77706227669</v>
      </c>
      <c r="BG141" s="47" t="n">
        <f aca="false">BG59+BG66+BG79+BG58+BG108</f>
        <v>2131.6537279697</v>
      </c>
      <c r="BH141" s="47" t="n">
        <f aca="false">BH59+BH66+BH79+BH58+BH108</f>
        <v>2148.64955066975</v>
      </c>
      <c r="BI141" s="47" t="n">
        <f aca="false">BI59+BI66+BI79+BI58+BI108</f>
        <v>2165.53519163828</v>
      </c>
      <c r="BJ141" s="47" t="n">
        <f aca="false">BJ59+BJ66+BJ79+BJ58+BJ108</f>
        <v>2156.14076307282</v>
      </c>
      <c r="BK141" s="47" t="n">
        <f aca="false">BK59+BK66+BK79+BK58+BK108</f>
        <v>2138.05846785169</v>
      </c>
      <c r="BL141" s="47" t="n">
        <f aca="false">BL59+BL66+BL79+BL58+BL108</f>
        <v>2133.44981046877</v>
      </c>
      <c r="BM141" s="47" t="n">
        <f aca="false">BM59+BM66+BM79+BM58+BM108</f>
        <v>2150.19057924398</v>
      </c>
      <c r="BN141" s="47" t="n">
        <f aca="false">BN59+BN66+BN79+BN58+BN108</f>
        <v>2140.58598296015</v>
      </c>
      <c r="BO141" s="47" t="n">
        <f aca="false">BO59+BO66+BO79+BO58+BO108</f>
        <v>2100.75247017803</v>
      </c>
      <c r="BP141" s="47" t="n">
        <f aca="false">BP59+BP66+BP79+BP58+BP108</f>
        <v>2117.45495787588</v>
      </c>
      <c r="BQ141" s="47" t="n">
        <f aca="false">BQ59+BQ66+BQ79+BQ58+BQ108</f>
        <v>2134.04373216122</v>
      </c>
      <c r="BR141" s="47" t="n">
        <f aca="false">BR59+BR66+BR79+BR58+BR108</f>
        <v>2124.22326600335</v>
      </c>
      <c r="BS141" s="47" t="n">
        <f aca="false">BS59+BS66+BS79+BS58+BS108</f>
        <v>2084.02316711</v>
      </c>
      <c r="BT141" s="47" t="n">
        <f aca="false">BT59+BT66+BT79+BT58+BT108</f>
        <v>2100.56748806588</v>
      </c>
      <c r="BU141" s="47" t="n">
        <f aca="false">BU59+BU66+BU79+BU58+BU108</f>
        <v>2116.99625340034</v>
      </c>
      <c r="BV141" s="47" t="n">
        <f aca="false">BV59+BV66+BV79+BV58+BV108</f>
        <v>2106.95337109657</v>
      </c>
      <c r="BW141" s="47" t="n">
        <f aca="false">BW59+BW66+BW79+BW58+BW108</f>
        <v>2066.37849796649</v>
      </c>
      <c r="BX141" s="47" t="n">
        <f aca="false">BX59+BX66+BX79+BX58+BX108</f>
        <v>2082.75641468876</v>
      </c>
      <c r="BY141" s="47" t="n">
        <f aca="false">BY59+BY66+BY79+BY58+BY108</f>
        <v>2099.0168783083</v>
      </c>
      <c r="BZ141" s="47" t="n">
        <f aca="false">BZ59+BZ66+BZ79+BZ58+BZ108</f>
        <v>2088.74481049981</v>
      </c>
      <c r="CA141" s="47" t="n">
        <f aca="false">CA59+CA66+CA79+CA58+CA108</f>
        <v>2069.29781422633</v>
      </c>
      <c r="CB141" s="47" t="n">
        <f aca="false">CB59+CB66+CB79+CB58+CB108</f>
        <v>2063.91927646705</v>
      </c>
      <c r="CC141" s="47" t="n">
        <f aca="false">CC59+CC66+CC79+CC58+CC108</f>
        <v>2080.00220811146</v>
      </c>
      <c r="CD141" s="47" t="n">
        <f aca="false">CD59+CD66+CD79+CD58+CD108</f>
        <v>2069.49329862004</v>
      </c>
      <c r="CE141" s="47" t="n">
        <f aca="false">CE59+CE66+CE79+CE58+CE108</f>
        <v>2028.14264254665</v>
      </c>
      <c r="CF141" s="47" t="n">
        <f aca="false">CF59+CF66+CF79+CF58+CF108</f>
        <v>2044.16121776895</v>
      </c>
      <c r="CG141" s="47" t="n">
        <f aca="false">CG59+CG66+CG79+CG58+CG108</f>
        <v>2060.05836515404</v>
      </c>
      <c r="CH141" s="47" t="n">
        <f aca="false">CH59+CH66+CH79+CH58+CH108</f>
        <v>2049.30600570606</v>
      </c>
      <c r="CI141" s="47" t="n">
        <f aca="false">CI59+CI66+CI79+CI58+CI108</f>
        <v>2007.55445241092</v>
      </c>
      <c r="CJ141" s="47" t="n">
        <f aca="false">CJ59+CJ66+CJ79+CJ58+CJ108</f>
        <v>2023.38013268135</v>
      </c>
      <c r="CK141" s="47" t="n">
        <f aca="false">CK59+CK66+CK79+CK58+CK108</f>
        <v>2039.08230971909</v>
      </c>
      <c r="CL141" s="47" t="n">
        <f aca="false">CL59+CL66+CL79+CL58+CL108</f>
        <v>2028.0790121483</v>
      </c>
      <c r="CM141" s="47" t="n">
        <f aca="false">CM59+CM66+CM79+CM58+CM108</f>
        <v>1985.91732072628</v>
      </c>
      <c r="CN141" s="47" t="n">
        <f aca="false">CN59+CN66+CN79+CN58+CN108</f>
        <v>2001.54066560791</v>
      </c>
      <c r="CO141" s="47" t="n">
        <f aca="false">CO59+CO66+CO79+CO58+CO108</f>
        <v>2017.03836842685</v>
      </c>
      <c r="CP141" s="47" t="n">
        <f aca="false">CP59+CP66+CP79+CP58+CP108</f>
        <v>2005.77638803797</v>
      </c>
      <c r="CQ141" s="47" t="n">
        <f aca="false">CQ59+CQ66+CQ79+CQ58+CQ108</f>
        <v>1984.79688124239</v>
      </c>
      <c r="CR141" s="47" t="n">
        <f aca="false">CR59+CR66+CR79+CR58+CR108</f>
        <v>1978.53553955506</v>
      </c>
      <c r="CS141" s="47" t="n">
        <f aca="false">CS59+CS66+CS79+CS58+CS108</f>
        <v>1993.81828320885</v>
      </c>
      <c r="CT141" s="47" t="n">
        <f aca="false">CT59+CT66+CT79+CT58+CT108</f>
        <v>1982.28895106833</v>
      </c>
      <c r="CU141" s="47" t="n">
        <f aca="false">CU59+CU66+CU79+CU58+CU108</f>
        <v>1945.76843007739</v>
      </c>
      <c r="CV141" s="47" t="n">
        <f aca="false">CV59+CV66+CV79+CV58+CV108</f>
        <v>1967.38807930047</v>
      </c>
      <c r="CW141" s="47" t="n">
        <f aca="false">CW59+CW66+CW79+CW58+CW108</f>
        <v>1989.00772852355</v>
      </c>
      <c r="CX141" s="47" t="n">
        <f aca="false">CX59+CX66+CX79+CX58+CX108</f>
        <v>1983.89612736875</v>
      </c>
      <c r="CY141" s="47" t="n">
        <f aca="false">CY59+CY66+CY79+CY58+CY108</f>
        <v>1947.18272024833</v>
      </c>
      <c r="CZ141" s="47" t="n">
        <f aca="false">CZ59+CZ66+CZ79+CZ58+CZ108</f>
        <v>1968.81808380664</v>
      </c>
      <c r="DA141" s="47" t="n">
        <f aca="false">DA59+DA66+DA79+DA58+DA108</f>
        <v>1990.45344736496</v>
      </c>
      <c r="DB141" s="47" t="n">
        <f aca="false">DB59+DB66+DB79+DB58+DB108</f>
        <v>1351.75211954895</v>
      </c>
      <c r="DC141" s="47" t="n">
        <f aca="false">DC59+DC66+DC79+DC58+DC108</f>
        <v>1328.61699672919</v>
      </c>
      <c r="DD141" s="47" t="n">
        <f aca="false">DD59+DD66+DD79+DD58+DD108</f>
        <v>1343.37940780396</v>
      </c>
      <c r="DE141" s="47" t="n">
        <f aca="false">DE59+DE66+DE79+DE58+DE108</f>
        <v>1358.14181887873</v>
      </c>
      <c r="DF141" s="47" t="n">
        <f aca="false">DF59+DF66+DF79+DF58+DF108</f>
        <v>1352.96922160651</v>
      </c>
      <c r="DG141" s="47" t="n">
        <f aca="false">DG59+DG66+DG79+DG58+DG108</f>
        <v>1344.41122217711</v>
      </c>
      <c r="DH141" s="47" t="n">
        <f aca="false">DH59+DH66+DH79+DH58+DH108</f>
        <v>1344.41122217711</v>
      </c>
      <c r="DI141" s="47" t="n">
        <f aca="false">DI59+DI66+DI79+DI58+DI108</f>
        <v>1359.18497187136</v>
      </c>
      <c r="DJ141" s="47" t="n">
        <f aca="false">DJ59+DJ66+DJ79+DJ58+DJ108</f>
        <v>1353.98179084478</v>
      </c>
      <c r="DK141" s="47" t="n">
        <f aca="false">DK59+DK66+DK79+DK58+DK108</f>
        <v>1330.45150532208</v>
      </c>
      <c r="DL141" s="47" t="n">
        <f aca="false">DL59+DL66+DL79+DL58+DL108</f>
        <v>1345.23429982566</v>
      </c>
      <c r="DM141" s="47" t="n">
        <f aca="false">DM59+DM66+DM79+DM58+DM108</f>
        <v>1360.01709432924</v>
      </c>
      <c r="DN141" s="47" t="n">
        <f aca="false">DN59+DN66+DN79+DN58+DN108</f>
        <v>1354.78327628251</v>
      </c>
      <c r="DO141" s="47" t="n">
        <f aca="false">DO59+DO66+DO79+DO58+DO108</f>
        <v>1331.05251690687</v>
      </c>
      <c r="DP141" s="47" t="n">
        <f aca="false">DP59+DP66+DP79+DP58+DP108</f>
        <v>1345.84198931695</v>
      </c>
      <c r="DQ141" s="47" t="n">
        <f aca="false">DQ59+DQ66+DQ79+DQ58+DQ108</f>
        <v>1360.63146172703</v>
      </c>
      <c r="DR141" s="47" t="n">
        <f aca="false">DR59+DR66+DR79+DR58+DR108</f>
        <v>1355.36695640901</v>
      </c>
      <c r="DS141" s="47" t="n">
        <f aca="false">DS59+DS66+DS79+DS58+DS108</f>
        <v>1331.43375783812</v>
      </c>
      <c r="DT141" s="47" t="n">
        <f aca="false">DT59+DT66+DT79+DT58+DT108</f>
        <v>1346.22746625854</v>
      </c>
      <c r="DU141" s="47" t="n">
        <f aca="false">DU59+DU66+DU79+DU58+DU108</f>
        <v>1361.02117467897</v>
      </c>
      <c r="DV141" s="47" t="n">
        <f aca="false">DV59+DV66+DV79+DV58+DV108</f>
        <v>1355.72593494877</v>
      </c>
      <c r="DW141" s="47" t="n">
        <f aca="false">DW59+DW66+DW79+DW58+DW108</f>
        <v>1346.38372900372</v>
      </c>
      <c r="DX141" s="47" t="n">
        <f aca="false">DX59+DX66+DX79+DX58+DX108</f>
        <v>1346.38372900372</v>
      </c>
      <c r="DY141" s="47" t="n">
        <f aca="false">DY59+DY66+DY79+DY58+DY108</f>
        <v>1361.17915459717</v>
      </c>
      <c r="DZ141" s="47" t="n">
        <f aca="false">DZ59+DZ66+DZ79+DZ58+DZ108</f>
        <v>1355.85313652207</v>
      </c>
      <c r="EA141" s="47" t="n">
        <f aca="false">EA59+EA66+EA79+EA58+EA108</f>
        <v>1331.50904925968</v>
      </c>
      <c r="EB141" s="47" t="n">
        <f aca="false">EB59+EB66+EB79+EB58+EB108</f>
        <v>1346.30359425145</v>
      </c>
      <c r="EC141" s="47" t="n">
        <f aca="false">EC59+EC66+EC79+EC58+EC108</f>
        <v>1361.09813924322</v>
      </c>
      <c r="ED141" s="47" t="n">
        <f aca="false">ED59+ED66+ED79+ED58+ED108</f>
        <v>1355.7413021989</v>
      </c>
      <c r="EE141" s="47" t="n">
        <f aca="false">EE59+EE66+EE79+EE58+EE108</f>
        <v>1331.18870690596</v>
      </c>
      <c r="EF141" s="47" t="n">
        <f aca="false">EF59+EF66+EF79+EF58+EF108</f>
        <v>1345.97969253825</v>
      </c>
      <c r="EG141" s="47" t="n">
        <f aca="false">EG59+EG66+EG79+EG58+EG108</f>
        <v>1360.77067817053</v>
      </c>
      <c r="EH141" s="47" t="n">
        <f aca="false">EH59+EH66+EH79+EH58+EH108</f>
        <v>1355.38298494376</v>
      </c>
      <c r="EI141" s="47" t="n">
        <f aca="false">EI59+EI66+EI79+EI58+EI108</f>
        <v>1330.61979918396</v>
      </c>
      <c r="EJ141" s="47" t="n">
        <f aca="false">EJ59+EJ66+EJ79+EJ58+EJ108</f>
        <v>1345.40446361934</v>
      </c>
      <c r="EK141" s="47" t="n">
        <f aca="false">EK59+EK66+EK79+EK58+EK108</f>
        <v>1360.18912805472</v>
      </c>
      <c r="EL141" s="47" t="n">
        <f aca="false">EL59+EL66+EL79+EL58+EL108</f>
        <v>1354.77054494849</v>
      </c>
      <c r="EM141" s="47" t="n">
        <f aca="false">EM59+EM66+EM79+EM58+EM108</f>
        <v>1344.57015173635</v>
      </c>
      <c r="EN141" s="47" t="n">
        <f aca="false">EN59+EN66+EN79+EN58+EN108</f>
        <v>1344.57015173635</v>
      </c>
      <c r="EO141" s="47" t="n">
        <f aca="false">EO59+EO66+EO79+EO58+EO108</f>
        <v>1359.34564790928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0.0590875963218425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82379.4023902795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-6343.24141455136</v>
      </c>
      <c r="S143" s="56" t="n">
        <f aca="false">S59+S66+S91+S95+S96+S79+S89+S97+S58+S108</f>
        <v>-8866.86817882802</v>
      </c>
      <c r="T143" s="56" t="n">
        <f aca="false">T59+T66+T91+T95+T96+T79+T89+T97+T58+T108</f>
        <v>-5231.13156786321</v>
      </c>
      <c r="U143" s="56" t="n">
        <f aca="false">U59+U66+U91+U95+U96+U79+U89+U97+U58+U108</f>
        <v>-5274.56210977118</v>
      </c>
      <c r="V143" s="56" t="n">
        <f aca="false">V59+V66+V91+V95+V96+V79+V89+V97+V58+V108</f>
        <v>-5260.35324521498</v>
      </c>
      <c r="W143" s="56" t="n">
        <f aca="false">W59+W66+W91+W95+W96+W79+W89+W97+W58+W108</f>
        <v>-5133.13969486067</v>
      </c>
      <c r="X143" s="56" t="n">
        <f aca="false">X59+X66+X91+X95+X96+X79+X89+X97+X58+X108</f>
        <v>-5176.42569086062</v>
      </c>
      <c r="Y143" s="56" t="n">
        <f aca="false">Y59+Y66+Y91+Y95+Y96+Y79+Y89+Y97+Y58+Y108</f>
        <v>-7632.54644918575</v>
      </c>
      <c r="Z143" s="56" t="n">
        <f aca="false">Z59+Z66+Z91+Z95+Z96+Z79+Z89+Z97+Z58+Z108</f>
        <v>973.946027157343</v>
      </c>
      <c r="AA143" s="56" t="n">
        <f aca="false">AA59+AA66+AA91+AA95+AA96+AA79+AA89+AA97+AA58+AA108</f>
        <v>958.419107123517</v>
      </c>
      <c r="AB143" s="56" t="n">
        <f aca="false">AB59+AB66+AB91+AB95+AB96+AB79+AB89+AB97+AB58+AB108</f>
        <v>966.607236745467</v>
      </c>
      <c r="AC143" s="56" t="n">
        <f aca="false">AC59+AC66+AC91+AC95+AC96+AC79+AC89+AC97+AC58+AC108</f>
        <v>974.758731577482</v>
      </c>
      <c r="AD143" s="56" t="n">
        <f aca="false">AD59+AD66+AD91+AD95+AD96+AD79+AD89+AD97+AD58+AD108</f>
        <v>971.30586344416</v>
      </c>
      <c r="AE143" s="56" t="n">
        <f aca="false">AE59+AE66+AE91+AE95+AE96+AE79+AE89+AE97+AE58+AE108</f>
        <v>964.992988336455</v>
      </c>
      <c r="AF143" s="56" t="n">
        <f aca="false">AF59+AF66+AF91+AF95+AF96+AF79+AF89+AF97+AF58+AF108</f>
        <v>963.780277283677</v>
      </c>
      <c r="AG143" s="56" t="n">
        <f aca="false">AG59+AG66+AG91+AG95+AG96+AG79+AG89+AG97+AG58+AG108</f>
        <v>971.901188021645</v>
      </c>
      <c r="AH143" s="56" t="n">
        <f aca="false">AH59+AH66+AH91+AH95+AH96+AH79+AH89+AH97+AH58+AH108</f>
        <v>968.381159335239</v>
      </c>
      <c r="AI143" s="56" t="n">
        <f aca="false">AI59+AI66+AI91+AI95+AI96+AI79+AI89+AI97+AI58+AI108</f>
        <v>952.588558225091</v>
      </c>
      <c r="AJ143" s="56" t="n">
        <f aca="false">AJ59+AJ66+AJ91+AJ95+AJ96+AJ79+AJ89+AJ97+AJ58+AJ108</f>
        <v>969.493052364577</v>
      </c>
      <c r="AK143" s="56" t="n">
        <f aca="false">AK59+AK66+AK91+AK95+AK96+AK79+AK89+AK97+AK58+AK108</f>
        <v>977.653535927451</v>
      </c>
      <c r="AL143" s="56" t="n">
        <f aca="false">AL59+AL66+AL91+AL95+AL96+AL79+AL89+AL97+AL58+AL108</f>
        <v>961.049419305691</v>
      </c>
      <c r="AM143" s="56" t="n">
        <f aca="false">AM59+AM66+AM91+AM95+AM96+AM79+AM89+AM97+AM58+AM108</f>
        <v>944.91502253965</v>
      </c>
      <c r="AN143" s="56" t="n">
        <f aca="false">AN59+AN66+AN91+AN95+AN96+AN79+AN89+AN97+AN58+AN108</f>
        <v>952.493195456527</v>
      </c>
      <c r="AO143" s="56" t="n">
        <f aca="false">AO59+AO66+AO91+AO95+AO96+AO79+AO89+AO97+AO58+AO108</f>
        <v>960.027365940229</v>
      </c>
      <c r="AP143" s="56" t="n">
        <f aca="false">AP59+AP66+AP91+AP95+AP96+AP79+AP89+AP97+AP58+AP108</f>
        <v>956.396263039151</v>
      </c>
      <c r="AQ143" s="56" t="n">
        <f aca="false">AQ59+AQ66+AQ91+AQ95+AQ96+AQ79+AQ89+AQ97+AQ58+AQ108</f>
        <v>940.126005097491</v>
      </c>
      <c r="AR143" s="56" t="n">
        <f aca="false">AR59+AR66+AR91+AR95+AR96+AR79+AR89+AR97+AR58+AR108</f>
        <v>947.657802031454</v>
      </c>
      <c r="AS143" s="56" t="n">
        <f aca="false">AS59+AS66+AS91+AS95+AS96+AS79+AS89+AS97+AS58+AS108</f>
        <v>955.144949204364</v>
      </c>
      <c r="AT143" s="56" t="n">
        <f aca="false">AT59+AT66+AT91+AT95+AT96+AT79+AT89+AT97+AT58+AT108</f>
        <v>951.435996722041</v>
      </c>
      <c r="AU143" s="56" t="n">
        <f aca="false">AU59+AU66+AU91+AU95+AU96+AU79+AU89+AU97+AU58+AU108</f>
        <v>944.174766437842</v>
      </c>
      <c r="AV143" s="56" t="n">
        <f aca="false">AV59+AV66+AV91+AV95+AV96+AV79+AV89+AV97+AV58+AV108</f>
        <v>942.479691067145</v>
      </c>
      <c r="AW143" s="56" t="n">
        <f aca="false">AW59+AW66+AW91+AW95+AW96+AW79+AW89+AW97+AW58+AW108</f>
        <v>949.91673022389</v>
      </c>
      <c r="AX143" s="56" t="n">
        <f aca="false">AX59+AX66+AX91+AX95+AX96+AX79+AX89+AX97+AX58+AX108</f>
        <v>946.12734272095</v>
      </c>
      <c r="AY143" s="56" t="n">
        <f aca="false">AY59+AY66+AY91+AY95+AY96+AY79+AY89+AY97+AY58+AY108</f>
        <v>929.576404810886</v>
      </c>
      <c r="AZ143" s="56" t="n">
        <f aca="false">AZ59+AZ66+AZ91+AZ95+AZ96+AZ79+AZ89+AZ97+AZ58+AZ108</f>
        <v>937.006699227796</v>
      </c>
      <c r="BA143" s="56" t="n">
        <f aca="false">BA59+BA66+BA91+BA95+BA96+BA79+BA89+BA97+BA58+BA108</f>
        <v>944.390989763044</v>
      </c>
      <c r="BB143" s="56" t="n">
        <f aca="false">BB59+BB66+BB91+BB95+BB96+BB79+BB89+BB97+BB58+BB108</f>
        <v>940.519051216415</v>
      </c>
      <c r="BC143" s="56" t="n">
        <f aca="false">BC59+BC66+BC91+BC95+BC96+BC79+BC89+BC97+BC58+BC108</f>
        <v>923.823392046418</v>
      </c>
      <c r="BD143" s="56" t="n">
        <f aca="false">BD59+BD66+BD91+BD95+BD96+BD79+BD89+BD97+BD58+BD108</f>
        <v>931.19863489337</v>
      </c>
      <c r="BE143" s="56" t="n">
        <f aca="false">BE59+BE66+BE91+BE95+BE96+BE79+BE89+BE97+BE58+BE108</f>
        <v>938.527168270147</v>
      </c>
      <c r="BF143" s="56" t="n">
        <f aca="false">BF59+BF66+BF91+BF95+BF96+BF79+BF89+BF97+BF58+BF108</f>
        <v>934.570213122712</v>
      </c>
      <c r="BG143" s="56" t="n">
        <f aca="false">BG59+BG66+BG91+BG95+BG96+BG79+BG89+BG97+BG58+BG108</f>
        <v>917.72670417075</v>
      </c>
      <c r="BH143" s="56" t="n">
        <f aca="false">BH59+BH66+BH91+BH95+BH96+BH79+BH89+BH97+BH58+BH108</f>
        <v>925.043802696984</v>
      </c>
      <c r="BI143" s="56" t="n">
        <f aca="false">BI59+BI66+BI91+BI95+BI96+BI79+BI89+BI97+BI58+BI108</f>
        <v>932.313465415045</v>
      </c>
      <c r="BJ143" s="56" t="n">
        <f aca="false">BJ59+BJ66+BJ91+BJ95+BJ96+BJ79+BJ89+BJ97+BJ58+BJ108</f>
        <v>928.268944557065</v>
      </c>
      <c r="BK143" s="56" t="n">
        <f aca="false">BK59+BK66+BK91+BK95+BK96+BK79+BK89+BK97+BK58+BK108</f>
        <v>920.484094241455</v>
      </c>
      <c r="BL143" s="56" t="n">
        <f aca="false">BL59+BL66+BL91+BL95+BL96+BL79+BL89+BL97+BL58+BL108</f>
        <v>918.499959625682</v>
      </c>
      <c r="BM143" s="56" t="n">
        <f aca="false">BM59+BM66+BM91+BM95+BM96+BM79+BM89+BM97+BM58+BM108</f>
        <v>925.707251481735</v>
      </c>
      <c r="BN143" s="56" t="n">
        <f aca="false">BN59+BN66+BN91+BN95+BN96+BN79+BN89+BN97+BN58+BN108</f>
        <v>921.572248513552</v>
      </c>
      <c r="BO143" s="56" t="n">
        <f aca="false">BO59+BO66+BO91+BO95+BO96+BO79+BO89+BO97+BO58+BO108</f>
        <v>904.422991145309</v>
      </c>
      <c r="BP143" s="56" t="n">
        <f aca="false">BP59+BP66+BP91+BP95+BP96+BP79+BP89+BP97+BP58+BP108</f>
        <v>911.613802103687</v>
      </c>
      <c r="BQ143" s="56" t="n">
        <f aca="false">BQ59+BQ66+BQ91+BQ95+BQ96+BQ79+BQ89+BQ97+BQ58+BQ108</f>
        <v>918.755656782751</v>
      </c>
      <c r="BR143" s="56" t="n">
        <f aca="false">BR59+BR66+BR91+BR95+BR96+BR79+BR89+BR97+BR58+BR108</f>
        <v>914.527716793201</v>
      </c>
      <c r="BS143" s="56" t="n">
        <f aca="false">BS59+BS66+BS91+BS95+BS96+BS79+BS89+BS97+BS58+BS108</f>
        <v>897.220635544241</v>
      </c>
      <c r="BT143" s="56" t="n">
        <f aca="false">BT59+BT66+BT91+BT95+BT96+BT79+BT89+BT97+BT58+BT108</f>
        <v>904.343352026971</v>
      </c>
      <c r="BU143" s="56" t="n">
        <f aca="false">BU59+BU66+BU91+BU95+BU96+BU79+BU89+BU97+BU58+BU108</f>
        <v>911.416319116439</v>
      </c>
      <c r="BV143" s="56" t="n">
        <f aca="false">BV59+BV66+BV91+BV95+BV96+BV79+BV89+BV97+BV58+BV108</f>
        <v>907.092623782621</v>
      </c>
      <c r="BW143" s="56" t="n">
        <f aca="false">BW59+BW66+BW91+BW95+BW96+BW79+BW89+BW97+BW58+BW108</f>
        <v>889.624193473714</v>
      </c>
      <c r="BX143" s="56" t="n">
        <f aca="false">BX59+BX66+BX91+BX95+BX96+BX79+BX89+BX97+BX58+BX108</f>
        <v>896.675269048295</v>
      </c>
      <c r="BY143" s="56" t="n">
        <f aca="false">BY59+BY66+BY91+BY95+BY96+BY79+BY89+BY97+BY58+BY108</f>
        <v>903.675778319607</v>
      </c>
      <c r="BZ143" s="56" t="n">
        <f aca="false">BZ59+BZ66+BZ91+BZ95+BZ96+BZ79+BZ89+BZ97+BZ58+BZ108</f>
        <v>899.253413274479</v>
      </c>
      <c r="CA143" s="56" t="n">
        <f aca="false">CA59+CA66+CA91+CA95+CA96+CA79+CA89+CA97+CA58+CA108</f>
        <v>890.881027289873</v>
      </c>
      <c r="CB143" s="56" t="n">
        <f aca="false">CB59+CB66+CB91+CB95+CB96+CB79+CB89+CB97+CB58+CB108</f>
        <v>888.565441195222</v>
      </c>
      <c r="CC143" s="56" t="n">
        <f aca="false">CC59+CC66+CC91+CC95+CC96+CC79+CC89+CC97+CC58+CC108</f>
        <v>895.489518805824</v>
      </c>
      <c r="CD143" s="56" t="n">
        <f aca="false">CD59+CD66+CD91+CD95+CD96+CD79+CD89+CD97+CD58+CD108</f>
        <v>890.965187885897</v>
      </c>
      <c r="CE143" s="56" t="n">
        <f aca="false">CE59+CE66+CE91+CE95+CE96+CE79+CE89+CE97+CE58+CE108</f>
        <v>873.162764905248</v>
      </c>
      <c r="CF143" s="56" t="n">
        <f aca="false">CF59+CF66+CF91+CF95+CF96+CF79+CF89+CF97+CF58+CF108</f>
        <v>880.059135573387</v>
      </c>
      <c r="CG143" s="56" t="n">
        <f aca="false">CG59+CG66+CG91+CG95+CG96+CG79+CG89+CG97+CG58+CG108</f>
        <v>886.903228722249</v>
      </c>
      <c r="CH143" s="56" t="n">
        <f aca="false">CH59+CH66+CH91+CH95+CH96+CH79+CH89+CH97+CH58+CH108</f>
        <v>882.274086911422</v>
      </c>
      <c r="CI143" s="56" t="n">
        <f aca="false">CI59+CI66+CI91+CI95+CI96+CI79+CI89+CI97+CI58+CI108</f>
        <v>864.299068315801</v>
      </c>
      <c r="CJ143" s="56" t="n">
        <f aca="false">CJ59+CJ66+CJ91+CJ95+CJ96+CJ79+CJ89+CJ97+CJ58+CJ108</f>
        <v>871.112393203027</v>
      </c>
      <c r="CK143" s="56" t="n">
        <f aca="false">CK59+CK66+CK91+CK95+CK96+CK79+CK89+CK97+CK58+CK108</f>
        <v>877.872547064765</v>
      </c>
      <c r="CL143" s="56" t="n">
        <f aca="false">CL59+CL66+CL91+CL95+CL96+CL79+CL89+CL97+CL58+CL108</f>
        <v>873.135370532621</v>
      </c>
      <c r="CM143" s="56" t="n">
        <f aca="false">CM59+CM66+CM91+CM95+CM96+CM79+CM89+CM97+CM58+CM108</f>
        <v>854.983777896609</v>
      </c>
      <c r="CN143" s="56" t="n">
        <f aca="false">CN59+CN66+CN91+CN95+CN96+CN79+CN89+CN97+CN58+CN108</f>
        <v>861.709992674395</v>
      </c>
      <c r="CO143" s="56" t="n">
        <f aca="false">CO59+CO66+CO91+CO95+CO96+CO79+CO89+CO97+CO58+CO108</f>
        <v>868.382115610438</v>
      </c>
      <c r="CP143" s="56" t="n">
        <f aca="false">CP59+CP66+CP91+CP95+CP96+CP79+CP89+CP97+CP58+CP108</f>
        <v>863.533570084831</v>
      </c>
      <c r="CQ143" s="56" t="n">
        <f aca="false">CQ59+CQ66+CQ91+CQ95+CQ96+CQ79+CQ89+CQ97+CQ58+CQ108</f>
        <v>854.501402536149</v>
      </c>
      <c r="CR143" s="56" t="n">
        <f aca="false">CR59+CR66+CR91+CR95+CR96+CR79+CR89+CR97+CR58+CR108</f>
        <v>851.80574873686</v>
      </c>
      <c r="CS143" s="56" t="n">
        <f aca="false">CS59+CS66+CS91+CS95+CS96+CS79+CS89+CS97+CS58+CS108</f>
        <v>2146.67670663369</v>
      </c>
      <c r="CT143" s="56" t="n">
        <f aca="false">CT59+CT66+CT91+CT95+CT96+CT79+CT89+CT97+CT58+CT108</f>
        <v>1982.28895106833</v>
      </c>
      <c r="CU143" s="56" t="n">
        <f aca="false">CU59+CU66+CU91+CU95+CU96+CU79+CU89+CU97+CU58+CU108</f>
        <v>1945.76843007739</v>
      </c>
      <c r="CV143" s="56" t="n">
        <f aca="false">CV59+CV66+CV91+CV95+CV96+CV79+CV89+CV97+CV58+CV108</f>
        <v>1967.38807930047</v>
      </c>
      <c r="CW143" s="56" t="n">
        <f aca="false">CW59+CW66+CW91+CW95+CW96+CW79+CW89+CW97+CW58+CW108</f>
        <v>1989.00772852355</v>
      </c>
      <c r="CX143" s="56" t="n">
        <f aca="false">CX59+CX66+CX91+CX95+CX96+CX79+CX89+CX97+CX58+CX108</f>
        <v>1983.89612736875</v>
      </c>
      <c r="CY143" s="56" t="n">
        <f aca="false">CY59+CY66+CY91+CY95+CY96+CY79+CY89+CY97+CY58+CY108</f>
        <v>1947.18272024833</v>
      </c>
      <c r="CZ143" s="56" t="n">
        <f aca="false">CZ59+CZ66+CZ91+CZ95+CZ96+CZ79+CZ89+CZ97+CZ58+CZ108</f>
        <v>1968.81808380664</v>
      </c>
      <c r="DA143" s="56" t="n">
        <f aca="false">DA59+DA66+DA91+DA95+DA96+DA79+DA89+DA97+DA58+DA108</f>
        <v>1990.45344736496</v>
      </c>
      <c r="DB143" s="56" t="n">
        <f aca="false">DB59+DB66+DB91+DB95+DB96+DB79+DB89+DB97+DB58+DB108</f>
        <v>1351.75211954895</v>
      </c>
      <c r="DC143" s="56" t="n">
        <f aca="false">DC59+DC66+DC91+DC95+DC96+DC79+DC89+DC97+DC58+DC108</f>
        <v>1328.61699672919</v>
      </c>
      <c r="DD143" s="56" t="n">
        <f aca="false">DD59+DD66+DD91+DD95+DD96+DD79+DD89+DD97+DD58+DD108</f>
        <v>1343.37940780396</v>
      </c>
      <c r="DE143" s="56" t="n">
        <f aca="false">DE59+DE66+DE91+DE95+DE96+DE79+DE89+DE97+DE58+DE108</f>
        <v>1358.14181887873</v>
      </c>
      <c r="DF143" s="56" t="n">
        <f aca="false">DF59+DF66+DF91+DF95+DF96+DF79+DF89+DF97+DF58+DF108</f>
        <v>1352.96922160651</v>
      </c>
      <c r="DG143" s="56" t="n">
        <f aca="false">DG59+DG66+DG91+DG95+DG96+DG79+DG89+DG97+DG58+DG108</f>
        <v>1344.41122217711</v>
      </c>
      <c r="DH143" s="56" t="n">
        <f aca="false">DH59+DH66+DH91+DH95+DH96+DH79+DH89+DH97+DH58+DH108</f>
        <v>1344.41122217711</v>
      </c>
      <c r="DI143" s="56" t="n">
        <f aca="false">DI59+DI66+DI91+DI95+DI96+DI79+DI89+DI97+DI58+DI108</f>
        <v>1359.18497187136</v>
      </c>
      <c r="DJ143" s="56" t="n">
        <f aca="false">DJ59+DJ66+DJ91+DJ95+DJ96+DJ79+DJ89+DJ97+DJ58+DJ108</f>
        <v>1353.98179084478</v>
      </c>
      <c r="DK143" s="56" t="n">
        <f aca="false">DK59+DK66+DK91+DK95+DK96+DK79+DK89+DK97+DK58+DK108</f>
        <v>1330.45150532208</v>
      </c>
      <c r="DL143" s="56" t="n">
        <f aca="false">DL59+DL66+DL91+DL95+DL96+DL79+DL89+DL97+DL58+DL108</f>
        <v>1345.23429982566</v>
      </c>
      <c r="DM143" s="56" t="n">
        <f aca="false">DM59+DM66+DM91+DM95+DM96+DM79+DM89+DM97+DM58+DM108</f>
        <v>1360.01709432924</v>
      </c>
      <c r="DN143" s="56" t="n">
        <f aca="false">DN59+DN66+DN91+DN95+DN96+DN79+DN89+DN97+DN58+DN108</f>
        <v>1354.78327628251</v>
      </c>
      <c r="DO143" s="56" t="n">
        <f aca="false">DO59+DO66+DO91+DO95+DO96+DO79+DO89+DO97+DO58+DO108</f>
        <v>1331.05251690687</v>
      </c>
      <c r="DP143" s="56" t="n">
        <f aca="false">DP59+DP66+DP91+DP95+DP96+DP79+DP89+DP97+DP58+DP108</f>
        <v>1345.84198931695</v>
      </c>
      <c r="DQ143" s="56" t="n">
        <f aca="false">DQ59+DQ66+DQ91+DQ95+DQ96+DQ79+DQ89+DQ97+DQ58+DQ108</f>
        <v>1360.63146172703</v>
      </c>
      <c r="DR143" s="56" t="n">
        <f aca="false">DR59+DR66+DR91+DR95+DR96+DR79+DR89+DR97+DR58+DR108</f>
        <v>1355.36695640901</v>
      </c>
      <c r="DS143" s="56" t="n">
        <f aca="false">DS59+DS66+DS91+DS95+DS96+DS79+DS89+DS97+DS58+DS108</f>
        <v>1331.43375783812</v>
      </c>
      <c r="DT143" s="56" t="n">
        <f aca="false">DT59+DT66+DT91+DT95+DT96+DT79+DT89+DT97+DT58+DT108</f>
        <v>1346.22746625854</v>
      </c>
      <c r="DU143" s="56" t="n">
        <f aca="false">DU59+DU66+DU91+DU95+DU96+DU79+DU89+DU97+DU58+DU108</f>
        <v>1361.02117467897</v>
      </c>
      <c r="DV143" s="56" t="n">
        <f aca="false">DV59+DV66+DV91+DV95+DV96+DV79+DV89+DV97+DV58+DV108</f>
        <v>1355.72593494877</v>
      </c>
      <c r="DW143" s="56" t="n">
        <f aca="false">DW59+DW66+DW91+DW95+DW96+DW79+DW89+DW97+DW58+DW108</f>
        <v>1346.38372900372</v>
      </c>
      <c r="DX143" s="56" t="n">
        <f aca="false">DX59+DX66+DX91+DX95+DX96+DX79+DX89+DX97+DX58+DX108</f>
        <v>1346.38372900372</v>
      </c>
      <c r="DY143" s="56" t="n">
        <f aca="false">DY59+DY66+DY91+DY95+DY96+DY79+DY89+DY97+DY58+DY108</f>
        <v>1361.17915459717</v>
      </c>
      <c r="DZ143" s="56" t="n">
        <f aca="false">DZ59+DZ66+DZ91+DZ95+DZ96+DZ79+DZ89+DZ97+DZ58+DZ108</f>
        <v>1355.85313652207</v>
      </c>
      <c r="EA143" s="56" t="n">
        <f aca="false">EA59+EA66+EA91+EA95+EA96+EA79+EA89+EA97+EA58+EA108</f>
        <v>1331.50904925968</v>
      </c>
      <c r="EB143" s="56" t="n">
        <f aca="false">EB59+EB66+EB91+EB95+EB96+EB79+EB89+EB97+EB58+EB108</f>
        <v>1346.30359425145</v>
      </c>
      <c r="EC143" s="56" t="n">
        <f aca="false">EC59+EC66+EC91+EC95+EC96+EC79+EC89+EC97+EC58+EC108</f>
        <v>1361.09813924322</v>
      </c>
      <c r="ED143" s="56" t="n">
        <f aca="false">ED59+ED66+ED91+ED95+ED96+ED79+ED89+ED97+ED58+ED108</f>
        <v>1355.7413021989</v>
      </c>
      <c r="EE143" s="56" t="n">
        <f aca="false">EE59+EE66+EE91+EE95+EE96+EE79+EE89+EE97+EE58+EE108</f>
        <v>1331.18870690596</v>
      </c>
      <c r="EF143" s="56" t="n">
        <f aca="false">EF59+EF66+EF91+EF95+EF96+EF79+EF89+EF97+EF58+EF108</f>
        <v>1345.97969253825</v>
      </c>
      <c r="EG143" s="56" t="n">
        <f aca="false">EG59+EG66+EG91+EG95+EG96+EG79+EG89+EG97+EG58+EG108</f>
        <v>1360.77067817053</v>
      </c>
      <c r="EH143" s="56" t="n">
        <f aca="false">EH59+EH66+EH91+EH95+EH96+EH79+EH89+EH97+EH58+EH108</f>
        <v>1355.38298494376</v>
      </c>
      <c r="EI143" s="56" t="n">
        <f aca="false">EI59+EI66+EI91+EI95+EI96+EI79+EI89+EI97+EI58+EI108</f>
        <v>1330.61979918396</v>
      </c>
      <c r="EJ143" s="56" t="n">
        <f aca="false">EJ59+EJ66+EJ91+EJ95+EJ96+EJ79+EJ89+EJ97+EJ58+EJ108</f>
        <v>1345.40446361934</v>
      </c>
      <c r="EK143" s="56" t="n">
        <f aca="false">EK59+EK66+EK91+EK95+EK96+EK79+EK89+EK97+EK58+EK108</f>
        <v>1360.18912805472</v>
      </c>
      <c r="EL143" s="56" t="n">
        <f aca="false">EL59+EL66+EL91+EL95+EL96+EL79+EL89+EL97+EL58+EL108</f>
        <v>1354.77054494849</v>
      </c>
      <c r="EM143" s="56" t="n">
        <f aca="false">EM59+EM66+EM91+EM95+EM96+EM79+EM89+EM97+EM58+EM108</f>
        <v>1344.57015173635</v>
      </c>
      <c r="EN143" s="56" t="n">
        <f aca="false">EN59+EN66+EN91+EN95+EN96+EN79+EN89+EN97+EN58+EN108</f>
        <v>1344.57015173635</v>
      </c>
      <c r="EO143" s="56" t="n">
        <f aca="false">EO59+EO66+EO91+EO95+EO96+EO79+EO89+EO97+EO58+EO108</f>
        <v>1359.34564790928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0.0606372162720292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2.50006512414899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-9328.70600235519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-309.786501834886</v>
      </c>
      <c r="AA82" s="57" t="n">
        <v>-306.71250586027</v>
      </c>
      <c r="AB82" s="57" t="n">
        <v>-314.333076022461</v>
      </c>
      <c r="AC82" s="57" t="n">
        <v>-322.018746274677</v>
      </c>
      <c r="AD82" s="57" t="n">
        <v>-330.65955637476</v>
      </c>
      <c r="AE82" s="57" t="n">
        <v>-386.424761459765</v>
      </c>
      <c r="AF82" s="57" t="n">
        <v>-388.769552389245</v>
      </c>
      <c r="AG82" s="57" t="n">
        <v>-397.934224512337</v>
      </c>
      <c r="AH82" s="57" t="n">
        <v>-396.453472077669</v>
      </c>
      <c r="AI82" s="57" t="n">
        <v>-392.552413234602</v>
      </c>
      <c r="AJ82" s="57" t="n">
        <v>-417.036421468488</v>
      </c>
      <c r="AK82" s="57" t="n">
        <v>-426.55870081973</v>
      </c>
      <c r="AL82" s="57" t="n">
        <v>-425.20845984793</v>
      </c>
      <c r="AM82" s="57" t="n">
        <v>-420.987228771935</v>
      </c>
      <c r="AN82" s="57" t="n">
        <v>-430.579937978921</v>
      </c>
      <c r="AO82" s="57" t="n">
        <v>-440.249411360935</v>
      </c>
      <c r="AP82" s="57" t="n">
        <v>-438.986880843565</v>
      </c>
      <c r="AQ82" s="57" t="n">
        <v>-434.736260771303</v>
      </c>
      <c r="AR82" s="57" t="n">
        <v>-444.478004270614</v>
      </c>
      <c r="AS82" s="57" t="n">
        <v>-454.297745118388</v>
      </c>
      <c r="AT82" s="57" t="n">
        <v>-453.127025849721</v>
      </c>
      <c r="AU82" s="57" t="n">
        <v>-455.955385893853</v>
      </c>
      <c r="AV82" s="57" t="n">
        <v>-458.795703146086</v>
      </c>
      <c r="AW82" s="57" t="n">
        <v>-468.769410205329</v>
      </c>
      <c r="AX82" s="57" t="n">
        <v>-467.695275098021</v>
      </c>
      <c r="AY82" s="57" t="n">
        <v>-463.395328003574</v>
      </c>
      <c r="AZ82" s="57" t="n">
        <v>-473.445234794176</v>
      </c>
      <c r="BA82" s="57" t="n">
        <v>-483.575727234925</v>
      </c>
      <c r="BB82" s="57" t="n">
        <v>-482.602102724028</v>
      </c>
      <c r="BC82" s="57" t="n">
        <v>-478.282004391128</v>
      </c>
      <c r="BD82" s="57" t="n">
        <v>-488.490778236107</v>
      </c>
      <c r="BE82" s="57" t="n">
        <v>-498.781490826968</v>
      </c>
      <c r="BF82" s="57" t="n">
        <v>-497.912967884922</v>
      </c>
      <c r="BG82" s="57" t="n">
        <v>-493.576087264826</v>
      </c>
      <c r="BH82" s="57" t="n">
        <v>-503.947250391058</v>
      </c>
      <c r="BI82" s="57" t="n">
        <v>-514.401748297786</v>
      </c>
      <c r="BJ82" s="57" t="n">
        <v>-513.643093613458</v>
      </c>
      <c r="BK82" s="57" t="n">
        <v>-516.521030131071</v>
      </c>
      <c r="BL82" s="57" t="n">
        <v>-519.88237739755</v>
      </c>
      <c r="BM82" s="57" t="n">
        <v>-530.504875431215</v>
      </c>
      <c r="BN82" s="57" t="n">
        <v>-529.861556951899</v>
      </c>
      <c r="BO82" s="57" t="n">
        <v>-525.502380715032</v>
      </c>
      <c r="BP82" s="57" t="n">
        <v>-536.209960765076</v>
      </c>
      <c r="BQ82" s="57" t="n">
        <v>-547.003808199574</v>
      </c>
      <c r="BR82" s="57" t="n">
        <v>-546.480466251485</v>
      </c>
      <c r="BS82" s="57" t="n">
        <v>-542.115608903689</v>
      </c>
      <c r="BT82" s="57" t="n">
        <v>-552.99699417682</v>
      </c>
      <c r="BU82" s="57" t="n">
        <v>-563.96618182041</v>
      </c>
      <c r="BV82" s="57" t="n">
        <v>-563.568152254763</v>
      </c>
      <c r="BW82" s="57" t="n">
        <v>-559.201654588153</v>
      </c>
      <c r="BX82" s="57" t="n">
        <v>-570.260939746508</v>
      </c>
      <c r="BY82" s="57" t="n">
        <v>-581.409612044675</v>
      </c>
      <c r="BZ82" s="57" t="n">
        <v>-581.142434814033</v>
      </c>
      <c r="CA82" s="57" t="n">
        <v>-584.108089709685</v>
      </c>
      <c r="CB82" s="57" t="n">
        <v>-588.072488264311</v>
      </c>
      <c r="CC82" s="57" t="n">
        <v>-599.405466630675</v>
      </c>
      <c r="CD82" s="57" t="n">
        <v>-599.275415576349</v>
      </c>
      <c r="CE82" s="57" t="n">
        <v>-594.919034237188</v>
      </c>
      <c r="CF82" s="57" t="n">
        <v>-606.347574786988</v>
      </c>
      <c r="CG82" s="57" t="n">
        <v>-617.868834195951</v>
      </c>
      <c r="CH82" s="57" t="n">
        <v>-617.881379988196</v>
      </c>
      <c r="CI82" s="57" t="n">
        <v>-613.53664183489</v>
      </c>
      <c r="CJ82" s="57" t="n">
        <v>-625.156363285434</v>
      </c>
      <c r="CK82" s="57" t="n">
        <v>-636.870549498773</v>
      </c>
      <c r="CL82" s="57" t="n">
        <v>-637.031893166399</v>
      </c>
      <c r="CM82" s="57" t="n">
        <v>-632.703625670616</v>
      </c>
      <c r="CN82" s="57" t="n">
        <v>-644.519297000633</v>
      </c>
      <c r="CO82" s="57" t="n">
        <v>-656.431236760428</v>
      </c>
      <c r="CP82" s="57" t="n">
        <v>-656.747816470136</v>
      </c>
      <c r="CQ82" s="57" t="n">
        <v>-659.847945088017</v>
      </c>
      <c r="CR82" s="57" t="n">
        <v>-664.510409351239</v>
      </c>
      <c r="CS82" s="57" t="n">
        <v>-676.625637218595</v>
      </c>
      <c r="CT82" s="57" t="n">
        <v>-677.104661739651</v>
      </c>
      <c r="CU82" s="57" t="n">
        <v>-667.983976392777</v>
      </c>
      <c r="CV82" s="57" t="n">
        <v>-675.406020574919</v>
      </c>
      <c r="CW82" s="57" t="n">
        <v>-682.828064757061</v>
      </c>
      <c r="CX82" s="57" t="n">
        <v>-678.473737847417</v>
      </c>
      <c r="CY82" s="57" t="n">
        <v>-669.188742093946</v>
      </c>
      <c r="CZ82" s="57" t="n">
        <v>-676.624172561656</v>
      </c>
      <c r="DA82" s="57" t="n">
        <v>-684.059603029367</v>
      </c>
      <c r="DB82" s="57" t="n">
        <v>-1151.49254628243</v>
      </c>
      <c r="DC82" s="57" t="n">
        <v>-1131.78484906561</v>
      </c>
      <c r="DD82" s="57" t="n">
        <v>-1144.36023627745</v>
      </c>
      <c r="DE82" s="57" t="n">
        <v>-1156.93562348929</v>
      </c>
      <c r="DF82" s="57" t="n">
        <v>-1152.52933692407</v>
      </c>
      <c r="DG82" s="57" t="n">
        <v>-1145.23918926198</v>
      </c>
      <c r="DH82" s="57" t="n">
        <v>-1145.23918926198</v>
      </c>
      <c r="DI82" s="57" t="n">
        <v>-1157.82423529783</v>
      </c>
      <c r="DJ82" s="57" t="n">
        <v>-1153.39189590481</v>
      </c>
      <c r="DK82" s="57" t="n">
        <v>-1133.3475786077</v>
      </c>
      <c r="DL82" s="57" t="n">
        <v>-1145.94032948112</v>
      </c>
      <c r="DM82" s="57" t="n">
        <v>-1158.53308035454</v>
      </c>
      <c r="DN82" s="57" t="n">
        <v>-1154.07464275917</v>
      </c>
      <c r="DO82" s="57" t="n">
        <v>-1133.85955143919</v>
      </c>
      <c r="DP82" s="57" t="n">
        <v>-1146.45799089962</v>
      </c>
      <c r="DQ82" s="57" t="n">
        <v>-1159.05643036006</v>
      </c>
      <c r="DR82" s="57" t="n">
        <v>-1154.57185175582</v>
      </c>
      <c r="DS82" s="57" t="n">
        <v>-1134.18431223247</v>
      </c>
      <c r="DT82" s="57" t="n">
        <v>-1146.78636014616</v>
      </c>
      <c r="DU82" s="57" t="n">
        <v>-1159.38840805986</v>
      </c>
      <c r="DV82" s="57" t="n">
        <v>-1154.87764828969</v>
      </c>
      <c r="DW82" s="57" t="n">
        <v>-1146.91947285502</v>
      </c>
      <c r="DX82" s="57" t="n">
        <v>-1146.91947285502</v>
      </c>
      <c r="DY82" s="57" t="n">
        <v>-1159.52298354574</v>
      </c>
      <c r="DZ82" s="57" t="n">
        <v>-1154.98600518546</v>
      </c>
      <c r="EA82" s="57" t="n">
        <v>-1134.24844936935</v>
      </c>
      <c r="EB82" s="57" t="n">
        <v>-1146.8512099179</v>
      </c>
      <c r="EC82" s="57" t="n">
        <v>-1159.45397046645</v>
      </c>
      <c r="ED82" s="57" t="n">
        <v>-1154.89073891017</v>
      </c>
      <c r="EE82" s="57" t="n">
        <v>-1133.97556514211</v>
      </c>
      <c r="EF82" s="57" t="n">
        <v>-1146.57529364369</v>
      </c>
      <c r="EG82" s="57" t="n">
        <v>-1159.17502214527</v>
      </c>
      <c r="EH82" s="57" t="n">
        <v>-1154.58550569283</v>
      </c>
      <c r="EI82" s="57" t="n">
        <v>-1133.4909400456</v>
      </c>
      <c r="EJ82" s="57" t="n">
        <v>-1146.08528382388</v>
      </c>
      <c r="EK82" s="57" t="n">
        <v>-1158.67962760216</v>
      </c>
      <c r="EL82" s="57" t="n">
        <v>-1154.06379754871</v>
      </c>
      <c r="EM82" s="57" t="n">
        <v>-1145.37457370133</v>
      </c>
      <c r="EN82" s="57" t="n">
        <v>-1145.37457370133</v>
      </c>
      <c r="EO82" s="57" t="n">
        <v>-1157.96110747827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207256.523930081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2051.50810877326</v>
      </c>
      <c r="AA83" s="47" t="n">
        <f aca="false">(AA79+AA55+AA82)*(AA$4&gt;In_COD)</f>
        <v>2019.07781182483</v>
      </c>
      <c r="AB83" s="47" t="n">
        <f aca="false">(AB79+AB55+AB82)*(AB$4&gt;In_COD)</f>
        <v>2037.29935630359</v>
      </c>
      <c r="AC83" s="47" t="n">
        <f aca="false">(AC79+AC55+AC82)*(AC$4&gt;In_COD)</f>
        <v>2055.45580069232</v>
      </c>
      <c r="AD83" s="47" t="n">
        <f aca="false">(AD79+AD55+AD82)*(AD$4&gt;In_COD)</f>
        <v>2038.34092902208</v>
      </c>
      <c r="AE83" s="47" t="n">
        <f aca="false">(AE79+AE55+AE82)*(AE$4&gt;In_COD)</f>
        <v>1972.69311989773</v>
      </c>
      <c r="AF83" s="47" t="n">
        <f aca="false">(AF79+AF55+AF82)*(AF$4&gt;In_COD)</f>
        <v>1970.34832896825</v>
      </c>
      <c r="AG83" s="47" t="n">
        <f aca="false">(AG79+AG55+AG82)*(AG$4&gt;In_COD)</f>
        <v>1987.10802916777</v>
      </c>
      <c r="AH83" s="47" t="n">
        <f aca="false">(AH79+AH55+AH82)*(AH$4&gt;In_COD)</f>
        <v>1980.06098995152</v>
      </c>
      <c r="AI83" s="47" t="n">
        <f aca="false">(AI79+AI55+AI82)*(AI$4&gt;In_COD)</f>
        <v>1947.84968904014</v>
      </c>
      <c r="AJ83" s="47" t="n">
        <f aca="false">(AJ79+AJ55+AJ82)*(AJ$4&gt;In_COD)</f>
        <v>1982.52563744398</v>
      </c>
      <c r="AK83" s="47" t="n">
        <f aca="false">(AK79+AK55+AK82)*(AK$4&gt;In_COD)</f>
        <v>1999.37217192695</v>
      </c>
      <c r="AL83" s="47" t="n">
        <f aca="false">(AL79+AL55+AL82)*(AL$4&gt;In_COD)</f>
        <v>1992.1407122606</v>
      </c>
      <c r="AM83" s="47" t="n">
        <f aca="false">(AM79+AM55+AM82)*(AM$4&gt;In_COD)</f>
        <v>1959.21277318411</v>
      </c>
      <c r="AN83" s="47" t="n">
        <f aca="false">(AN79+AN55+AN82)*(AN$4&gt;In_COD)</f>
        <v>1976.06673066552</v>
      </c>
      <c r="AO83" s="47" t="n">
        <f aca="false">(AO79+AO55+AO82)*(AO$4&gt;In_COD)</f>
        <v>1992.84392397191</v>
      </c>
      <c r="AP83" s="47" t="n">
        <f aca="false">(AP79+AP55+AP82)*(AP$4&gt;In_COD)</f>
        <v>1985.47066876288</v>
      </c>
      <c r="AQ83" s="47" t="n">
        <f aca="false">(AQ79+AQ55+AQ82)*(AQ$4&gt;In_COD)</f>
        <v>1952.26122978273</v>
      </c>
      <c r="AR83" s="47" t="n">
        <f aca="false">(AR79+AR55+AR82)*(AR$4&gt;In_COD)</f>
        <v>1969.04168062291</v>
      </c>
      <c r="AS83" s="47" t="n">
        <f aca="false">(AS79+AS55+AS82)*(AS$4&gt;In_COD)</f>
        <v>1985.74413411463</v>
      </c>
      <c r="AT83" s="47" t="n">
        <f aca="false">(AT79+AT55+AT82)*(AT$4&gt;In_COD)</f>
        <v>1978.22480938218</v>
      </c>
      <c r="AU83" s="47" t="n">
        <f aca="false">(AU79+AU55+AU82)*(AU$4&gt;In_COD)</f>
        <v>1964.21800656039</v>
      </c>
      <c r="AV83" s="47" t="n">
        <f aca="false">(AV79+AV55+AV82)*(AV$4&gt;In_COD)</f>
        <v>1961.37768930815</v>
      </c>
      <c r="AW83" s="47" t="n">
        <f aca="false">(AW79+AW55+AW82)*(AW$4&gt;In_COD)</f>
        <v>1977.9992942539</v>
      </c>
      <c r="AX83" s="47" t="n">
        <f aca="false">(AX79+AX55+AX82)*(AX$4&gt;In_COD)</f>
        <v>1970.32895692534</v>
      </c>
      <c r="AY83" s="47" t="n">
        <f aca="false">(AY79+AY55+AY82)*(AY$4&gt;In_COD)</f>
        <v>1936.5386097511</v>
      </c>
      <c r="AZ83" s="47" t="n">
        <f aca="false">(AZ79+AZ55+AZ82)*(AZ$4&gt;In_COD)</f>
        <v>1953.15463560222</v>
      </c>
      <c r="BA83" s="47" t="n">
        <f aca="false">(BA79+BA55+BA82)*(BA$4&gt;In_COD)</f>
        <v>1969.69007580319</v>
      </c>
      <c r="BB83" s="47" t="n">
        <f aca="false">(BB79+BB55+BB82)*(BB$4&gt;In_COD)</f>
        <v>1961.86463242441</v>
      </c>
      <c r="BC83" s="47" t="n">
        <f aca="false">(BC79+BC55+BC82)*(BC$4&gt;In_COD)</f>
        <v>1927.77501564748</v>
      </c>
      <c r="BD83" s="47" t="n">
        <f aca="false">(BD79+BD55+BD82)*(BD$4&gt;In_COD)</f>
        <v>1944.30020869182</v>
      </c>
      <c r="BE83" s="47" t="n">
        <f aca="false">(BE79+BE55+BE82)*(BE$4&gt;In_COD)</f>
        <v>1960.74346299028</v>
      </c>
      <c r="BF83" s="47" t="n">
        <f aca="false">(BF79+BF55+BF82)*(BF$4&gt;In_COD)</f>
        <v>1952.7581588283</v>
      </c>
      <c r="BG83" s="47" t="n">
        <f aca="false">(BG79+BG55+BG82)*(BG$4&gt;In_COD)</f>
        <v>1918.3629838542</v>
      </c>
      <c r="BH83" s="47" t="n">
        <f aca="false">(BH79+BH55+BH82)*(BH$4&gt;In_COD)</f>
        <v>1934.7911437404</v>
      </c>
      <c r="BI83" s="47" t="n">
        <f aca="false">(BI79+BI55+BI82)*(BI$4&gt;In_COD)</f>
        <v>1951.13596884611</v>
      </c>
      <c r="BJ83" s="47" t="n">
        <f aca="false">(BJ79+BJ55+BJ82)*(BJ$4&gt;In_COD)</f>
        <v>1942.98587683037</v>
      </c>
      <c r="BK83" s="47" t="n">
        <f aca="false">(BK79+BK55+BK82)*(BK$4&gt;In_COD)</f>
        <v>1927.9124924404</v>
      </c>
      <c r="BL83" s="47" t="n">
        <f aca="false">(BL79+BL55+BL82)*(BL$4&gt;In_COD)</f>
        <v>1924.55114517392</v>
      </c>
      <c r="BM83" s="47" t="n">
        <f aca="false">(BM79+BM55+BM82)*(BM$4&gt;In_COD)</f>
        <v>1940.7905539817</v>
      </c>
      <c r="BN83" s="47" t="n">
        <f aca="false">(BN79+BN55+BN82)*(BN$4&gt;In_COD)</f>
        <v>1932.47004928542</v>
      </c>
      <c r="BO83" s="47" t="n">
        <f aca="false">(BO79+BO55+BO82)*(BO$4&gt;In_COD)</f>
        <v>1897.44357334207</v>
      </c>
      <c r="BP83" s="47" t="n">
        <f aca="false">(BP79+BP55+BP82)*(BP$4&gt;In_COD)</f>
        <v>1913.65761500377</v>
      </c>
      <c r="BQ83" s="47" t="n">
        <f aca="false">(BQ79+BQ55+BQ82)*(BQ$4&gt;In_COD)</f>
        <v>1929.78538928102</v>
      </c>
      <c r="BR83" s="47" t="n">
        <f aca="false">(BR79+BR55+BR82)*(BR$4&gt;In_COD)</f>
        <v>1921.28967832712</v>
      </c>
      <c r="BS83" s="47" t="n">
        <f aca="false">(BS79+BS55+BS82)*(BS$4&gt;In_COD)</f>
        <v>1885.93754723437</v>
      </c>
      <c r="BT83" s="47" t="n">
        <f aca="false">(BT79+BT55+BT82)*(BT$4&gt;In_COD)</f>
        <v>1902.03453036277</v>
      </c>
      <c r="BU83" s="47" t="n">
        <f aca="false">(BU79+BU55+BU82)*(BU$4&gt;In_COD)</f>
        <v>1918.04371112072</v>
      </c>
      <c r="BV83" s="47" t="n">
        <f aca="false">(BV79+BV55+BV82)*(BV$4&gt;In_COD)</f>
        <v>1909.36730856526</v>
      </c>
      <c r="BW83" s="47" t="n">
        <f aca="false">(BW79+BW55+BW82)*(BW$4&gt;In_COD)</f>
        <v>1873.68240153823</v>
      </c>
      <c r="BX83" s="47" t="n">
        <f aca="false">(BX79+BX55+BX82)*(BX$4&gt;In_COD)</f>
        <v>1889.65516144794</v>
      </c>
      <c r="BY83" s="47" t="n">
        <f aca="false">(BY79+BY55+BY82)*(BY$4&gt;In_COD)</f>
        <v>1905.53853421785</v>
      </c>
      <c r="BZ83" s="47" t="n">
        <f aca="false">(BZ79+BZ55+BZ82)*(BZ$4&gt;In_COD)</f>
        <v>1896.67575450637</v>
      </c>
      <c r="CA83" s="47" t="n">
        <f aca="false">(CA79+CA55+CA82)*(CA$4&gt;In_COD)</f>
        <v>1880.40370388615</v>
      </c>
      <c r="CB83" s="47" t="n">
        <f aca="false">(CB79+CB55+CB82)*(CB$4&gt;In_COD)</f>
        <v>1876.43930533153</v>
      </c>
      <c r="CC83" s="47" t="n">
        <f aca="false">(CC79+CC55+CC82)*(CC$4&gt;In_COD)</f>
        <v>1892.18887414754</v>
      </c>
      <c r="CD83" s="47" t="n">
        <f aca="false">(CD79+CD55+CD82)*(CD$4&gt;In_COD)</f>
        <v>1883.13330186361</v>
      </c>
      <c r="CE83" s="47" t="n">
        <f aca="false">(CE79+CE55+CE82)*(CE$4&gt;In_COD)</f>
        <v>1846.76003736931</v>
      </c>
      <c r="CF83" s="47" t="n">
        <f aca="false">(CF79+CF55+CF82)*(CF$4&gt;In_COD)</f>
        <v>1862.4612642818</v>
      </c>
      <c r="CG83" s="47" t="n">
        <f aca="false">(CG79+CG55+CG82)*(CG$4&gt;In_COD)</f>
        <v>1878.06977233513</v>
      </c>
      <c r="CH83" s="47" t="n">
        <f aca="false">(CH79+CH55+CH82)*(CH$4&gt;In_COD)</f>
        <v>1868.81579939948</v>
      </c>
      <c r="CI83" s="47" t="n">
        <f aca="false">(CI79+CI55+CI82)*(CI$4&gt;In_COD)</f>
        <v>1832.08698052332</v>
      </c>
      <c r="CJ83" s="47" t="n">
        <f aca="false">(CJ79+CJ55+CJ82)*(CJ$4&gt;In_COD)</f>
        <v>1847.64085487676</v>
      </c>
      <c r="CK83" s="47" t="n">
        <f aca="false">(CK79+CK55+CK82)*(CK$4&gt;In_COD)</f>
        <v>1863.1002644674</v>
      </c>
      <c r="CL83" s="47" t="n">
        <f aca="false">(CL79+CL55+CL82)*(CL$4&gt;In_COD)</f>
        <v>1853.64155675096</v>
      </c>
      <c r="CM83" s="47" t="n">
        <f aca="false">(CM79+CM55+CM82)*(CM$4&gt;In_COD)</f>
        <v>1816.54910337451</v>
      </c>
      <c r="CN83" s="47" t="n">
        <f aca="false">(CN79+CN55+CN82)*(CN$4&gt;In_COD)</f>
        <v>1831.9473512561</v>
      </c>
      <c r="CO83" s="47" t="n">
        <f aca="false">(CO79+CO55+CO82)*(CO$4&gt;In_COD)</f>
        <v>1847.24933070792</v>
      </c>
      <c r="CP83" s="47" t="n">
        <f aca="false">(CP79+CP55+CP82)*(CP$4&gt;In_COD)</f>
        <v>1837.57932139872</v>
      </c>
      <c r="CQ83" s="47" t="n">
        <f aca="false">(CQ79+CQ55+CQ82)*(CQ$4&gt;In_COD)</f>
        <v>1819.9586319277</v>
      </c>
      <c r="CR83" s="47" t="n">
        <f aca="false">(CR79+CR55+CR82)*(CR$4&gt;In_COD)</f>
        <v>1815.29616766448</v>
      </c>
      <c r="CS83" s="47" t="n">
        <f aca="false">(CS79+CS55+CS82)*(CS$4&gt;In_COD)</f>
        <v>1830.43156152257</v>
      </c>
      <c r="CT83" s="47" t="n">
        <f aca="false">(CT79+CT55+CT82)*(CT$4&gt;In_COD)</f>
        <v>1820.54291781078</v>
      </c>
      <c r="CU83" s="47" t="n">
        <f aca="false">(CU79+CU55+CU82)*(CU$4&gt;In_COD)</f>
        <v>1787.53861493413</v>
      </c>
      <c r="CV83" s="47" t="n">
        <f aca="false">(CV79+CV55+CV82)*(CV$4&gt;In_COD)</f>
        <v>1807.40015510007</v>
      </c>
      <c r="CW83" s="47" t="n">
        <f aca="false">(CW79+CW55+CW82)*(CW$4&gt;In_COD)</f>
        <v>1827.261695266</v>
      </c>
      <c r="CX83" s="47" t="n">
        <f aca="false">(CX79+CX55+CX82)*(CX$4&gt;In_COD)</f>
        <v>1822.1500941112</v>
      </c>
      <c r="CY83" s="47" t="n">
        <f aca="false">(CY79+CY55+CY82)*(CY$4&gt;In_COD)</f>
        <v>1788.95290510507</v>
      </c>
      <c r="CZ83" s="47" t="n">
        <f aca="false">(CZ79+CZ55+CZ82)*(CZ$4&gt;In_COD)</f>
        <v>1808.83015960624</v>
      </c>
      <c r="DA83" s="47" t="n">
        <f aca="false">(DA79+DA55+DA82)*(DA$4&gt;In_COD)</f>
        <v>1828.70741410741</v>
      </c>
      <c r="DB83" s="47" t="n">
        <f aca="false">(DB79+DB55+DB82)*(DB$4&gt;In_COD)</f>
        <v>1351.75211954894</v>
      </c>
      <c r="DC83" s="47" t="n">
        <f aca="false">(DC79+DC55+DC82)*(DC$4&gt;In_COD)</f>
        <v>1328.61699672919</v>
      </c>
      <c r="DD83" s="47" t="n">
        <f aca="false">(DD79+DD55+DD82)*(DD$4&gt;In_COD)</f>
        <v>1343.37940780396</v>
      </c>
      <c r="DE83" s="47" t="n">
        <f aca="false">(DE79+DE55+DE82)*(DE$4&gt;In_COD)</f>
        <v>1358.14181887873</v>
      </c>
      <c r="DF83" s="47" t="n">
        <f aca="false">(DF79+DF55+DF82)*(DF$4&gt;In_COD)</f>
        <v>1352.96922160651</v>
      </c>
      <c r="DG83" s="47" t="n">
        <f aca="false">(DG79+DG55+DG82)*(DG$4&gt;In_COD)</f>
        <v>1344.41122217711</v>
      </c>
      <c r="DH83" s="47" t="n">
        <f aca="false">(DH79+DH55+DH82)*(DH$4&gt;In_COD)</f>
        <v>1344.41122217711</v>
      </c>
      <c r="DI83" s="47" t="n">
        <f aca="false">(DI79+DI55+DI82)*(DI$4&gt;In_COD)</f>
        <v>1359.18497187136</v>
      </c>
      <c r="DJ83" s="47" t="n">
        <f aca="false">(DJ79+DJ55+DJ82)*(DJ$4&gt;In_COD)</f>
        <v>1353.98179084478</v>
      </c>
      <c r="DK83" s="47" t="n">
        <f aca="false">(DK79+DK55+DK82)*(DK$4&gt;In_COD)</f>
        <v>1330.45150532208</v>
      </c>
      <c r="DL83" s="47" t="n">
        <f aca="false">(DL79+DL55+DL82)*(DL$4&gt;In_COD)</f>
        <v>1345.23429982566</v>
      </c>
      <c r="DM83" s="47" t="n">
        <f aca="false">(DM79+DM55+DM82)*(DM$4&gt;In_COD)</f>
        <v>1360.01709432924</v>
      </c>
      <c r="DN83" s="47" t="n">
        <f aca="false">(DN79+DN55+DN82)*(DN$4&gt;In_COD)</f>
        <v>1354.78327628251</v>
      </c>
      <c r="DO83" s="47" t="n">
        <f aca="false">(DO79+DO55+DO82)*(DO$4&gt;In_COD)</f>
        <v>1331.05251690687</v>
      </c>
      <c r="DP83" s="47" t="n">
        <f aca="false">(DP79+DP55+DP82)*(DP$4&gt;In_COD)</f>
        <v>1345.84198931695</v>
      </c>
      <c r="DQ83" s="47" t="n">
        <f aca="false">(DQ79+DQ55+DQ82)*(DQ$4&gt;In_COD)</f>
        <v>1360.63146172703</v>
      </c>
      <c r="DR83" s="47" t="n">
        <f aca="false">(DR79+DR55+DR82)*(DR$4&gt;In_COD)</f>
        <v>1355.36695640901</v>
      </c>
      <c r="DS83" s="47" t="n">
        <f aca="false">(DS79+DS55+DS82)*(DS$4&gt;In_COD)</f>
        <v>1331.43375783812</v>
      </c>
      <c r="DT83" s="47" t="n">
        <f aca="false">(DT79+DT55+DT82)*(DT$4&gt;In_COD)</f>
        <v>1346.22746625854</v>
      </c>
      <c r="DU83" s="47" t="n">
        <f aca="false">(DU79+DU55+DU82)*(DU$4&gt;In_COD)</f>
        <v>1361.02117467897</v>
      </c>
      <c r="DV83" s="47" t="n">
        <f aca="false">(DV79+DV55+DV82)*(DV$4&gt;In_COD)</f>
        <v>1355.72593494877</v>
      </c>
      <c r="DW83" s="47" t="n">
        <f aca="false">(DW79+DW55+DW82)*(DW$4&gt;In_COD)</f>
        <v>1346.38372900372</v>
      </c>
      <c r="DX83" s="47" t="n">
        <f aca="false">(DX79+DX55+DX82)*(DX$4&gt;In_COD)</f>
        <v>1346.38372900372</v>
      </c>
      <c r="DY83" s="47" t="n">
        <f aca="false">(DY79+DY55+DY82)*(DY$4&gt;In_COD)</f>
        <v>1361.17915459717</v>
      </c>
      <c r="DZ83" s="47" t="n">
        <f aca="false">(DZ79+DZ55+DZ82)*(DZ$4&gt;In_COD)</f>
        <v>1355.85313652207</v>
      </c>
      <c r="EA83" s="47" t="n">
        <f aca="false">(EA79+EA55+EA82)*(EA$4&gt;In_COD)</f>
        <v>1331.50904925967</v>
      </c>
      <c r="EB83" s="47" t="n">
        <f aca="false">(EB79+EB55+EB82)*(EB$4&gt;In_COD)</f>
        <v>1346.30359425145</v>
      </c>
      <c r="EC83" s="47" t="n">
        <f aca="false">(EC79+EC55+EC82)*(EC$4&gt;In_COD)</f>
        <v>1361.09813924322</v>
      </c>
      <c r="ED83" s="47" t="n">
        <f aca="false">(ED79+ED55+ED82)*(ED$4&gt;In_COD)</f>
        <v>1355.7413021989</v>
      </c>
      <c r="EE83" s="47" t="n">
        <f aca="false">(EE79+EE55+EE82)*(EE$4&gt;In_COD)</f>
        <v>1331.18870690596</v>
      </c>
      <c r="EF83" s="47" t="n">
        <f aca="false">(EF79+EF55+EF82)*(EF$4&gt;In_COD)</f>
        <v>1345.97969253825</v>
      </c>
      <c r="EG83" s="47" t="n">
        <f aca="false">(EG79+EG55+EG82)*(EG$4&gt;In_COD)</f>
        <v>1360.77067817053</v>
      </c>
      <c r="EH83" s="47" t="n">
        <f aca="false">(EH79+EH55+EH82)*(EH$4&gt;In_COD)</f>
        <v>1355.38298494376</v>
      </c>
      <c r="EI83" s="47" t="n">
        <f aca="false">(EI79+EI55+EI82)*(EI$4&gt;In_COD)</f>
        <v>1330.61979918396</v>
      </c>
      <c r="EJ83" s="47" t="n">
        <f aca="false">(EJ79+EJ55+EJ82)*(EJ$4&gt;In_COD)</f>
        <v>1345.40446361934</v>
      </c>
      <c r="EK83" s="47" t="n">
        <f aca="false">(EK79+EK55+EK82)*(EK$4&gt;In_COD)</f>
        <v>1360.18912805472</v>
      </c>
      <c r="EL83" s="47" t="n">
        <f aca="false">(EL79+EL55+EL82)*(EL$4&gt;In_COD)</f>
        <v>1354.77054494849</v>
      </c>
      <c r="EM83" s="47" t="n">
        <f aca="false">(EM79+EM55+EM82)*(EM$4&gt;In_COD)</f>
        <v>1344.57015173635</v>
      </c>
      <c r="EN83" s="47" t="n">
        <f aca="false">(EN79+EN55+EN82)*(EN$4&gt;In_COD)</f>
        <v>1344.57015173635</v>
      </c>
      <c r="EO83" s="47" t="n">
        <f aca="false">(EO79+EO55+EO82)*(EO$4&gt;In_COD)</f>
        <v>1359.34564790928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76540.8208489166</v>
      </c>
      <c r="I84" s="47" t="n">
        <f aca="false">SUM(J84:EO84)</f>
        <v>115677.716653943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1709.59009064438</v>
      </c>
      <c r="AA84" s="47" t="n">
        <f aca="false">AA83/In_DSCR*AA17</f>
        <v>1682.56484318736</v>
      </c>
      <c r="AB84" s="47" t="n">
        <f aca="false">AB83/In_DSCR*AB17</f>
        <v>1697.74946358632</v>
      </c>
      <c r="AC84" s="47" t="n">
        <f aca="false">AC83/In_DSCR*AC17</f>
        <v>1712.87983391026</v>
      </c>
      <c r="AD84" s="47" t="n">
        <f aca="false">AD83/In_DSCR*AD17</f>
        <v>1698.61744085173</v>
      </c>
      <c r="AE84" s="47" t="n">
        <f aca="false">AE83/In_DSCR*AE17</f>
        <v>1643.91093324811</v>
      </c>
      <c r="AF84" s="47" t="n">
        <f aca="false">AF83/In_DSCR*AF17</f>
        <v>1641.95694080687</v>
      </c>
      <c r="AG84" s="47" t="n">
        <f aca="false">AG83/In_DSCR*AG17</f>
        <v>1655.9233576398</v>
      </c>
      <c r="AH84" s="47" t="n">
        <f aca="false">AH83/In_DSCR*AH17</f>
        <v>1650.0508249596</v>
      </c>
      <c r="AI84" s="47" t="n">
        <f aca="false">AI83/In_DSCR*AI17</f>
        <v>1623.20807420012</v>
      </c>
      <c r="AJ84" s="47" t="n">
        <f aca="false">AJ83/In_DSCR*AJ17</f>
        <v>1652.10469786999</v>
      </c>
      <c r="AK84" s="47" t="n">
        <f aca="false">AK83/In_DSCR*AK17</f>
        <v>1666.14347660579</v>
      </c>
      <c r="AL84" s="47" t="n">
        <f aca="false">AL83/In_DSCR*AL17</f>
        <v>1660.11726021717</v>
      </c>
      <c r="AM84" s="47" t="n">
        <f aca="false">AM83/In_DSCR*AM17</f>
        <v>1632.67731098676</v>
      </c>
      <c r="AN84" s="47" t="n">
        <f aca="false">AN83/In_DSCR*AN17</f>
        <v>1646.7222755546</v>
      </c>
      <c r="AO84" s="47" t="n">
        <f aca="false">AO83/In_DSCR*AO17</f>
        <v>1660.70326997659</v>
      </c>
      <c r="AP84" s="47" t="n">
        <f aca="false">AP83/In_DSCR*AP17</f>
        <v>1654.55889063573</v>
      </c>
      <c r="AQ84" s="47" t="n">
        <f aca="false">AQ83/In_DSCR*AQ17</f>
        <v>1626.88435815228</v>
      </c>
      <c r="AR84" s="47" t="n">
        <f aca="false">AR83/In_DSCR*AR17</f>
        <v>1640.86806718576</v>
      </c>
      <c r="AS84" s="47" t="n">
        <f aca="false">AS83/In_DSCR*AS17</f>
        <v>1654.78677842885</v>
      </c>
      <c r="AT84" s="47" t="n">
        <f aca="false">AT83/In_DSCR*AT17</f>
        <v>1648.52067448515</v>
      </c>
      <c r="AU84" s="47" t="n">
        <f aca="false">AU83/In_DSCR*AU17</f>
        <v>1636.84833880032</v>
      </c>
      <c r="AV84" s="47" t="n">
        <f aca="false">AV83/In_DSCR*AV17</f>
        <v>1634.4814077568</v>
      </c>
      <c r="AW84" s="47" t="n">
        <f aca="false">AW83/In_DSCR*AW17</f>
        <v>1648.33274521159</v>
      </c>
      <c r="AX84" s="47" t="n">
        <f aca="false">AX83/In_DSCR*AX17</f>
        <v>1641.94079743778</v>
      </c>
      <c r="AY84" s="47" t="n">
        <f aca="false">AY83/In_DSCR*AY17</f>
        <v>1613.78217479259</v>
      </c>
      <c r="AZ84" s="47" t="n">
        <f aca="false">AZ83/In_DSCR*AZ17</f>
        <v>1627.62886300185</v>
      </c>
      <c r="BA84" s="47" t="n">
        <f aca="false">BA83/In_DSCR*BA17</f>
        <v>1641.40839650266</v>
      </c>
      <c r="BB84" s="47" t="n">
        <f aca="false">BB83/In_DSCR*BB17</f>
        <v>1634.88719368701</v>
      </c>
      <c r="BC84" s="47" t="n">
        <f aca="false">BC83/In_DSCR*BC17</f>
        <v>1606.47917970623</v>
      </c>
      <c r="BD84" s="47" t="n">
        <f aca="false">BD83/In_DSCR*BD17</f>
        <v>1620.25017390985</v>
      </c>
      <c r="BE84" s="47" t="n">
        <f aca="false">BE83/In_DSCR*BE17</f>
        <v>1633.95288582523</v>
      </c>
      <c r="BF84" s="47" t="n">
        <f aca="false">BF83/In_DSCR*BF17</f>
        <v>1627.29846569025</v>
      </c>
      <c r="BG84" s="47" t="n">
        <f aca="false">BG83/In_DSCR*BG17</f>
        <v>1598.6358198785</v>
      </c>
      <c r="BH84" s="47" t="n">
        <f aca="false">BH83/In_DSCR*BH17</f>
        <v>1612.325953117</v>
      </c>
      <c r="BI84" s="47" t="n">
        <f aca="false">BI83/In_DSCR*BI17</f>
        <v>1625.94664070509</v>
      </c>
      <c r="BJ84" s="47" t="n">
        <f aca="false">BJ83/In_DSCR*BJ17</f>
        <v>1619.15489735864</v>
      </c>
      <c r="BK84" s="47" t="n">
        <f aca="false">BK83/In_DSCR*BK17</f>
        <v>1606.59374370034</v>
      </c>
      <c r="BL84" s="47" t="n">
        <f aca="false">BL83/In_DSCR*BL17</f>
        <v>1603.79262097827</v>
      </c>
      <c r="BM84" s="47" t="n">
        <f aca="false">BM83/In_DSCR*BM17</f>
        <v>1617.32546165142</v>
      </c>
      <c r="BN84" s="47" t="n">
        <f aca="false">BN83/In_DSCR*BN17</f>
        <v>1610.39170773785</v>
      </c>
      <c r="BO84" s="47" t="n">
        <f aca="false">BO83/In_DSCR*BO17</f>
        <v>1581.20297778505</v>
      </c>
      <c r="BP84" s="47" t="n">
        <f aca="false">BP83/In_DSCR*BP17</f>
        <v>1594.71467916981</v>
      </c>
      <c r="BQ84" s="47" t="n">
        <f aca="false">BQ83/In_DSCR*BQ17</f>
        <v>1608.15449106751</v>
      </c>
      <c r="BR84" s="47" t="n">
        <f aca="false">BR83/In_DSCR*BR17</f>
        <v>1601.07473193927</v>
      </c>
      <c r="BS84" s="47" t="n">
        <f aca="false">BS83/In_DSCR*BS17</f>
        <v>1571.61462269531</v>
      </c>
      <c r="BT84" s="47" t="n">
        <f aca="false">BT83/In_DSCR*BT17</f>
        <v>1585.02877530231</v>
      </c>
      <c r="BU84" s="47" t="n">
        <f aca="false">BU83/In_DSCR*BU17</f>
        <v>1598.36975926726</v>
      </c>
      <c r="BV84" s="47" t="n">
        <f aca="false">BV83/In_DSCR*BV17</f>
        <v>1591.13942380439</v>
      </c>
      <c r="BW84" s="47" t="n">
        <f aca="false">BW83/In_DSCR*BW17</f>
        <v>1561.40200128186</v>
      </c>
      <c r="BX84" s="47" t="n">
        <f aca="false">BX83/In_DSCR*BX17</f>
        <v>1574.71263453995</v>
      </c>
      <c r="BY84" s="47" t="n">
        <f aca="false">BY83/In_DSCR*BY17</f>
        <v>1587.94877851487</v>
      </c>
      <c r="BZ84" s="47" t="n">
        <f aca="false">BZ83/In_DSCR*BZ17</f>
        <v>1580.56312875531</v>
      </c>
      <c r="CA84" s="47" t="n">
        <f aca="false">CA83/In_DSCR*CA17</f>
        <v>1567.0030865718</v>
      </c>
      <c r="CB84" s="47" t="n">
        <f aca="false">CB83/In_DSCR*CB17</f>
        <v>1563.69942110961</v>
      </c>
      <c r="CC84" s="47" t="n">
        <f aca="false">CC83/In_DSCR*CC17</f>
        <v>1576.82406178961</v>
      </c>
      <c r="CD84" s="47" t="n">
        <f aca="false">CD83/In_DSCR*CD17</f>
        <v>1569.27775155301</v>
      </c>
      <c r="CE84" s="47" t="n">
        <f aca="false">CE83/In_DSCR*CE17</f>
        <v>1538.96669780776</v>
      </c>
      <c r="CF84" s="47" t="n">
        <f aca="false">CF83/In_DSCR*CF17</f>
        <v>1552.05105356817</v>
      </c>
      <c r="CG84" s="47" t="n">
        <f aca="false">CG83/In_DSCR*CG17</f>
        <v>1565.05814361261</v>
      </c>
      <c r="CH84" s="47" t="n">
        <f aca="false">CH83/In_DSCR*CH17</f>
        <v>1557.34649949957</v>
      </c>
      <c r="CI84" s="47" t="n">
        <f aca="false">CI83/In_DSCR*CI17</f>
        <v>1526.7391504361</v>
      </c>
      <c r="CJ84" s="47" t="n">
        <f aca="false">CJ83/In_DSCR*CJ17</f>
        <v>1539.7007123973</v>
      </c>
      <c r="CK84" s="47" t="n">
        <f aca="false">CK83/In_DSCR*CK17</f>
        <v>1552.58355372283</v>
      </c>
      <c r="CL84" s="47" t="n">
        <f aca="false">CL83/In_DSCR*CL17</f>
        <v>1544.70129729247</v>
      </c>
      <c r="CM84" s="47" t="n">
        <f aca="false">CM83/In_DSCR*CM17</f>
        <v>1513.79091947875</v>
      </c>
      <c r="CN84" s="47" t="n">
        <f aca="false">CN83/In_DSCR*CN17</f>
        <v>1526.62279271342</v>
      </c>
      <c r="CO84" s="47" t="n">
        <f aca="false">CO83/In_DSCR*CO17</f>
        <v>1539.3744422566</v>
      </c>
      <c r="CP84" s="47" t="n">
        <f aca="false">CP83/In_DSCR*CP17</f>
        <v>1531.3161011656</v>
      </c>
      <c r="CQ84" s="47" t="n">
        <f aca="false">CQ83/In_DSCR*CQ17</f>
        <v>1516.63219327309</v>
      </c>
      <c r="CR84" s="47" t="n">
        <f aca="false">CR83/In_DSCR*CR17</f>
        <v>1512.74680638707</v>
      </c>
      <c r="CS84" s="47" t="n">
        <f aca="false">CS83/In_DSCR*CS17</f>
        <v>1525.35963460214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0.554970188841182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-21719.8104555733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-530.973422507279</v>
      </c>
      <c r="AA88" s="47" t="n">
        <f aca="false">-Z94*$F21*(AA$4&gt;In_COD)</f>
        <v>-525.750946095546</v>
      </c>
      <c r="AB88" s="47" t="n">
        <f aca="false">-AA94*$F21*(AB$4&gt;In_COD)</f>
        <v>-520.650666312225</v>
      </c>
      <c r="AC88" s="47" t="n">
        <f aca="false">-AB94*$F21*(AC$4&gt;In_COD)</f>
        <v>-515.381295385984</v>
      </c>
      <c r="AD88" s="47" t="n">
        <f aca="false">-AC94*$F21*(AD$4&gt;In_COD)</f>
        <v>-509.941096017216</v>
      </c>
      <c r="AE88" s="47" t="n">
        <f aca="false">-AD94*$F21*(AE$4&gt;In_COD)</f>
        <v>-504.531834193451</v>
      </c>
      <c r="AF88" s="47" t="n">
        <f aca="false">-AE94*$F21*(AF$4&gt;In_COD)</f>
        <v>-499.434462607584</v>
      </c>
      <c r="AG88" s="47" t="n">
        <f aca="false">-AF94*$F21*(AG$4&gt;In_COD)</f>
        <v>-494.28692897132</v>
      </c>
      <c r="AH88" s="47" t="n">
        <f aca="false">-AG94*$F21*(AH$4&gt;In_COD)</f>
        <v>-488.978164352263</v>
      </c>
      <c r="AI88" s="47" t="n">
        <f aca="false">-AH94*$F21*(AI$4&gt;In_COD)</f>
        <v>-483.643778682599</v>
      </c>
      <c r="AJ88" s="47" t="n">
        <f aca="false">-AI94*$F21*(AJ$4&gt;In_COD)</f>
        <v>-478.42892477279</v>
      </c>
      <c r="AK88" s="47" t="n">
        <f aca="false">-AJ94*$F21*(AK$4&gt;In_COD)</f>
        <v>-472.948425630421</v>
      </c>
      <c r="AL88" s="47" t="n">
        <f aca="false">-AK94*$F21*(AL$4&gt;In_COD)</f>
        <v>-467.302031452696</v>
      </c>
      <c r="AM88" s="47" t="n">
        <f aca="false">-AL94*$F21*(AM$4&gt;In_COD)</f>
        <v>-461.626861978339</v>
      </c>
      <c r="AN88" s="47" t="n">
        <f aca="false">-AM94*$F21*(AN$4&gt;In_COD)</f>
        <v>-456.071107308131</v>
      </c>
      <c r="AO88" s="47" t="n">
        <f aca="false">-AN94*$F21*(AO$4&gt;In_COD)</f>
        <v>-450.348473996563</v>
      </c>
      <c r="AP88" s="47" t="n">
        <f aca="false">-AO94*$F21*(AP$4&gt;In_COD)</f>
        <v>-444.457319829669</v>
      </c>
      <c r="AQ88" s="47" t="n">
        <f aca="false">-AP94*$F21*(AQ$4&gt;In_COD)</f>
        <v>-438.535150577728</v>
      </c>
      <c r="AR88" s="47" t="n">
        <f aca="false">-AQ94*$F21*(AR$4&gt;In_COD)</f>
        <v>-432.730935966618</v>
      </c>
      <c r="AS88" s="47" t="n">
        <f aca="false">-AR94*$F21*(AS$4&gt;In_COD)</f>
        <v>-426.757161902331</v>
      </c>
      <c r="AT88" s="47" t="n">
        <f aca="false">-AS94*$F21*(AT$4&gt;In_COD)</f>
        <v>-420.612159789653</v>
      </c>
      <c r="AU88" s="47" t="n">
        <f aca="false">-AT94*$F21*(AU$4&gt;In_COD)</f>
        <v>-414.433813911679</v>
      </c>
      <c r="AV88" s="47" t="n">
        <f aca="false">-AU94*$F21*(AV$4&gt;In_COD)</f>
        <v>-408.25921118947</v>
      </c>
      <c r="AW88" s="47" t="n">
        <f aca="false">-AV94*$F21*(AW$4&gt;In_COD)</f>
        <v>-402.023845635336</v>
      </c>
      <c r="AX88" s="47" t="n">
        <f aca="false">-AW94*$F21*(AX$4&gt;In_COD)</f>
        <v>-395.614449519738</v>
      </c>
      <c r="AY88" s="47" t="n">
        <f aca="false">-AX94*$F21*(AY$4&gt;In_COD)</f>
        <v>-389.169277708484</v>
      </c>
      <c r="AZ88" s="47" t="n">
        <f aca="false">-AY94*$F21*(AZ$4&gt;In_COD)</f>
        <v>-382.838881201175</v>
      </c>
      <c r="BA88" s="47" t="n">
        <f aca="false">-AZ94*$F21*(BA$4&gt;In_COD)</f>
        <v>-376.333298497896</v>
      </c>
      <c r="BB88" s="47" t="n">
        <f aca="false">-BA94*$F21*(BB$4&gt;In_COD)</f>
        <v>-369.650805631962</v>
      </c>
      <c r="BC88" s="47" t="n">
        <f aca="false">-BB94*$F21*(BC$4&gt;In_COD)</f>
        <v>-362.930020019681</v>
      </c>
      <c r="BD88" s="47" t="n">
        <f aca="false">-BC94*$F21*(BD$4&gt;In_COD)</f>
        <v>-356.322294598289</v>
      </c>
      <c r="BE88" s="47" t="n">
        <f aca="false">-BD94*$F21*(BE$4&gt;In_COD)</f>
        <v>-349.536441468459</v>
      </c>
      <c r="BF88" s="47" t="n">
        <f aca="false">-BE94*$F21*(BF$4&gt;In_COD)</f>
        <v>-342.570707716764</v>
      </c>
      <c r="BG88" s="47" t="n">
        <f aca="false">-BF94*$F21*(BG$4&gt;In_COD)</f>
        <v>-335.56406485316</v>
      </c>
      <c r="BH88" s="47" t="n">
        <f aca="false">-BG94*$F21*(BH$4&gt;In_COD)</f>
        <v>-328.668675378247</v>
      </c>
      <c r="BI88" s="47" t="n">
        <f aca="false">-BH94*$F21*(BI$4&gt;In_COD)</f>
        <v>-321.592123337039</v>
      </c>
      <c r="BJ88" s="47" t="n">
        <f aca="false">-BI94*$F21*(BJ$4&gt;In_COD)</f>
        <v>-314.33262595078</v>
      </c>
      <c r="BK88" s="47" t="n">
        <f aca="false">-BJ94*$F21*(BK$4&gt;In_COD)</f>
        <v>-307.029500035786</v>
      </c>
      <c r="BL88" s="47" t="n">
        <f aca="false">-BK94*$F21*(BL$4&gt;In_COD)</f>
        <v>-299.722223369578</v>
      </c>
      <c r="BM88" s="47" t="n">
        <f aca="false">-BL94*$F21*(BM$4&gt;In_COD)</f>
        <v>-292.343037490118</v>
      </c>
      <c r="BN88" s="47" t="n">
        <f aca="false">-BM94*$F21*(BN$4&gt;In_COD)</f>
        <v>-284.777732747865</v>
      </c>
      <c r="BO88" s="47" t="n">
        <f aca="false">-BN94*$F21*(BO$4&gt;In_COD)</f>
        <v>-277.165962030319</v>
      </c>
      <c r="BP88" s="47" t="n">
        <f aca="false">-BO94*$F21*(BP$4&gt;In_COD)</f>
        <v>-269.661530115978</v>
      </c>
      <c r="BQ88" s="47" t="n">
        <f aca="false">-BP94*$F21*(BQ$4&gt;In_COD)</f>
        <v>-261.969560409344</v>
      </c>
      <c r="BR88" s="47" t="n">
        <f aca="false">-BQ94*$F21*(BR$4&gt;In_COD)</f>
        <v>-254.088207394542</v>
      </c>
      <c r="BS88" s="47" t="n">
        <f aca="false">-BR94*$F21*(BS$4&gt;In_COD)</f>
        <v>-246.157450657809</v>
      </c>
      <c r="BT88" s="47" t="n">
        <f aca="false">-BS94*$F21*(BT$4&gt;In_COD)</f>
        <v>-238.331927991747</v>
      </c>
      <c r="BU88" s="47" t="n">
        <f aca="false">-BT94*$F21*(BU$4&gt;In_COD)</f>
        <v>-230.315530607291</v>
      </c>
      <c r="BV88" s="47" t="n">
        <f aca="false">-BU94*$F21*(BV$4&gt;In_COD)</f>
        <v>-222.106380150649</v>
      </c>
      <c r="BW88" s="47" t="n">
        <f aca="false">-BV94*$F21*(BW$4&gt;In_COD)</f>
        <v>-213.844773071265</v>
      </c>
      <c r="BX88" s="47" t="n">
        <f aca="false">-BW94*$F21*(BX$4&gt;In_COD)</f>
        <v>-205.686188190801</v>
      </c>
      <c r="BY88" s="47" t="n">
        <f aca="false">-BX94*$F21*(BY$4&gt;In_COD)</f>
        <v>-197.333283441171</v>
      </c>
      <c r="BZ88" s="47" t="n">
        <f aca="false">-BY94*$F21*(BZ$4&gt;In_COD)</f>
        <v>-188.784146565654</v>
      </c>
      <c r="CA88" s="47" t="n">
        <f aca="false">-BZ94*$F21*(CA$4&gt;In_COD)</f>
        <v>-180.179380672215</v>
      </c>
      <c r="CB88" s="47" t="n">
        <f aca="false">-CA94*$F21*(CB$4&gt;In_COD)</f>
        <v>-171.56112294475</v>
      </c>
      <c r="CC88" s="47" t="n">
        <f aca="false">-CB94*$F21*(CC$4&gt;In_COD)</f>
        <v>-162.858054943759</v>
      </c>
      <c r="CD88" s="47" t="n">
        <f aca="false">-CC94*$F21*(CD$4&gt;In_COD)</f>
        <v>-153.955151288797</v>
      </c>
      <c r="CE88" s="47" t="n">
        <f aca="false">-CD94*$F21*(CE$4&gt;In_COD)</f>
        <v>-144.993311053361</v>
      </c>
      <c r="CF88" s="47" t="n">
        <f aca="false">-CE94*$F21*(CF$4&gt;In_COD)</f>
        <v>-136.129719455245</v>
      </c>
      <c r="CG88" s="47" t="n">
        <f aca="false">-CF94*$F21*(CG$4&gt;In_COD)</f>
        <v>-127.064565119812</v>
      </c>
      <c r="CH88" s="47" t="n">
        <f aca="false">-CG94*$F21*(CH$4&gt;In_COD)</f>
        <v>-117.795864514958</v>
      </c>
      <c r="CI88" s="47" t="n">
        <f aca="false">-CH94*$F21*(CI$4&gt;In_COD)</f>
        <v>-108.464801809915</v>
      </c>
      <c r="CJ88" s="47" t="n">
        <f aca="false">-CI94*$F21*(CJ$4&gt;In_COD)</f>
        <v>-99.2294278996795</v>
      </c>
      <c r="CK88" s="47" t="n">
        <f aca="false">-CJ94*$F21*(CK$4&gt;In_COD)</f>
        <v>-89.7886958094501</v>
      </c>
      <c r="CL88" s="47" t="n">
        <f aca="false">-CK94*$F21*(CL$4&gt;In_COD)</f>
        <v>-80.1405846570523</v>
      </c>
      <c r="CM88" s="47" t="n">
        <f aca="false">-CL94*$F21*(CM$4&gt;In_COD)</f>
        <v>-70.4265523319952</v>
      </c>
      <c r="CN88" s="47" t="n">
        <f aca="false">-CM94*$F21*(CN$4&gt;In_COD)</f>
        <v>-60.8055238305302</v>
      </c>
      <c r="CO88" s="47" t="n">
        <f aca="false">-CN94*$F21*(CO$4&gt;In_COD)</f>
        <v>-50.9752161338941</v>
      </c>
      <c r="CP88" s="47" t="n">
        <f aca="false">-CO94*$F21*(CP$4&gt;In_COD)</f>
        <v>-40.9335697741124</v>
      </c>
      <c r="CQ88" s="47" t="n">
        <f aca="false">-CP94*$F21*(CQ$4&gt;In_COD)</f>
        <v>-30.8223045732961</v>
      </c>
      <c r="CR88" s="47" t="n">
        <f aca="false">-CQ94*$F21*(CR$4&gt;In_COD)</f>
        <v>-20.68651269667</v>
      </c>
      <c r="CS88" s="47" t="n">
        <f aca="false">-CR94*$F21*(CS$4&gt;In_COD)</f>
        <v>-10.4509768452593</v>
      </c>
      <c r="CT88" s="47" t="n">
        <f aca="false">-CS94*$F21*(CT$4&gt;In_COD)</f>
        <v>-1.68398628375144E-012</v>
      </c>
      <c r="CU88" s="47" t="n">
        <f aca="false">-CT94*$F21*(CU$4&gt;In_COD)</f>
        <v>-1.70503611229833E-012</v>
      </c>
      <c r="CV88" s="47" t="n">
        <f aca="false">-CU94*$F21*(CV$4&gt;In_COD)</f>
        <v>-1.72634906370206E-012</v>
      </c>
      <c r="CW88" s="47" t="n">
        <f aca="false">-CV94*$F21*(CW$4&gt;In_COD)</f>
        <v>-1.74792842699834E-012</v>
      </c>
      <c r="CX88" s="47" t="n">
        <f aca="false">-CW94*$F21*(CX$4&gt;In_COD)</f>
        <v>-1.76977753233582E-012</v>
      </c>
      <c r="CY88" s="47" t="n">
        <f aca="false">-CX94*$F21*(CY$4&gt;In_COD)</f>
        <v>-1.79189975149001E-012</v>
      </c>
      <c r="CZ88" s="47" t="n">
        <f aca="false">-CY94*$F21*(CZ$4&gt;In_COD)</f>
        <v>-1.81429849838364E-012</v>
      </c>
      <c r="DA88" s="47" t="n">
        <f aca="false">-CZ94*$F21*(DA$4&gt;In_COD)</f>
        <v>-1.83697722961343E-012</v>
      </c>
      <c r="DB88" s="47" t="n">
        <f aca="false">-DA94*$F21*(DB$4&gt;In_COD)</f>
        <v>-1.8599394449836E-012</v>
      </c>
      <c r="DC88" s="47" t="n">
        <f aca="false">-DB94*$F21*(DC$4&gt;In_COD)</f>
        <v>-1.8831886880459E-012</v>
      </c>
      <c r="DD88" s="47" t="n">
        <f aca="false">-DC94*$F21*(DD$4&gt;In_COD)</f>
        <v>-1.90672854664647E-012</v>
      </c>
      <c r="DE88" s="47" t="n">
        <f aca="false">-DD94*$F21*(DE$4&gt;In_COD)</f>
        <v>-1.93056265347955E-012</v>
      </c>
      <c r="DF88" s="47" t="n">
        <f aca="false">-DE94*$F21*(DF$4&gt;In_COD)</f>
        <v>-1.95469468664805E-012</v>
      </c>
      <c r="DG88" s="47" t="n">
        <f aca="false">-DF94*$F21*(DG$4&gt;In_COD)</f>
        <v>-1.97912837023115E-012</v>
      </c>
      <c r="DH88" s="47" t="n">
        <f aca="false">-DG94*$F21*(DH$4&gt;In_COD)</f>
        <v>-2.00386747485904E-012</v>
      </c>
      <c r="DI88" s="47" t="n">
        <f aca="false">-DH94*$F21*(DI$4&gt;In_COD)</f>
        <v>-2.02891581829477E-012</v>
      </c>
      <c r="DJ88" s="47" t="n">
        <f aca="false">-DI94*$F21*(DJ$4&gt;In_COD)</f>
        <v>-2.05427726602346E-012</v>
      </c>
      <c r="DK88" s="47" t="n">
        <f aca="false">-DJ94*$F21*(DK$4&gt;In_COD)</f>
        <v>-2.07995573184875E-012</v>
      </c>
      <c r="DL88" s="47" t="n">
        <f aca="false">-DK94*$F21*(DL$4&gt;In_COD)</f>
        <v>-2.10595517849686E-012</v>
      </c>
      <c r="DM88" s="47" t="n">
        <f aca="false">-DL94*$F21*(DM$4&gt;In_COD)</f>
        <v>-2.13227961822807E-012</v>
      </c>
      <c r="DN88" s="47" t="n">
        <f aca="false">-DM94*$F21*(DN$4&gt;In_COD)</f>
        <v>-2.15893311345592E-012</v>
      </c>
      <c r="DO88" s="47" t="n">
        <f aca="false">-DN94*$F21*(DO$4&gt;In_COD)</f>
        <v>-2.18591977737412E-012</v>
      </c>
      <c r="DP88" s="47" t="n">
        <f aca="false">-DO94*$F21*(DP$4&gt;In_COD)</f>
        <v>-2.2132437745913E-012</v>
      </c>
      <c r="DQ88" s="47" t="n">
        <f aca="false">-DP94*$F21*(DQ$4&gt;In_COD)</f>
        <v>-2.24090932177369E-012</v>
      </c>
      <c r="DR88" s="47" t="n">
        <f aca="false">-DQ94*$F21*(DR$4&gt;In_COD)</f>
        <v>-2.26892068829586E-012</v>
      </c>
      <c r="DS88" s="47" t="n">
        <f aca="false">-DR94*$F21*(DS$4&gt;In_COD)</f>
        <v>-2.29728219689956E-012</v>
      </c>
      <c r="DT88" s="47" t="n">
        <f aca="false">-DS94*$F21*(DT$4&gt;In_COD)</f>
        <v>-2.3259982243608E-012</v>
      </c>
      <c r="DU88" s="47" t="n">
        <f aca="false">-DT94*$F21*(DU$4&gt;In_COD)</f>
        <v>-2.35507320216531E-012</v>
      </c>
      <c r="DV88" s="47" t="n">
        <f aca="false">-DU94*$F21*(DV$4&gt;In_COD)</f>
        <v>-2.38451161719238E-012</v>
      </c>
      <c r="DW88" s="47" t="n">
        <f aca="false">-DV94*$F21*(DW$4&gt;In_COD)</f>
        <v>-2.41431801240728E-012</v>
      </c>
      <c r="DX88" s="47" t="n">
        <f aca="false">-DW94*$F21*(DX$4&gt;In_COD)</f>
        <v>-2.44449698756238E-012</v>
      </c>
      <c r="DY88" s="47" t="n">
        <f aca="false">-DX94*$F21*(DY$4&gt;In_COD)</f>
        <v>-2.47505319990691E-012</v>
      </c>
      <c r="DZ88" s="47" t="n">
        <f aca="false">-DY94*$F21*(DZ$4&gt;In_COD)</f>
        <v>-2.50599136490574E-012</v>
      </c>
      <c r="EA88" s="47" t="n">
        <f aca="false">-DZ94*$F21*(EA$4&gt;In_COD)</f>
        <v>-2.53731625696706E-012</v>
      </c>
      <c r="EB88" s="47" t="n">
        <f aca="false">-EA94*$F21*(EB$4&gt;In_COD)</f>
        <v>-2.56903271017915E-012</v>
      </c>
      <c r="EC88" s="47" t="n">
        <f aca="false">-EB94*$F21*(EC$4&gt;In_COD)</f>
        <v>-2.60114561905639E-012</v>
      </c>
      <c r="ED88" s="47" t="n">
        <f aca="false">-EC94*$F21*(ED$4&gt;In_COD)</f>
        <v>-2.6336599392946E-012</v>
      </c>
      <c r="EE88" s="47" t="n">
        <f aca="false">-ED94*$F21*(EE$4&gt;In_COD)</f>
        <v>-2.66658068853578E-012</v>
      </c>
      <c r="EF88" s="47" t="n">
        <f aca="false">-EE94*$F21*(EF$4&gt;In_COD)</f>
        <v>-2.69991294714248E-012</v>
      </c>
      <c r="EG88" s="47" t="n">
        <f aca="false">-EF94*$F21*(EG$4&gt;In_COD)</f>
        <v>-2.73366185898176E-012</v>
      </c>
      <c r="EH88" s="47" t="n">
        <f aca="false">-EG94*$F21*(EH$4&gt;In_COD)</f>
        <v>-2.76783263221903E-012</v>
      </c>
      <c r="EI88" s="47" t="n">
        <f aca="false">-EH94*$F21*(EI$4&gt;In_COD)</f>
        <v>-2.80243054012177E-012</v>
      </c>
      <c r="EJ88" s="47" t="n">
        <f aca="false">-EI94*$F21*(EJ$4&gt;In_COD)</f>
        <v>-2.83746092187329E-012</v>
      </c>
      <c r="EK88" s="47" t="n">
        <f aca="false">-EJ94*$F21*(EK$4&gt;In_COD)</f>
        <v>-2.87292918339671E-012</v>
      </c>
      <c r="EL88" s="47" t="n">
        <f aca="false">-EK94*$F21*(EL$4&gt;In_COD)</f>
        <v>-2.90884079818916E-012</v>
      </c>
      <c r="EM88" s="47" t="n">
        <f aca="false">-EL94*$F21*(EM$4&gt;In_COD)</f>
        <v>-2.94520130816653E-012</v>
      </c>
      <c r="EN88" s="47" t="n">
        <f aca="false">-EM94*$F21*(EN$4&gt;In_COD)</f>
        <v>-2.98201632451861E-012</v>
      </c>
      <c r="EO88" s="47" t="n">
        <f aca="false">-EN94*$F21*(EO$4&gt;In_COD)</f>
        <v>-3.01929152857509E-012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-64197.6842561554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-948.771535445926</v>
      </c>
      <c r="AA89" s="47" t="n">
        <f aca="false">-AA84*$F85</f>
        <v>-933.773328761224</v>
      </c>
      <c r="AB89" s="47" t="n">
        <f aca="false">-AB84*$F85</f>
        <v>-942.200340411517</v>
      </c>
      <c r="AC89" s="47" t="n">
        <f aca="false">-AC84*$F85</f>
        <v>-950.597244887432</v>
      </c>
      <c r="AD89" s="47" t="n">
        <f aca="false">-AD84*$F85</f>
        <v>-942.682041918411</v>
      </c>
      <c r="AE89" s="47" t="n">
        <f aca="false">-AE84*$F85</f>
        <v>-912.321561062785</v>
      </c>
      <c r="AF89" s="47" t="n">
        <f aca="false">-AF84*$F85</f>
        <v>-911.23715350868</v>
      </c>
      <c r="AG89" s="47" t="n">
        <f aca="false">-AG84*$F85</f>
        <v>-918.988098495886</v>
      </c>
      <c r="AH89" s="47" t="n">
        <f aca="false">-AH84*$F85</f>
        <v>-915.729017925378</v>
      </c>
      <c r="AI89" s="47" t="n">
        <f aca="false">-AI84*$F85</f>
        <v>-900.832091467369</v>
      </c>
      <c r="AJ89" s="47" t="n">
        <f aca="false">-AJ84*$F85</f>
        <v>-916.86885616231</v>
      </c>
      <c r="AK89" s="47" t="n">
        <f aca="false">-AK84*$F85</f>
        <v>-924.659959848417</v>
      </c>
      <c r="AL89" s="47" t="n">
        <f aca="false">-AL84*$F85</f>
        <v>-921.315589401226</v>
      </c>
      <c r="AM89" s="47" t="n">
        <f aca="false">-AM84*$F85</f>
        <v>-906.087235595034</v>
      </c>
      <c r="AN89" s="47" t="n">
        <f aca="false">-AN84*$F85</f>
        <v>-913.881772233519</v>
      </c>
      <c r="AO89" s="47" t="n">
        <f aca="false">-AO84*$F85</f>
        <v>-921.640807348078</v>
      </c>
      <c r="AP89" s="47" t="n">
        <f aca="false">-AP84*$F85</f>
        <v>-918.230859984969</v>
      </c>
      <c r="AQ89" s="47" t="n">
        <f aca="false">-AQ84*$F85</f>
        <v>-902.872319466534</v>
      </c>
      <c r="AR89" s="47" t="n">
        <f aca="false">-AR84*$F85</f>
        <v>-910.632861109546</v>
      </c>
      <c r="AS89" s="47" t="n">
        <f aca="false">-AS84*$F85</f>
        <v>-918.357330916552</v>
      </c>
      <c r="AT89" s="47" t="n">
        <f aca="false">-AT84*$F85</f>
        <v>-914.879830027616</v>
      </c>
      <c r="AU89" s="47" t="n">
        <f aca="false">-AU84*$F85</f>
        <v>-908.40203168839</v>
      </c>
      <c r="AV89" s="47" t="n">
        <f aca="false">-AV84*$F85</f>
        <v>-907.08845552019</v>
      </c>
      <c r="AW89" s="47" t="n">
        <f aca="false">-AW84*$F85</f>
        <v>-914.775534883178</v>
      </c>
      <c r="AX89" s="47" t="n">
        <f aca="false">-AX84*$F85</f>
        <v>-911.228194420085</v>
      </c>
      <c r="AY89" s="47" t="n">
        <f aca="false">-AY84*$F85</f>
        <v>-895.600998293175</v>
      </c>
      <c r="AZ89" s="47" t="n">
        <f aca="false">-AZ84*$F85</f>
        <v>-903.285497463495</v>
      </c>
      <c r="BA89" s="47" t="n">
        <f aca="false">-BA84*$F85</f>
        <v>-910.932727772582</v>
      </c>
      <c r="BB89" s="47" t="n">
        <f aca="false">-BB84*$F85</f>
        <v>-907.313654614509</v>
      </c>
      <c r="BC89" s="47" t="n">
        <f aca="false">-BC84*$F85</f>
        <v>-891.548053730995</v>
      </c>
      <c r="BD89" s="47" t="n">
        <f aca="false">-BD84*$F85</f>
        <v>-899.190544984707</v>
      </c>
      <c r="BE89" s="47" t="n">
        <f aca="false">-BE84*$F85</f>
        <v>-906.795141604022</v>
      </c>
      <c r="BF89" s="47" t="n">
        <f aca="false">-BF84*$F85</f>
        <v>-903.102136805081</v>
      </c>
      <c r="BG89" s="47" t="n">
        <f aca="false">-BG84*$F85</f>
        <v>-887.19522284625</v>
      </c>
      <c r="BH89" s="47" t="n">
        <f aca="false">-BH84*$F85</f>
        <v>-894.792838674881</v>
      </c>
      <c r="BI89" s="47" t="n">
        <f aca="false">-BI84*$F85</f>
        <v>-902.35191423779</v>
      </c>
      <c r="BJ89" s="47" t="n">
        <f aca="false">-BJ84*$F85</f>
        <v>-898.582699150248</v>
      </c>
      <c r="BK89" s="47" t="n">
        <f aca="false">-BK84*$F85</f>
        <v>-891.611633332436</v>
      </c>
      <c r="BL89" s="47" t="n">
        <f aca="false">-BL84*$F85</f>
        <v>-890.057093726404</v>
      </c>
      <c r="BM89" s="47" t="n">
        <f aca="false">-BM84*$F85</f>
        <v>-897.56741687034</v>
      </c>
      <c r="BN89" s="47" t="n">
        <f aca="false">-BN84*$F85</f>
        <v>-893.71939015155</v>
      </c>
      <c r="BO89" s="47" t="n">
        <f aca="false">-BO84*$F85</f>
        <v>-877.520515177611</v>
      </c>
      <c r="BP89" s="47" t="n">
        <f aca="false">-BP84*$F85</f>
        <v>-885.019106646672</v>
      </c>
      <c r="BQ89" s="47" t="n">
        <f aca="false">-BQ84*$F85</f>
        <v>-892.477801593532</v>
      </c>
      <c r="BR89" s="47" t="n">
        <f aca="false">-BR84*$F85</f>
        <v>-888.548746333181</v>
      </c>
      <c r="BS89" s="47" t="n">
        <f aca="false">-BS84*$F85</f>
        <v>-872.199263942778</v>
      </c>
      <c r="BT89" s="47" t="n">
        <f aca="false">-BT84*$F85</f>
        <v>-879.643718748231</v>
      </c>
      <c r="BU89" s="47" t="n">
        <f aca="false">-BU84*$F85</f>
        <v>-887.047567138588</v>
      </c>
      <c r="BV89" s="47" t="n">
        <f aca="false">-BV84*$F85</f>
        <v>-883.034946501369</v>
      </c>
      <c r="BW89" s="47" t="n">
        <f aca="false">-BW84*$F85</f>
        <v>-866.531563508391</v>
      </c>
      <c r="BX89" s="47" t="n">
        <f aca="false">-BX84*$F85</f>
        <v>-873.918568161233</v>
      </c>
      <c r="BY89" s="47" t="n">
        <f aca="false">-BY84*$F85</f>
        <v>-881.264233482523</v>
      </c>
      <c r="BZ89" s="47" t="n">
        <f aca="false">-BZ84*$F85</f>
        <v>-877.165418040741</v>
      </c>
      <c r="CA89" s="47" t="n">
        <f aca="false">-CA84*$F85</f>
        <v>-869.639998869464</v>
      </c>
      <c r="CB89" s="47" t="n">
        <f aca="false">-CB84*$F85</f>
        <v>-867.806563024045</v>
      </c>
      <c r="CC89" s="47" t="n">
        <f aca="false">-CC84*$F85</f>
        <v>-875.090347340702</v>
      </c>
      <c r="CD89" s="47" t="n">
        <f aca="false">-CD84*$F85</f>
        <v>-870.902370123638</v>
      </c>
      <c r="CE89" s="47" t="n">
        <f aca="false">-CE84*$F85</f>
        <v>-854.08063890266</v>
      </c>
      <c r="CF89" s="47" t="n">
        <f aca="false">-CF84*$F85</f>
        <v>-861.342066289882</v>
      </c>
      <c r="CG89" s="47" t="n">
        <f aca="false">-CG84*$F85</f>
        <v>-868.56061350812</v>
      </c>
      <c r="CH89" s="47" t="n">
        <f aca="false">-CH84*$F85</f>
        <v>-864.280880918427</v>
      </c>
      <c r="CI89" s="47" t="n">
        <f aca="false">-CI84*$F85</f>
        <v>-847.29471462875</v>
      </c>
      <c r="CJ89" s="47" t="n">
        <f aca="false">-CJ84*$F85</f>
        <v>-854.487995118032</v>
      </c>
      <c r="CK89" s="47" t="n">
        <f aca="false">-CK84*$F85</f>
        <v>-861.637588001274</v>
      </c>
      <c r="CL89" s="47" t="n">
        <f aca="false">-CL84*$F85</f>
        <v>-857.263170661621</v>
      </c>
      <c r="CM89" s="47" t="n">
        <f aca="false">-CM84*$F85</f>
        <v>-840.108832449191</v>
      </c>
      <c r="CN89" s="47" t="n">
        <f aca="false">-CN84*$F85</f>
        <v>-847.230139561418</v>
      </c>
      <c r="CO89" s="47" t="n">
        <f aca="false">-CO84*$F85</f>
        <v>-854.306924916434</v>
      </c>
      <c r="CP89" s="47" t="n">
        <f aca="false">-CP84*$F85</f>
        <v>-849.834785839416</v>
      </c>
      <c r="CQ89" s="47" t="n">
        <f aca="false">-CQ84*$F85</f>
        <v>-841.685654703381</v>
      </c>
      <c r="CR89" s="47" t="n">
        <f aca="false">-CR84*$F85</f>
        <v>-839.529380809526</v>
      </c>
      <c r="CS89" s="47" t="n">
        <f aca="false">-CS84*$F85</f>
        <v>-846.529124465868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4374.90719178082</v>
      </c>
      <c r="T90" s="18" t="n">
        <f aca="false">S94</f>
        <v>13194.5467782534</v>
      </c>
      <c r="U90" s="18" t="n">
        <f aca="false">T94</f>
        <v>17686.8324657213</v>
      </c>
      <c r="V90" s="18" t="n">
        <f aca="false">U94</f>
        <v>22282.8250633237</v>
      </c>
      <c r="W90" s="18" t="n">
        <f aca="false">V94</f>
        <v>26936.267568396</v>
      </c>
      <c r="X90" s="18" t="n">
        <f aca="false">W94</f>
        <v>31552.7714266996</v>
      </c>
      <c r="Y90" s="18" t="n">
        <f aca="false">X94</f>
        <v>36274.5349222731</v>
      </c>
      <c r="Z90" s="18" t="n">
        <f aca="false">Y94</f>
        <v>42477.8738005823</v>
      </c>
      <c r="AA90" s="18" t="n">
        <f aca="false">Z94</f>
        <v>42060.0756876437</v>
      </c>
      <c r="AB90" s="18" t="n">
        <f aca="false">AA94</f>
        <v>41652.053304978</v>
      </c>
      <c r="AC90" s="18" t="n">
        <f aca="false">AB94</f>
        <v>41230.5036308787</v>
      </c>
      <c r="AD90" s="18" t="n">
        <f aca="false">AC94</f>
        <v>40795.2876813773</v>
      </c>
      <c r="AE90" s="18" t="n">
        <f aca="false">AD94</f>
        <v>40362.5467354761</v>
      </c>
      <c r="AF90" s="18" t="n">
        <f aca="false">AE94</f>
        <v>39954.7570086067</v>
      </c>
      <c r="AG90" s="18" t="n">
        <f aca="false">AF94</f>
        <v>39542.9543177056</v>
      </c>
      <c r="AH90" s="18" t="n">
        <f aca="false">AG94</f>
        <v>39118.2531481811</v>
      </c>
      <c r="AI90" s="18" t="n">
        <f aca="false">AH94</f>
        <v>38691.5022946079</v>
      </c>
      <c r="AJ90" s="18" t="n">
        <f aca="false">AI94</f>
        <v>38274.3139818232</v>
      </c>
      <c r="AK90" s="18" t="n">
        <f aca="false">AJ94</f>
        <v>37835.8740504337</v>
      </c>
      <c r="AL90" s="18" t="n">
        <f aca="false">AK94</f>
        <v>37384.1625162157</v>
      </c>
      <c r="AM90" s="18" t="n">
        <f aca="false">AL94</f>
        <v>36930.1489582671</v>
      </c>
      <c r="AN90" s="18" t="n">
        <f aca="false">AM94</f>
        <v>36485.6885846504</v>
      </c>
      <c r="AO90" s="18" t="n">
        <f aca="false">AN94</f>
        <v>36027.877919725</v>
      </c>
      <c r="AP90" s="18" t="n">
        <f aca="false">AO94</f>
        <v>35556.5855863735</v>
      </c>
      <c r="AQ90" s="18" t="n">
        <f aca="false">AP94</f>
        <v>35082.8120462182</v>
      </c>
      <c r="AR90" s="18" t="n">
        <f aca="false">AQ94</f>
        <v>34618.4748773294</v>
      </c>
      <c r="AS90" s="18" t="n">
        <f aca="false">AR94</f>
        <v>34140.5729521865</v>
      </c>
      <c r="AT90" s="18" t="n">
        <f aca="false">AS94</f>
        <v>33648.9727831723</v>
      </c>
      <c r="AU90" s="18" t="n">
        <f aca="false">AT94</f>
        <v>33154.7051129343</v>
      </c>
      <c r="AV90" s="18" t="n">
        <f aca="false">AU94</f>
        <v>32660.7368951576</v>
      </c>
      <c r="AW90" s="18" t="n">
        <f aca="false">AV94</f>
        <v>32161.9076508269</v>
      </c>
      <c r="AX90" s="18" t="n">
        <f aca="false">AW94</f>
        <v>31649.155961579</v>
      </c>
      <c r="AY90" s="18" t="n">
        <f aca="false">AX94</f>
        <v>31133.5422166787</v>
      </c>
      <c r="AZ90" s="18" t="n">
        <f aca="false">AY94</f>
        <v>30627.110496094</v>
      </c>
      <c r="BA90" s="18" t="n">
        <f aca="false">AZ94</f>
        <v>30106.6638798317</v>
      </c>
      <c r="BB90" s="18" t="n">
        <f aca="false">BA94</f>
        <v>29572.064450557</v>
      </c>
      <c r="BC90" s="18" t="n">
        <f aca="false">BB94</f>
        <v>29034.4016015744</v>
      </c>
      <c r="BD90" s="18" t="n">
        <f aca="false">BC94</f>
        <v>28505.7835678631</v>
      </c>
      <c r="BE90" s="18" t="n">
        <f aca="false">BD94</f>
        <v>27962.9153174767</v>
      </c>
      <c r="BF90" s="18" t="n">
        <f aca="false">BE94</f>
        <v>27405.6566173412</v>
      </c>
      <c r="BG90" s="18" t="n">
        <f aca="false">BF94</f>
        <v>26845.1251882528</v>
      </c>
      <c r="BH90" s="18" t="n">
        <f aca="false">BG94</f>
        <v>26293.4940302597</v>
      </c>
      <c r="BI90" s="18" t="n">
        <f aca="false">BH94</f>
        <v>25727.3698669631</v>
      </c>
      <c r="BJ90" s="18" t="n">
        <f aca="false">BI94</f>
        <v>25146.6100760624</v>
      </c>
      <c r="BK90" s="18" t="n">
        <f aca="false">BJ94</f>
        <v>24562.3600028629</v>
      </c>
      <c r="BL90" s="18" t="n">
        <f aca="false">BK94</f>
        <v>23977.7778695662</v>
      </c>
      <c r="BM90" s="18" t="n">
        <f aca="false">BL94</f>
        <v>23387.4429992094</v>
      </c>
      <c r="BN90" s="18" t="n">
        <f aca="false">BM94</f>
        <v>22782.2186198292</v>
      </c>
      <c r="BO90" s="18" t="n">
        <f aca="false">BN94</f>
        <v>22173.2769624255</v>
      </c>
      <c r="BP90" s="18" t="n">
        <f aca="false">BO94</f>
        <v>21572.9224092782</v>
      </c>
      <c r="BQ90" s="18" t="n">
        <f aca="false">BP94</f>
        <v>20957.5648327475</v>
      </c>
      <c r="BR90" s="18" t="n">
        <f aca="false">BQ94</f>
        <v>20327.0565915633</v>
      </c>
      <c r="BS90" s="18" t="n">
        <f aca="false">BR94</f>
        <v>19692.5960526247</v>
      </c>
      <c r="BT90" s="18" t="n">
        <f aca="false">BS94</f>
        <v>19066.5542393397</v>
      </c>
      <c r="BU90" s="18" t="n">
        <f aca="false">BT94</f>
        <v>18425.2424485832</v>
      </c>
      <c r="BV90" s="18" t="n">
        <f aca="false">BU94</f>
        <v>17768.5104120519</v>
      </c>
      <c r="BW90" s="18" t="n">
        <f aca="false">BV94</f>
        <v>17107.5818457012</v>
      </c>
      <c r="BX90" s="18" t="n">
        <f aca="false">BW94</f>
        <v>16454.8950552641</v>
      </c>
      <c r="BY90" s="18" t="n">
        <f aca="false">BX94</f>
        <v>15786.6626752937</v>
      </c>
      <c r="BZ90" s="18" t="n">
        <f aca="false">BY94</f>
        <v>15102.7317252523</v>
      </c>
      <c r="CA90" s="18" t="n">
        <f aca="false">BZ94</f>
        <v>14414.3504537772</v>
      </c>
      <c r="CB90" s="18" t="n">
        <f aca="false">CA94</f>
        <v>13724.88983558</v>
      </c>
      <c r="CC90" s="18" t="n">
        <f aca="false">CB94</f>
        <v>13028.6443955007</v>
      </c>
      <c r="CD90" s="18" t="n">
        <f aca="false">CC94</f>
        <v>12316.4121031037</v>
      </c>
      <c r="CE90" s="18" t="n">
        <f aca="false">CD94</f>
        <v>11599.4648842689</v>
      </c>
      <c r="CF90" s="18" t="n">
        <f aca="false">CE94</f>
        <v>10890.3775564196</v>
      </c>
      <c r="CG90" s="18" t="n">
        <f aca="false">CF94</f>
        <v>10165.165209585</v>
      </c>
      <c r="CH90" s="18" t="n">
        <f aca="false">CG94</f>
        <v>9423.66916119666</v>
      </c>
      <c r="CI90" s="18" t="n">
        <f aca="false">CH94</f>
        <v>8677.18414479319</v>
      </c>
      <c r="CJ90" s="18" t="n">
        <f aca="false">CI94</f>
        <v>7938.35423197436</v>
      </c>
      <c r="CK90" s="18" t="n">
        <f aca="false">CJ94</f>
        <v>7183.095664756</v>
      </c>
      <c r="CL90" s="18" t="n">
        <f aca="false">CK94</f>
        <v>6411.24677256418</v>
      </c>
      <c r="CM90" s="18" t="n">
        <f aca="false">CL94</f>
        <v>5634.12418655961</v>
      </c>
      <c r="CN90" s="18" t="n">
        <f aca="false">CM94</f>
        <v>4864.44190644242</v>
      </c>
      <c r="CO90" s="18" t="n">
        <f aca="false">CN94</f>
        <v>4078.01729071153</v>
      </c>
      <c r="CP90" s="18" t="n">
        <f aca="false">CO94</f>
        <v>3274.68558192899</v>
      </c>
      <c r="CQ90" s="18" t="n">
        <f aca="false">CP94</f>
        <v>2465.78436586369</v>
      </c>
      <c r="CR90" s="18" t="n">
        <f aca="false">CQ94</f>
        <v>1654.9210157336</v>
      </c>
      <c r="CS90" s="18" t="n">
        <f aca="false">CR94</f>
        <v>836.078147620744</v>
      </c>
      <c r="CT90" s="18" t="n">
        <f aca="false">CS94</f>
        <v>1.34718902700115E-010</v>
      </c>
      <c r="CU90" s="18" t="n">
        <f aca="false">CT94</f>
        <v>1.36402888983866E-010</v>
      </c>
      <c r="CV90" s="18" t="n">
        <f aca="false">CU94</f>
        <v>1.38107925096165E-010</v>
      </c>
      <c r="CW90" s="18" t="n">
        <f aca="false">CV94</f>
        <v>1.39834274159867E-010</v>
      </c>
      <c r="CX90" s="18" t="n">
        <f aca="false">CW94</f>
        <v>1.41582202586865E-010</v>
      </c>
      <c r="CY90" s="18" t="n">
        <f aca="false">CX94</f>
        <v>1.43351980119201E-010</v>
      </c>
      <c r="CZ90" s="18" t="n">
        <f aca="false">CY94</f>
        <v>1.45143879870691E-010</v>
      </c>
      <c r="DA90" s="18" t="n">
        <f aca="false">CZ94</f>
        <v>1.46958178369075E-010</v>
      </c>
      <c r="DB90" s="18" t="n">
        <f aca="false">DA94</f>
        <v>1.48795155598688E-010</v>
      </c>
      <c r="DC90" s="18" t="n">
        <f aca="false">DB94</f>
        <v>1.50655095043672E-010</v>
      </c>
      <c r="DD90" s="18" t="n">
        <f aca="false">DC94</f>
        <v>1.52538283731718E-010</v>
      </c>
      <c r="DE90" s="18" t="n">
        <f aca="false">DD94</f>
        <v>1.54445012278364E-010</v>
      </c>
      <c r="DF90" s="18" t="n">
        <f aca="false">DE94</f>
        <v>1.56375574931844E-010</v>
      </c>
      <c r="DG90" s="18" t="n">
        <f aca="false">DF94</f>
        <v>1.58330269618492E-010</v>
      </c>
      <c r="DH90" s="18" t="n">
        <f aca="false">DG94</f>
        <v>1.60309397988723E-010</v>
      </c>
      <c r="DI90" s="18" t="n">
        <f aca="false">DH94</f>
        <v>1.62313265463582E-010</v>
      </c>
      <c r="DJ90" s="18" t="n">
        <f aca="false">DI94</f>
        <v>1.64342181281877E-010</v>
      </c>
      <c r="DK90" s="18" t="n">
        <f aca="false">DJ94</f>
        <v>1.663964585479E-010</v>
      </c>
      <c r="DL90" s="18" t="n">
        <f aca="false">DK94</f>
        <v>1.68476414279749E-010</v>
      </c>
      <c r="DM90" s="18" t="n">
        <f aca="false">DL94</f>
        <v>1.70582369458246E-010</v>
      </c>
      <c r="DN90" s="18" t="n">
        <f aca="false">DM94</f>
        <v>1.72714649076474E-010</v>
      </c>
      <c r="DO90" s="18" t="n">
        <f aca="false">DN94</f>
        <v>1.7487358218993E-010</v>
      </c>
      <c r="DP90" s="18" t="n">
        <f aca="false">DO94</f>
        <v>1.77059501967304E-010</v>
      </c>
      <c r="DQ90" s="18" t="n">
        <f aca="false">DP94</f>
        <v>1.79272745741895E-010</v>
      </c>
      <c r="DR90" s="18" t="n">
        <f aca="false">DQ94</f>
        <v>1.81513655063669E-010</v>
      </c>
      <c r="DS90" s="18" t="n">
        <f aca="false">DR94</f>
        <v>1.83782575751965E-010</v>
      </c>
      <c r="DT90" s="18" t="n">
        <f aca="false">DS94</f>
        <v>1.86079857948864E-010</v>
      </c>
      <c r="DU90" s="18" t="n">
        <f aca="false">DT94</f>
        <v>1.88405856173225E-010</v>
      </c>
      <c r="DV90" s="18" t="n">
        <f aca="false">DU94</f>
        <v>1.9076092937539E-010</v>
      </c>
      <c r="DW90" s="18" t="n">
        <f aca="false">DV94</f>
        <v>1.93145440992583E-010</v>
      </c>
      <c r="DX90" s="18" t="n">
        <f aca="false">DW94</f>
        <v>1.9555975900499E-010</v>
      </c>
      <c r="DY90" s="18" t="n">
        <f aca="false">DX94</f>
        <v>1.98004255992552E-010</v>
      </c>
      <c r="DZ90" s="18" t="n">
        <f aca="false">DY94</f>
        <v>2.00479309192459E-010</v>
      </c>
      <c r="EA90" s="18" t="n">
        <f aca="false">DZ94</f>
        <v>2.02985300557365E-010</v>
      </c>
      <c r="EB90" s="18" t="n">
        <f aca="false">EA94</f>
        <v>2.05522616814332E-010</v>
      </c>
      <c r="EC90" s="18" t="n">
        <f aca="false">EB94</f>
        <v>2.08091649524511E-010</v>
      </c>
      <c r="ED90" s="18" t="n">
        <f aca="false">EC94</f>
        <v>2.10692795143568E-010</v>
      </c>
      <c r="EE90" s="18" t="n">
        <f aca="false">ED94</f>
        <v>2.13326455082862E-010</v>
      </c>
      <c r="EF90" s="18" t="n">
        <f aca="false">EE94</f>
        <v>2.15993035771398E-010</v>
      </c>
      <c r="EG90" s="18" t="n">
        <f aca="false">EF94</f>
        <v>2.1869294871854E-010</v>
      </c>
      <c r="EH90" s="18" t="n">
        <f aca="false">EG94</f>
        <v>2.21426610577522E-010</v>
      </c>
      <c r="EI90" s="18" t="n">
        <f aca="false">EH94</f>
        <v>2.24194443209741E-010</v>
      </c>
      <c r="EJ90" s="18" t="n">
        <f aca="false">EI94</f>
        <v>2.26996873749863E-010</v>
      </c>
      <c r="EK90" s="18" t="n">
        <f aca="false">EJ94</f>
        <v>2.29834334671736E-010</v>
      </c>
      <c r="EL90" s="18" t="n">
        <f aca="false">EK94</f>
        <v>2.32707263855133E-010</v>
      </c>
      <c r="EM90" s="18" t="n">
        <f aca="false">EL94</f>
        <v>2.35616104653322E-010</v>
      </c>
      <c r="EN90" s="18" t="n">
        <f aca="false">EM94</f>
        <v>2.38561305961489E-010</v>
      </c>
      <c r="EO90" s="18" t="n">
        <f aca="false">EN94</f>
        <v>2.41543322286007E-010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40574.0902328767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4374.90719178082</v>
      </c>
      <c r="S91" s="47" t="n">
        <f aca="false">-$E85*S66</f>
        <v>8764.95324657534</v>
      </c>
      <c r="T91" s="47" t="n">
        <f aca="false">-$E85*T66</f>
        <v>4327.35385273973</v>
      </c>
      <c r="U91" s="47" t="n">
        <f aca="false">-$E85*U66</f>
        <v>4374.90719178082</v>
      </c>
      <c r="V91" s="47" t="n">
        <f aca="false">-$E85*V66</f>
        <v>4374.90719178082</v>
      </c>
      <c r="W91" s="47" t="n">
        <f aca="false">-$E85*W66</f>
        <v>4279.80051369863</v>
      </c>
      <c r="X91" s="47" t="n">
        <f aca="false">-$E85*X66</f>
        <v>4327.35385273973</v>
      </c>
      <c r="Y91" s="47" t="n">
        <f aca="false">-$E85*Y66</f>
        <v>5749.90719178082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1903.7835677056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54.6863398972603</v>
      </c>
      <c r="T92" s="47" t="n">
        <f aca="false">T90*$F21*(T$4&lt;=In_COD)</f>
        <v>164.931834728168</v>
      </c>
      <c r="U92" s="47" t="n">
        <f aca="false">U90*$F21*(U$4&lt;=In_COD)</f>
        <v>221.085405821517</v>
      </c>
      <c r="V92" s="47" t="n">
        <f aca="false">V90*$F21*(V$4&lt;=In_COD)</f>
        <v>278.535313291546</v>
      </c>
      <c r="W92" s="47" t="n">
        <f aca="false">W90*$F21*(W$4&lt;=In_COD)</f>
        <v>336.70334460495</v>
      </c>
      <c r="X92" s="47" t="n">
        <f aca="false">X90*$F21*(X$4&lt;=In_COD)</f>
        <v>394.409642833745</v>
      </c>
      <c r="Y92" s="47" t="n">
        <f aca="false">Y90*$F21*(Y$4&lt;=In_COD)</f>
        <v>453.431686528414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-42477.8738005821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-417.798112938647</v>
      </c>
      <c r="AA93" s="47" t="n">
        <f aca="false">AA89-AA88</f>
        <v>-408.022382665678</v>
      </c>
      <c r="AB93" s="47" t="n">
        <f aca="false">AB89-AB88</f>
        <v>-421.549674099292</v>
      </c>
      <c r="AC93" s="47" t="n">
        <f aca="false">AC89-AC88</f>
        <v>-435.215949501448</v>
      </c>
      <c r="AD93" s="47" t="n">
        <f aca="false">AD89-AD88</f>
        <v>-432.740945901195</v>
      </c>
      <c r="AE93" s="47" t="n">
        <f aca="false">AE89-AE88</f>
        <v>-407.789726869334</v>
      </c>
      <c r="AF93" s="47" t="n">
        <f aca="false">AF89-AF88</f>
        <v>-411.802690901096</v>
      </c>
      <c r="AG93" s="47" t="n">
        <f aca="false">AG89-AG88</f>
        <v>-424.701169524566</v>
      </c>
      <c r="AH93" s="47" t="n">
        <f aca="false">AH89-AH88</f>
        <v>-426.750853573114</v>
      </c>
      <c r="AI93" s="47" t="n">
        <f aca="false">AI89-AI88</f>
        <v>-417.18831278477</v>
      </c>
      <c r="AJ93" s="47" t="n">
        <f aca="false">AJ89-AJ88</f>
        <v>-438.439931389521</v>
      </c>
      <c r="AK93" s="47" t="n">
        <f aca="false">AK89-AK88</f>
        <v>-451.711534217997</v>
      </c>
      <c r="AL93" s="47" t="n">
        <f aca="false">AL89-AL88</f>
        <v>-454.01355794853</v>
      </c>
      <c r="AM93" s="47" t="n">
        <f aca="false">AM89-AM88</f>
        <v>-444.460373616695</v>
      </c>
      <c r="AN93" s="47" t="n">
        <f aca="false">AN89-AN88</f>
        <v>-457.810664925389</v>
      </c>
      <c r="AO93" s="47" t="n">
        <f aca="false">AO89-AO88</f>
        <v>-471.292333351515</v>
      </c>
      <c r="AP93" s="47" t="n">
        <f aca="false">AP89-AP88</f>
        <v>-473.7735401553</v>
      </c>
      <c r="AQ93" s="47" t="n">
        <f aca="false">AQ89-AQ88</f>
        <v>-464.337168888806</v>
      </c>
      <c r="AR93" s="47" t="n">
        <f aca="false">AR89-AR88</f>
        <v>-477.901925142928</v>
      </c>
      <c r="AS93" s="47" t="n">
        <f aca="false">AS89-AS88</f>
        <v>-491.600169014221</v>
      </c>
      <c r="AT93" s="47" t="n">
        <f aca="false">AT89-AT88</f>
        <v>-494.267670237963</v>
      </c>
      <c r="AU93" s="47" t="n">
        <f aca="false">AU89-AU88</f>
        <v>-493.968217776711</v>
      </c>
      <c r="AV93" s="47" t="n">
        <f aca="false">AV89-AV88</f>
        <v>-498.82924433072</v>
      </c>
      <c r="AW93" s="47" t="n">
        <f aca="false">AW89-AW88</f>
        <v>-512.751689247842</v>
      </c>
      <c r="AX93" s="47" t="n">
        <f aca="false">AX89-AX88</f>
        <v>-515.613744900347</v>
      </c>
      <c r="AY93" s="47" t="n">
        <f aca="false">AY89-AY88</f>
        <v>-506.431720584691</v>
      </c>
      <c r="AZ93" s="47" t="n">
        <f aca="false">AZ89-AZ88</f>
        <v>-520.44661626232</v>
      </c>
      <c r="BA93" s="47" t="n">
        <f aca="false">BA89-BA88</f>
        <v>-534.599429274686</v>
      </c>
      <c r="BB93" s="47" t="n">
        <f aca="false">BB89-BB88</f>
        <v>-537.662848982547</v>
      </c>
      <c r="BC93" s="47" t="n">
        <f aca="false">BC89-BC88</f>
        <v>-528.618033711315</v>
      </c>
      <c r="BD93" s="47" t="n">
        <f aca="false">BD89-BD88</f>
        <v>-542.868250386417</v>
      </c>
      <c r="BE93" s="47" t="n">
        <f aca="false">BE89-BE88</f>
        <v>-557.258700135563</v>
      </c>
      <c r="BF93" s="47" t="n">
        <f aca="false">BF89-BF88</f>
        <v>-560.531429088317</v>
      </c>
      <c r="BG93" s="47" t="n">
        <f aca="false">BG89-BG88</f>
        <v>-551.631157993089</v>
      </c>
      <c r="BH93" s="47" t="n">
        <f aca="false">BH89-BH88</f>
        <v>-566.124163296634</v>
      </c>
      <c r="BI93" s="47" t="n">
        <f aca="false">BI89-BI88</f>
        <v>-580.759790900751</v>
      </c>
      <c r="BJ93" s="47" t="n">
        <f aca="false">BJ89-BJ88</f>
        <v>-584.250073199468</v>
      </c>
      <c r="BK93" s="47" t="n">
        <f aca="false">BK89-BK88</f>
        <v>-584.58213329665</v>
      </c>
      <c r="BL93" s="47" t="n">
        <f aca="false">BL89-BL88</f>
        <v>-590.334870356826</v>
      </c>
      <c r="BM93" s="47" t="n">
        <f aca="false">BM89-BM88</f>
        <v>-605.224379380222</v>
      </c>
      <c r="BN93" s="47" t="n">
        <f aca="false">BN89-BN88</f>
        <v>-608.941657403685</v>
      </c>
      <c r="BO93" s="47" t="n">
        <f aca="false">BO89-BO88</f>
        <v>-600.354553147292</v>
      </c>
      <c r="BP93" s="47" t="n">
        <f aca="false">BP89-BP88</f>
        <v>-615.357576530694</v>
      </c>
      <c r="BQ93" s="47" t="n">
        <f aca="false">BQ89-BQ88</f>
        <v>-630.508241184188</v>
      </c>
      <c r="BR93" s="47" t="n">
        <f aca="false">BR89-BR88</f>
        <v>-634.460538938639</v>
      </c>
      <c r="BS93" s="47" t="n">
        <f aca="false">BS89-BS88</f>
        <v>-626.04181328497</v>
      </c>
      <c r="BT93" s="47" t="n">
        <f aca="false">BT89-BT88</f>
        <v>-641.311790756484</v>
      </c>
      <c r="BU93" s="47" t="n">
        <f aca="false">BU89-BU88</f>
        <v>-656.732036531298</v>
      </c>
      <c r="BV93" s="47" t="n">
        <f aca="false">BV89-BV88</f>
        <v>-660.92856635072</v>
      </c>
      <c r="BW93" s="47" t="n">
        <f aca="false">BW89-BW88</f>
        <v>-652.686790437126</v>
      </c>
      <c r="BX93" s="47" t="n">
        <f aca="false">BX89-BX88</f>
        <v>-668.232379970432</v>
      </c>
      <c r="BY93" s="47" t="n">
        <f aca="false">BY89-BY88</f>
        <v>-683.930950041352</v>
      </c>
      <c r="BZ93" s="47" t="n">
        <f aca="false">BZ89-BZ88</f>
        <v>-688.381271475087</v>
      </c>
      <c r="CA93" s="47" t="n">
        <f aca="false">CA89-CA88</f>
        <v>-689.460618197249</v>
      </c>
      <c r="CB93" s="47" t="n">
        <f aca="false">CB89-CB88</f>
        <v>-696.245440079296</v>
      </c>
      <c r="CC93" s="47" t="n">
        <f aca="false">CC89-CC88</f>
        <v>-712.232292396943</v>
      </c>
      <c r="CD93" s="47" t="n">
        <f aca="false">CD89-CD88</f>
        <v>-716.947218834842</v>
      </c>
      <c r="CE93" s="47" t="n">
        <f aca="false">CE89-CE88</f>
        <v>-709.087327849299</v>
      </c>
      <c r="CF93" s="47" t="n">
        <f aca="false">CF89-CF88</f>
        <v>-725.212346834636</v>
      </c>
      <c r="CG93" s="47" t="n">
        <f aca="false">CG89-CG88</f>
        <v>-741.496048388308</v>
      </c>
      <c r="CH93" s="47" t="n">
        <f aca="false">CH89-CH88</f>
        <v>-746.485016403469</v>
      </c>
      <c r="CI93" s="47" t="n">
        <f aca="false">CI89-CI88</f>
        <v>-738.829912818835</v>
      </c>
      <c r="CJ93" s="47" t="n">
        <f aca="false">CJ89-CJ88</f>
        <v>-755.258567218353</v>
      </c>
      <c r="CK93" s="47" t="n">
        <f aca="false">CK89-CK88</f>
        <v>-771.848892191824</v>
      </c>
      <c r="CL93" s="47" t="n">
        <f aca="false">CL89-CL88</f>
        <v>-777.122586004569</v>
      </c>
      <c r="CM93" s="47" t="n">
        <f aca="false">CM89-CM88</f>
        <v>-769.682280117196</v>
      </c>
      <c r="CN93" s="47" t="n">
        <f aca="false">CN89-CN88</f>
        <v>-786.424615730888</v>
      </c>
      <c r="CO93" s="47" t="n">
        <f aca="false">CO89-CO88</f>
        <v>-803.33170878254</v>
      </c>
      <c r="CP93" s="47" t="n">
        <f aca="false">CP89-CP88</f>
        <v>-808.901216065303</v>
      </c>
      <c r="CQ93" s="47" t="n">
        <f aca="false">CQ89-CQ88</f>
        <v>-810.863350130085</v>
      </c>
      <c r="CR93" s="47" t="n">
        <f aca="false">CR89-CR88</f>
        <v>-818.842868112856</v>
      </c>
      <c r="CS93" s="47" t="n">
        <f aca="false">CS89-CS88</f>
        <v>-836.078147620609</v>
      </c>
      <c r="CT93" s="47" t="n">
        <f aca="false">CT89-CT88</f>
        <v>1.68398628375144E-012</v>
      </c>
      <c r="CU93" s="47" t="n">
        <f aca="false">CU89-CU88</f>
        <v>1.70503611229833E-012</v>
      </c>
      <c r="CV93" s="47" t="n">
        <f aca="false">CV89-CV88</f>
        <v>1.72634906370206E-012</v>
      </c>
      <c r="CW93" s="47" t="n">
        <f aca="false">CW89-CW88</f>
        <v>1.74792842699834E-012</v>
      </c>
      <c r="CX93" s="47" t="n">
        <f aca="false">CX89-CX88</f>
        <v>1.76977753233582E-012</v>
      </c>
      <c r="CY93" s="47" t="n">
        <f aca="false">CY89-CY88</f>
        <v>1.79189975149001E-012</v>
      </c>
      <c r="CZ93" s="47" t="n">
        <f aca="false">CZ89-CZ88</f>
        <v>1.81429849838364E-012</v>
      </c>
      <c r="DA93" s="47" t="n">
        <f aca="false">DA89-DA88</f>
        <v>1.83697722961343E-012</v>
      </c>
      <c r="DB93" s="47" t="n">
        <f aca="false">DB89-DB88</f>
        <v>1.8599394449836E-012</v>
      </c>
      <c r="DC93" s="47" t="n">
        <f aca="false">DC89-DC88</f>
        <v>1.8831886880459E-012</v>
      </c>
      <c r="DD93" s="47" t="n">
        <f aca="false">DD89-DD88</f>
        <v>1.90672854664647E-012</v>
      </c>
      <c r="DE93" s="47" t="n">
        <f aca="false">DE89-DE88</f>
        <v>1.93056265347955E-012</v>
      </c>
      <c r="DF93" s="47" t="n">
        <f aca="false">DF89-DF88</f>
        <v>1.95469468664805E-012</v>
      </c>
      <c r="DG93" s="47" t="n">
        <f aca="false">DG89-DG88</f>
        <v>1.97912837023115E-012</v>
      </c>
      <c r="DH93" s="47" t="n">
        <f aca="false">DH89-DH88</f>
        <v>2.00386747485904E-012</v>
      </c>
      <c r="DI93" s="47" t="n">
        <f aca="false">DI89-DI88</f>
        <v>2.02891581829477E-012</v>
      </c>
      <c r="DJ93" s="47" t="n">
        <f aca="false">DJ89-DJ88</f>
        <v>2.05427726602346E-012</v>
      </c>
      <c r="DK93" s="47" t="n">
        <f aca="false">DK89-DK88</f>
        <v>2.07995573184875E-012</v>
      </c>
      <c r="DL93" s="47" t="n">
        <f aca="false">DL89-DL88</f>
        <v>2.10595517849686E-012</v>
      </c>
      <c r="DM93" s="47" t="n">
        <f aca="false">DM89-DM88</f>
        <v>2.13227961822807E-012</v>
      </c>
      <c r="DN93" s="47" t="n">
        <f aca="false">DN89-DN88</f>
        <v>2.15893311345592E-012</v>
      </c>
      <c r="DO93" s="47" t="n">
        <f aca="false">DO89-DO88</f>
        <v>2.18591977737412E-012</v>
      </c>
      <c r="DP93" s="47" t="n">
        <f aca="false">DP89-DP88</f>
        <v>2.2132437745913E-012</v>
      </c>
      <c r="DQ93" s="47" t="n">
        <f aca="false">DQ89-DQ88</f>
        <v>2.24090932177369E-012</v>
      </c>
      <c r="DR93" s="47" t="n">
        <f aca="false">DR89-DR88</f>
        <v>2.26892068829586E-012</v>
      </c>
      <c r="DS93" s="47" t="n">
        <f aca="false">DS89-DS88</f>
        <v>2.29728219689956E-012</v>
      </c>
      <c r="DT93" s="47" t="n">
        <f aca="false">DT89-DT88</f>
        <v>2.3259982243608E-012</v>
      </c>
      <c r="DU93" s="47" t="n">
        <f aca="false">DU89-DU88</f>
        <v>2.35507320216531E-012</v>
      </c>
      <c r="DV93" s="47" t="n">
        <f aca="false">DV89-DV88</f>
        <v>2.38451161719238E-012</v>
      </c>
      <c r="DW93" s="47" t="n">
        <f aca="false">DW89-DW88</f>
        <v>2.41431801240728E-012</v>
      </c>
      <c r="DX93" s="47" t="n">
        <f aca="false">DX89-DX88</f>
        <v>2.44449698756238E-012</v>
      </c>
      <c r="DY93" s="47" t="n">
        <f aca="false">DY89-DY88</f>
        <v>2.47505319990691E-012</v>
      </c>
      <c r="DZ93" s="47" t="n">
        <f aca="false">DZ89-DZ88</f>
        <v>2.50599136490574E-012</v>
      </c>
      <c r="EA93" s="47" t="n">
        <f aca="false">EA89-EA88</f>
        <v>2.53731625696706E-012</v>
      </c>
      <c r="EB93" s="47" t="n">
        <f aca="false">EB89-EB88</f>
        <v>2.56903271017915E-012</v>
      </c>
      <c r="EC93" s="47" t="n">
        <f aca="false">EC89-EC88</f>
        <v>2.60114561905639E-012</v>
      </c>
      <c r="ED93" s="47" t="n">
        <f aca="false">ED89-ED88</f>
        <v>2.6336599392946E-012</v>
      </c>
      <c r="EE93" s="47" t="n">
        <f aca="false">EE89-EE88</f>
        <v>2.66658068853578E-012</v>
      </c>
      <c r="EF93" s="47" t="n">
        <f aca="false">EF89-EF88</f>
        <v>2.69991294714248E-012</v>
      </c>
      <c r="EG93" s="47" t="n">
        <f aca="false">EG89-EG88</f>
        <v>2.73366185898176E-012</v>
      </c>
      <c r="EH93" s="47" t="n">
        <f aca="false">EH89-EH88</f>
        <v>2.76783263221903E-012</v>
      </c>
      <c r="EI93" s="47" t="n">
        <f aca="false">EI89-EI88</f>
        <v>2.80243054012177E-012</v>
      </c>
      <c r="EJ93" s="47" t="n">
        <f aca="false">EJ89-EJ88</f>
        <v>2.83746092187329E-012</v>
      </c>
      <c r="EK93" s="47" t="n">
        <f aca="false">EK89-EK88</f>
        <v>2.87292918339671E-012</v>
      </c>
      <c r="EL93" s="47" t="n">
        <f aca="false">EL89-EL88</f>
        <v>2.90884079818916E-012</v>
      </c>
      <c r="EM93" s="47" t="n">
        <f aca="false">EM89-EM88</f>
        <v>2.94520130816653E-012</v>
      </c>
      <c r="EN93" s="47" t="n">
        <f aca="false">EN89-EN88</f>
        <v>2.98201632451861E-012</v>
      </c>
      <c r="EO93" s="47" t="n">
        <f aca="false">EO89-EO88</f>
        <v>3.01929152857509E-012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42477.8738005823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4374.90719178082</v>
      </c>
      <c r="S94" s="56" t="n">
        <f aca="false">SUM(S90:S93)</f>
        <v>13194.5467782534</v>
      </c>
      <c r="T94" s="56" t="n">
        <f aca="false">SUM(T90:T93)</f>
        <v>17686.8324657213</v>
      </c>
      <c r="U94" s="56" t="n">
        <f aca="false">SUM(U90:U93)</f>
        <v>22282.8250633237</v>
      </c>
      <c r="V94" s="56" t="n">
        <f aca="false">SUM(V90:V93)</f>
        <v>26936.267568396</v>
      </c>
      <c r="W94" s="56" t="n">
        <f aca="false">SUM(W90:W93)</f>
        <v>31552.7714266996</v>
      </c>
      <c r="X94" s="56" t="n">
        <f aca="false">SUM(X90:X93)</f>
        <v>36274.5349222731</v>
      </c>
      <c r="Y94" s="56" t="n">
        <f aca="false">SUM(Y90:Y93)</f>
        <v>42477.8738005823</v>
      </c>
      <c r="Z94" s="56" t="n">
        <f aca="false">SUM(Z90:Z93)</f>
        <v>42060.0756876437</v>
      </c>
      <c r="AA94" s="56" t="n">
        <f aca="false">SUM(AA90:AA93)</f>
        <v>41652.053304978</v>
      </c>
      <c r="AB94" s="56" t="n">
        <f aca="false">SUM(AB90:AB93)</f>
        <v>41230.5036308787</v>
      </c>
      <c r="AC94" s="56" t="n">
        <f aca="false">SUM(AC90:AC93)</f>
        <v>40795.2876813773</v>
      </c>
      <c r="AD94" s="56" t="n">
        <f aca="false">SUM(AD90:AD93)</f>
        <v>40362.5467354761</v>
      </c>
      <c r="AE94" s="56" t="n">
        <f aca="false">SUM(AE90:AE93)</f>
        <v>39954.7570086067</v>
      </c>
      <c r="AF94" s="56" t="n">
        <f aca="false">SUM(AF90:AF93)</f>
        <v>39542.9543177056</v>
      </c>
      <c r="AG94" s="56" t="n">
        <f aca="false">SUM(AG90:AG93)</f>
        <v>39118.2531481811</v>
      </c>
      <c r="AH94" s="56" t="n">
        <f aca="false">SUM(AH90:AH93)</f>
        <v>38691.5022946079</v>
      </c>
      <c r="AI94" s="56" t="n">
        <f aca="false">SUM(AI90:AI93)</f>
        <v>38274.3139818232</v>
      </c>
      <c r="AJ94" s="56" t="n">
        <f aca="false">SUM(AJ90:AJ93)</f>
        <v>37835.8740504337</v>
      </c>
      <c r="AK94" s="56" t="n">
        <f aca="false">SUM(AK90:AK93)</f>
        <v>37384.1625162157</v>
      </c>
      <c r="AL94" s="56" t="n">
        <f aca="false">SUM(AL90:AL93)</f>
        <v>36930.1489582671</v>
      </c>
      <c r="AM94" s="56" t="n">
        <f aca="false">SUM(AM90:AM93)</f>
        <v>36485.6885846504</v>
      </c>
      <c r="AN94" s="56" t="n">
        <f aca="false">SUM(AN90:AN93)</f>
        <v>36027.877919725</v>
      </c>
      <c r="AO94" s="56" t="n">
        <f aca="false">SUM(AO90:AO93)</f>
        <v>35556.5855863735</v>
      </c>
      <c r="AP94" s="56" t="n">
        <f aca="false">SUM(AP90:AP93)</f>
        <v>35082.8120462182</v>
      </c>
      <c r="AQ94" s="56" t="n">
        <f aca="false">SUM(AQ90:AQ93)</f>
        <v>34618.4748773294</v>
      </c>
      <c r="AR94" s="56" t="n">
        <f aca="false">SUM(AR90:AR93)</f>
        <v>34140.5729521865</v>
      </c>
      <c r="AS94" s="56" t="n">
        <f aca="false">SUM(AS90:AS93)</f>
        <v>33648.9727831723</v>
      </c>
      <c r="AT94" s="56" t="n">
        <f aca="false">SUM(AT90:AT93)</f>
        <v>33154.7051129343</v>
      </c>
      <c r="AU94" s="56" t="n">
        <f aca="false">SUM(AU90:AU93)</f>
        <v>32660.7368951576</v>
      </c>
      <c r="AV94" s="56" t="n">
        <f aca="false">SUM(AV90:AV93)</f>
        <v>32161.9076508269</v>
      </c>
      <c r="AW94" s="56" t="n">
        <f aca="false">SUM(AW90:AW93)</f>
        <v>31649.155961579</v>
      </c>
      <c r="AX94" s="56" t="n">
        <f aca="false">SUM(AX90:AX93)</f>
        <v>31133.5422166787</v>
      </c>
      <c r="AY94" s="56" t="n">
        <f aca="false">SUM(AY90:AY93)</f>
        <v>30627.110496094</v>
      </c>
      <c r="AZ94" s="56" t="n">
        <f aca="false">SUM(AZ90:AZ93)</f>
        <v>30106.6638798317</v>
      </c>
      <c r="BA94" s="56" t="n">
        <f aca="false">SUM(BA90:BA93)</f>
        <v>29572.064450557</v>
      </c>
      <c r="BB94" s="56" t="n">
        <f aca="false">SUM(BB90:BB93)</f>
        <v>29034.4016015744</v>
      </c>
      <c r="BC94" s="56" t="n">
        <f aca="false">SUM(BC90:BC93)</f>
        <v>28505.7835678631</v>
      </c>
      <c r="BD94" s="56" t="n">
        <f aca="false">SUM(BD90:BD93)</f>
        <v>27962.9153174767</v>
      </c>
      <c r="BE94" s="56" t="n">
        <f aca="false">SUM(BE90:BE93)</f>
        <v>27405.6566173412</v>
      </c>
      <c r="BF94" s="56" t="n">
        <f aca="false">SUM(BF90:BF93)</f>
        <v>26845.1251882528</v>
      </c>
      <c r="BG94" s="56" t="n">
        <f aca="false">SUM(BG90:BG93)</f>
        <v>26293.4940302597</v>
      </c>
      <c r="BH94" s="56" t="n">
        <f aca="false">SUM(BH90:BH93)</f>
        <v>25727.3698669631</v>
      </c>
      <c r="BI94" s="56" t="n">
        <f aca="false">SUM(BI90:BI93)</f>
        <v>25146.6100760624</v>
      </c>
      <c r="BJ94" s="56" t="n">
        <f aca="false">SUM(BJ90:BJ93)</f>
        <v>24562.3600028629</v>
      </c>
      <c r="BK94" s="56" t="n">
        <f aca="false">SUM(BK90:BK93)</f>
        <v>23977.7778695662</v>
      </c>
      <c r="BL94" s="56" t="n">
        <f aca="false">SUM(BL90:BL93)</f>
        <v>23387.4429992094</v>
      </c>
      <c r="BM94" s="56" t="n">
        <f aca="false">SUM(BM90:BM93)</f>
        <v>22782.2186198292</v>
      </c>
      <c r="BN94" s="56" t="n">
        <f aca="false">SUM(BN90:BN93)</f>
        <v>22173.2769624255</v>
      </c>
      <c r="BO94" s="56" t="n">
        <f aca="false">SUM(BO90:BO93)</f>
        <v>21572.9224092782</v>
      </c>
      <c r="BP94" s="56" t="n">
        <f aca="false">SUM(BP90:BP93)</f>
        <v>20957.5648327475</v>
      </c>
      <c r="BQ94" s="56" t="n">
        <f aca="false">SUM(BQ90:BQ93)</f>
        <v>20327.0565915633</v>
      </c>
      <c r="BR94" s="56" t="n">
        <f aca="false">SUM(BR90:BR93)</f>
        <v>19692.5960526247</v>
      </c>
      <c r="BS94" s="56" t="n">
        <f aca="false">SUM(BS90:BS93)</f>
        <v>19066.5542393397</v>
      </c>
      <c r="BT94" s="56" t="n">
        <f aca="false">SUM(BT90:BT93)</f>
        <v>18425.2424485832</v>
      </c>
      <c r="BU94" s="56" t="n">
        <f aca="false">SUM(BU90:BU93)</f>
        <v>17768.5104120519</v>
      </c>
      <c r="BV94" s="56" t="n">
        <f aca="false">SUM(BV90:BV93)</f>
        <v>17107.5818457012</v>
      </c>
      <c r="BW94" s="56" t="n">
        <f aca="false">SUM(BW90:BW93)</f>
        <v>16454.8950552641</v>
      </c>
      <c r="BX94" s="56" t="n">
        <f aca="false">SUM(BX90:BX93)</f>
        <v>15786.6626752937</v>
      </c>
      <c r="BY94" s="56" t="n">
        <f aca="false">SUM(BY90:BY93)</f>
        <v>15102.7317252523</v>
      </c>
      <c r="BZ94" s="56" t="n">
        <f aca="false">SUM(BZ90:BZ93)</f>
        <v>14414.3504537772</v>
      </c>
      <c r="CA94" s="56" t="n">
        <f aca="false">SUM(CA90:CA93)</f>
        <v>13724.88983558</v>
      </c>
      <c r="CB94" s="56" t="n">
        <f aca="false">SUM(CB90:CB93)</f>
        <v>13028.6443955007</v>
      </c>
      <c r="CC94" s="56" t="n">
        <f aca="false">SUM(CC90:CC93)</f>
        <v>12316.4121031037</v>
      </c>
      <c r="CD94" s="56" t="n">
        <f aca="false">SUM(CD90:CD93)</f>
        <v>11599.4648842689</v>
      </c>
      <c r="CE94" s="56" t="n">
        <f aca="false">SUM(CE90:CE93)</f>
        <v>10890.3775564196</v>
      </c>
      <c r="CF94" s="56" t="n">
        <f aca="false">SUM(CF90:CF93)</f>
        <v>10165.165209585</v>
      </c>
      <c r="CG94" s="56" t="n">
        <f aca="false">SUM(CG90:CG93)</f>
        <v>9423.66916119666</v>
      </c>
      <c r="CH94" s="56" t="n">
        <f aca="false">SUM(CH90:CH93)</f>
        <v>8677.18414479319</v>
      </c>
      <c r="CI94" s="56" t="n">
        <f aca="false">SUM(CI90:CI93)</f>
        <v>7938.35423197436</v>
      </c>
      <c r="CJ94" s="56" t="n">
        <f aca="false">SUM(CJ90:CJ93)</f>
        <v>7183.095664756</v>
      </c>
      <c r="CK94" s="56" t="n">
        <f aca="false">SUM(CK90:CK93)</f>
        <v>6411.24677256418</v>
      </c>
      <c r="CL94" s="56" t="n">
        <f aca="false">SUM(CL90:CL93)</f>
        <v>5634.12418655961</v>
      </c>
      <c r="CM94" s="56" t="n">
        <f aca="false">SUM(CM90:CM93)</f>
        <v>4864.44190644242</v>
      </c>
      <c r="CN94" s="56" t="n">
        <f aca="false">SUM(CN90:CN93)</f>
        <v>4078.01729071153</v>
      </c>
      <c r="CO94" s="56" t="n">
        <f aca="false">SUM(CO90:CO93)</f>
        <v>3274.68558192899</v>
      </c>
      <c r="CP94" s="56" t="n">
        <f aca="false">SUM(CP90:CP93)</f>
        <v>2465.78436586369</v>
      </c>
      <c r="CQ94" s="56" t="n">
        <f aca="false">SUM(CQ90:CQ93)</f>
        <v>1654.9210157336</v>
      </c>
      <c r="CR94" s="56" t="n">
        <f aca="false">SUM(CR90:CR93)</f>
        <v>836.078147620744</v>
      </c>
      <c r="CS94" s="56" t="n">
        <f aca="false">SUM(CS90:CS93)</f>
        <v>1.34718902700115E-010</v>
      </c>
      <c r="CT94" s="56" t="n">
        <f aca="false">SUM(CT90:CT93)</f>
        <v>1.36402888983866E-010</v>
      </c>
      <c r="CU94" s="56" t="n">
        <f aca="false">SUM(CU90:CU93)</f>
        <v>1.38107925096165E-010</v>
      </c>
      <c r="CV94" s="56" t="n">
        <f aca="false">SUM(CV90:CV93)</f>
        <v>1.39834274159867E-010</v>
      </c>
      <c r="CW94" s="56" t="n">
        <f aca="false">SUM(CW90:CW93)</f>
        <v>1.41582202586865E-010</v>
      </c>
      <c r="CX94" s="56" t="n">
        <f aca="false">SUM(CX90:CX93)</f>
        <v>1.43351980119201E-010</v>
      </c>
      <c r="CY94" s="56" t="n">
        <f aca="false">SUM(CY90:CY93)</f>
        <v>1.45143879870691E-010</v>
      </c>
      <c r="CZ94" s="56" t="n">
        <f aca="false">SUM(CZ90:CZ93)</f>
        <v>1.46958178369075E-010</v>
      </c>
      <c r="DA94" s="56" t="n">
        <f aca="false">SUM(DA90:DA93)</f>
        <v>1.48795155598688E-010</v>
      </c>
      <c r="DB94" s="56" t="n">
        <f aca="false">SUM(DB90:DB93)</f>
        <v>1.50655095043672E-010</v>
      </c>
      <c r="DC94" s="56" t="n">
        <f aca="false">SUM(DC90:DC93)</f>
        <v>1.52538283731718E-010</v>
      </c>
      <c r="DD94" s="56" t="n">
        <f aca="false">SUM(DD90:DD93)</f>
        <v>1.54445012278364E-010</v>
      </c>
      <c r="DE94" s="56" t="n">
        <f aca="false">SUM(DE90:DE93)</f>
        <v>1.56375574931844E-010</v>
      </c>
      <c r="DF94" s="56" t="n">
        <f aca="false">SUM(DF90:DF93)</f>
        <v>1.58330269618492E-010</v>
      </c>
      <c r="DG94" s="56" t="n">
        <f aca="false">SUM(DG90:DG93)</f>
        <v>1.60309397988723E-010</v>
      </c>
      <c r="DH94" s="56" t="n">
        <f aca="false">SUM(DH90:DH93)</f>
        <v>1.62313265463582E-010</v>
      </c>
      <c r="DI94" s="56" t="n">
        <f aca="false">SUM(DI90:DI93)</f>
        <v>1.64342181281877E-010</v>
      </c>
      <c r="DJ94" s="56" t="n">
        <f aca="false">SUM(DJ90:DJ93)</f>
        <v>1.663964585479E-010</v>
      </c>
      <c r="DK94" s="56" t="n">
        <f aca="false">SUM(DK90:DK93)</f>
        <v>1.68476414279749E-010</v>
      </c>
      <c r="DL94" s="56" t="n">
        <f aca="false">SUM(DL90:DL93)</f>
        <v>1.70582369458246E-010</v>
      </c>
      <c r="DM94" s="56" t="n">
        <f aca="false">SUM(DM90:DM93)</f>
        <v>1.72714649076474E-010</v>
      </c>
      <c r="DN94" s="56" t="n">
        <f aca="false">SUM(DN90:DN93)</f>
        <v>1.7487358218993E-010</v>
      </c>
      <c r="DO94" s="56" t="n">
        <f aca="false">SUM(DO90:DO93)</f>
        <v>1.77059501967304E-010</v>
      </c>
      <c r="DP94" s="56" t="n">
        <f aca="false">SUM(DP90:DP93)</f>
        <v>1.79272745741895E-010</v>
      </c>
      <c r="DQ94" s="56" t="n">
        <f aca="false">SUM(DQ90:DQ93)</f>
        <v>1.81513655063669E-010</v>
      </c>
      <c r="DR94" s="56" t="n">
        <f aca="false">SUM(DR90:DR93)</f>
        <v>1.83782575751965E-010</v>
      </c>
      <c r="DS94" s="56" t="n">
        <f aca="false">SUM(DS90:DS93)</f>
        <v>1.86079857948864E-010</v>
      </c>
      <c r="DT94" s="56" t="n">
        <f aca="false">SUM(DT90:DT93)</f>
        <v>1.88405856173225E-010</v>
      </c>
      <c r="DU94" s="56" t="n">
        <f aca="false">SUM(DU90:DU93)</f>
        <v>1.9076092937539E-010</v>
      </c>
      <c r="DV94" s="56" t="n">
        <f aca="false">SUM(DV90:DV93)</f>
        <v>1.93145440992583E-010</v>
      </c>
      <c r="DW94" s="56" t="n">
        <f aca="false">SUM(DW90:DW93)</f>
        <v>1.9555975900499E-010</v>
      </c>
      <c r="DX94" s="56" t="n">
        <f aca="false">SUM(DX90:DX93)</f>
        <v>1.98004255992552E-010</v>
      </c>
      <c r="DY94" s="56" t="n">
        <f aca="false">SUM(DY90:DY93)</f>
        <v>2.00479309192459E-010</v>
      </c>
      <c r="DZ94" s="56" t="n">
        <f aca="false">SUM(DZ90:DZ93)</f>
        <v>2.02985300557365E-010</v>
      </c>
      <c r="EA94" s="56" t="n">
        <f aca="false">SUM(EA90:EA93)</f>
        <v>2.05522616814332E-010</v>
      </c>
      <c r="EB94" s="56" t="n">
        <f aca="false">SUM(EB90:EB93)</f>
        <v>2.08091649524511E-010</v>
      </c>
      <c r="EC94" s="56" t="n">
        <f aca="false">SUM(EC90:EC93)</f>
        <v>2.10692795143568E-010</v>
      </c>
      <c r="ED94" s="56" t="n">
        <f aca="false">SUM(ED90:ED93)</f>
        <v>2.13326455082862E-010</v>
      </c>
      <c r="EE94" s="56" t="n">
        <f aca="false">SUM(EE90:EE93)</f>
        <v>2.15993035771398E-010</v>
      </c>
      <c r="EF94" s="56" t="n">
        <f aca="false">SUM(EF90:EF93)</f>
        <v>2.1869294871854E-010</v>
      </c>
      <c r="EG94" s="56" t="n">
        <f aca="false">SUM(EG90:EG93)</f>
        <v>2.21426610577522E-010</v>
      </c>
      <c r="EH94" s="56" t="n">
        <f aca="false">SUM(EH90:EH93)</f>
        <v>2.24194443209741E-010</v>
      </c>
      <c r="EI94" s="56" t="n">
        <f aca="false">SUM(EI90:EI93)</f>
        <v>2.26996873749863E-010</v>
      </c>
      <c r="EJ94" s="56" t="n">
        <f aca="false">SUM(EJ90:EJ93)</f>
        <v>2.29834334671736E-010</v>
      </c>
      <c r="EK94" s="56" t="n">
        <f aca="false">SUM(EK90:EK93)</f>
        <v>2.32707263855133E-010</v>
      </c>
      <c r="EL94" s="56" t="n">
        <f aca="false">SUM(EL90:EL93)</f>
        <v>2.35616104653322E-010</v>
      </c>
      <c r="EM94" s="56" t="n">
        <f aca="false">SUM(EM90:EM93)</f>
        <v>2.38561305961489E-010</v>
      </c>
      <c r="EN94" s="56" t="n">
        <f aca="false">SUM(EN90:EN93)</f>
        <v>2.41543322286007E-010</v>
      </c>
      <c r="EO94" s="56" t="n">
        <f aca="false">SUM(EO90:EO93)</f>
        <v>2.44562613814582E-010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-743.362791510191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-743.362791510191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-396.359732589126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-92.0420457885532</v>
      </c>
      <c r="S96" s="47" t="n">
        <f aca="false">-In_Commitment_Fee*($I91-SUM($J91:S91)+S91)*S$6*(S12&gt;0)</f>
        <v>-80.3324335980484</v>
      </c>
      <c r="T96" s="47" t="n">
        <f aca="false">-In_Commitment_Fee*($I91-SUM($J91:T91)+T91)*T$6*(T12&gt;0)</f>
        <v>-61.5579019224996</v>
      </c>
      <c r="U96" s="47" t="n">
        <f aca="false">-In_Commitment_Fee*($I91-SUM($J91:U91)+U91)*U$6*(U12&gt;0)</f>
        <v>-52.4177898076563</v>
      </c>
      <c r="V96" s="47" t="n">
        <f aca="false">-In_Commitment_Fee*($I91-SUM($J91:V91)+V91)*V$6*(V12&gt;0)</f>
        <v>-42.4933428082192</v>
      </c>
      <c r="W96" s="47" t="n">
        <f aca="false">-In_Commitment_Fee*($I91-SUM($J91:W91)+W91)*W$6*(W12&gt;0)</f>
        <v>-31.8608763346782</v>
      </c>
      <c r="X96" s="47" t="n">
        <f aca="false">-In_Commitment_Fee*($I91-SUM($J91:X91)+X91)*X$6*(X12&gt;0)</f>
        <v>-22.611717247842</v>
      </c>
      <c r="Y96" s="47" t="n">
        <f aca="false">-In_Commitment_Fee*($I91-SUM($J91:Y91)+Y91)*Y$6*(Y12&gt;0)</f>
        <v>-13.0436250816288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948.771535445926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-948.771535445926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948.771535445926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2.16227830634594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2.16227830634594</v>
      </c>
      <c r="AA98" s="52" t="n">
        <f aca="false">IF(AA89&lt;0,AA83/-AA89,"")</f>
        <v>2.16227830634594</v>
      </c>
      <c r="AB98" s="52" t="n">
        <f aca="false">IF(AB89&lt;0,AB83/-AB89,"")</f>
        <v>2.16227830634594</v>
      </c>
      <c r="AC98" s="52" t="n">
        <f aca="false">IF(AC89&lt;0,AC83/-AC89,"")</f>
        <v>2.16227830634594</v>
      </c>
      <c r="AD98" s="52" t="n">
        <f aca="false">IF(AD89&lt;0,AD83/-AD89,"")</f>
        <v>2.16227830634594</v>
      </c>
      <c r="AE98" s="52" t="n">
        <f aca="false">IF(AE89&lt;0,AE83/-AE89,"")</f>
        <v>2.16227830634595</v>
      </c>
      <c r="AF98" s="52" t="n">
        <f aca="false">IF(AF89&lt;0,AF83/-AF89,"")</f>
        <v>2.16227830634594</v>
      </c>
      <c r="AG98" s="52" t="n">
        <f aca="false">IF(AG89&lt;0,AG83/-AG89,"")</f>
        <v>2.16227830634594</v>
      </c>
      <c r="AH98" s="52" t="n">
        <f aca="false">IF(AH89&lt;0,AH83/-AH89,"")</f>
        <v>2.16227830634595</v>
      </c>
      <c r="AI98" s="52" t="n">
        <f aca="false">IF(AI89&lt;0,AI83/-AI89,"")</f>
        <v>2.16227830634594</v>
      </c>
      <c r="AJ98" s="52" t="n">
        <f aca="false">IF(AJ89&lt;0,AJ83/-AJ89,"")</f>
        <v>2.16227830634594</v>
      </c>
      <c r="AK98" s="52" t="n">
        <f aca="false">IF(AK89&lt;0,AK83/-AK89,"")</f>
        <v>2.16227830634595</v>
      </c>
      <c r="AL98" s="52" t="n">
        <f aca="false">IF(AL89&lt;0,AL83/-AL89,"")</f>
        <v>2.16227830634595</v>
      </c>
      <c r="AM98" s="52" t="n">
        <f aca="false">IF(AM89&lt;0,AM83/-AM89,"")</f>
        <v>2.16227830634594</v>
      </c>
      <c r="AN98" s="52" t="n">
        <f aca="false">IF(AN89&lt;0,AN83/-AN89,"")</f>
        <v>2.16227830634594</v>
      </c>
      <c r="AO98" s="52" t="n">
        <f aca="false">IF(AO89&lt;0,AO83/-AO89,"")</f>
        <v>2.16227830634595</v>
      </c>
      <c r="AP98" s="52" t="n">
        <f aca="false">IF(AP89&lt;0,AP83/-AP89,"")</f>
        <v>2.16227830634594</v>
      </c>
      <c r="AQ98" s="52" t="n">
        <f aca="false">IF(AQ89&lt;0,AQ83/-AQ89,"")</f>
        <v>2.16227830634594</v>
      </c>
      <c r="AR98" s="52" t="n">
        <f aca="false">IF(AR89&lt;0,AR83/-AR89,"")</f>
        <v>2.16227830634595</v>
      </c>
      <c r="AS98" s="52" t="n">
        <f aca="false">IF(AS89&lt;0,AS83/-AS89,"")</f>
        <v>2.16227830634594</v>
      </c>
      <c r="AT98" s="52" t="n">
        <f aca="false">IF(AT89&lt;0,AT83/-AT89,"")</f>
        <v>2.16227830634594</v>
      </c>
      <c r="AU98" s="52" t="n">
        <f aca="false">IF(AU89&lt;0,AU83/-AU89,"")</f>
        <v>2.16227830634594</v>
      </c>
      <c r="AV98" s="52" t="n">
        <f aca="false">IF(AV89&lt;0,AV83/-AV89,"")</f>
        <v>2.16227830634594</v>
      </c>
      <c r="AW98" s="52" t="n">
        <f aca="false">IF(AW89&lt;0,AW83/-AW89,"")</f>
        <v>2.16227830634595</v>
      </c>
      <c r="AX98" s="52" t="n">
        <f aca="false">IF(AX89&lt;0,AX83/-AX89,"")</f>
        <v>2.16227830634594</v>
      </c>
      <c r="AY98" s="52" t="n">
        <f aca="false">IF(AY89&lt;0,AY83/-AY89,"")</f>
        <v>2.16227830634595</v>
      </c>
      <c r="AZ98" s="52" t="n">
        <f aca="false">IF(AZ89&lt;0,AZ83/-AZ89,"")</f>
        <v>2.16227830634594</v>
      </c>
      <c r="BA98" s="52" t="n">
        <f aca="false">IF(BA89&lt;0,BA83/-BA89,"")</f>
        <v>2.16227830634594</v>
      </c>
      <c r="BB98" s="52" t="n">
        <f aca="false">IF(BB89&lt;0,BB83/-BB89,"")</f>
        <v>2.16227830634594</v>
      </c>
      <c r="BC98" s="52" t="n">
        <f aca="false">IF(BC89&lt;0,BC83/-BC89,"")</f>
        <v>2.16227830634595</v>
      </c>
      <c r="BD98" s="52" t="n">
        <f aca="false">IF(BD89&lt;0,BD83/-BD89,"")</f>
        <v>2.16227830634595</v>
      </c>
      <c r="BE98" s="52" t="n">
        <f aca="false">IF(BE89&lt;0,BE83/-BE89,"")</f>
        <v>2.16227830634595</v>
      </c>
      <c r="BF98" s="52" t="n">
        <f aca="false">IF(BF89&lt;0,BF83/-BF89,"")</f>
        <v>2.16227830634594</v>
      </c>
      <c r="BG98" s="52" t="n">
        <f aca="false">IF(BG89&lt;0,BG83/-BG89,"")</f>
        <v>2.16227830634594</v>
      </c>
      <c r="BH98" s="52" t="n">
        <f aca="false">IF(BH89&lt;0,BH83/-BH89,"")</f>
        <v>2.16227830634594</v>
      </c>
      <c r="BI98" s="52" t="n">
        <f aca="false">IF(BI89&lt;0,BI83/-BI89,"")</f>
        <v>2.16227830634594</v>
      </c>
      <c r="BJ98" s="52" t="n">
        <f aca="false">IF(BJ89&lt;0,BJ83/-BJ89,"")</f>
        <v>2.16227830634594</v>
      </c>
      <c r="BK98" s="52" t="n">
        <f aca="false">IF(BK89&lt;0,BK83/-BK89,"")</f>
        <v>2.16227830634594</v>
      </c>
      <c r="BL98" s="52" t="n">
        <f aca="false">IF(BL89&lt;0,BL83/-BL89,"")</f>
        <v>2.16227830634594</v>
      </c>
      <c r="BM98" s="52" t="n">
        <f aca="false">IF(BM89&lt;0,BM83/-BM89,"")</f>
        <v>2.16227830634595</v>
      </c>
      <c r="BN98" s="52" t="n">
        <f aca="false">IF(BN89&lt;0,BN83/-BN89,"")</f>
        <v>2.16227830634594</v>
      </c>
      <c r="BO98" s="52" t="n">
        <f aca="false">IF(BO89&lt;0,BO83/-BO89,"")</f>
        <v>2.16227830634594</v>
      </c>
      <c r="BP98" s="52" t="n">
        <f aca="false">IF(BP89&lt;0,BP83/-BP89,"")</f>
        <v>2.16227830634594</v>
      </c>
      <c r="BQ98" s="52" t="n">
        <f aca="false">IF(BQ89&lt;0,BQ83/-BQ89,"")</f>
        <v>2.16227830634594</v>
      </c>
      <c r="BR98" s="52" t="n">
        <f aca="false">IF(BR89&lt;0,BR83/-BR89,"")</f>
        <v>2.16227830634594</v>
      </c>
      <c r="BS98" s="52" t="n">
        <f aca="false">IF(BS89&lt;0,BS83/-BS89,"")</f>
        <v>2.16227830634594</v>
      </c>
      <c r="BT98" s="52" t="n">
        <f aca="false">IF(BT89&lt;0,BT83/-BT89,"")</f>
        <v>2.16227830634595</v>
      </c>
      <c r="BU98" s="52" t="n">
        <f aca="false">IF(BU89&lt;0,BU83/-BU89,"")</f>
        <v>2.16227830634594</v>
      </c>
      <c r="BV98" s="52" t="n">
        <f aca="false">IF(BV89&lt;0,BV83/-BV89,"")</f>
        <v>2.16227830634594</v>
      </c>
      <c r="BW98" s="52" t="n">
        <f aca="false">IF(BW89&lt;0,BW83/-BW89,"")</f>
        <v>2.16227830634594</v>
      </c>
      <c r="BX98" s="52" t="n">
        <f aca="false">IF(BX89&lt;0,BX83/-BX89,"")</f>
        <v>2.16227830634595</v>
      </c>
      <c r="BY98" s="52" t="n">
        <f aca="false">IF(BY89&lt;0,BY83/-BY89,"")</f>
        <v>2.16227830634594</v>
      </c>
      <c r="BZ98" s="52" t="n">
        <f aca="false">IF(BZ89&lt;0,BZ83/-BZ89,"")</f>
        <v>2.16227830634594</v>
      </c>
      <c r="CA98" s="52" t="n">
        <f aca="false">IF(CA89&lt;0,CA83/-CA89,"")</f>
        <v>2.16227830634594</v>
      </c>
      <c r="CB98" s="52" t="n">
        <f aca="false">IF(CB89&lt;0,CB83/-CB89,"")</f>
        <v>2.16227830634594</v>
      </c>
      <c r="CC98" s="52" t="n">
        <f aca="false">IF(CC89&lt;0,CC83/-CC89,"")</f>
        <v>2.16227830634594</v>
      </c>
      <c r="CD98" s="52" t="n">
        <f aca="false">IF(CD89&lt;0,CD83/-CD89,"")</f>
        <v>2.16227830634595</v>
      </c>
      <c r="CE98" s="52" t="n">
        <f aca="false">IF(CE89&lt;0,CE83/-CE89,"")</f>
        <v>2.16227830634594</v>
      </c>
      <c r="CF98" s="52" t="n">
        <f aca="false">IF(CF89&lt;0,CF83/-CF89,"")</f>
        <v>2.16227830634594</v>
      </c>
      <c r="CG98" s="52" t="n">
        <f aca="false">IF(CG89&lt;0,CG83/-CG89,"")</f>
        <v>2.16227830634595</v>
      </c>
      <c r="CH98" s="52" t="n">
        <f aca="false">IF(CH89&lt;0,CH83/-CH89,"")</f>
        <v>2.16227830634595</v>
      </c>
      <c r="CI98" s="52" t="n">
        <f aca="false">IF(CI89&lt;0,CI83/-CI89,"")</f>
        <v>2.16227830634594</v>
      </c>
      <c r="CJ98" s="52" t="n">
        <f aca="false">IF(CJ89&lt;0,CJ83/-CJ89,"")</f>
        <v>2.16227830634595</v>
      </c>
      <c r="CK98" s="52" t="n">
        <f aca="false">IF(CK89&lt;0,CK83/-CK89,"")</f>
        <v>2.16227830634594</v>
      </c>
      <c r="CL98" s="52" t="n">
        <f aca="false">IF(CL89&lt;0,CL83/-CL89,"")</f>
        <v>2.16227830634594</v>
      </c>
      <c r="CM98" s="52" t="n">
        <f aca="false">IF(CM89&lt;0,CM83/-CM89,"")</f>
        <v>2.16227830634594</v>
      </c>
      <c r="CN98" s="52" t="n">
        <f aca="false">IF(CN89&lt;0,CN83/-CN89,"")</f>
        <v>2.16227830634594</v>
      </c>
      <c r="CO98" s="52" t="n">
        <f aca="false">IF(CO89&lt;0,CO83/-CO89,"")</f>
        <v>2.16227830634594</v>
      </c>
      <c r="CP98" s="52" t="n">
        <f aca="false">IF(CP89&lt;0,CP83/-CP89,"")</f>
        <v>2.16227830634594</v>
      </c>
      <c r="CQ98" s="52" t="n">
        <f aca="false">IF(CQ89&lt;0,CQ83/-CQ89,"")</f>
        <v>2.16227830634594</v>
      </c>
      <c r="CR98" s="52" t="n">
        <f aca="false">IF(CR89&lt;0,CR83/-CR89,"")</f>
        <v>2.16227830634594</v>
      </c>
      <c r="CS98" s="52" t="n">
        <f aca="false">IF(CS89&lt;0,CS83/-CS89,"")</f>
        <v>2.16227830634594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81441.2950745549</v>
      </c>
      <c r="I101" s="47" t="n">
        <f aca="false">SUM(J101:EO101)</f>
        <v>-81441.2950745549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-1025.68092359467</v>
      </c>
      <c r="AA101" s="47" t="n">
        <f aca="false">-$E101*AA19</f>
        <v>-1003.38351221218</v>
      </c>
      <c r="AB101" s="47" t="n">
        <f aca="false">-$E101*AB19</f>
        <v>-1014.53221790342</v>
      </c>
      <c r="AC101" s="47" t="n">
        <f aca="false">-$E101*AC19</f>
        <v>-1025.68092359467</v>
      </c>
      <c r="AD101" s="47" t="n">
        <f aca="false">-$E101*AD19</f>
        <v>-1025.68092359467</v>
      </c>
      <c r="AE101" s="47" t="n">
        <f aca="false">-$E101*AE19</f>
        <v>-1014.53221790342</v>
      </c>
      <c r="AF101" s="47" t="n">
        <f aca="false">-$E101*AF19</f>
        <v>-1014.53221790342</v>
      </c>
      <c r="AG101" s="47" t="n">
        <f aca="false">-$E101*AG19</f>
        <v>-1025.68092359467</v>
      </c>
      <c r="AH101" s="47" t="n">
        <f aca="false">-$E101*AH19</f>
        <v>-1025.68092359467</v>
      </c>
      <c r="AI101" s="47" t="n">
        <f aca="false">-$E101*AI19</f>
        <v>-1003.38351221218</v>
      </c>
      <c r="AJ101" s="47" t="n">
        <f aca="false">-$E101*AJ19</f>
        <v>-1014.53221790342</v>
      </c>
      <c r="AK101" s="47" t="n">
        <f aca="false">-$E101*AK19</f>
        <v>-1025.68092359467</v>
      </c>
      <c r="AL101" s="47" t="n">
        <f aca="false">-$E101*AL19</f>
        <v>-1025.68092359467</v>
      </c>
      <c r="AM101" s="47" t="n">
        <f aca="false">-$E101*AM19</f>
        <v>-1003.38351221218</v>
      </c>
      <c r="AN101" s="47" t="n">
        <f aca="false">-$E101*AN19</f>
        <v>-1014.53221790342</v>
      </c>
      <c r="AO101" s="47" t="n">
        <f aca="false">-$E101*AO19</f>
        <v>-1025.68092359467</v>
      </c>
      <c r="AP101" s="47" t="n">
        <f aca="false">-$E101*AP19</f>
        <v>-1025.68092359467</v>
      </c>
      <c r="AQ101" s="47" t="n">
        <f aca="false">-$E101*AQ19</f>
        <v>-1003.38351221218</v>
      </c>
      <c r="AR101" s="47" t="n">
        <f aca="false">-$E101*AR19</f>
        <v>-1014.53221790342</v>
      </c>
      <c r="AS101" s="47" t="n">
        <f aca="false">-$E101*AS19</f>
        <v>-1025.68092359467</v>
      </c>
      <c r="AT101" s="47" t="n">
        <f aca="false">-$E101*AT19</f>
        <v>-1025.68092359467</v>
      </c>
      <c r="AU101" s="47" t="n">
        <f aca="false">-$E101*AU19</f>
        <v>-1014.53221790342</v>
      </c>
      <c r="AV101" s="47" t="n">
        <f aca="false">-$E101*AV19</f>
        <v>-1014.53221790342</v>
      </c>
      <c r="AW101" s="47" t="n">
        <f aca="false">-$E101*AW19</f>
        <v>-1025.68092359467</v>
      </c>
      <c r="AX101" s="47" t="n">
        <f aca="false">-$E101*AX19</f>
        <v>-1025.68092359467</v>
      </c>
      <c r="AY101" s="47" t="n">
        <f aca="false">-$E101*AY19</f>
        <v>-1003.38351221218</v>
      </c>
      <c r="AZ101" s="47" t="n">
        <f aca="false">-$E101*AZ19</f>
        <v>-1014.53221790342</v>
      </c>
      <c r="BA101" s="47" t="n">
        <f aca="false">-$E101*BA19</f>
        <v>-1025.68092359467</v>
      </c>
      <c r="BB101" s="47" t="n">
        <f aca="false">-$E101*BB19</f>
        <v>-1025.68092359467</v>
      </c>
      <c r="BC101" s="47" t="n">
        <f aca="false">-$E101*BC19</f>
        <v>-1003.38351221218</v>
      </c>
      <c r="BD101" s="47" t="n">
        <f aca="false">-$E101*BD19</f>
        <v>-1014.53221790342</v>
      </c>
      <c r="BE101" s="47" t="n">
        <f aca="false">-$E101*BE19</f>
        <v>-1025.68092359467</v>
      </c>
      <c r="BF101" s="47" t="n">
        <f aca="false">-$E101*BF19</f>
        <v>-1025.68092359467</v>
      </c>
      <c r="BG101" s="47" t="n">
        <f aca="false">-$E101*BG19</f>
        <v>-1003.38351221218</v>
      </c>
      <c r="BH101" s="47" t="n">
        <f aca="false">-$E101*BH19</f>
        <v>-1014.53221790342</v>
      </c>
      <c r="BI101" s="47" t="n">
        <f aca="false">-$E101*BI19</f>
        <v>-1025.68092359467</v>
      </c>
      <c r="BJ101" s="47" t="n">
        <f aca="false">-$E101*BJ19</f>
        <v>-1025.68092359467</v>
      </c>
      <c r="BK101" s="47" t="n">
        <f aca="false">-$E101*BK19</f>
        <v>-1014.53221790342</v>
      </c>
      <c r="BL101" s="47" t="n">
        <f aca="false">-$E101*BL19</f>
        <v>-1014.53221790342</v>
      </c>
      <c r="BM101" s="47" t="n">
        <f aca="false">-$E101*BM19</f>
        <v>-1025.68092359467</v>
      </c>
      <c r="BN101" s="47" t="n">
        <f aca="false">-$E101*BN19</f>
        <v>-1025.68092359467</v>
      </c>
      <c r="BO101" s="47" t="n">
        <f aca="false">-$E101*BO19</f>
        <v>-1003.38351221218</v>
      </c>
      <c r="BP101" s="47" t="n">
        <f aca="false">-$E101*BP19</f>
        <v>-1014.53221790342</v>
      </c>
      <c r="BQ101" s="47" t="n">
        <f aca="false">-$E101*BQ19</f>
        <v>-1025.68092359467</v>
      </c>
      <c r="BR101" s="47" t="n">
        <f aca="false">-$E101*BR19</f>
        <v>-1025.68092359467</v>
      </c>
      <c r="BS101" s="47" t="n">
        <f aca="false">-$E101*BS19</f>
        <v>-1003.38351221218</v>
      </c>
      <c r="BT101" s="47" t="n">
        <f aca="false">-$E101*BT19</f>
        <v>-1014.53221790342</v>
      </c>
      <c r="BU101" s="47" t="n">
        <f aca="false">-$E101*BU19</f>
        <v>-1025.68092359467</v>
      </c>
      <c r="BV101" s="47" t="n">
        <f aca="false">-$E101*BV19</f>
        <v>-1025.68092359467</v>
      </c>
      <c r="BW101" s="47" t="n">
        <f aca="false">-$E101*BW19</f>
        <v>-1003.38351221218</v>
      </c>
      <c r="BX101" s="47" t="n">
        <f aca="false">-$E101*BX19</f>
        <v>-1014.53221790342</v>
      </c>
      <c r="BY101" s="47" t="n">
        <f aca="false">-$E101*BY19</f>
        <v>-1025.68092359467</v>
      </c>
      <c r="BZ101" s="47" t="n">
        <f aca="false">-$E101*BZ19</f>
        <v>-1025.68092359467</v>
      </c>
      <c r="CA101" s="47" t="n">
        <f aca="false">-$E101*CA19</f>
        <v>-1014.53221790342</v>
      </c>
      <c r="CB101" s="47" t="n">
        <f aca="false">-$E101*CB19</f>
        <v>-1014.53221790342</v>
      </c>
      <c r="CC101" s="47" t="n">
        <f aca="false">-$E101*CC19</f>
        <v>-1025.68092359467</v>
      </c>
      <c r="CD101" s="47" t="n">
        <f aca="false">-$E101*CD19</f>
        <v>-1025.68092359467</v>
      </c>
      <c r="CE101" s="47" t="n">
        <f aca="false">-$E101*CE19</f>
        <v>-1003.38351221218</v>
      </c>
      <c r="CF101" s="47" t="n">
        <f aca="false">-$E101*CF19</f>
        <v>-1014.53221790342</v>
      </c>
      <c r="CG101" s="47" t="n">
        <f aca="false">-$E101*CG19</f>
        <v>-1025.68092359467</v>
      </c>
      <c r="CH101" s="47" t="n">
        <f aca="false">-$E101*CH19</f>
        <v>-1025.68092359467</v>
      </c>
      <c r="CI101" s="47" t="n">
        <f aca="false">-$E101*CI19</f>
        <v>-1003.38351221218</v>
      </c>
      <c r="CJ101" s="47" t="n">
        <f aca="false">-$E101*CJ19</f>
        <v>-1014.53221790342</v>
      </c>
      <c r="CK101" s="47" t="n">
        <f aca="false">-$E101*CK19</f>
        <v>-1025.68092359467</v>
      </c>
      <c r="CL101" s="47" t="n">
        <f aca="false">-$E101*CL19</f>
        <v>-1025.68092359467</v>
      </c>
      <c r="CM101" s="47" t="n">
        <f aca="false">-$E101*CM19</f>
        <v>-1003.38351221218</v>
      </c>
      <c r="CN101" s="47" t="n">
        <f aca="false">-$E101*CN19</f>
        <v>-1014.53221790342</v>
      </c>
      <c r="CO101" s="47" t="n">
        <f aca="false">-$E101*CO19</f>
        <v>-1025.68092359467</v>
      </c>
      <c r="CP101" s="47" t="n">
        <f aca="false">-$E101*CP19</f>
        <v>-1025.68092359467</v>
      </c>
      <c r="CQ101" s="47" t="n">
        <f aca="false">-$E101*CQ19</f>
        <v>-1014.53221790342</v>
      </c>
      <c r="CR101" s="47" t="n">
        <f aca="false">-$E101*CR19</f>
        <v>-1014.53221790342</v>
      </c>
      <c r="CS101" s="47" t="n">
        <f aca="false">-$E101*CS19</f>
        <v>-1025.68092359467</v>
      </c>
      <c r="CT101" s="47" t="n">
        <f aca="false">-$E101*CT19</f>
        <v>-1025.68092359467</v>
      </c>
      <c r="CU101" s="47" t="n">
        <f aca="false">-$E101*CU19</f>
        <v>-1003.38351221218</v>
      </c>
      <c r="CV101" s="47" t="n">
        <f aca="false">-$E101*CV19</f>
        <v>-1014.53221790342</v>
      </c>
      <c r="CW101" s="47" t="n">
        <f aca="false">-$E101*CW19</f>
        <v>-1025.68092359467</v>
      </c>
      <c r="CX101" s="47" t="n">
        <f aca="false">-$E101*CX19</f>
        <v>-1025.68092359467</v>
      </c>
      <c r="CY101" s="47" t="n">
        <f aca="false">-$E101*CY19</f>
        <v>-1003.38351221218</v>
      </c>
      <c r="CZ101" s="47" t="n">
        <f aca="false">-$E101*CZ19</f>
        <v>-1014.53221790342</v>
      </c>
      <c r="DA101" s="47" t="n">
        <f aca="false">-$E101*DA19</f>
        <v>-1025.68092359467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190241.368547574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-910.488972605438</v>
      </c>
      <c r="S102" s="47" t="n">
        <f aca="false">S79+S101+S88+S95+S96+S48+S55</f>
        <v>-154.800823311032</v>
      </c>
      <c r="T102" s="47" t="n">
        <f aca="false">T79+T101+T88+T95+T96+T48+T55</f>
        <v>-136.853718187849</v>
      </c>
      <c r="U102" s="47" t="n">
        <f aca="false">U79+U101+U88+U95+U96+U48+U55</f>
        <v>-128.541032625373</v>
      </c>
      <c r="V102" s="47" t="n">
        <f aca="false">V79+V101+V88+V95+V96+V48+V55</f>
        <v>-118.616585625935</v>
      </c>
      <c r="W102" s="47" t="n">
        <f aca="false">W79+W101+W88+W95+W96+W48+W55</f>
        <v>-107.371197220398</v>
      </c>
      <c r="X102" s="47" t="n">
        <f aca="false">X79+X101+X88+X95+X96+X48+X55</f>
        <v>-98.9610416989586</v>
      </c>
      <c r="Y102" s="47" t="n">
        <f aca="false">Y79+Y101+Y88+Y95+Y96+Y48+Y55</f>
        <v>-90.2319530981423</v>
      </c>
      <c r="Z102" s="47" t="n">
        <f aca="false">Z79+Z101+Z88+Z95+Z96+Z48+Z55</f>
        <v>804.640264506197</v>
      </c>
      <c r="AA102" s="47" t="n">
        <f aca="false">AA79+AA101+AA88+AA95+AA96+AA48+AA55</f>
        <v>796.655859377382</v>
      </c>
      <c r="AB102" s="47" t="n">
        <f aca="false">AB79+AB101+AB88+AB95+AB96+AB48+AB55</f>
        <v>816.449548110401</v>
      </c>
      <c r="AC102" s="47" t="n">
        <f aca="false">AC79+AC101+AC88+AC95+AC96+AC48+AC55</f>
        <v>836.412327986342</v>
      </c>
      <c r="AD102" s="47" t="n">
        <f aca="false">AD79+AD101+AD88+AD95+AD96+AD48+AD55</f>
        <v>833.378465784954</v>
      </c>
      <c r="AE102" s="47" t="n">
        <f aca="false">AE79+AE101+AE88+AE95+AE96+AE48+AE55</f>
        <v>840.05382926062</v>
      </c>
      <c r="AF102" s="47" t="n">
        <f aca="false">AF79+AF101+AF88+AF95+AF96+AF48+AF55</f>
        <v>845.151200846486</v>
      </c>
      <c r="AG102" s="47" t="n">
        <f aca="false">AG79+AG101+AG88+AG95+AG96+AG48+AG55</f>
        <v>865.074401114113</v>
      </c>
      <c r="AH102" s="47" t="n">
        <f aca="false">AH79+AH101+AH88+AH95+AH96+AH48+AH55</f>
        <v>861.855374082259</v>
      </c>
      <c r="AI102" s="47" t="n">
        <f aca="false">AI79+AI101+AI88+AI95+AI96+AI48+AI55</f>
        <v>853.374811379966</v>
      </c>
      <c r="AJ102" s="47" t="n">
        <f aca="false">AJ79+AJ101+AJ88+AJ95+AJ96+AJ48+AJ55</f>
        <v>906.60091623626</v>
      </c>
      <c r="AK102" s="47" t="n">
        <f aca="false">AK79+AK101+AK88+AK95+AK96+AK48+AK55</f>
        <v>927.301523521586</v>
      </c>
      <c r="AL102" s="47" t="n">
        <f aca="false">AL79+AL101+AL88+AL95+AL96+AL48+AL55</f>
        <v>924.366217061164</v>
      </c>
      <c r="AM102" s="47" t="n">
        <f aca="false">AM79+AM101+AM88+AM95+AM96+AM48+AM55</f>
        <v>915.18962776553</v>
      </c>
      <c r="AN102" s="47" t="n">
        <f aca="false">AN79+AN101+AN88+AN95+AN96+AN48+AN55</f>
        <v>936.043343432893</v>
      </c>
      <c r="AO102" s="47" t="n">
        <f aca="false">AO79+AO101+AO88+AO95+AO96+AO48+AO55</f>
        <v>957.063937741615</v>
      </c>
      <c r="AP102" s="47" t="n">
        <f aca="false">AP79+AP101+AP88+AP95+AP96+AP48+AP55</f>
        <v>954.319306182107</v>
      </c>
      <c r="AQ102" s="47" t="n">
        <f aca="false">AQ79+AQ101+AQ88+AQ95+AQ96+AQ48+AQ55</f>
        <v>945.078827764132</v>
      </c>
      <c r="AR102" s="47" t="n">
        <f aca="false">AR79+AR101+AR88+AR95+AR96+AR48+AR55</f>
        <v>966.256531023485</v>
      </c>
      <c r="AS102" s="47" t="n">
        <f aca="false">AS79+AS101+AS88+AS95+AS96+AS48+AS55</f>
        <v>987.603793736014</v>
      </c>
      <c r="AT102" s="47" t="n">
        <f aca="false">AT79+AT101+AT88+AT95+AT96+AT48+AT55</f>
        <v>985.05875184758</v>
      </c>
      <c r="AU102" s="47" t="n">
        <f aca="false">AU79+AU101+AU88+AU95+AU96+AU48+AU55</f>
        <v>991.20736063914</v>
      </c>
      <c r="AV102" s="47" t="n">
        <f aca="false">AV79+AV101+AV88+AV95+AV96+AV48+AV55</f>
        <v>997.381963361349</v>
      </c>
      <c r="AW102" s="47" t="n">
        <f aca="false">AW79+AW101+AW88+AW95+AW96+AW48+AW55</f>
        <v>1019.06393522923</v>
      </c>
      <c r="AX102" s="47" t="n">
        <f aca="false">AX79+AX101+AX88+AX95+AX96+AX48+AX55</f>
        <v>1016.72885890895</v>
      </c>
      <c r="AY102" s="47" t="n">
        <f aca="false">AY79+AY101+AY88+AY95+AY96+AY48+AY55</f>
        <v>1007.38114783402</v>
      </c>
      <c r="AZ102" s="47" t="n">
        <f aca="false">AZ79+AZ101+AZ88+AZ95+AZ96+AZ48+AZ55</f>
        <v>1029.2287712918</v>
      </c>
      <c r="BA102" s="47" t="n">
        <f aca="false">BA79+BA101+BA88+BA95+BA96+BA48+BA55</f>
        <v>1051.25158094555</v>
      </c>
      <c r="BB102" s="47" t="n">
        <f aca="false">BB79+BB101+BB88+BB95+BB96+BB48+BB55</f>
        <v>1049.13500592181</v>
      </c>
      <c r="BC102" s="47" t="n">
        <f aca="false">BC79+BC101+BC88+BC95+BC96+BC48+BC55</f>
        <v>1039.74348780675</v>
      </c>
      <c r="BD102" s="47" t="n">
        <f aca="false">BD79+BD101+BD88+BD95+BD96+BD48+BD55</f>
        <v>1061.93647442621</v>
      </c>
      <c r="BE102" s="47" t="n">
        <f aca="false">BE79+BE101+BE88+BE95+BE96+BE48+BE55</f>
        <v>1084.30758875412</v>
      </c>
      <c r="BF102" s="47" t="n">
        <f aca="false">BF79+BF101+BF88+BF95+BF96+BF48+BF55</f>
        <v>1082.41949540178</v>
      </c>
      <c r="BG102" s="47" t="n">
        <f aca="false">BG79+BG101+BG88+BG95+BG96+BG48+BG55</f>
        <v>1072.99149405369</v>
      </c>
      <c r="BH102" s="47" t="n">
        <f aca="false">BH79+BH101+BH88+BH95+BH96+BH48+BH55</f>
        <v>1095.53750084979</v>
      </c>
      <c r="BI102" s="47" t="n">
        <f aca="false">BI79+BI101+BI88+BI95+BI96+BI48+BI55</f>
        <v>1118.26467021219</v>
      </c>
      <c r="BJ102" s="47" t="n">
        <f aca="false">BJ79+BJ101+BJ88+BJ95+BJ96+BJ48+BJ55</f>
        <v>1116.61542089838</v>
      </c>
      <c r="BK102" s="47" t="n">
        <f aca="false">BK79+BK101+BK88+BK95+BK96+BK48+BK55</f>
        <v>1122.87180463226</v>
      </c>
      <c r="BL102" s="47" t="n">
        <f aca="false">BL79+BL101+BL88+BL95+BL96+BL48+BL55</f>
        <v>1130.17908129847</v>
      </c>
      <c r="BM102" s="47" t="n">
        <f aca="false">BM79+BM101+BM88+BM95+BM96+BM48+BM55</f>
        <v>1153.27146832813</v>
      </c>
      <c r="BN102" s="47" t="n">
        <f aca="false">BN79+BN101+BN88+BN95+BN96+BN48+BN55</f>
        <v>1151.87294989479</v>
      </c>
      <c r="BO102" s="47" t="n">
        <f aca="false">BO79+BO101+BO88+BO95+BO96+BO48+BO55</f>
        <v>1142.3964798146</v>
      </c>
      <c r="BP102" s="47" t="n">
        <f aca="false">BP79+BP101+BP88+BP95+BP96+BP48+BP55</f>
        <v>1165.67382774944</v>
      </c>
      <c r="BQ102" s="47" t="n">
        <f aca="false">BQ79+BQ101+BQ88+BQ95+BQ96+BQ48+BQ55</f>
        <v>1189.13871347658</v>
      </c>
      <c r="BR102" s="47" t="n">
        <f aca="false">BR79+BR101+BR88+BR95+BR96+BR48+BR55</f>
        <v>1188.0010135894</v>
      </c>
      <c r="BS102" s="47" t="n">
        <f aca="false">BS79+BS101+BS88+BS95+BS96+BS48+BS55</f>
        <v>1178.51219326807</v>
      </c>
      <c r="BT102" s="47" t="n">
        <f aca="false">BT79+BT101+BT88+BT95+BT96+BT48+BT55</f>
        <v>1202.16737864443</v>
      </c>
      <c r="BU102" s="47" t="n">
        <f aca="false">BU79+BU101+BU88+BU95+BU96+BU48+BU55</f>
        <v>1226.01343873917</v>
      </c>
      <c r="BV102" s="47" t="n">
        <f aca="false">BV79+BV101+BV88+BV95+BV96+BV48+BV55</f>
        <v>1225.14815707471</v>
      </c>
      <c r="BW102" s="47" t="n">
        <f aca="false">BW79+BW101+BW88+BW95+BW96+BW48+BW55</f>
        <v>1215.65577084294</v>
      </c>
      <c r="BX102" s="47" t="n">
        <f aca="false">BX79+BX101+BX88+BX95+BX96+BX48+BX55</f>
        <v>1239.69769510023</v>
      </c>
      <c r="BY102" s="47" t="n">
        <f aca="false">BY79+BY101+BY88+BY95+BY96+BY48+BY55</f>
        <v>1263.93393922668</v>
      </c>
      <c r="BZ102" s="47" t="n">
        <f aca="false">BZ79+BZ101+BZ88+BZ95+BZ96+BZ48+BZ55</f>
        <v>1263.35311916008</v>
      </c>
      <c r="CA102" s="47" t="n">
        <f aca="false">CA79+CA101+CA88+CA95+CA96+CA48+CA55</f>
        <v>1269.8001950202</v>
      </c>
      <c r="CB102" s="47" t="n">
        <f aca="false">CB79+CB101+CB88+CB95+CB96+CB48+CB55</f>
        <v>1278.41845274767</v>
      </c>
      <c r="CC102" s="47" t="n">
        <f aca="false">CC79+CC101+CC88+CC95+CC96+CC48+CC55</f>
        <v>1303.05536223979</v>
      </c>
      <c r="CD102" s="47" t="n">
        <f aca="false">CD79+CD101+CD88+CD95+CD96+CD48+CD55</f>
        <v>1302.77264255649</v>
      </c>
      <c r="CE102" s="47" t="n">
        <f aca="false">CE79+CE101+CE88+CE95+CE96+CE48+CE55</f>
        <v>1293.30224834096</v>
      </c>
      <c r="CF102" s="47" t="n">
        <f aca="false">CF79+CF101+CF88+CF95+CF96+CF48+CF55</f>
        <v>1318.14690171012</v>
      </c>
      <c r="CG102" s="47" t="n">
        <f aca="false">CG79+CG101+CG88+CG95+CG96+CG48+CG55</f>
        <v>1343.1931178166</v>
      </c>
      <c r="CH102" s="47" t="n">
        <f aca="false">CH79+CH101+CH88+CH95+CH96+CH48+CH55</f>
        <v>1343.22039127805</v>
      </c>
      <c r="CI102" s="47" t="n">
        <f aca="false">CI79+CI101+CI88+CI95+CI96+CI48+CI55</f>
        <v>1333.77530833612</v>
      </c>
      <c r="CJ102" s="47" t="n">
        <f aca="false">CJ79+CJ101+CJ88+CJ95+CJ96+CJ48+CJ55</f>
        <v>1359.03557235909</v>
      </c>
      <c r="CK102" s="47" t="n">
        <f aca="false">CK79+CK101+CK88+CK95+CK96+CK48+CK55</f>
        <v>1384.50119456206</v>
      </c>
      <c r="CL102" s="47" t="n">
        <f aca="false">CL79+CL101+CL88+CL95+CL96+CL48+CL55</f>
        <v>1384.85194166564</v>
      </c>
      <c r="CM102" s="47" t="n">
        <f aca="false">CM79+CM101+CM88+CM95+CM96+CM48+CM55</f>
        <v>1375.44266450095</v>
      </c>
      <c r="CN102" s="47" t="n">
        <f aca="false">CN79+CN101+CN88+CN95+CN96+CN48+CN55</f>
        <v>1401.12890652278</v>
      </c>
      <c r="CO102" s="47" t="n">
        <f aca="false">CO79+CO101+CO88+CO95+CO96+CO48+CO55</f>
        <v>1427.02442773978</v>
      </c>
      <c r="CP102" s="47" t="n">
        <f aca="false">CP79+CP101+CP88+CP95+CP96+CP48+CP55</f>
        <v>1427.71264450008</v>
      </c>
      <c r="CQ102" s="47" t="n">
        <f aca="false">CQ79+CQ101+CQ88+CQ95+CQ96+CQ48+CQ55</f>
        <v>1434.452054539</v>
      </c>
      <c r="CR102" s="47" t="n">
        <f aca="false">CR79+CR101+CR88+CR95+CR96+CR48+CR55</f>
        <v>1444.58784641563</v>
      </c>
      <c r="CS102" s="47" t="n">
        <f aca="false">CS79+CS101+CS88+CS95+CS96+CS48+CS55</f>
        <v>1470.92529830124</v>
      </c>
      <c r="CT102" s="47" t="n">
        <f aca="false">CT79+CT101+CT88+CT95+CT96+CT48+CT55</f>
        <v>1471.96665595576</v>
      </c>
      <c r="CU102" s="47" t="n">
        <f aca="false">CU79+CU101+CU88+CU95+CU96+CU48+CU55</f>
        <v>1452.13907911473</v>
      </c>
      <c r="CV102" s="47" t="n">
        <f aca="false">CV79+CV101+CV88+CV95+CV96+CV48+CV55</f>
        <v>1468.27395777156</v>
      </c>
      <c r="CW102" s="47" t="n">
        <f aca="false">CW79+CW101+CW88+CW95+CW96+CW48+CW55</f>
        <v>1484.40883642839</v>
      </c>
      <c r="CX102" s="47" t="n">
        <f aca="false">CX79+CX101+CX88+CX95+CX96+CX48+CX55</f>
        <v>1474.94290836395</v>
      </c>
      <c r="CY102" s="47" t="n">
        <f aca="false">CY79+CY101+CY88+CY95+CY96+CY48+CY55</f>
        <v>1454.75813498684</v>
      </c>
      <c r="CZ102" s="47" t="n">
        <f aca="false">CZ79+CZ101+CZ88+CZ95+CZ96+CZ48+CZ55</f>
        <v>1470.92211426447</v>
      </c>
      <c r="DA102" s="47" t="n">
        <f aca="false">DA79+DA101+DA88+DA95+DA96+DA48+DA55</f>
        <v>1487.0860935421</v>
      </c>
      <c r="DB102" s="47" t="n">
        <f aca="false">DB79+DB101+DB88+DB95+DB96+DB48+DB55</f>
        <v>2503.24466583138</v>
      </c>
      <c r="DC102" s="47" t="n">
        <f aca="false">DC79+DC101+DC88+DC95+DC96+DC48+DC55</f>
        <v>2460.4018457948</v>
      </c>
      <c r="DD102" s="47" t="n">
        <f aca="false">DD79+DD101+DD88+DD95+DD96+DD48+DD55</f>
        <v>2487.73964408141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2491.17462930678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2464.91206834606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2465.61807007059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2510.83914170753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2510.63204110907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2464.11073922956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1142.99956746376</v>
      </c>
      <c r="T103" s="18" t="n">
        <f aca="false">S107</f>
        <v>1297.80039077479</v>
      </c>
      <c r="U103" s="18" t="n">
        <f aca="false">T107</f>
        <v>1434.65410896264</v>
      </c>
      <c r="V103" s="18" t="n">
        <f aca="false">U107</f>
        <v>1563.19514158801</v>
      </c>
      <c r="W103" s="18" t="n">
        <f aca="false">V107</f>
        <v>1681.81172721395</v>
      </c>
      <c r="X103" s="18" t="n">
        <f aca="false">W107</f>
        <v>1789.18292443435</v>
      </c>
      <c r="Y103" s="18" t="n">
        <f aca="false">X107</f>
        <v>1888.14396613331</v>
      </c>
      <c r="Z103" s="18" t="n">
        <f aca="false">Y107</f>
        <v>1978.37591923145</v>
      </c>
      <c r="AA103" s="18" t="n">
        <f aca="false">Z107</f>
        <v>1576.05578697835</v>
      </c>
      <c r="AB103" s="18" t="n">
        <f aca="false">AA107</f>
        <v>1177.72785728966</v>
      </c>
      <c r="AC103" s="18" t="n">
        <f aca="false">AB107</f>
        <v>769.503083234458</v>
      </c>
      <c r="AD103" s="18" t="n">
        <f aca="false">AC107</f>
        <v>351.296919241287</v>
      </c>
      <c r="AE103" s="18" t="n">
        <f aca="false">AD107</f>
        <v>0</v>
      </c>
      <c r="AF103" s="18" t="n">
        <f aca="false">AE107</f>
        <v>0</v>
      </c>
      <c r="AG103" s="18" t="n">
        <f aca="false">AF107</f>
        <v>0</v>
      </c>
      <c r="AH103" s="18" t="n">
        <f aca="false">AG107</f>
        <v>0</v>
      </c>
      <c r="AI103" s="18" t="n">
        <f aca="false">AH107</f>
        <v>0</v>
      </c>
      <c r="AJ103" s="18" t="n">
        <f aca="false">AI107</f>
        <v>0</v>
      </c>
      <c r="AK103" s="18" t="n">
        <f aca="false">AJ107</f>
        <v>0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1978.37591923145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910.488972605438</v>
      </c>
      <c r="S104" s="47" t="n">
        <f aca="false">MAX(0,-S102)</f>
        <v>154.800823311032</v>
      </c>
      <c r="T104" s="47" t="n">
        <f aca="false">MAX(0,-T102)</f>
        <v>136.853718187849</v>
      </c>
      <c r="U104" s="47" t="n">
        <f aca="false">MAX(0,-U102)</f>
        <v>128.541032625373</v>
      </c>
      <c r="V104" s="47" t="n">
        <f aca="false">MAX(0,-V102)</f>
        <v>118.616585625935</v>
      </c>
      <c r="W104" s="47" t="n">
        <f aca="false">MAX(0,-W102)</f>
        <v>107.371197220398</v>
      </c>
      <c r="X104" s="47" t="n">
        <f aca="false">MAX(0,-X102)</f>
        <v>98.9610416989586</v>
      </c>
      <c r="Y104" s="47" t="n">
        <f aca="false">MAX(0,-Y102)</f>
        <v>90.2319530981423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-1978.37591923145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-402.320132253099</v>
      </c>
      <c r="AA105" s="47" t="n">
        <f aca="false">-MIN(AA103,In_Loss_Cap*MAX(0,AA102))</f>
        <v>-398.327929688691</v>
      </c>
      <c r="AB105" s="47" t="n">
        <f aca="false">-MIN(AB103,In_Loss_Cap*MAX(0,AB102))</f>
        <v>-408.224774055201</v>
      </c>
      <c r="AC105" s="47" t="n">
        <f aca="false">-MIN(AC103,In_Loss_Cap*MAX(0,AC102))</f>
        <v>-418.206163993171</v>
      </c>
      <c r="AD105" s="47" t="n">
        <f aca="false">-MIN(AD103,In_Loss_Cap*MAX(0,AD102))</f>
        <v>-351.296919241287</v>
      </c>
      <c r="AE105" s="47" t="n">
        <f aca="false">-MIN(AE103,In_Loss_Cap*MAX(0,AE102))</f>
        <v>-0</v>
      </c>
      <c r="AF105" s="47" t="n">
        <f aca="false">-MIN(AF103,In_Loss_Cap*MAX(0,AF102))</f>
        <v>-0</v>
      </c>
      <c r="AG105" s="47" t="n">
        <f aca="false">-MIN(AG103,In_Loss_Cap*MAX(0,AG102))</f>
        <v>-0</v>
      </c>
      <c r="AH105" s="47" t="n">
        <f aca="false">-MIN(AH103,In_Loss_Cap*MAX(0,AH102))</f>
        <v>-0</v>
      </c>
      <c r="AI105" s="47" t="n">
        <f aca="false">-MIN(AI103,In_Loss_Cap*MAX(0,AI102))</f>
        <v>-0</v>
      </c>
      <c r="AJ105" s="47" t="n">
        <f aca="false">-MIN(AJ103,In_Loss_Cap*MAX(0,AJ102))</f>
        <v>-0</v>
      </c>
      <c r="AK105" s="47" t="n">
        <f aca="false">-MIN(AK103,In_Loss_Cap*MAX(0,AK102))</f>
        <v>-0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0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-0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1142.99956746376</v>
      </c>
      <c r="S107" s="47" t="n">
        <f aca="false">SUM(S103:S106)</f>
        <v>1297.80039077479</v>
      </c>
      <c r="T107" s="47" t="n">
        <f aca="false">SUM(T103:T106)</f>
        <v>1434.65410896264</v>
      </c>
      <c r="U107" s="47" t="n">
        <f aca="false">SUM(U103:U106)</f>
        <v>1563.19514158801</v>
      </c>
      <c r="V107" s="47" t="n">
        <f aca="false">SUM(V103:V106)</f>
        <v>1681.81172721395</v>
      </c>
      <c r="W107" s="47" t="n">
        <f aca="false">SUM(W103:W106)</f>
        <v>1789.18292443435</v>
      </c>
      <c r="X107" s="47" t="n">
        <f aca="false">SUM(X103:X106)</f>
        <v>1888.14396613331</v>
      </c>
      <c r="Y107" s="47" t="n">
        <f aca="false">SUM(Y103:Y106)</f>
        <v>1978.37591923145</v>
      </c>
      <c r="Z107" s="47" t="n">
        <f aca="false">SUM(Z103:Z106)</f>
        <v>1576.05578697835</v>
      </c>
      <c r="AA107" s="47" t="n">
        <f aca="false">SUM(AA103:AA106)</f>
        <v>1177.72785728966</v>
      </c>
      <c r="AB107" s="47" t="n">
        <f aca="false">SUM(AB103:AB106)</f>
        <v>769.503083234458</v>
      </c>
      <c r="AC107" s="47" t="n">
        <f aca="false">SUM(AC103:AC106)</f>
        <v>351.296919241287</v>
      </c>
      <c r="AD107" s="47" t="n">
        <f aca="false">SUM(AD103:AD106)</f>
        <v>0</v>
      </c>
      <c r="AE107" s="47" t="n">
        <f aca="false">SUM(AE103:AE106)</f>
        <v>0</v>
      </c>
      <c r="AF107" s="47" t="n">
        <f aca="false">SUM(AF103:AF106)</f>
        <v>0</v>
      </c>
      <c r="AG107" s="47" t="n">
        <f aca="false">SUM(AG103:AG106)</f>
        <v>0</v>
      </c>
      <c r="AH107" s="47" t="n">
        <f aca="false">SUM(AH103:AH106)</f>
        <v>0</v>
      </c>
      <c r="AI107" s="47" t="n">
        <f aca="false">SUM(AI103:AI106)</f>
        <v>0</v>
      </c>
      <c r="AJ107" s="47" t="n">
        <f aca="false">SUM(AJ103:AJ106)</f>
        <v>0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-309.786501834886</v>
      </c>
      <c r="AA108" s="47" t="n">
        <f aca="false">-In_CIT*(MAX(0,AA102)+AA105)-In_RH_On*In_RH_Rate*MAX(0,AA102)</f>
        <v>-306.712505860292</v>
      </c>
      <c r="AB108" s="47" t="n">
        <f aca="false">-In_CIT*(MAX(0,AB102)+AB105)-In_RH_On*In_RH_Rate*MAX(0,AB102)</f>
        <v>-314.333076022505</v>
      </c>
      <c r="AC108" s="47" t="n">
        <f aca="false">-In_CIT*(MAX(0,AC102)+AC105)-In_RH_On*In_RH_Rate*MAX(0,AC102)</f>
        <v>-322.018746274742</v>
      </c>
      <c r="AD108" s="47" t="n">
        <f aca="false">-In_CIT*(MAX(0,AD102)+AD105)-In_RH_On*In_RH_Rate*MAX(0,AD102)</f>
        <v>-330.659556374886</v>
      </c>
      <c r="AE108" s="47" t="n">
        <f aca="false">-In_CIT*(MAX(0,AE102)+AE105)-In_RH_On*In_RH_Rate*MAX(0,AE102)</f>
        <v>-386.424761459885</v>
      </c>
      <c r="AF108" s="47" t="n">
        <f aca="false">-In_CIT*(MAX(0,AF102)+AF105)-In_RH_On*In_RH_Rate*MAX(0,AF102)</f>
        <v>-388.769552389384</v>
      </c>
      <c r="AG108" s="47" t="n">
        <f aca="false">-In_CIT*(MAX(0,AG102)+AG105)-In_RH_On*In_RH_Rate*MAX(0,AG102)</f>
        <v>-397.934224512492</v>
      </c>
      <c r="AH108" s="47" t="n">
        <f aca="false">-In_CIT*(MAX(0,AH102)+AH105)-In_RH_On*In_RH_Rate*MAX(0,AH102)</f>
        <v>-396.453472077839</v>
      </c>
      <c r="AI108" s="47" t="n">
        <f aca="false">-In_CIT*(MAX(0,AI102)+AI105)-In_RH_On*In_RH_Rate*MAX(0,AI102)</f>
        <v>-392.552413234784</v>
      </c>
      <c r="AJ108" s="47" t="n">
        <f aca="false">-In_CIT*(MAX(0,AJ102)+AJ105)-In_RH_On*In_RH_Rate*MAX(0,AJ102)</f>
        <v>-417.036421468679</v>
      </c>
      <c r="AK108" s="47" t="n">
        <f aca="false">-In_CIT*(MAX(0,AK102)+AK105)-In_RH_On*In_RH_Rate*MAX(0,AK102)</f>
        <v>-426.55870081993</v>
      </c>
      <c r="AL108" s="47" t="n">
        <f aca="false">-In_CIT*(MAX(0,AL102)+AL105)-In_RH_On*In_RH_Rate*MAX(0,AL102)</f>
        <v>-425.208459848136</v>
      </c>
      <c r="AM108" s="47" t="n">
        <f aca="false">-In_CIT*(MAX(0,AM102)+AM105)-In_RH_On*In_RH_Rate*MAX(0,AM102)</f>
        <v>-420.987228772144</v>
      </c>
      <c r="AN108" s="47" t="n">
        <f aca="false">-In_CIT*(MAX(0,AN102)+AN105)-In_RH_On*In_RH_Rate*MAX(0,AN102)</f>
        <v>-430.579937979131</v>
      </c>
      <c r="AO108" s="47" t="n">
        <f aca="false">-In_CIT*(MAX(0,AO102)+AO105)-In_RH_On*In_RH_Rate*MAX(0,AO102)</f>
        <v>-440.249411361143</v>
      </c>
      <c r="AP108" s="47" t="n">
        <f aca="false">-In_CIT*(MAX(0,AP102)+AP105)-In_RH_On*In_RH_Rate*MAX(0,AP102)</f>
        <v>-438.986880843769</v>
      </c>
      <c r="AQ108" s="47" t="n">
        <f aca="false">-In_CIT*(MAX(0,AQ102)+AQ105)-In_RH_On*In_RH_Rate*MAX(0,AQ102)</f>
        <v>-434.736260771501</v>
      </c>
      <c r="AR108" s="47" t="n">
        <f aca="false">-In_CIT*(MAX(0,AR102)+AR105)-In_RH_On*In_RH_Rate*MAX(0,AR102)</f>
        <v>-444.478004270803</v>
      </c>
      <c r="AS108" s="47" t="n">
        <f aca="false">-In_CIT*(MAX(0,AS102)+AS105)-In_RH_On*In_RH_Rate*MAX(0,AS102)</f>
        <v>-454.297745118566</v>
      </c>
      <c r="AT108" s="47" t="n">
        <f aca="false">-In_CIT*(MAX(0,AT102)+AT105)-In_RH_On*In_RH_Rate*MAX(0,AT102)</f>
        <v>-453.127025849887</v>
      </c>
      <c r="AU108" s="47" t="n">
        <f aca="false">-In_CIT*(MAX(0,AU102)+AU105)-In_RH_On*In_RH_Rate*MAX(0,AU102)</f>
        <v>-455.955385894004</v>
      </c>
      <c r="AV108" s="47" t="n">
        <f aca="false">-In_CIT*(MAX(0,AV102)+AV105)-In_RH_On*In_RH_Rate*MAX(0,AV102)</f>
        <v>-458.795703146221</v>
      </c>
      <c r="AW108" s="47" t="n">
        <f aca="false">-In_CIT*(MAX(0,AW102)+AW105)-In_RH_On*In_RH_Rate*MAX(0,AW102)</f>
        <v>-468.769410205445</v>
      </c>
      <c r="AX108" s="47" t="n">
        <f aca="false">-In_CIT*(MAX(0,AX102)+AX105)-In_RH_On*In_RH_Rate*MAX(0,AX102)</f>
        <v>-467.695275098117</v>
      </c>
      <c r="AY108" s="47" t="n">
        <f aca="false">-In_CIT*(MAX(0,AY102)+AY105)-In_RH_On*In_RH_Rate*MAX(0,AY102)</f>
        <v>-463.395328003649</v>
      </c>
      <c r="AZ108" s="47" t="n">
        <f aca="false">-In_CIT*(MAX(0,AZ102)+AZ105)-In_RH_On*In_RH_Rate*MAX(0,AZ102)</f>
        <v>-473.445234794228</v>
      </c>
      <c r="BA108" s="47" t="n">
        <f aca="false">-In_CIT*(MAX(0,BA102)+BA105)-In_RH_On*In_RH_Rate*MAX(0,BA102)</f>
        <v>-483.575727234953</v>
      </c>
      <c r="BB108" s="47" t="n">
        <f aca="false">-In_CIT*(MAX(0,BB102)+BB105)-In_RH_On*In_RH_Rate*MAX(0,BB102)</f>
        <v>-482.602102724032</v>
      </c>
      <c r="BC108" s="47" t="n">
        <f aca="false">-In_CIT*(MAX(0,BC102)+BC105)-In_RH_On*In_RH_Rate*MAX(0,BC102)</f>
        <v>-478.282004391106</v>
      </c>
      <c r="BD108" s="47" t="n">
        <f aca="false">-In_CIT*(MAX(0,BD102)+BD105)-In_RH_On*In_RH_Rate*MAX(0,BD102)</f>
        <v>-488.490778236059</v>
      </c>
      <c r="BE108" s="47" t="n">
        <f aca="false">-In_CIT*(MAX(0,BE102)+BE105)-In_RH_On*In_RH_Rate*MAX(0,BE102)</f>
        <v>-498.781490826893</v>
      </c>
      <c r="BF108" s="47" t="n">
        <f aca="false">-In_CIT*(MAX(0,BF102)+BF105)-In_RH_On*In_RH_Rate*MAX(0,BF102)</f>
        <v>-497.912967884821</v>
      </c>
      <c r="BG108" s="47" t="n">
        <f aca="false">-In_CIT*(MAX(0,BG102)+BG105)-In_RH_On*In_RH_Rate*MAX(0,BG102)</f>
        <v>-493.576087264698</v>
      </c>
      <c r="BH108" s="47" t="n">
        <f aca="false">-In_CIT*(MAX(0,BH102)+BH105)-In_RH_On*In_RH_Rate*MAX(0,BH102)</f>
        <v>-503.947250390904</v>
      </c>
      <c r="BI108" s="47" t="n">
        <f aca="false">-In_CIT*(MAX(0,BI102)+BI105)-In_RH_On*In_RH_Rate*MAX(0,BI102)</f>
        <v>-514.401748297606</v>
      </c>
      <c r="BJ108" s="47" t="n">
        <f aca="false">-In_CIT*(MAX(0,BJ102)+BJ105)-In_RH_On*In_RH_Rate*MAX(0,BJ102)</f>
        <v>-513.643093613253</v>
      </c>
      <c r="BK108" s="47" t="n">
        <f aca="false">-In_CIT*(MAX(0,BK102)+BK105)-In_RH_On*In_RH_Rate*MAX(0,BK102)</f>
        <v>-516.521030130842</v>
      </c>
      <c r="BL108" s="47" t="n">
        <f aca="false">-In_CIT*(MAX(0,BL102)+BL105)-In_RH_On*In_RH_Rate*MAX(0,BL102)</f>
        <v>-519.882377397297</v>
      </c>
      <c r="BM108" s="47" t="n">
        <f aca="false">-In_CIT*(MAX(0,BM102)+BM105)-In_RH_On*In_RH_Rate*MAX(0,BM102)</f>
        <v>-530.504875430941</v>
      </c>
      <c r="BN108" s="47" t="n">
        <f aca="false">-In_CIT*(MAX(0,BN102)+BN105)-In_RH_On*In_RH_Rate*MAX(0,BN102)</f>
        <v>-529.861556951603</v>
      </c>
      <c r="BO108" s="47" t="n">
        <f aca="false">-In_CIT*(MAX(0,BO102)+BO105)-In_RH_On*In_RH_Rate*MAX(0,BO102)</f>
        <v>-525.502380714717</v>
      </c>
      <c r="BP108" s="47" t="n">
        <f aca="false">-In_CIT*(MAX(0,BP102)+BP105)-In_RH_On*In_RH_Rate*MAX(0,BP102)</f>
        <v>-536.209960764744</v>
      </c>
      <c r="BQ108" s="47" t="n">
        <f aca="false">-In_CIT*(MAX(0,BQ102)+BQ105)-In_RH_On*In_RH_Rate*MAX(0,BQ102)</f>
        <v>-547.003808199225</v>
      </c>
      <c r="BR108" s="47" t="n">
        <f aca="false">-In_CIT*(MAX(0,BR102)+BR105)-In_RH_On*In_RH_Rate*MAX(0,BR102)</f>
        <v>-546.480466251123</v>
      </c>
      <c r="BS108" s="47" t="n">
        <f aca="false">-In_CIT*(MAX(0,BS102)+BS105)-In_RH_On*In_RH_Rate*MAX(0,BS102)</f>
        <v>-542.115608903314</v>
      </c>
      <c r="BT108" s="47" t="n">
        <f aca="false">-In_CIT*(MAX(0,BT102)+BT105)-In_RH_On*In_RH_Rate*MAX(0,BT102)</f>
        <v>-552.996994176436</v>
      </c>
      <c r="BU108" s="47" t="n">
        <f aca="false">-In_CIT*(MAX(0,BU102)+BU105)-In_RH_On*In_RH_Rate*MAX(0,BU102)</f>
        <v>-563.966181820018</v>
      </c>
      <c r="BV108" s="47" t="n">
        <f aca="false">-In_CIT*(MAX(0,BV102)+BV105)-In_RH_On*In_RH_Rate*MAX(0,BV102)</f>
        <v>-563.568152254365</v>
      </c>
      <c r="BW108" s="47" t="n">
        <f aca="false">-In_CIT*(MAX(0,BW102)+BW105)-In_RH_On*In_RH_Rate*MAX(0,BW102)</f>
        <v>-559.201654587752</v>
      </c>
      <c r="BX108" s="47" t="n">
        <f aca="false">-In_CIT*(MAX(0,BX102)+BX105)-In_RH_On*In_RH_Rate*MAX(0,BX102)</f>
        <v>-570.260939746105</v>
      </c>
      <c r="BY108" s="47" t="n">
        <f aca="false">-In_CIT*(MAX(0,BY102)+BY105)-In_RH_On*In_RH_Rate*MAX(0,BY102)</f>
        <v>-581.409612044274</v>
      </c>
      <c r="BZ108" s="47" t="n">
        <f aca="false">-In_CIT*(MAX(0,BZ102)+BZ105)-In_RH_On*In_RH_Rate*MAX(0,BZ102)</f>
        <v>-581.142434813636</v>
      </c>
      <c r="CA108" s="47" t="n">
        <f aca="false">-In_CIT*(MAX(0,CA102)+CA105)-In_RH_On*In_RH_Rate*MAX(0,CA102)</f>
        <v>-584.108089709293</v>
      </c>
      <c r="CB108" s="47" t="n">
        <f aca="false">-In_CIT*(MAX(0,CB102)+CB105)-In_RH_On*In_RH_Rate*MAX(0,CB102)</f>
        <v>-588.072488263927</v>
      </c>
      <c r="CC108" s="47" t="n">
        <f aca="false">-In_CIT*(MAX(0,CC102)+CC105)-In_RH_On*In_RH_Rate*MAX(0,CC102)</f>
        <v>-599.405466630301</v>
      </c>
      <c r="CD108" s="47" t="n">
        <f aca="false">-In_CIT*(MAX(0,CD102)+CD105)-In_RH_On*In_RH_Rate*MAX(0,CD102)</f>
        <v>-599.275415575987</v>
      </c>
      <c r="CE108" s="47" t="n">
        <f aca="false">-In_CIT*(MAX(0,CE102)+CE105)-In_RH_On*In_RH_Rate*MAX(0,CE102)</f>
        <v>-594.919034236841</v>
      </c>
      <c r="CF108" s="47" t="n">
        <f aca="false">-In_CIT*(MAX(0,CF102)+CF105)-In_RH_On*In_RH_Rate*MAX(0,CF102)</f>
        <v>-606.347574786656</v>
      </c>
      <c r="CG108" s="47" t="n">
        <f aca="false">-In_CIT*(MAX(0,CG102)+CG105)-In_RH_On*In_RH_Rate*MAX(0,CG102)</f>
        <v>-617.868834195637</v>
      </c>
      <c r="CH108" s="47" t="n">
        <f aca="false">-In_CIT*(MAX(0,CH102)+CH105)-In_RH_On*In_RH_Rate*MAX(0,CH102)</f>
        <v>-617.881379987902</v>
      </c>
      <c r="CI108" s="47" t="n">
        <f aca="false">-In_CIT*(MAX(0,CI102)+CI105)-In_RH_On*In_RH_Rate*MAX(0,CI102)</f>
        <v>-613.536641834617</v>
      </c>
      <c r="CJ108" s="47" t="n">
        <f aca="false">-In_CIT*(MAX(0,CJ102)+CJ105)-In_RH_On*In_RH_Rate*MAX(0,CJ102)</f>
        <v>-625.156363285183</v>
      </c>
      <c r="CK108" s="47" t="n">
        <f aca="false">-In_CIT*(MAX(0,CK102)+CK105)-In_RH_On*In_RH_Rate*MAX(0,CK102)</f>
        <v>-636.870549498545</v>
      </c>
      <c r="CL108" s="47" t="n">
        <f aca="false">-In_CIT*(MAX(0,CL102)+CL105)-In_RH_On*In_RH_Rate*MAX(0,CL102)</f>
        <v>-637.031893166196</v>
      </c>
      <c r="CM108" s="47" t="n">
        <f aca="false">-In_CIT*(MAX(0,CM102)+CM105)-In_RH_On*In_RH_Rate*MAX(0,CM102)</f>
        <v>-632.703625670437</v>
      </c>
      <c r="CN108" s="47" t="n">
        <f aca="false">-In_CIT*(MAX(0,CN102)+CN105)-In_RH_On*In_RH_Rate*MAX(0,CN102)</f>
        <v>-644.51929700048</v>
      </c>
      <c r="CO108" s="47" t="n">
        <f aca="false">-In_CIT*(MAX(0,CO102)+CO105)-In_RH_On*In_RH_Rate*MAX(0,CO102)</f>
        <v>-656.431236760301</v>
      </c>
      <c r="CP108" s="47" t="n">
        <f aca="false">-In_CIT*(MAX(0,CP102)+CP105)-In_RH_On*In_RH_Rate*MAX(0,CP102)</f>
        <v>-656.747816470035</v>
      </c>
      <c r="CQ108" s="47" t="n">
        <f aca="false">-In_CIT*(MAX(0,CQ102)+CQ105)-In_RH_On*In_RH_Rate*MAX(0,CQ102)</f>
        <v>-659.847945087942</v>
      </c>
      <c r="CR108" s="47" t="n">
        <f aca="false">-In_CIT*(MAX(0,CR102)+CR105)-In_RH_On*In_RH_Rate*MAX(0,CR102)</f>
        <v>-664.51040935119</v>
      </c>
      <c r="CS108" s="47" t="n">
        <f aca="false">-In_CIT*(MAX(0,CS102)+CS105)-In_RH_On*In_RH_Rate*MAX(0,CS102)</f>
        <v>-676.625637218571</v>
      </c>
      <c r="CT108" s="47" t="n">
        <f aca="false">-In_CIT*(MAX(0,CT102)+CT105)-In_RH_On*In_RH_Rate*MAX(0,CT102)</f>
        <v>-677.104661739651</v>
      </c>
      <c r="CU108" s="47" t="n">
        <f aca="false">-In_CIT*(MAX(0,CU102)+CU105)-In_RH_On*In_RH_Rate*MAX(0,CU102)</f>
        <v>-667.983976392777</v>
      </c>
      <c r="CV108" s="47" t="n">
        <f aca="false">-In_CIT*(MAX(0,CV102)+CV105)-In_RH_On*In_RH_Rate*MAX(0,CV102)</f>
        <v>-675.406020574919</v>
      </c>
      <c r="CW108" s="47" t="n">
        <f aca="false">-In_CIT*(MAX(0,CW102)+CW105)-In_RH_On*In_RH_Rate*MAX(0,CW102)</f>
        <v>-682.828064757061</v>
      </c>
      <c r="CX108" s="47" t="n">
        <f aca="false">-In_CIT*(MAX(0,CX102)+CX105)-In_RH_On*In_RH_Rate*MAX(0,CX102)</f>
        <v>-678.473737847417</v>
      </c>
      <c r="CY108" s="47" t="n">
        <f aca="false">-In_CIT*(MAX(0,CY102)+CY105)-In_RH_On*In_RH_Rate*MAX(0,CY102)</f>
        <v>-669.188742093946</v>
      </c>
      <c r="CZ108" s="47" t="n">
        <f aca="false">-In_CIT*(MAX(0,CZ102)+CZ105)-In_RH_On*In_RH_Rate*MAX(0,CZ102)</f>
        <v>-676.624172561656</v>
      </c>
      <c r="DA108" s="47" t="n">
        <f aca="false">-In_CIT*(MAX(0,DA102)+DA105)-In_RH_On*In_RH_Rate*MAX(0,DA102)</f>
        <v>-684.059603029367</v>
      </c>
      <c r="DB108" s="47" t="n">
        <f aca="false">-In_CIT*(MAX(0,DB102)+DB105)-In_RH_On*In_RH_Rate*MAX(0,DB102)</f>
        <v>-1151.49254628243</v>
      </c>
      <c r="DC108" s="47" t="n">
        <f aca="false">-In_CIT*(MAX(0,DC102)+DC105)-In_RH_On*In_RH_Rate*MAX(0,DC102)</f>
        <v>-1131.78484906561</v>
      </c>
      <c r="DD108" s="47" t="n">
        <f aca="false">-In_CIT*(MAX(0,DD102)+DD105)-In_RH_On*In_RH_Rate*MAX(0,DD102)</f>
        <v>-1144.36023627745</v>
      </c>
      <c r="DE108" s="47" t="n">
        <f aca="false">-In_CIT*(MAX(0,DE102)+DE105)-In_RH_On*In_RH_Rate*MAX(0,DE102)</f>
        <v>-1156.93562348929</v>
      </c>
      <c r="DF108" s="47" t="n">
        <f aca="false">-In_CIT*(MAX(0,DF102)+DF105)-In_RH_On*In_RH_Rate*MAX(0,DF102)</f>
        <v>-1152.52933692407</v>
      </c>
      <c r="DG108" s="47" t="n">
        <f aca="false">-In_CIT*(MAX(0,DG102)+DG105)-In_RH_On*In_RH_Rate*MAX(0,DG102)</f>
        <v>-1145.23918926198</v>
      </c>
      <c r="DH108" s="47" t="n">
        <f aca="false">-In_CIT*(MAX(0,DH102)+DH105)-In_RH_On*In_RH_Rate*MAX(0,DH102)</f>
        <v>-1145.23918926198</v>
      </c>
      <c r="DI108" s="47" t="n">
        <f aca="false">-In_CIT*(MAX(0,DI102)+DI105)-In_RH_On*In_RH_Rate*MAX(0,DI102)</f>
        <v>-1157.82423529783</v>
      </c>
      <c r="DJ108" s="47" t="n">
        <f aca="false">-In_CIT*(MAX(0,DJ102)+DJ105)-In_RH_On*In_RH_Rate*MAX(0,DJ102)</f>
        <v>-1153.39189590481</v>
      </c>
      <c r="DK108" s="47" t="n">
        <f aca="false">-In_CIT*(MAX(0,DK102)+DK105)-In_RH_On*In_RH_Rate*MAX(0,DK102)</f>
        <v>-1133.3475786077</v>
      </c>
      <c r="DL108" s="47" t="n">
        <f aca="false">-In_CIT*(MAX(0,DL102)+DL105)-In_RH_On*In_RH_Rate*MAX(0,DL102)</f>
        <v>-1145.94032948112</v>
      </c>
      <c r="DM108" s="47" t="n">
        <f aca="false">-In_CIT*(MAX(0,DM102)+DM105)-In_RH_On*In_RH_Rate*MAX(0,DM102)</f>
        <v>-1158.53308035454</v>
      </c>
      <c r="DN108" s="47" t="n">
        <f aca="false">-In_CIT*(MAX(0,DN102)+DN105)-In_RH_On*In_RH_Rate*MAX(0,DN102)</f>
        <v>-1154.07464275917</v>
      </c>
      <c r="DO108" s="47" t="n">
        <f aca="false">-In_CIT*(MAX(0,DO102)+DO105)-In_RH_On*In_RH_Rate*MAX(0,DO102)</f>
        <v>-1133.85955143919</v>
      </c>
      <c r="DP108" s="47" t="n">
        <f aca="false">-In_CIT*(MAX(0,DP102)+DP105)-In_RH_On*In_RH_Rate*MAX(0,DP102)</f>
        <v>-1146.45799089962</v>
      </c>
      <c r="DQ108" s="47" t="n">
        <f aca="false">-In_CIT*(MAX(0,DQ102)+DQ105)-In_RH_On*In_RH_Rate*MAX(0,DQ102)</f>
        <v>-1159.05643036006</v>
      </c>
      <c r="DR108" s="47" t="n">
        <f aca="false">-In_CIT*(MAX(0,DR102)+DR105)-In_RH_On*In_RH_Rate*MAX(0,DR102)</f>
        <v>-1154.57185175582</v>
      </c>
      <c r="DS108" s="47" t="n">
        <f aca="false">-In_CIT*(MAX(0,DS102)+DS105)-In_RH_On*In_RH_Rate*MAX(0,DS102)</f>
        <v>-1134.18431223247</v>
      </c>
      <c r="DT108" s="47" t="n">
        <f aca="false">-In_CIT*(MAX(0,DT102)+DT105)-In_RH_On*In_RH_Rate*MAX(0,DT102)</f>
        <v>-1146.78636014616</v>
      </c>
      <c r="DU108" s="47" t="n">
        <f aca="false">-In_CIT*(MAX(0,DU102)+DU105)-In_RH_On*In_RH_Rate*MAX(0,DU102)</f>
        <v>-1159.38840805986</v>
      </c>
      <c r="DV108" s="47" t="n">
        <f aca="false">-In_CIT*(MAX(0,DV102)+DV105)-In_RH_On*In_RH_Rate*MAX(0,DV102)</f>
        <v>-1154.87764828969</v>
      </c>
      <c r="DW108" s="47" t="n">
        <f aca="false">-In_CIT*(MAX(0,DW102)+DW105)-In_RH_On*In_RH_Rate*MAX(0,DW102)</f>
        <v>-1146.91947285502</v>
      </c>
      <c r="DX108" s="47" t="n">
        <f aca="false">-In_CIT*(MAX(0,DX102)+DX105)-In_RH_On*In_RH_Rate*MAX(0,DX102)</f>
        <v>-1146.91947285502</v>
      </c>
      <c r="DY108" s="47" t="n">
        <f aca="false">-In_CIT*(MAX(0,DY102)+DY105)-In_RH_On*In_RH_Rate*MAX(0,DY102)</f>
        <v>-1159.52298354574</v>
      </c>
      <c r="DZ108" s="47" t="n">
        <f aca="false">-In_CIT*(MAX(0,DZ102)+DZ105)-In_RH_On*In_RH_Rate*MAX(0,DZ102)</f>
        <v>-1154.98600518546</v>
      </c>
      <c r="EA108" s="47" t="n">
        <f aca="false">-In_CIT*(MAX(0,EA102)+EA105)-In_RH_On*In_RH_Rate*MAX(0,EA102)</f>
        <v>-1134.24844936935</v>
      </c>
      <c r="EB108" s="47" t="n">
        <f aca="false">-In_CIT*(MAX(0,EB102)+EB105)-In_RH_On*In_RH_Rate*MAX(0,EB102)</f>
        <v>-1146.8512099179</v>
      </c>
      <c r="EC108" s="47" t="n">
        <f aca="false">-In_CIT*(MAX(0,EC102)+EC105)-In_RH_On*In_RH_Rate*MAX(0,EC102)</f>
        <v>-1159.45397046645</v>
      </c>
      <c r="ED108" s="47" t="n">
        <f aca="false">-In_CIT*(MAX(0,ED102)+ED105)-In_RH_On*In_RH_Rate*MAX(0,ED102)</f>
        <v>-1154.89073891017</v>
      </c>
      <c r="EE108" s="47" t="n">
        <f aca="false">-In_CIT*(MAX(0,EE102)+EE105)-In_RH_On*In_RH_Rate*MAX(0,EE102)</f>
        <v>-1133.97556514211</v>
      </c>
      <c r="EF108" s="47" t="n">
        <f aca="false">-In_CIT*(MAX(0,EF102)+EF105)-In_RH_On*In_RH_Rate*MAX(0,EF102)</f>
        <v>-1146.57529364369</v>
      </c>
      <c r="EG108" s="47" t="n">
        <f aca="false">-In_CIT*(MAX(0,EG102)+EG105)-In_RH_On*In_RH_Rate*MAX(0,EG102)</f>
        <v>-1159.17502214527</v>
      </c>
      <c r="EH108" s="47" t="n">
        <f aca="false">-In_CIT*(MAX(0,EH102)+EH105)-In_RH_On*In_RH_Rate*MAX(0,EH102)</f>
        <v>-1154.58550569283</v>
      </c>
      <c r="EI108" s="47" t="n">
        <f aca="false">-In_CIT*(MAX(0,EI102)+EI105)-In_RH_On*In_RH_Rate*MAX(0,EI102)</f>
        <v>-1133.4909400456</v>
      </c>
      <c r="EJ108" s="47" t="n">
        <f aca="false">-In_CIT*(MAX(0,EJ102)+EJ105)-In_RH_On*In_RH_Rate*MAX(0,EJ102)</f>
        <v>-1146.08528382388</v>
      </c>
      <c r="EK108" s="47" t="n">
        <f aca="false">-In_CIT*(MAX(0,EK102)+EK105)-In_RH_On*In_RH_Rate*MAX(0,EK102)</f>
        <v>-1158.67962760216</v>
      </c>
      <c r="EL108" s="47" t="n">
        <f aca="false">-In_CIT*(MAX(0,EL102)+EL105)-In_RH_On*In_RH_Rate*MAX(0,EL102)</f>
        <v>-1154.06379754871</v>
      </c>
      <c r="EM108" s="47" t="n">
        <f aca="false">-In_CIT*(MAX(0,EM102)+EM105)-In_RH_On*In_RH_Rate*MAX(0,EM102)</f>
        <v>-1145.37457370133</v>
      </c>
      <c r="EN108" s="47" t="n">
        <f aca="false">-In_CIT*(MAX(0,EN102)+EN105)-In_RH_On*In_RH_Rate*MAX(0,EN102)</f>
        <v>-1145.37457370133</v>
      </c>
      <c r="EO108" s="47" t="n">
        <f aca="false">-In_CIT*(MAX(0,EO102)+EO105)-In_RH_On*In_RH_Rate*MAX(0,EO102)</f>
        <v>-1157.96110747827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1.47745709000446E-008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2.23963070311584E-011</v>
      </c>
      <c r="AB109" s="47" t="n">
        <f aca="false">ABS(AB108-AB82)</f>
        <v>4.37125891039614E-011</v>
      </c>
      <c r="AC109" s="47" t="n">
        <f aca="false">ABS(AC108-AC82)</f>
        <v>6.44035935692955E-011</v>
      </c>
      <c r="AD109" s="47" t="n">
        <f aca="false">ABS(AD108-AD82)</f>
        <v>1.26192389870994E-010</v>
      </c>
      <c r="AE109" s="47" t="n">
        <f aca="false">ABS(AE108-AE82)</f>
        <v>1.20508047984913E-010</v>
      </c>
      <c r="AF109" s="47" t="n">
        <f aca="false">ABS(AF108-AF82)</f>
        <v>1.38811628858093E-010</v>
      </c>
      <c r="AG109" s="47" t="n">
        <f aca="false">ABS(AG108-AG82)</f>
        <v>1.55296220327728E-010</v>
      </c>
      <c r="AH109" s="47" t="n">
        <f aca="false">ABS(AH108-AH82)</f>
        <v>1.69848135556094E-010</v>
      </c>
      <c r="AI109" s="47" t="n">
        <f aca="false">ABS(AI108-AI82)</f>
        <v>1.8218315744889E-010</v>
      </c>
      <c r="AJ109" s="47" t="n">
        <f aca="false">ABS(AJ108-AJ82)</f>
        <v>1.91903382074088E-010</v>
      </c>
      <c r="AK109" s="47" t="n">
        <f aca="false">ABS(AK108-AK82)</f>
        <v>1.99861460714601E-010</v>
      </c>
      <c r="AL109" s="47" t="n">
        <f aca="false">ABS(AL108-AL82)</f>
        <v>2.05545802600682E-010</v>
      </c>
      <c r="AM109" s="47" t="n">
        <f aca="false">ABS(AM108-AM82)</f>
        <v>2.08842720894609E-010</v>
      </c>
      <c r="AN109" s="47" t="n">
        <f aca="false">ABS(AN108-AN82)</f>
        <v>2.09354311664356E-010</v>
      </c>
      <c r="AO109" s="47" t="n">
        <f aca="false">ABS(AO108-AO82)</f>
        <v>2.07762695936253E-010</v>
      </c>
      <c r="AP109" s="47" t="n">
        <f aca="false">ABS(AP108-AP82)</f>
        <v>2.03954186872579E-010</v>
      </c>
      <c r="AQ109" s="47" t="n">
        <f aca="false">ABS(AQ108-AQ82)</f>
        <v>1.97871941054473E-010</v>
      </c>
      <c r="AR109" s="47" t="n">
        <f aca="false">ABS(AR108-AR82)</f>
        <v>1.89004367712187E-010</v>
      </c>
      <c r="AS109" s="47" t="n">
        <f aca="false">ABS(AS108-AS82)</f>
        <v>1.78260961547494E-010</v>
      </c>
      <c r="AT109" s="47" t="n">
        <f aca="false">ABS(AT108-AT82)</f>
        <v>1.65641722560395E-010</v>
      </c>
      <c r="AU109" s="47" t="n">
        <f aca="false">ABS(AU108-AU82)</f>
        <v>1.50976120494306E-010</v>
      </c>
      <c r="AV109" s="47" t="n">
        <f aca="false">ABS(AV108-AV82)</f>
        <v>1.34207311930368E-010</v>
      </c>
      <c r="AW109" s="47" t="n">
        <f aca="false">ABS(AW108-AW82)</f>
        <v>1.15733200800605E-010</v>
      </c>
      <c r="AX109" s="47" t="n">
        <f aca="false">ABS(AX108-AX82)</f>
        <v>9.59516910370439E-011</v>
      </c>
      <c r="AY109" s="47" t="n">
        <f aca="false">ABS(AY108-AY82)</f>
        <v>7.46922523831017E-011</v>
      </c>
      <c r="AZ109" s="47" t="n">
        <f aca="false">ABS(AZ108-AZ82)</f>
        <v>5.16138243256137E-011</v>
      </c>
      <c r="BA109" s="47" t="n">
        <f aca="false">ABS(BA108-BA82)</f>
        <v>2.77395884040743E-011</v>
      </c>
      <c r="BB109" s="47" t="n">
        <f aca="false">ABS(BB108-BB82)</f>
        <v>3.18323145620525E-012</v>
      </c>
      <c r="BC109" s="47" t="n">
        <f aca="false">ABS(BC108-BC82)</f>
        <v>2.21689333557151E-011</v>
      </c>
      <c r="BD109" s="47" t="n">
        <f aca="false">ABS(BD108-BD82)</f>
        <v>4.854427970713E-011</v>
      </c>
      <c r="BE109" s="47" t="n">
        <f aca="false">ABS(BE108-BE82)</f>
        <v>7.49764694774058E-011</v>
      </c>
      <c r="BF109" s="47" t="n">
        <f aca="false">ABS(BF108-BF82)</f>
        <v>1.0129497240996E-010</v>
      </c>
      <c r="BG109" s="47" t="n">
        <f aca="false">ABS(BG108-BG82)</f>
        <v>1.27556631923653E-010</v>
      </c>
      <c r="BH109" s="47" t="n">
        <f aca="false">ABS(BH108-BH82)</f>
        <v>1.54159351950511E-010</v>
      </c>
      <c r="BI109" s="47" t="n">
        <f aca="false">ABS(BI108-BI82)</f>
        <v>1.8007995095104E-010</v>
      </c>
      <c r="BJ109" s="47" t="n">
        <f aca="false">ABS(BJ108-BJ82)</f>
        <v>2.04977368412074E-010</v>
      </c>
      <c r="BK109" s="47" t="n">
        <f aca="false">ABS(BK108-BK82)</f>
        <v>2.29192664846778E-010</v>
      </c>
      <c r="BL109" s="47" t="n">
        <f aca="false">ABS(BL108-BL82)</f>
        <v>2.52498466579709E-010</v>
      </c>
      <c r="BM109" s="47" t="n">
        <f aca="false">ABS(BM108-BM82)</f>
        <v>2.74667399935424E-010</v>
      </c>
      <c r="BN109" s="47" t="n">
        <f aca="false">ABS(BN108-BN82)</f>
        <v>2.95358404400758E-010</v>
      </c>
      <c r="BO109" s="47" t="n">
        <f aca="false">ABS(BO108-BO82)</f>
        <v>3.14571479975712E-010</v>
      </c>
      <c r="BP109" s="47" t="n">
        <f aca="false">ABS(BP108-BP82)</f>
        <v>3.32534000335727E-010</v>
      </c>
      <c r="BQ109" s="47" t="n">
        <f aca="false">ABS(BQ108-BQ82)</f>
        <v>3.48563844454475E-010</v>
      </c>
      <c r="BR109" s="47" t="n">
        <f aca="false">ABS(BR108-BR82)</f>
        <v>3.62547325494234E-010</v>
      </c>
      <c r="BS109" s="47" t="n">
        <f aca="false">ABS(BS108-BS82)</f>
        <v>3.74370756617282E-010</v>
      </c>
      <c r="BT109" s="47" t="n">
        <f aca="false">ABS(BT108-BT82)</f>
        <v>3.84716258849949E-010</v>
      </c>
      <c r="BU109" s="47" t="n">
        <f aca="false">ABS(BU108-BU82)</f>
        <v>3.9256065065274E-010</v>
      </c>
      <c r="BV109" s="47" t="n">
        <f aca="false">ABS(BV108-BV82)</f>
        <v>3.98017618863378E-010</v>
      </c>
      <c r="BW109" s="47" t="n">
        <f aca="false">ABS(BW108-BW82)</f>
        <v>4.01314537157305E-010</v>
      </c>
      <c r="BX109" s="47" t="n">
        <f aca="false">ABS(BX108-BX82)</f>
        <v>4.02565092372242E-010</v>
      </c>
      <c r="BY109" s="47" t="n">
        <f aca="false">ABS(BY108-BY82)</f>
        <v>4.01428223995026E-010</v>
      </c>
      <c r="BZ109" s="47" t="n">
        <f aca="false">ABS(BZ108-BZ82)</f>
        <v>3.97790245187935E-010</v>
      </c>
      <c r="CA109" s="47" t="n">
        <f aca="false">ABS(CA108-CA82)</f>
        <v>3.91764842788689E-010</v>
      </c>
      <c r="CB109" s="47" t="n">
        <f aca="false">ABS(CB108-CB82)</f>
        <v>3.83920450985897E-010</v>
      </c>
      <c r="CC109" s="47" t="n">
        <f aca="false">ABS(CC108-CC82)</f>
        <v>3.73802322428674E-010</v>
      </c>
      <c r="CD109" s="47" t="n">
        <f aca="false">ABS(CD108-CD82)</f>
        <v>3.61410457117017E-010</v>
      </c>
      <c r="CE109" s="47" t="n">
        <f aca="false">ABS(CE108-CE82)</f>
        <v>3.47199602401815E-010</v>
      </c>
      <c r="CF109" s="47" t="n">
        <f aca="false">ABS(CF108-CF82)</f>
        <v>3.31397131958511E-010</v>
      </c>
      <c r="CG109" s="47" t="n">
        <f aca="false">ABS(CG108-CG82)</f>
        <v>3.13661985273939E-010</v>
      </c>
      <c r="CH109" s="47" t="n">
        <f aca="false">ABS(CH108-CH82)</f>
        <v>2.93880475510377E-010</v>
      </c>
      <c r="CI109" s="47" t="n">
        <f aca="false">ABS(CI108-CI82)</f>
        <v>2.729620973696E-010</v>
      </c>
      <c r="CJ109" s="47" t="n">
        <f aca="false">ABS(CJ108-CJ82)</f>
        <v>2.5113422452705E-010</v>
      </c>
      <c r="CK109" s="47" t="n">
        <f aca="false">ABS(CK108-CK82)</f>
        <v>2.2794210963184E-010</v>
      </c>
      <c r="CL109" s="47" t="n">
        <f aca="false">ABS(CL108-CL82)</f>
        <v>2.03499439521693E-010</v>
      </c>
      <c r="CM109" s="47" t="n">
        <f aca="false">ABS(CM108-CM82)</f>
        <v>1.78602022060659E-010</v>
      </c>
      <c r="CN109" s="47" t="n">
        <f aca="false">ABS(CN108-CN82)</f>
        <v>1.53249857248738E-010</v>
      </c>
      <c r="CO109" s="47" t="n">
        <f aca="false">ABS(CO108-CO82)</f>
        <v>1.27442945085932E-010</v>
      </c>
      <c r="CP109" s="47" t="n">
        <f aca="false">ABS(CP108-CP82)</f>
        <v>1.01408659247682E-010</v>
      </c>
      <c r="CQ109" s="47" t="n">
        <f aca="false">ABS(CQ108-CQ82)</f>
        <v>7.52606865717098E-011</v>
      </c>
      <c r="CR109" s="47" t="n">
        <f aca="false">ABS(CR108-CR82)</f>
        <v>4.95674612466246E-011</v>
      </c>
      <c r="CS109" s="47" t="n">
        <f aca="false">ABS(CS108-CS82)</f>
        <v>2.45563569478691E-011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63116.25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3043.50609180492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83419.6709937864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40941.7971932041</v>
      </c>
      <c r="F120" s="47" t="n">
        <f aca="false">$E120+$E97</f>
        <v>41890.56872865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0.509206920796251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83499.0772897272</v>
      </c>
      <c r="F122" s="47" t="n">
        <f aca="false">$E84*In_DSCR/In_DSCR_Max_High</f>
        <v>76540.8208489166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1.0009518893445</v>
      </c>
      <c r="F123" s="48" t="n">
        <f aca="false">$F122/$E119</f>
        <v>0.917539231899127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-40941.7971932041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-4489.95849315338</v>
      </c>
      <c r="S126" s="47" t="n">
        <f aca="false">(S59+S66+S91+S95+S96+S79)*(S$4&lt;=In_COD)</f>
        <v>-7326.12620687268</v>
      </c>
      <c r="T126" s="47" t="n">
        <f aca="false">(T59+T66+T91+T95+T96+T79)*(T$4&lt;=In_COD)</f>
        <v>-3677.41596133854</v>
      </c>
      <c r="U126" s="47" t="n">
        <f aca="false">(U59+U66+U91+U95+U96+U79)*(U$4&lt;=In_COD)</f>
        <v>-3708.01055317332</v>
      </c>
      <c r="V126" s="47" t="n">
        <f aca="false">(V59+V66+V91+V95+V96+V79)*(V$4&lt;=In_COD)</f>
        <v>-3698.08610617388</v>
      </c>
      <c r="W126" s="47" t="n">
        <f aca="false">(W59+W66+W91+W95+W96+W79)*(W$4&lt;=In_COD)</f>
        <v>-3609.02616297382</v>
      </c>
      <c r="X126" s="47" t="n">
        <f aca="false">(X59+X66+X91+X95+X96+X79)*(X$4&lt;=In_COD)</f>
        <v>-3639.52328484964</v>
      </c>
      <c r="Y126" s="47" t="n">
        <f aca="false">(Y59+Y66+Y91+Y95+Y96+Y79)*(Y$4&lt;=In_COD)</f>
        <v>-4794.70147364609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114975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71997.1261994177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31055.3290062136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-4489.95849315338</v>
      </c>
      <c r="S130" s="56" t="n">
        <f aca="false">S126+($E128+$E129)*S14</f>
        <v>-7326.12620687268</v>
      </c>
      <c r="T130" s="56" t="n">
        <f aca="false">T126+($E128+$E129)*T14</f>
        <v>-3677.41596133854</v>
      </c>
      <c r="U130" s="56" t="n">
        <f aca="false">U126+($E128+$E129)*U14</f>
        <v>-3708.01055317332</v>
      </c>
      <c r="V130" s="56" t="n">
        <f aca="false">V126+($E128+$E129)*V14</f>
        <v>-3698.08610617388</v>
      </c>
      <c r="W130" s="56" t="n">
        <f aca="false">W126+($E128+$E129)*W14</f>
        <v>-3609.02616297382</v>
      </c>
      <c r="X130" s="56" t="n">
        <f aca="false">X126+($E128+$E129)*X14</f>
        <v>-3639.52328484964</v>
      </c>
      <c r="Y130" s="56" t="n">
        <f aca="false">Y126+($E128+$E129)*Y14</f>
        <v>67202.4247257716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0.431605205102548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1.75852383469303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19848.0948232429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92281.5239300878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-114975</v>
      </c>
      <c r="Z135" s="47" t="n">
        <f aca="false">(Z79+Z55+Z58+Z108)*(Z$4&gt;In_COD)-($E127+$I58)*Z14</f>
        <v>2051.50810877326</v>
      </c>
      <c r="AA135" s="47" t="n">
        <f aca="false">(AA79+AA55+AA58+AA108)*(AA$4&gt;In_COD)-($E127+$I58)*AA14</f>
        <v>2019.07781182481</v>
      </c>
      <c r="AB135" s="47" t="n">
        <f aca="false">(AB79+AB55+AB58+AB108)*(AB$4&gt;In_COD)-($E127+$I58)*AB14</f>
        <v>2037.29935630354</v>
      </c>
      <c r="AC135" s="47" t="n">
        <f aca="false">(AC79+AC55+AC58+AC108)*(AC$4&gt;In_COD)-($E127+$I58)*AC14</f>
        <v>2055.45580069225</v>
      </c>
      <c r="AD135" s="47" t="n">
        <f aca="false">(AD79+AD55+AD58+AD108)*(AD$4&gt;In_COD)-($E127+$I58)*AD14</f>
        <v>2038.34092902195</v>
      </c>
      <c r="AE135" s="47" t="n">
        <f aca="false">(AE79+AE55+AE58+AE108)*(AE$4&gt;In_COD)-($E127+$I58)*AE14</f>
        <v>1972.69311989761</v>
      </c>
      <c r="AF135" s="47" t="n">
        <f aca="false">(AF79+AF55+AF58+AF108)*(AF$4&gt;In_COD)-($E127+$I58)*AF14</f>
        <v>1970.34832896811</v>
      </c>
      <c r="AG135" s="47" t="n">
        <f aca="false">(AG79+AG55+AG58+AG108)*(AG$4&gt;In_COD)-($E127+$I58)*AG14</f>
        <v>1987.10802916761</v>
      </c>
      <c r="AH135" s="47" t="n">
        <f aca="false">(AH79+AH55+AH58+AH108)*(AH$4&gt;In_COD)-($E127+$I58)*AH14</f>
        <v>1980.06098995135</v>
      </c>
      <c r="AI135" s="47" t="n">
        <f aca="false">(AI79+AI55+AI58+AI108)*(AI$4&gt;In_COD)-($E127+$I58)*AI14</f>
        <v>1947.84968903996</v>
      </c>
      <c r="AJ135" s="47" t="n">
        <f aca="false">(AJ79+AJ55+AJ58+AJ108)*(AJ$4&gt;In_COD)-($E127+$I58)*AJ14</f>
        <v>1982.52563744379</v>
      </c>
      <c r="AK135" s="47" t="n">
        <f aca="false">(AK79+AK55+AK58+AK108)*(AK$4&gt;In_COD)-($E127+$I58)*AK14</f>
        <v>1999.37217192675</v>
      </c>
      <c r="AL135" s="47" t="n">
        <f aca="false">(AL79+AL55+AL58+AL108)*(AL$4&gt;In_COD)-($E127+$I58)*AL14</f>
        <v>1992.14071226039</v>
      </c>
      <c r="AM135" s="47" t="n">
        <f aca="false">(AM79+AM55+AM58+AM108)*(AM$4&gt;In_COD)-($E127+$I58)*AM14</f>
        <v>1959.2127731839</v>
      </c>
      <c r="AN135" s="47" t="n">
        <f aca="false">(AN79+AN55+AN58+AN108)*(AN$4&gt;In_COD)-($E127+$I58)*AN14</f>
        <v>1976.06673066531</v>
      </c>
      <c r="AO135" s="47" t="n">
        <f aca="false">(AO79+AO55+AO58+AO108)*(AO$4&gt;In_COD)-($E127+$I58)*AO14</f>
        <v>1992.8439239717</v>
      </c>
      <c r="AP135" s="47" t="n">
        <f aca="false">(AP79+AP55+AP58+AP108)*(AP$4&gt;In_COD)-($E127+$I58)*AP14</f>
        <v>1985.47066876268</v>
      </c>
      <c r="AQ135" s="47" t="n">
        <f aca="false">(AQ79+AQ55+AQ58+AQ108)*(AQ$4&gt;In_COD)-($E127+$I58)*AQ14</f>
        <v>1952.26122978253</v>
      </c>
      <c r="AR135" s="47" t="n">
        <f aca="false">(AR79+AR55+AR58+AR108)*(AR$4&gt;In_COD)-($E127+$I58)*AR14</f>
        <v>1969.04168062272</v>
      </c>
      <c r="AS135" s="47" t="n">
        <f aca="false">(AS79+AS55+AS58+AS108)*(AS$4&gt;In_COD)-($E127+$I58)*AS14</f>
        <v>1985.74413411445</v>
      </c>
      <c r="AT135" s="47" t="n">
        <f aca="false">(AT79+AT55+AT58+AT108)*(AT$4&gt;In_COD)-($E127+$I58)*AT14</f>
        <v>1978.22480938201</v>
      </c>
      <c r="AU135" s="47" t="n">
        <f aca="false">(AU79+AU55+AU58+AU108)*(AU$4&gt;In_COD)-($E127+$I58)*AU14</f>
        <v>1964.21800656024</v>
      </c>
      <c r="AV135" s="47" t="n">
        <f aca="false">(AV79+AV55+AV58+AV108)*(AV$4&gt;In_COD)-($E127+$I58)*AV14</f>
        <v>1961.37768930802</v>
      </c>
      <c r="AW135" s="47" t="n">
        <f aca="false">(AW79+AW55+AW58+AW108)*(AW$4&gt;In_COD)-($E127+$I58)*AW14</f>
        <v>1977.99929425379</v>
      </c>
      <c r="AX135" s="47" t="n">
        <f aca="false">(AX79+AX55+AX58+AX108)*(AX$4&gt;In_COD)-($E127+$I58)*AX14</f>
        <v>1970.32895692524</v>
      </c>
      <c r="AY135" s="47" t="n">
        <f aca="false">(AY79+AY55+AY58+AY108)*(AY$4&gt;In_COD)-($E127+$I58)*AY14</f>
        <v>1936.53860975103</v>
      </c>
      <c r="AZ135" s="47" t="n">
        <f aca="false">(AZ79+AZ55+AZ58+AZ108)*(AZ$4&gt;In_COD)-($E127+$I58)*AZ14</f>
        <v>1953.15463560217</v>
      </c>
      <c r="BA135" s="47" t="n">
        <f aca="false">(BA79+BA55+BA58+BA108)*(BA$4&gt;In_COD)-($E127+$I58)*BA14</f>
        <v>1969.69007580316</v>
      </c>
      <c r="BB135" s="47" t="n">
        <f aca="false">(BB79+BB55+BB58+BB108)*(BB$4&gt;In_COD)-($E127+$I58)*BB14</f>
        <v>1961.86463242441</v>
      </c>
      <c r="BC135" s="47" t="n">
        <f aca="false">(BC79+BC55+BC58+BC108)*(BC$4&gt;In_COD)-($E127+$I58)*BC14</f>
        <v>1927.7750156475</v>
      </c>
      <c r="BD135" s="47" t="n">
        <f aca="false">(BD79+BD55+BD58+BD108)*(BD$4&gt;In_COD)-($E127+$I58)*BD14</f>
        <v>1944.30020869187</v>
      </c>
      <c r="BE135" s="47" t="n">
        <f aca="false">(BE79+BE55+BE58+BE108)*(BE$4&gt;In_COD)-($E127+$I58)*BE14</f>
        <v>1960.74346299035</v>
      </c>
      <c r="BF135" s="47" t="n">
        <f aca="false">(BF79+BF55+BF58+BF108)*(BF$4&gt;In_COD)-($E127+$I58)*BF14</f>
        <v>1952.7581588284</v>
      </c>
      <c r="BG135" s="47" t="n">
        <f aca="false">(BG79+BG55+BG58+BG108)*(BG$4&gt;In_COD)-($E127+$I58)*BG14</f>
        <v>1918.36298385433</v>
      </c>
      <c r="BH135" s="47" t="n">
        <f aca="false">(BH79+BH55+BH58+BH108)*(BH$4&gt;In_COD)-($E127+$I58)*BH14</f>
        <v>1934.79114374056</v>
      </c>
      <c r="BI135" s="47" t="n">
        <f aca="false">(BI79+BI55+BI58+BI108)*(BI$4&gt;In_COD)-($E127+$I58)*BI14</f>
        <v>1951.13596884629</v>
      </c>
      <c r="BJ135" s="47" t="n">
        <f aca="false">(BJ79+BJ55+BJ58+BJ108)*(BJ$4&gt;In_COD)-($E127+$I58)*BJ14</f>
        <v>1942.98587683057</v>
      </c>
      <c r="BK135" s="47" t="n">
        <f aca="false">(BK79+BK55+BK58+BK108)*(BK$4&gt;In_COD)-($E127+$I58)*BK14</f>
        <v>1927.91249244063</v>
      </c>
      <c r="BL135" s="47" t="n">
        <f aca="false">(BL79+BL55+BL58+BL108)*(BL$4&gt;In_COD)-($E127+$I58)*BL14</f>
        <v>1924.55114517418</v>
      </c>
      <c r="BM135" s="47" t="n">
        <f aca="false">(BM79+BM55+BM58+BM108)*(BM$4&gt;In_COD)-($E127+$I58)*BM14</f>
        <v>1940.79055398198</v>
      </c>
      <c r="BN135" s="47" t="n">
        <f aca="false">(BN79+BN55+BN58+BN108)*(BN$4&gt;In_COD)-($E127+$I58)*BN14</f>
        <v>1932.47004928572</v>
      </c>
      <c r="BO135" s="47" t="n">
        <f aca="false">(BO79+BO55+BO58+BO108)*(BO$4&gt;In_COD)-($E127+$I58)*BO14</f>
        <v>1897.44357334238</v>
      </c>
      <c r="BP135" s="47" t="n">
        <f aca="false">(BP79+BP55+BP58+BP108)*(BP$4&gt;In_COD)-($E127+$I58)*BP14</f>
        <v>1913.6576150041</v>
      </c>
      <c r="BQ135" s="47" t="n">
        <f aca="false">(BQ79+BQ55+BQ58+BQ108)*(BQ$4&gt;In_COD)-($E127+$I58)*BQ14</f>
        <v>1929.78538928136</v>
      </c>
      <c r="BR135" s="47" t="n">
        <f aca="false">(BR79+BR55+BR58+BR108)*(BR$4&gt;In_COD)-($E127+$I58)*BR14</f>
        <v>1921.28967832748</v>
      </c>
      <c r="BS135" s="47" t="n">
        <f aca="false">(BS79+BS55+BS58+BS108)*(BS$4&gt;In_COD)-($E127+$I58)*BS14</f>
        <v>1885.93754723474</v>
      </c>
      <c r="BT135" s="47" t="n">
        <f aca="false">(BT79+BT55+BT58+BT108)*(BT$4&gt;In_COD)-($E127+$I58)*BT14</f>
        <v>1902.03453036316</v>
      </c>
      <c r="BU135" s="47" t="n">
        <f aca="false">(BU79+BU55+BU58+BU108)*(BU$4&gt;In_COD)-($E127+$I58)*BU14</f>
        <v>1918.04371112111</v>
      </c>
      <c r="BV135" s="47" t="n">
        <f aca="false">(BV79+BV55+BV58+BV108)*(BV$4&gt;In_COD)-($E127+$I58)*BV14</f>
        <v>1909.36730856566</v>
      </c>
      <c r="BW135" s="47" t="n">
        <f aca="false">(BW79+BW55+BW58+BW108)*(BW$4&gt;In_COD)-($E127+$I58)*BW14</f>
        <v>1873.68240153863</v>
      </c>
      <c r="BX135" s="47" t="n">
        <f aca="false">(BX79+BX55+BX58+BX108)*(BX$4&gt;In_COD)-($E127+$I58)*BX14</f>
        <v>1889.65516144835</v>
      </c>
      <c r="BY135" s="47" t="n">
        <f aca="false">(BY79+BY55+BY58+BY108)*(BY$4&gt;In_COD)-($E127+$I58)*BY14</f>
        <v>1905.53853421825</v>
      </c>
      <c r="BZ135" s="47" t="n">
        <f aca="false">(BZ79+BZ55+BZ58+BZ108)*(BZ$4&gt;In_COD)-($E127+$I58)*BZ14</f>
        <v>1896.67575450676</v>
      </c>
      <c r="CA135" s="47" t="n">
        <f aca="false">(CA79+CA55+CA58+CA108)*(CA$4&gt;In_COD)-($E127+$I58)*CA14</f>
        <v>1880.40370388655</v>
      </c>
      <c r="CB135" s="47" t="n">
        <f aca="false">(CB79+CB55+CB58+CB108)*(CB$4&gt;In_COD)-($E127+$I58)*CB14</f>
        <v>1876.43930533191</v>
      </c>
      <c r="CC135" s="47" t="n">
        <f aca="false">(CC79+CC55+CC58+CC108)*(CC$4&gt;In_COD)-($E127+$I58)*CC14</f>
        <v>1892.18887414791</v>
      </c>
      <c r="CD135" s="47" t="n">
        <f aca="false">(CD79+CD55+CD58+CD108)*(CD$4&gt;In_COD)-($E127+$I58)*CD14</f>
        <v>1883.13330186397</v>
      </c>
      <c r="CE135" s="47" t="n">
        <f aca="false">(CE79+CE55+CE58+CE108)*(CE$4&gt;In_COD)-($E127+$I58)*CE14</f>
        <v>1846.76003736965</v>
      </c>
      <c r="CF135" s="47" t="n">
        <f aca="false">(CF79+CF55+CF58+CF108)*(CF$4&gt;In_COD)-($E127+$I58)*CF14</f>
        <v>1862.46126428213</v>
      </c>
      <c r="CG135" s="47" t="n">
        <f aca="false">(CG79+CG55+CG58+CG108)*(CG$4&gt;In_COD)-($E127+$I58)*CG14</f>
        <v>1878.06977233545</v>
      </c>
      <c r="CH135" s="47" t="n">
        <f aca="false">(CH79+CH55+CH58+CH108)*(CH$4&gt;In_COD)-($E127+$I58)*CH14</f>
        <v>1868.81579939977</v>
      </c>
      <c r="CI135" s="47" t="n">
        <f aca="false">(CI79+CI55+CI58+CI108)*(CI$4&gt;In_COD)-($E127+$I58)*CI14</f>
        <v>1832.0869805236</v>
      </c>
      <c r="CJ135" s="47" t="n">
        <f aca="false">(CJ79+CJ55+CJ58+CJ108)*(CJ$4&gt;In_COD)-($E127+$I58)*CJ14</f>
        <v>1847.64085487701</v>
      </c>
      <c r="CK135" s="47" t="n">
        <f aca="false">(CK79+CK55+CK58+CK108)*(CK$4&gt;In_COD)-($E127+$I58)*CK14</f>
        <v>1863.10026446763</v>
      </c>
      <c r="CL135" s="47" t="n">
        <f aca="false">(CL79+CL55+CL58+CL108)*(CL$4&gt;In_COD)-($E127+$I58)*CL14</f>
        <v>1853.64155675117</v>
      </c>
      <c r="CM135" s="47" t="n">
        <f aca="false">(CM79+CM55+CM58+CM108)*(CM$4&gt;In_COD)-($E127+$I58)*CM14</f>
        <v>1816.54910337468</v>
      </c>
      <c r="CN135" s="47" t="n">
        <f aca="false">(CN79+CN55+CN58+CN108)*(CN$4&gt;In_COD)-($E127+$I58)*CN14</f>
        <v>1831.94735125625</v>
      </c>
      <c r="CO135" s="47" t="n">
        <f aca="false">(CO79+CO55+CO58+CO108)*(CO$4&gt;In_COD)-($E127+$I58)*CO14</f>
        <v>1847.24933070805</v>
      </c>
      <c r="CP135" s="47" t="n">
        <f aca="false">(CP79+CP55+CP58+CP108)*(CP$4&gt;In_COD)-($E127+$I58)*CP14</f>
        <v>1837.57932139882</v>
      </c>
      <c r="CQ135" s="47" t="n">
        <f aca="false">(CQ79+CQ55+CQ58+CQ108)*(CQ$4&gt;In_COD)-($E127+$I58)*CQ14</f>
        <v>1819.95863192778</v>
      </c>
      <c r="CR135" s="47" t="n">
        <f aca="false">(CR79+CR55+CR58+CR108)*(CR$4&gt;In_COD)-($E127+$I58)*CR14</f>
        <v>1815.29616766453</v>
      </c>
      <c r="CS135" s="47" t="n">
        <f aca="false">(CS79+CS55+CS58+CS108)*(CS$4&gt;In_COD)-($E127+$I58)*CS14</f>
        <v>1830.4315615226</v>
      </c>
      <c r="CT135" s="47" t="n">
        <f aca="false">(CT79+CT55+CT58+CT108)*(CT$4&gt;In_COD)-($E127+$I58)*CT14</f>
        <v>1820.54291781078</v>
      </c>
      <c r="CU135" s="47" t="n">
        <f aca="false">(CU79+CU55+CU58+CU108)*(CU$4&gt;In_COD)-($E127+$I58)*CU14</f>
        <v>1787.53861493413</v>
      </c>
      <c r="CV135" s="47" t="n">
        <f aca="false">(CV79+CV55+CV58+CV108)*(CV$4&gt;In_COD)-($E127+$I58)*CV14</f>
        <v>1807.40015510007</v>
      </c>
      <c r="CW135" s="47" t="n">
        <f aca="false">(CW79+CW55+CW58+CW108)*(CW$4&gt;In_COD)-($E127+$I58)*CW14</f>
        <v>1827.261695266</v>
      </c>
      <c r="CX135" s="47" t="n">
        <f aca="false">(CX79+CX55+CX58+CX108)*(CX$4&gt;In_COD)-($E127+$I58)*CX14</f>
        <v>1822.1500941112</v>
      </c>
      <c r="CY135" s="47" t="n">
        <f aca="false">(CY79+CY55+CY58+CY108)*(CY$4&gt;In_COD)-($E127+$I58)*CY14</f>
        <v>1788.95290510507</v>
      </c>
      <c r="CZ135" s="47" t="n">
        <f aca="false">(CZ79+CZ55+CZ58+CZ108)*(CZ$4&gt;In_COD)-($E127+$I58)*CZ14</f>
        <v>1808.83015960624</v>
      </c>
      <c r="DA135" s="47" t="n">
        <f aca="false">(DA79+DA55+DA58+DA108)*(DA$4&gt;In_COD)-($E127+$I58)*DA14</f>
        <v>1828.70741410741</v>
      </c>
      <c r="DB135" s="47" t="n">
        <f aca="false">(DB79+DB55+DB58+DB108)*(DB$4&gt;In_COD)-($E127+$I58)*DB14</f>
        <v>1351.75211954894</v>
      </c>
      <c r="DC135" s="47" t="n">
        <f aca="false">(DC79+DC55+DC58+DC108)*(DC$4&gt;In_COD)-($E127+$I58)*DC14</f>
        <v>1328.61699672919</v>
      </c>
      <c r="DD135" s="47" t="n">
        <f aca="false">(DD79+DD55+DD58+DD108)*(DD$4&gt;In_COD)-($E127+$I58)*DD14</f>
        <v>1343.37940780396</v>
      </c>
      <c r="DE135" s="47" t="n">
        <f aca="false">(DE79+DE55+DE58+DE108)*(DE$4&gt;In_COD)-($E127+$I58)*DE14</f>
        <v>1358.14181887873</v>
      </c>
      <c r="DF135" s="47" t="n">
        <f aca="false">(DF79+DF55+DF58+DF108)*(DF$4&gt;In_COD)-($E127+$I58)*DF14</f>
        <v>1352.96922160651</v>
      </c>
      <c r="DG135" s="47" t="n">
        <f aca="false">(DG79+DG55+DG58+DG108)*(DG$4&gt;In_COD)-($E127+$I58)*DG14</f>
        <v>1344.41122217711</v>
      </c>
      <c r="DH135" s="47" t="n">
        <f aca="false">(DH79+DH55+DH58+DH108)*(DH$4&gt;In_COD)-($E127+$I58)*DH14</f>
        <v>1344.41122217711</v>
      </c>
      <c r="DI135" s="47" t="n">
        <f aca="false">(DI79+DI55+DI58+DI108)*(DI$4&gt;In_COD)-($E127+$I58)*DI14</f>
        <v>1359.18497187136</v>
      </c>
      <c r="DJ135" s="47" t="n">
        <f aca="false">(DJ79+DJ55+DJ58+DJ108)*(DJ$4&gt;In_COD)-($E127+$I58)*DJ14</f>
        <v>1353.98179084478</v>
      </c>
      <c r="DK135" s="47" t="n">
        <f aca="false">(DK79+DK55+DK58+DK108)*(DK$4&gt;In_COD)-($E127+$I58)*DK14</f>
        <v>1330.45150532208</v>
      </c>
      <c r="DL135" s="47" t="n">
        <f aca="false">(DL79+DL55+DL58+DL108)*(DL$4&gt;In_COD)-($E127+$I58)*DL14</f>
        <v>1345.23429982566</v>
      </c>
      <c r="DM135" s="47" t="n">
        <f aca="false">(DM79+DM55+DM58+DM108)*(DM$4&gt;In_COD)-($E127+$I58)*DM14</f>
        <v>1360.01709432924</v>
      </c>
      <c r="DN135" s="47" t="n">
        <f aca="false">(DN79+DN55+DN58+DN108)*(DN$4&gt;In_COD)-($E127+$I58)*DN14</f>
        <v>1354.78327628251</v>
      </c>
      <c r="DO135" s="47" t="n">
        <f aca="false">(DO79+DO55+DO58+DO108)*(DO$4&gt;In_COD)-($E127+$I58)*DO14</f>
        <v>1331.05251690687</v>
      </c>
      <c r="DP135" s="47" t="n">
        <f aca="false">(DP79+DP55+DP58+DP108)*(DP$4&gt;In_COD)-($E127+$I58)*DP14</f>
        <v>1345.84198931695</v>
      </c>
      <c r="DQ135" s="47" t="n">
        <f aca="false">(DQ79+DQ55+DQ58+DQ108)*(DQ$4&gt;In_COD)-($E127+$I58)*DQ14</f>
        <v>1360.63146172703</v>
      </c>
      <c r="DR135" s="47" t="n">
        <f aca="false">(DR79+DR55+DR58+DR108)*(DR$4&gt;In_COD)-($E127+$I58)*DR14</f>
        <v>1355.36695640901</v>
      </c>
      <c r="DS135" s="47" t="n">
        <f aca="false">(DS79+DS55+DS58+DS108)*(DS$4&gt;In_COD)-($E127+$I58)*DS14</f>
        <v>1331.43375783812</v>
      </c>
      <c r="DT135" s="47" t="n">
        <f aca="false">(DT79+DT55+DT58+DT108)*(DT$4&gt;In_COD)-($E127+$I58)*DT14</f>
        <v>1346.22746625854</v>
      </c>
      <c r="DU135" s="47" t="n">
        <f aca="false">(DU79+DU55+DU58+DU108)*(DU$4&gt;In_COD)-($E127+$I58)*DU14</f>
        <v>1361.02117467897</v>
      </c>
      <c r="DV135" s="47" t="n">
        <f aca="false">(DV79+DV55+DV58+DV108)*(DV$4&gt;In_COD)-($E127+$I58)*DV14</f>
        <v>1355.72593494877</v>
      </c>
      <c r="DW135" s="47" t="n">
        <f aca="false">(DW79+DW55+DW58+DW108)*(DW$4&gt;In_COD)-($E127+$I58)*DW14</f>
        <v>1346.38372900372</v>
      </c>
      <c r="DX135" s="47" t="n">
        <f aca="false">(DX79+DX55+DX58+DX108)*(DX$4&gt;In_COD)-($E127+$I58)*DX14</f>
        <v>1346.38372900372</v>
      </c>
      <c r="DY135" s="47" t="n">
        <f aca="false">(DY79+DY55+DY58+DY108)*(DY$4&gt;In_COD)-($E127+$I58)*DY14</f>
        <v>1361.17915459717</v>
      </c>
      <c r="DZ135" s="47" t="n">
        <f aca="false">(DZ79+DZ55+DZ58+DZ108)*(DZ$4&gt;In_COD)-($E127+$I58)*DZ14</f>
        <v>1355.85313652207</v>
      </c>
      <c r="EA135" s="47" t="n">
        <f aca="false">(EA79+EA55+EA58+EA108)*(EA$4&gt;In_COD)-($E127+$I58)*EA14</f>
        <v>1331.50904925967</v>
      </c>
      <c r="EB135" s="47" t="n">
        <f aca="false">(EB79+EB55+EB58+EB108)*(EB$4&gt;In_COD)-($E127+$I58)*EB14</f>
        <v>1346.30359425145</v>
      </c>
      <c r="EC135" s="47" t="n">
        <f aca="false">(EC79+EC55+EC58+EC108)*(EC$4&gt;In_COD)-($E127+$I58)*EC14</f>
        <v>1361.09813924322</v>
      </c>
      <c r="ED135" s="47" t="n">
        <f aca="false">(ED79+ED55+ED58+ED108)*(ED$4&gt;In_COD)-($E127+$I58)*ED14</f>
        <v>1355.7413021989</v>
      </c>
      <c r="EE135" s="47" t="n">
        <f aca="false">(EE79+EE55+EE58+EE108)*(EE$4&gt;In_COD)-($E127+$I58)*EE14</f>
        <v>1331.18870690596</v>
      </c>
      <c r="EF135" s="47" t="n">
        <f aca="false">(EF79+EF55+EF58+EF108)*(EF$4&gt;In_COD)-($E127+$I58)*EF14</f>
        <v>1345.97969253824</v>
      </c>
      <c r="EG135" s="47" t="n">
        <f aca="false">(EG79+EG55+EG58+EG108)*(EG$4&gt;In_COD)-($E127+$I58)*EG14</f>
        <v>1360.77067817053</v>
      </c>
      <c r="EH135" s="47" t="n">
        <f aca="false">(EH79+EH55+EH58+EH108)*(EH$4&gt;In_COD)-($E127+$I58)*EH14</f>
        <v>1355.38298494376</v>
      </c>
      <c r="EI135" s="47" t="n">
        <f aca="false">(EI79+EI55+EI58+EI108)*(EI$4&gt;In_COD)-($E127+$I58)*EI14</f>
        <v>1330.61979918396</v>
      </c>
      <c r="EJ135" s="47" t="n">
        <f aca="false">(EJ79+EJ55+EJ58+EJ108)*(EJ$4&gt;In_COD)-($E127+$I58)*EJ14</f>
        <v>1345.40446361934</v>
      </c>
      <c r="EK135" s="47" t="n">
        <f aca="false">(EK79+EK55+EK58+EK108)*(EK$4&gt;In_COD)-($E127+$I58)*EK14</f>
        <v>1360.18912805472</v>
      </c>
      <c r="EL135" s="47" t="n">
        <f aca="false">(EL79+EL55+EL58+EL108)*(EL$4&gt;In_COD)-($E127+$I58)*EL14</f>
        <v>1354.77054494849</v>
      </c>
      <c r="EM135" s="47" t="n">
        <f aca="false">(EM79+EM55+EM58+EM108)*(EM$4&gt;In_COD)-($E127+$I58)*EM14</f>
        <v>1344.57015173635</v>
      </c>
      <c r="EN135" s="47" t="n">
        <f aca="false">(EN79+EN55+EN58+EN108)*(EN$4&gt;In_COD)-($E127+$I58)*EN14</f>
        <v>1344.57015173635</v>
      </c>
      <c r="EO135" s="47" t="n">
        <f aca="false">(EO79+EO55+EO58+EO108)*(EO$4&gt;In_COD)-($E127+$I58)*EO14</f>
        <v>1359.34564790928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0.0492800304534111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70561.7134745147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-73445.8977348636</v>
      </c>
      <c r="Z137" s="47" t="n">
        <f aca="false">Z135+Z89+Z97+$E94*Z14</f>
        <v>1102.73657332733</v>
      </c>
      <c r="AA137" s="47" t="n">
        <f aca="false">AA135+AA89+AA97+$E94*AA14</f>
        <v>1085.30448306359</v>
      </c>
      <c r="AB137" s="47" t="n">
        <f aca="false">AB135+AB89+AB97+$E94*AB14</f>
        <v>1095.09901589203</v>
      </c>
      <c r="AC137" s="47" t="n">
        <f aca="false">AC135+AC89+AC97+$E94*AC14</f>
        <v>1104.85855580482</v>
      </c>
      <c r="AD137" s="47" t="n">
        <f aca="false">AD135+AD89+AD97+$E94*AD14</f>
        <v>1095.65888710354</v>
      </c>
      <c r="AE137" s="47" t="n">
        <f aca="false">AE135+AE89+AE97+$E94*AE14</f>
        <v>1060.37155883482</v>
      </c>
      <c r="AF137" s="47" t="n">
        <f aca="false">AF135+AF89+AF97+$E94*AF14</f>
        <v>1059.11117545943</v>
      </c>
      <c r="AG137" s="47" t="n">
        <f aca="false">AG135+AG89+AG97+$E94*AG14</f>
        <v>1068.11993067172</v>
      </c>
      <c r="AH137" s="47" t="n">
        <f aca="false">AH135+AH89+AH97+$E94*AH14</f>
        <v>1064.33197202597</v>
      </c>
      <c r="AI137" s="47" t="n">
        <f aca="false">AI135+AI89+AI97+$E94*AI14</f>
        <v>1047.01759757259</v>
      </c>
      <c r="AJ137" s="47" t="n">
        <f aca="false">AJ135+AJ89+AJ97+$E94*AJ14</f>
        <v>1065.65678128148</v>
      </c>
      <c r="AK137" s="47" t="n">
        <f aca="false">AK135+AK89+AK97+$E94*AK14</f>
        <v>1074.71221207833</v>
      </c>
      <c r="AL137" s="47" t="n">
        <f aca="false">AL135+AL89+AL97+$E94*AL14</f>
        <v>1070.82512285917</v>
      </c>
      <c r="AM137" s="47" t="n">
        <f aca="false">AM135+AM89+AM97+$E94*AM14</f>
        <v>1053.12553758887</v>
      </c>
      <c r="AN137" s="47" t="n">
        <f aca="false">AN135+AN89+AN97+$E94*AN14</f>
        <v>1062.1849584318</v>
      </c>
      <c r="AO137" s="47" t="n">
        <f aca="false">AO135+AO89+AO97+$E94*AO14</f>
        <v>1071.20311662363</v>
      </c>
      <c r="AP137" s="47" t="n">
        <f aca="false">AP135+AP89+AP97+$E94*AP14</f>
        <v>1067.23980877771</v>
      </c>
      <c r="AQ137" s="47" t="n">
        <f aca="false">AQ135+AQ89+AQ97+$E94*AQ14</f>
        <v>1049.388910316</v>
      </c>
      <c r="AR137" s="47" t="n">
        <f aca="false">AR135+AR89+AR97+$E94*AR14</f>
        <v>1058.40881951318</v>
      </c>
      <c r="AS137" s="47" t="n">
        <f aca="false">AS135+AS89+AS97+$E94*AS14</f>
        <v>1067.38680319789</v>
      </c>
      <c r="AT137" s="47" t="n">
        <f aca="false">AT135+AT89+AT97+$E94*AT14</f>
        <v>1063.3449793544</v>
      </c>
      <c r="AU137" s="47" t="n">
        <f aca="false">AU135+AU89+AU97+$E94*AU14</f>
        <v>1055.81597487185</v>
      </c>
      <c r="AV137" s="47" t="n">
        <f aca="false">AV135+AV89+AV97+$E94*AV14</f>
        <v>1054.28923378783</v>
      </c>
      <c r="AW137" s="47" t="n">
        <f aca="false">AW135+AW89+AW97+$E94*AW14</f>
        <v>1063.22375937061</v>
      </c>
      <c r="AX137" s="47" t="n">
        <f aca="false">AX135+AX89+AX97+$E94*AX14</f>
        <v>1059.10076250515</v>
      </c>
      <c r="AY137" s="47" t="n">
        <f aca="false">AY135+AY89+AY97+$E94*AY14</f>
        <v>1040.93761145785</v>
      </c>
      <c r="AZ137" s="47" t="n">
        <f aca="false">AZ135+AZ89+AZ97+$E94*AZ14</f>
        <v>1049.86913813867</v>
      </c>
      <c r="BA137" s="47" t="n">
        <f aca="false">BA135+BA89+BA97+$E94*BA14</f>
        <v>1058.75734803058</v>
      </c>
      <c r="BB137" s="47" t="n">
        <f aca="false">BB135+BB89+BB97+$E94*BB14</f>
        <v>1054.5509778099</v>
      </c>
      <c r="BC137" s="47" t="n">
        <f aca="false">BC135+BC89+BC97+$E94*BC14</f>
        <v>1036.22696191651</v>
      </c>
      <c r="BD137" s="47" t="n">
        <f aca="false">BD135+BD89+BD97+$E94*BD14</f>
        <v>1045.10966370716</v>
      </c>
      <c r="BE137" s="47" t="n">
        <f aca="false">BE135+BE89+BE97+$E94*BE14</f>
        <v>1053.94832138633</v>
      </c>
      <c r="BF137" s="47" t="n">
        <f aca="false">BF135+BF89+BF97+$E94*BF14</f>
        <v>1049.65602202332</v>
      </c>
      <c r="BG137" s="47" t="n">
        <f aca="false">BG135+BG89+BG97+$E94*BG14</f>
        <v>1031.16776100808</v>
      </c>
      <c r="BH137" s="47" t="n">
        <f aca="false">BH135+BH89+BH97+$E94*BH14</f>
        <v>1039.99830506568</v>
      </c>
      <c r="BI137" s="47" t="n">
        <f aca="false">BI135+BI89+BI97+$E94*BI14</f>
        <v>1048.7840546085</v>
      </c>
      <c r="BJ137" s="47" t="n">
        <f aca="false">BJ135+BJ89+BJ97+$E94*BJ14</f>
        <v>1044.40317768032</v>
      </c>
      <c r="BK137" s="47" t="n">
        <f aca="false">BK135+BK89+BK97+$E94*BK14</f>
        <v>1036.30085910819</v>
      </c>
      <c r="BL137" s="47" t="n">
        <f aca="false">BL135+BL89+BL97+$E94*BL14</f>
        <v>1034.49405144777</v>
      </c>
      <c r="BM137" s="47" t="n">
        <f aca="false">BM135+BM89+BM97+$E94*BM14</f>
        <v>1043.22313711164</v>
      </c>
      <c r="BN137" s="47" t="n">
        <f aca="false">BN135+BN89+BN97+$E94*BN14</f>
        <v>1038.75065913417</v>
      </c>
      <c r="BO137" s="47" t="n">
        <f aca="false">BO135+BO89+BO97+$E94*BO14</f>
        <v>1019.92305816477</v>
      </c>
      <c r="BP137" s="47" t="n">
        <f aca="false">BP135+BP89+BP97+$E94*BP14</f>
        <v>1028.63850835743</v>
      </c>
      <c r="BQ137" s="47" t="n">
        <f aca="false">BQ135+BQ89+BQ97+$E94*BQ14</f>
        <v>1037.30758768783</v>
      </c>
      <c r="BR137" s="47" t="n">
        <f aca="false">BR135+BR89+BR97+$E94*BR14</f>
        <v>1032.7409319943</v>
      </c>
      <c r="BS137" s="47" t="n">
        <f aca="false">BS135+BS89+BS97+$E94*BS14</f>
        <v>1013.73828329197</v>
      </c>
      <c r="BT137" s="47" t="n">
        <f aca="false">BT135+BT89+BT97+$E94*BT14</f>
        <v>1022.39081161493</v>
      </c>
      <c r="BU137" s="47" t="n">
        <f aca="false">BU135+BU89+BU97+$E94*BU14</f>
        <v>1030.99614398252</v>
      </c>
      <c r="BV137" s="47" t="n">
        <f aca="false">BV135+BV89+BV97+$E94*BV14</f>
        <v>1026.33236206429</v>
      </c>
      <c r="BW137" s="47" t="n">
        <f aca="false">BW135+BW89+BW97+$E94*BW14</f>
        <v>1007.15083803024</v>
      </c>
      <c r="BX137" s="47" t="n">
        <f aca="false">BX135+BX89+BX97+$E94*BX14</f>
        <v>1015.73659328711</v>
      </c>
      <c r="BY137" s="47" t="n">
        <f aca="false">BY135+BY89+BY97+$E94*BY14</f>
        <v>1024.27430073573</v>
      </c>
      <c r="BZ137" s="47" t="n">
        <f aca="false">BZ135+BZ89+BZ97+$E94*BZ14</f>
        <v>1019.51033646602</v>
      </c>
      <c r="CA137" s="47" t="n">
        <f aca="false">CA135+CA89+CA97+$E94*CA14</f>
        <v>1010.76370501708</v>
      </c>
      <c r="CB137" s="47" t="n">
        <f aca="false">CB135+CB89+CB97+$E94*CB14</f>
        <v>1008.63274230787</v>
      </c>
      <c r="CC137" s="47" t="n">
        <f aca="false">CC135+CC89+CC97+$E94*CC14</f>
        <v>1017.09852680721</v>
      </c>
      <c r="CD137" s="47" t="n">
        <f aca="false">CD135+CD89+CD97+$E94*CD14</f>
        <v>1012.23093174033</v>
      </c>
      <c r="CE137" s="47" t="n">
        <f aca="false">CE135+CE89+CE97+$E94*CE14</f>
        <v>992.679398466994</v>
      </c>
      <c r="CF137" s="47" t="n">
        <f aca="false">CF135+CF89+CF97+$E94*CF14</f>
        <v>1001.11919799225</v>
      </c>
      <c r="CG137" s="47" t="n">
        <f aca="false">CG135+CG89+CG97+$E94*CG14</f>
        <v>1009.50915882733</v>
      </c>
      <c r="CH137" s="47" t="n">
        <f aca="false">CH135+CH89+CH97+$E94*CH14</f>
        <v>1004.53491848135</v>
      </c>
      <c r="CI137" s="47" t="n">
        <f aca="false">CI135+CI89+CI97+$E94*CI14</f>
        <v>984.792265894847</v>
      </c>
      <c r="CJ137" s="47" t="n">
        <f aca="false">CJ135+CJ89+CJ97+$E94*CJ14</f>
        <v>993.152859758979</v>
      </c>
      <c r="CK137" s="47" t="n">
        <f aca="false">CK135+CK89+CK97+$E94*CK14</f>
        <v>1001.46267646635</v>
      </c>
      <c r="CL137" s="47" t="n">
        <f aca="false">CL135+CL89+CL97+$E94*CL14</f>
        <v>996.378386089547</v>
      </c>
      <c r="CM137" s="47" t="n">
        <f aca="false">CM135+CM89+CM97+$E94*CM14</f>
        <v>976.440270925494</v>
      </c>
      <c r="CN137" s="47" t="n">
        <f aca="false">CN135+CN89+CN97+$E94*CN14</f>
        <v>984.717211694837</v>
      </c>
      <c r="CO137" s="47" t="n">
        <f aca="false">CO135+CO89+CO97+$E94*CO14</f>
        <v>992.942405791612</v>
      </c>
      <c r="CP137" s="47" t="n">
        <f aca="false">CP135+CP89+CP97+$E94*CP14</f>
        <v>987.744535559406</v>
      </c>
      <c r="CQ137" s="47" t="n">
        <f aca="false">CQ135+CQ89+CQ97+$E94*CQ14</f>
        <v>978.272977224399</v>
      </c>
      <c r="CR137" s="47" t="n">
        <f aca="false">CR135+CR89+CR97+$E94*CR14</f>
        <v>975.766786855006</v>
      </c>
      <c r="CS137" s="47" t="n">
        <f aca="false">CS135+CS89+CS97+$E94*CS14</f>
        <v>1932.67397250266</v>
      </c>
      <c r="CT137" s="47" t="n">
        <f aca="false">CT135+CT89+CT97+$E94*CT14</f>
        <v>1820.54291781078</v>
      </c>
      <c r="CU137" s="47" t="n">
        <f aca="false">CU135+CU89+CU97+$E94*CU14</f>
        <v>1787.53861493413</v>
      </c>
      <c r="CV137" s="47" t="n">
        <f aca="false">CV135+CV89+CV97+$E94*CV14</f>
        <v>1807.40015510007</v>
      </c>
      <c r="CW137" s="47" t="n">
        <f aca="false">CW135+CW89+CW97+$E94*CW14</f>
        <v>1827.261695266</v>
      </c>
      <c r="CX137" s="47" t="n">
        <f aca="false">CX135+CX89+CX97+$E94*CX14</f>
        <v>1822.1500941112</v>
      </c>
      <c r="CY137" s="47" t="n">
        <f aca="false">CY135+CY89+CY97+$E94*CY14</f>
        <v>1788.95290510507</v>
      </c>
      <c r="CZ137" s="47" t="n">
        <f aca="false">CZ135+CZ89+CZ97+$E94*CZ14</f>
        <v>1808.83015960624</v>
      </c>
      <c r="DA137" s="47" t="n">
        <f aca="false">DA135+DA89+DA97+$E94*DA14</f>
        <v>1828.70741410741</v>
      </c>
      <c r="DB137" s="47" t="n">
        <f aca="false">DB135+DB89+DB97+$E94*DB14</f>
        <v>1351.75211954894</v>
      </c>
      <c r="DC137" s="47" t="n">
        <f aca="false">DC135+DC89+DC97+$E94*DC14</f>
        <v>1328.61699672919</v>
      </c>
      <c r="DD137" s="47" t="n">
        <f aca="false">DD135+DD89+DD97+$E94*DD14</f>
        <v>1343.37940780396</v>
      </c>
      <c r="DE137" s="47" t="n">
        <f aca="false">DE135+DE89+DE97+$E94*DE14</f>
        <v>1358.14181887873</v>
      </c>
      <c r="DF137" s="47" t="n">
        <f aca="false">DF135+DF89+DF97+$E94*DF14</f>
        <v>1352.96922160651</v>
      </c>
      <c r="DG137" s="47" t="n">
        <f aca="false">DG135+DG89+DG97+$E94*DG14</f>
        <v>1344.41122217711</v>
      </c>
      <c r="DH137" s="47" t="n">
        <f aca="false">DH135+DH89+DH97+$E94*DH14</f>
        <v>1344.41122217711</v>
      </c>
      <c r="DI137" s="47" t="n">
        <f aca="false">DI135+DI89+DI97+$E94*DI14</f>
        <v>1359.18497187136</v>
      </c>
      <c r="DJ137" s="47" t="n">
        <f aca="false">DJ135+DJ89+DJ97+$E94*DJ14</f>
        <v>1353.98179084478</v>
      </c>
      <c r="DK137" s="47" t="n">
        <f aca="false">DK135+DK89+DK97+$E94*DK14</f>
        <v>1330.45150532208</v>
      </c>
      <c r="DL137" s="47" t="n">
        <f aca="false">DL135+DL89+DL97+$E94*DL14</f>
        <v>1345.23429982566</v>
      </c>
      <c r="DM137" s="47" t="n">
        <f aca="false">DM135+DM89+DM97+$E94*DM14</f>
        <v>1360.01709432924</v>
      </c>
      <c r="DN137" s="47" t="n">
        <f aca="false">DN135+DN89+DN97+$E94*DN14</f>
        <v>1354.78327628251</v>
      </c>
      <c r="DO137" s="47" t="n">
        <f aca="false">DO135+DO89+DO97+$E94*DO14</f>
        <v>1331.05251690687</v>
      </c>
      <c r="DP137" s="47" t="n">
        <f aca="false">DP135+DP89+DP97+$E94*DP14</f>
        <v>1345.84198931695</v>
      </c>
      <c r="DQ137" s="47" t="n">
        <f aca="false">DQ135+DQ89+DQ97+$E94*DQ14</f>
        <v>1360.63146172703</v>
      </c>
      <c r="DR137" s="47" t="n">
        <f aca="false">DR135+DR89+DR97+$E94*DR14</f>
        <v>1355.36695640901</v>
      </c>
      <c r="DS137" s="47" t="n">
        <f aca="false">DS135+DS89+DS97+$E94*DS14</f>
        <v>1331.43375783812</v>
      </c>
      <c r="DT137" s="47" t="n">
        <f aca="false">DT135+DT89+DT97+$E94*DT14</f>
        <v>1346.22746625854</v>
      </c>
      <c r="DU137" s="47" t="n">
        <f aca="false">DU135+DU89+DU97+$E94*DU14</f>
        <v>1361.02117467897</v>
      </c>
      <c r="DV137" s="47" t="n">
        <f aca="false">DV135+DV89+DV97+$E94*DV14</f>
        <v>1355.72593494877</v>
      </c>
      <c r="DW137" s="47" t="n">
        <f aca="false">DW135+DW89+DW97+$E94*DW14</f>
        <v>1346.38372900372</v>
      </c>
      <c r="DX137" s="47" t="n">
        <f aca="false">DX135+DX89+DX97+$E94*DX14</f>
        <v>1346.38372900372</v>
      </c>
      <c r="DY137" s="47" t="n">
        <f aca="false">DY135+DY89+DY97+$E94*DY14</f>
        <v>1361.17915459717</v>
      </c>
      <c r="DZ137" s="47" t="n">
        <f aca="false">DZ135+DZ89+DZ97+$E94*DZ14</f>
        <v>1355.85313652207</v>
      </c>
      <c r="EA137" s="47" t="n">
        <f aca="false">EA135+EA89+EA97+$E94*EA14</f>
        <v>1331.50904925967</v>
      </c>
      <c r="EB137" s="47" t="n">
        <f aca="false">EB135+EB89+EB97+$E94*EB14</f>
        <v>1346.30359425145</v>
      </c>
      <c r="EC137" s="47" t="n">
        <f aca="false">EC135+EC89+EC97+$E94*EC14</f>
        <v>1361.09813924322</v>
      </c>
      <c r="ED137" s="47" t="n">
        <f aca="false">ED135+ED89+ED97+$E94*ED14</f>
        <v>1355.7413021989</v>
      </c>
      <c r="EE137" s="47" t="n">
        <f aca="false">EE135+EE89+EE97+$E94*EE14</f>
        <v>1331.18870690596</v>
      </c>
      <c r="EF137" s="47" t="n">
        <f aca="false">EF135+EF89+EF97+$E94*EF14</f>
        <v>1345.97969253824</v>
      </c>
      <c r="EG137" s="47" t="n">
        <f aca="false">EG135+EG89+EG97+$E94*EG14</f>
        <v>1360.77067817053</v>
      </c>
      <c r="EH137" s="47" t="n">
        <f aca="false">EH135+EH89+EH97+$E94*EH14</f>
        <v>1355.38298494376</v>
      </c>
      <c r="EI137" s="47" t="n">
        <f aca="false">EI135+EI89+EI97+$E94*EI14</f>
        <v>1330.61979918396</v>
      </c>
      <c r="EJ137" s="47" t="n">
        <f aca="false">EJ135+EJ89+EJ97+$E94*EJ14</f>
        <v>1345.40446361934</v>
      </c>
      <c r="EK137" s="47" t="n">
        <f aca="false">EK135+EK89+EK97+$E94*EK14</f>
        <v>1360.18912805472</v>
      </c>
      <c r="EL137" s="47" t="n">
        <f aca="false">EL135+EL89+EL97+$E94*EL14</f>
        <v>1354.77054494849</v>
      </c>
      <c r="EM137" s="47" t="n">
        <f aca="false">EM135+EM89+EM97+$E94*EM14</f>
        <v>1344.57015173635</v>
      </c>
      <c r="EN137" s="47" t="n">
        <f aca="false">EN135+EN89+EN97+$E94*EN14</f>
        <v>1344.57015173635</v>
      </c>
      <c r="EO137" s="47" t="n">
        <f aca="false">EO135+EO89+EO97+$E94*EO14</f>
        <v>1359.34564790928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0.0480650884558693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126880.359028106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-8029.46084763546</v>
      </c>
      <c r="S141" s="47" t="n">
        <f aca="false">S59+S66+S79+S58+S108</f>
        <v>-16010.74701985</v>
      </c>
      <c r="T141" s="47" t="n">
        <f aca="false">T59+T66+T79+T58+T108</f>
        <v>-7943.21191215576</v>
      </c>
      <c r="U141" s="47" t="n">
        <f aca="false">U59+U66+U79+U58+U108</f>
        <v>-8030.49995514649</v>
      </c>
      <c r="V141" s="47" t="n">
        <f aca="false">V59+V66+V79+V58+V108</f>
        <v>-8030.49995514649</v>
      </c>
      <c r="W141" s="47" t="n">
        <f aca="false">W59+W66+W79+W58+W108</f>
        <v>-7856.96580033778</v>
      </c>
      <c r="X141" s="47" t="n">
        <f aca="false">X59+X66+X79+X58+X108</f>
        <v>-7944.26542034153</v>
      </c>
      <c r="Y141" s="47" t="n">
        <f aca="false">Y59+Y66+Y79+Y58+Y108</f>
        <v>-10531.5650403453</v>
      </c>
      <c r="Z141" s="47" t="n">
        <f aca="false">Z59+Z66+Z79+Z58+Z108</f>
        <v>2051.50810877326</v>
      </c>
      <c r="AA141" s="47" t="n">
        <f aca="false">AA59+AA66+AA79+AA58+AA108</f>
        <v>2019.07781182481</v>
      </c>
      <c r="AB141" s="47" t="n">
        <f aca="false">AB59+AB66+AB79+AB58+AB108</f>
        <v>2037.29935630354</v>
      </c>
      <c r="AC141" s="47" t="n">
        <f aca="false">AC59+AC66+AC79+AC58+AC108</f>
        <v>2055.45580069225</v>
      </c>
      <c r="AD141" s="47" t="n">
        <f aca="false">AD59+AD66+AD79+AD58+AD108</f>
        <v>2038.34092902195</v>
      </c>
      <c r="AE141" s="47" t="n">
        <f aca="false">AE59+AE66+AE79+AE58+AE108</f>
        <v>1972.69311989761</v>
      </c>
      <c r="AF141" s="47" t="n">
        <f aca="false">AF59+AF66+AF79+AF58+AF108</f>
        <v>1970.34832896811</v>
      </c>
      <c r="AG141" s="47" t="n">
        <f aca="false">AG59+AG66+AG79+AG58+AG108</f>
        <v>1987.10802916761</v>
      </c>
      <c r="AH141" s="47" t="n">
        <f aca="false">AH59+AH66+AH79+AH58+AH108</f>
        <v>1980.06098995135</v>
      </c>
      <c r="AI141" s="47" t="n">
        <f aca="false">AI59+AI66+AI79+AI58+AI108</f>
        <v>1947.84968903996</v>
      </c>
      <c r="AJ141" s="47" t="n">
        <f aca="false">AJ59+AJ66+AJ79+AJ58+AJ108</f>
        <v>1982.52563744379</v>
      </c>
      <c r="AK141" s="47" t="n">
        <f aca="false">AK59+AK66+AK79+AK58+AK108</f>
        <v>1999.37217192675</v>
      </c>
      <c r="AL141" s="47" t="n">
        <f aca="false">AL59+AL66+AL79+AL58+AL108</f>
        <v>1992.14071226039</v>
      </c>
      <c r="AM141" s="47" t="n">
        <f aca="false">AM59+AM66+AM79+AM58+AM108</f>
        <v>1959.2127731839</v>
      </c>
      <c r="AN141" s="47" t="n">
        <f aca="false">AN59+AN66+AN79+AN58+AN108</f>
        <v>1976.06673066531</v>
      </c>
      <c r="AO141" s="47" t="n">
        <f aca="false">AO59+AO66+AO79+AO58+AO108</f>
        <v>1992.8439239717</v>
      </c>
      <c r="AP141" s="47" t="n">
        <f aca="false">AP59+AP66+AP79+AP58+AP108</f>
        <v>1985.47066876268</v>
      </c>
      <c r="AQ141" s="47" t="n">
        <f aca="false">AQ59+AQ66+AQ79+AQ58+AQ108</f>
        <v>1952.26122978253</v>
      </c>
      <c r="AR141" s="47" t="n">
        <f aca="false">AR59+AR66+AR79+AR58+AR108</f>
        <v>1969.04168062272</v>
      </c>
      <c r="AS141" s="47" t="n">
        <f aca="false">AS59+AS66+AS79+AS58+AS108</f>
        <v>1985.74413411445</v>
      </c>
      <c r="AT141" s="47" t="n">
        <f aca="false">AT59+AT66+AT79+AT58+AT108</f>
        <v>1978.22480938201</v>
      </c>
      <c r="AU141" s="47" t="n">
        <f aca="false">AU59+AU66+AU79+AU58+AU108</f>
        <v>1964.21800656024</v>
      </c>
      <c r="AV141" s="47" t="n">
        <f aca="false">AV59+AV66+AV79+AV58+AV108</f>
        <v>1961.37768930802</v>
      </c>
      <c r="AW141" s="47" t="n">
        <f aca="false">AW59+AW66+AW79+AW58+AW108</f>
        <v>1977.99929425379</v>
      </c>
      <c r="AX141" s="47" t="n">
        <f aca="false">AX59+AX66+AX79+AX58+AX108</f>
        <v>1970.32895692524</v>
      </c>
      <c r="AY141" s="47" t="n">
        <f aca="false">AY59+AY66+AY79+AY58+AY108</f>
        <v>1936.53860975103</v>
      </c>
      <c r="AZ141" s="47" t="n">
        <f aca="false">AZ59+AZ66+AZ79+AZ58+AZ108</f>
        <v>1953.15463560217</v>
      </c>
      <c r="BA141" s="47" t="n">
        <f aca="false">BA59+BA66+BA79+BA58+BA108</f>
        <v>1969.69007580316</v>
      </c>
      <c r="BB141" s="47" t="n">
        <f aca="false">BB59+BB66+BB79+BB58+BB108</f>
        <v>1961.86463242441</v>
      </c>
      <c r="BC141" s="47" t="n">
        <f aca="false">BC59+BC66+BC79+BC58+BC108</f>
        <v>1927.7750156475</v>
      </c>
      <c r="BD141" s="47" t="n">
        <f aca="false">BD59+BD66+BD79+BD58+BD108</f>
        <v>1944.30020869187</v>
      </c>
      <c r="BE141" s="47" t="n">
        <f aca="false">BE59+BE66+BE79+BE58+BE108</f>
        <v>1960.74346299035</v>
      </c>
      <c r="BF141" s="47" t="n">
        <f aca="false">BF59+BF66+BF79+BF58+BF108</f>
        <v>1952.7581588284</v>
      </c>
      <c r="BG141" s="47" t="n">
        <f aca="false">BG59+BG66+BG79+BG58+BG108</f>
        <v>1918.36298385433</v>
      </c>
      <c r="BH141" s="47" t="n">
        <f aca="false">BH59+BH66+BH79+BH58+BH108</f>
        <v>1934.79114374056</v>
      </c>
      <c r="BI141" s="47" t="n">
        <f aca="false">BI59+BI66+BI79+BI58+BI108</f>
        <v>1951.13596884629</v>
      </c>
      <c r="BJ141" s="47" t="n">
        <f aca="false">BJ59+BJ66+BJ79+BJ58+BJ108</f>
        <v>1942.98587683057</v>
      </c>
      <c r="BK141" s="47" t="n">
        <f aca="false">BK59+BK66+BK79+BK58+BK108</f>
        <v>1927.91249244063</v>
      </c>
      <c r="BL141" s="47" t="n">
        <f aca="false">BL59+BL66+BL79+BL58+BL108</f>
        <v>1924.55114517418</v>
      </c>
      <c r="BM141" s="47" t="n">
        <f aca="false">BM59+BM66+BM79+BM58+BM108</f>
        <v>1940.79055398198</v>
      </c>
      <c r="BN141" s="47" t="n">
        <f aca="false">BN59+BN66+BN79+BN58+BN108</f>
        <v>1932.47004928572</v>
      </c>
      <c r="BO141" s="47" t="n">
        <f aca="false">BO59+BO66+BO79+BO58+BO108</f>
        <v>1897.44357334238</v>
      </c>
      <c r="BP141" s="47" t="n">
        <f aca="false">BP59+BP66+BP79+BP58+BP108</f>
        <v>1913.6576150041</v>
      </c>
      <c r="BQ141" s="47" t="n">
        <f aca="false">BQ59+BQ66+BQ79+BQ58+BQ108</f>
        <v>1929.78538928136</v>
      </c>
      <c r="BR141" s="47" t="n">
        <f aca="false">BR59+BR66+BR79+BR58+BR108</f>
        <v>1921.28967832748</v>
      </c>
      <c r="BS141" s="47" t="n">
        <f aca="false">BS59+BS66+BS79+BS58+BS108</f>
        <v>1885.93754723474</v>
      </c>
      <c r="BT141" s="47" t="n">
        <f aca="false">BT59+BT66+BT79+BT58+BT108</f>
        <v>1902.03453036316</v>
      </c>
      <c r="BU141" s="47" t="n">
        <f aca="false">BU59+BU66+BU79+BU58+BU108</f>
        <v>1918.04371112111</v>
      </c>
      <c r="BV141" s="47" t="n">
        <f aca="false">BV59+BV66+BV79+BV58+BV108</f>
        <v>1909.36730856566</v>
      </c>
      <c r="BW141" s="47" t="n">
        <f aca="false">BW59+BW66+BW79+BW58+BW108</f>
        <v>1873.68240153863</v>
      </c>
      <c r="BX141" s="47" t="n">
        <f aca="false">BX59+BX66+BX79+BX58+BX108</f>
        <v>1889.65516144835</v>
      </c>
      <c r="BY141" s="47" t="n">
        <f aca="false">BY59+BY66+BY79+BY58+BY108</f>
        <v>1905.53853421825</v>
      </c>
      <c r="BZ141" s="47" t="n">
        <f aca="false">BZ59+BZ66+BZ79+BZ58+BZ108</f>
        <v>1896.67575450676</v>
      </c>
      <c r="CA141" s="47" t="n">
        <f aca="false">CA59+CA66+CA79+CA58+CA108</f>
        <v>1880.40370388655</v>
      </c>
      <c r="CB141" s="47" t="n">
        <f aca="false">CB59+CB66+CB79+CB58+CB108</f>
        <v>1876.43930533191</v>
      </c>
      <c r="CC141" s="47" t="n">
        <f aca="false">CC59+CC66+CC79+CC58+CC108</f>
        <v>1892.18887414791</v>
      </c>
      <c r="CD141" s="47" t="n">
        <f aca="false">CD59+CD66+CD79+CD58+CD108</f>
        <v>1883.13330186397</v>
      </c>
      <c r="CE141" s="47" t="n">
        <f aca="false">CE59+CE66+CE79+CE58+CE108</f>
        <v>1846.76003736965</v>
      </c>
      <c r="CF141" s="47" t="n">
        <f aca="false">CF59+CF66+CF79+CF58+CF108</f>
        <v>1862.46126428213</v>
      </c>
      <c r="CG141" s="47" t="n">
        <f aca="false">CG59+CG66+CG79+CG58+CG108</f>
        <v>1878.06977233545</v>
      </c>
      <c r="CH141" s="47" t="n">
        <f aca="false">CH59+CH66+CH79+CH58+CH108</f>
        <v>1868.81579939977</v>
      </c>
      <c r="CI141" s="47" t="n">
        <f aca="false">CI59+CI66+CI79+CI58+CI108</f>
        <v>1832.0869805236</v>
      </c>
      <c r="CJ141" s="47" t="n">
        <f aca="false">CJ59+CJ66+CJ79+CJ58+CJ108</f>
        <v>1847.64085487701</v>
      </c>
      <c r="CK141" s="47" t="n">
        <f aca="false">CK59+CK66+CK79+CK58+CK108</f>
        <v>1863.10026446763</v>
      </c>
      <c r="CL141" s="47" t="n">
        <f aca="false">CL59+CL66+CL79+CL58+CL108</f>
        <v>1853.64155675117</v>
      </c>
      <c r="CM141" s="47" t="n">
        <f aca="false">CM59+CM66+CM79+CM58+CM108</f>
        <v>1816.54910337468</v>
      </c>
      <c r="CN141" s="47" t="n">
        <f aca="false">CN59+CN66+CN79+CN58+CN108</f>
        <v>1831.94735125625</v>
      </c>
      <c r="CO141" s="47" t="n">
        <f aca="false">CO59+CO66+CO79+CO58+CO108</f>
        <v>1847.24933070805</v>
      </c>
      <c r="CP141" s="47" t="n">
        <f aca="false">CP59+CP66+CP79+CP58+CP108</f>
        <v>1837.57932139882</v>
      </c>
      <c r="CQ141" s="47" t="n">
        <f aca="false">CQ59+CQ66+CQ79+CQ58+CQ108</f>
        <v>1819.95863192778</v>
      </c>
      <c r="CR141" s="47" t="n">
        <f aca="false">CR59+CR66+CR79+CR58+CR108</f>
        <v>1815.29616766453</v>
      </c>
      <c r="CS141" s="47" t="n">
        <f aca="false">CS59+CS66+CS79+CS58+CS108</f>
        <v>1830.4315615226</v>
      </c>
      <c r="CT141" s="47" t="n">
        <f aca="false">CT59+CT66+CT79+CT58+CT108</f>
        <v>1820.54291781078</v>
      </c>
      <c r="CU141" s="47" t="n">
        <f aca="false">CU59+CU66+CU79+CU58+CU108</f>
        <v>1787.53861493413</v>
      </c>
      <c r="CV141" s="47" t="n">
        <f aca="false">CV59+CV66+CV79+CV58+CV108</f>
        <v>1807.40015510007</v>
      </c>
      <c r="CW141" s="47" t="n">
        <f aca="false">CW59+CW66+CW79+CW58+CW108</f>
        <v>1827.261695266</v>
      </c>
      <c r="CX141" s="47" t="n">
        <f aca="false">CX59+CX66+CX79+CX58+CX108</f>
        <v>1822.1500941112</v>
      </c>
      <c r="CY141" s="47" t="n">
        <f aca="false">CY59+CY66+CY79+CY58+CY108</f>
        <v>1788.95290510507</v>
      </c>
      <c r="CZ141" s="47" t="n">
        <f aca="false">CZ59+CZ66+CZ79+CZ58+CZ108</f>
        <v>1808.83015960624</v>
      </c>
      <c r="DA141" s="47" t="n">
        <f aca="false">DA59+DA66+DA79+DA58+DA108</f>
        <v>1828.70741410741</v>
      </c>
      <c r="DB141" s="47" t="n">
        <f aca="false">DB59+DB66+DB79+DB58+DB108</f>
        <v>1351.75211954894</v>
      </c>
      <c r="DC141" s="47" t="n">
        <f aca="false">DC59+DC66+DC79+DC58+DC108</f>
        <v>1328.61699672919</v>
      </c>
      <c r="DD141" s="47" t="n">
        <f aca="false">DD59+DD66+DD79+DD58+DD108</f>
        <v>1343.37940780396</v>
      </c>
      <c r="DE141" s="47" t="n">
        <f aca="false">DE59+DE66+DE79+DE58+DE108</f>
        <v>1358.14181887873</v>
      </c>
      <c r="DF141" s="47" t="n">
        <f aca="false">DF59+DF66+DF79+DF58+DF108</f>
        <v>1352.96922160651</v>
      </c>
      <c r="DG141" s="47" t="n">
        <f aca="false">DG59+DG66+DG79+DG58+DG108</f>
        <v>1344.41122217711</v>
      </c>
      <c r="DH141" s="47" t="n">
        <f aca="false">DH59+DH66+DH79+DH58+DH108</f>
        <v>1344.41122217711</v>
      </c>
      <c r="DI141" s="47" t="n">
        <f aca="false">DI59+DI66+DI79+DI58+DI108</f>
        <v>1359.18497187136</v>
      </c>
      <c r="DJ141" s="47" t="n">
        <f aca="false">DJ59+DJ66+DJ79+DJ58+DJ108</f>
        <v>1353.98179084478</v>
      </c>
      <c r="DK141" s="47" t="n">
        <f aca="false">DK59+DK66+DK79+DK58+DK108</f>
        <v>1330.45150532208</v>
      </c>
      <c r="DL141" s="47" t="n">
        <f aca="false">DL59+DL66+DL79+DL58+DL108</f>
        <v>1345.23429982566</v>
      </c>
      <c r="DM141" s="47" t="n">
        <f aca="false">DM59+DM66+DM79+DM58+DM108</f>
        <v>1360.01709432924</v>
      </c>
      <c r="DN141" s="47" t="n">
        <f aca="false">DN59+DN66+DN79+DN58+DN108</f>
        <v>1354.78327628251</v>
      </c>
      <c r="DO141" s="47" t="n">
        <f aca="false">DO59+DO66+DO79+DO58+DO108</f>
        <v>1331.05251690687</v>
      </c>
      <c r="DP141" s="47" t="n">
        <f aca="false">DP59+DP66+DP79+DP58+DP108</f>
        <v>1345.84198931695</v>
      </c>
      <c r="DQ141" s="47" t="n">
        <f aca="false">DQ59+DQ66+DQ79+DQ58+DQ108</f>
        <v>1360.63146172703</v>
      </c>
      <c r="DR141" s="47" t="n">
        <f aca="false">DR59+DR66+DR79+DR58+DR108</f>
        <v>1355.36695640901</v>
      </c>
      <c r="DS141" s="47" t="n">
        <f aca="false">DS59+DS66+DS79+DS58+DS108</f>
        <v>1331.43375783812</v>
      </c>
      <c r="DT141" s="47" t="n">
        <f aca="false">DT59+DT66+DT79+DT58+DT108</f>
        <v>1346.22746625854</v>
      </c>
      <c r="DU141" s="47" t="n">
        <f aca="false">DU59+DU66+DU79+DU58+DU108</f>
        <v>1361.02117467897</v>
      </c>
      <c r="DV141" s="47" t="n">
        <f aca="false">DV59+DV66+DV79+DV58+DV108</f>
        <v>1355.72593494877</v>
      </c>
      <c r="DW141" s="47" t="n">
        <f aca="false">DW59+DW66+DW79+DW58+DW108</f>
        <v>1346.38372900372</v>
      </c>
      <c r="DX141" s="47" t="n">
        <f aca="false">DX59+DX66+DX79+DX58+DX108</f>
        <v>1346.38372900372</v>
      </c>
      <c r="DY141" s="47" t="n">
        <f aca="false">DY59+DY66+DY79+DY58+DY108</f>
        <v>1361.17915459717</v>
      </c>
      <c r="DZ141" s="47" t="n">
        <f aca="false">DZ59+DZ66+DZ79+DZ58+DZ108</f>
        <v>1355.85313652207</v>
      </c>
      <c r="EA141" s="47" t="n">
        <f aca="false">EA59+EA66+EA79+EA58+EA108</f>
        <v>1331.50904925967</v>
      </c>
      <c r="EB141" s="47" t="n">
        <f aca="false">EB59+EB66+EB79+EB58+EB108</f>
        <v>1346.30359425145</v>
      </c>
      <c r="EC141" s="47" t="n">
        <f aca="false">EC59+EC66+EC79+EC58+EC108</f>
        <v>1361.09813924322</v>
      </c>
      <c r="ED141" s="47" t="n">
        <f aca="false">ED59+ED66+ED79+ED58+ED108</f>
        <v>1355.7413021989</v>
      </c>
      <c r="EE141" s="47" t="n">
        <f aca="false">EE59+EE66+EE79+EE58+EE108</f>
        <v>1331.18870690596</v>
      </c>
      <c r="EF141" s="47" t="n">
        <f aca="false">EF59+EF66+EF79+EF58+EF108</f>
        <v>1345.97969253824</v>
      </c>
      <c r="EG141" s="47" t="n">
        <f aca="false">EG59+EG66+EG79+EG58+EG108</f>
        <v>1360.77067817053</v>
      </c>
      <c r="EH141" s="47" t="n">
        <f aca="false">EH59+EH66+EH79+EH58+EH108</f>
        <v>1355.38298494376</v>
      </c>
      <c r="EI141" s="47" t="n">
        <f aca="false">EI59+EI66+EI79+EI58+EI108</f>
        <v>1330.61979918396</v>
      </c>
      <c r="EJ141" s="47" t="n">
        <f aca="false">EJ59+EJ66+EJ79+EJ58+EJ108</f>
        <v>1345.40446361934</v>
      </c>
      <c r="EK141" s="47" t="n">
        <f aca="false">EK59+EK66+EK79+EK58+EK108</f>
        <v>1360.18912805472</v>
      </c>
      <c r="EL141" s="47" t="n">
        <f aca="false">EL59+EL66+EL79+EL58+EL108</f>
        <v>1354.77054494849</v>
      </c>
      <c r="EM141" s="47" t="n">
        <f aca="false">EM59+EM66+EM79+EM58+EM108</f>
        <v>1344.57015173635</v>
      </c>
      <c r="EN141" s="47" t="n">
        <f aca="false">EN59+EN66+EN79+EN58+EN108</f>
        <v>1344.57015173635</v>
      </c>
      <c r="EO141" s="47" t="n">
        <f aca="false">EO59+EO66+EO79+EO58+EO108</f>
        <v>1359.34564790928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0.078458129237195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102117.042480728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-4489.95849315338</v>
      </c>
      <c r="S143" s="56" t="n">
        <f aca="false">S59+S66+S91+S95+S96+S79+S89+S97+S58+S108</f>
        <v>-7326.12620687268</v>
      </c>
      <c r="T143" s="56" t="n">
        <f aca="false">T59+T66+T91+T95+T96+T79+T89+T97+T58+T108</f>
        <v>-3677.41596133854</v>
      </c>
      <c r="U143" s="56" t="n">
        <f aca="false">U59+U66+U91+U95+U96+U79+U89+U97+U58+U108</f>
        <v>-3708.01055317332</v>
      </c>
      <c r="V143" s="56" t="n">
        <f aca="false">V59+V66+V91+V95+V96+V79+V89+V97+V58+V108</f>
        <v>-3698.08610617388</v>
      </c>
      <c r="W143" s="56" t="n">
        <f aca="false">W59+W66+W91+W95+W96+W79+W89+W97+W58+W108</f>
        <v>-3609.02616297382</v>
      </c>
      <c r="X143" s="56" t="n">
        <f aca="false">X59+X66+X91+X95+X96+X79+X89+X97+X58+X108</f>
        <v>-3639.52328484964</v>
      </c>
      <c r="Y143" s="56" t="n">
        <f aca="false">Y59+Y66+Y91+Y95+Y96+Y79+Y89+Y97+Y58+Y108</f>
        <v>-5743.47300909202</v>
      </c>
      <c r="Z143" s="56" t="n">
        <f aca="false">Z59+Z66+Z91+Z95+Z96+Z79+Z89+Z97+Z58+Z108</f>
        <v>1102.73657332733</v>
      </c>
      <c r="AA143" s="56" t="n">
        <f aca="false">AA59+AA66+AA91+AA95+AA96+AA79+AA89+AA97+AA58+AA108</f>
        <v>1085.30448306359</v>
      </c>
      <c r="AB143" s="56" t="n">
        <f aca="false">AB59+AB66+AB91+AB95+AB96+AB79+AB89+AB97+AB58+AB108</f>
        <v>1095.09901589203</v>
      </c>
      <c r="AC143" s="56" t="n">
        <f aca="false">AC59+AC66+AC91+AC95+AC96+AC79+AC89+AC97+AC58+AC108</f>
        <v>1104.85855580482</v>
      </c>
      <c r="AD143" s="56" t="n">
        <f aca="false">AD59+AD66+AD91+AD95+AD96+AD79+AD89+AD97+AD58+AD108</f>
        <v>1095.65888710354</v>
      </c>
      <c r="AE143" s="56" t="n">
        <f aca="false">AE59+AE66+AE91+AE95+AE96+AE79+AE89+AE97+AE58+AE108</f>
        <v>1060.37155883482</v>
      </c>
      <c r="AF143" s="56" t="n">
        <f aca="false">AF59+AF66+AF91+AF95+AF96+AF79+AF89+AF97+AF58+AF108</f>
        <v>1059.11117545943</v>
      </c>
      <c r="AG143" s="56" t="n">
        <f aca="false">AG59+AG66+AG91+AG95+AG96+AG79+AG89+AG97+AG58+AG108</f>
        <v>1068.11993067172</v>
      </c>
      <c r="AH143" s="56" t="n">
        <f aca="false">AH59+AH66+AH91+AH95+AH96+AH79+AH89+AH97+AH58+AH108</f>
        <v>1064.33197202597</v>
      </c>
      <c r="AI143" s="56" t="n">
        <f aca="false">AI59+AI66+AI91+AI95+AI96+AI79+AI89+AI97+AI58+AI108</f>
        <v>1047.01759757259</v>
      </c>
      <c r="AJ143" s="56" t="n">
        <f aca="false">AJ59+AJ66+AJ91+AJ95+AJ96+AJ79+AJ89+AJ97+AJ58+AJ108</f>
        <v>1065.65678128148</v>
      </c>
      <c r="AK143" s="56" t="n">
        <f aca="false">AK59+AK66+AK91+AK95+AK96+AK79+AK89+AK97+AK58+AK108</f>
        <v>1074.71221207833</v>
      </c>
      <c r="AL143" s="56" t="n">
        <f aca="false">AL59+AL66+AL91+AL95+AL96+AL79+AL89+AL97+AL58+AL108</f>
        <v>1070.82512285917</v>
      </c>
      <c r="AM143" s="56" t="n">
        <f aca="false">AM59+AM66+AM91+AM95+AM96+AM79+AM89+AM97+AM58+AM108</f>
        <v>1053.12553758887</v>
      </c>
      <c r="AN143" s="56" t="n">
        <f aca="false">AN59+AN66+AN91+AN95+AN96+AN79+AN89+AN97+AN58+AN108</f>
        <v>1062.1849584318</v>
      </c>
      <c r="AO143" s="56" t="n">
        <f aca="false">AO59+AO66+AO91+AO95+AO96+AO79+AO89+AO97+AO58+AO108</f>
        <v>1071.20311662363</v>
      </c>
      <c r="AP143" s="56" t="n">
        <f aca="false">AP59+AP66+AP91+AP95+AP96+AP79+AP89+AP97+AP58+AP108</f>
        <v>1067.23980877771</v>
      </c>
      <c r="AQ143" s="56" t="n">
        <f aca="false">AQ59+AQ66+AQ91+AQ95+AQ96+AQ79+AQ89+AQ97+AQ58+AQ108</f>
        <v>1049.388910316</v>
      </c>
      <c r="AR143" s="56" t="n">
        <f aca="false">AR59+AR66+AR91+AR95+AR96+AR79+AR89+AR97+AR58+AR108</f>
        <v>1058.40881951318</v>
      </c>
      <c r="AS143" s="56" t="n">
        <f aca="false">AS59+AS66+AS91+AS95+AS96+AS79+AS89+AS97+AS58+AS108</f>
        <v>1067.3868031979</v>
      </c>
      <c r="AT143" s="56" t="n">
        <f aca="false">AT59+AT66+AT91+AT95+AT96+AT79+AT89+AT97+AT58+AT108</f>
        <v>1063.3449793544</v>
      </c>
      <c r="AU143" s="56" t="n">
        <f aca="false">AU59+AU66+AU91+AU95+AU96+AU79+AU89+AU97+AU58+AU108</f>
        <v>1055.81597487185</v>
      </c>
      <c r="AV143" s="56" t="n">
        <f aca="false">AV59+AV66+AV91+AV95+AV96+AV79+AV89+AV97+AV58+AV108</f>
        <v>1054.28923378783</v>
      </c>
      <c r="AW143" s="56" t="n">
        <f aca="false">AW59+AW66+AW91+AW95+AW96+AW79+AW89+AW97+AW58+AW108</f>
        <v>1063.22375937061</v>
      </c>
      <c r="AX143" s="56" t="n">
        <f aca="false">AX59+AX66+AX91+AX95+AX96+AX79+AX89+AX97+AX58+AX108</f>
        <v>1059.10076250515</v>
      </c>
      <c r="AY143" s="56" t="n">
        <f aca="false">AY59+AY66+AY91+AY95+AY96+AY79+AY89+AY97+AY58+AY108</f>
        <v>1040.93761145785</v>
      </c>
      <c r="AZ143" s="56" t="n">
        <f aca="false">AZ59+AZ66+AZ91+AZ95+AZ96+AZ79+AZ89+AZ97+AZ58+AZ108</f>
        <v>1049.86913813867</v>
      </c>
      <c r="BA143" s="56" t="n">
        <f aca="false">BA59+BA66+BA91+BA95+BA96+BA79+BA89+BA97+BA58+BA108</f>
        <v>1058.75734803058</v>
      </c>
      <c r="BB143" s="56" t="n">
        <f aca="false">BB59+BB66+BB91+BB95+BB96+BB79+BB89+BB97+BB58+BB108</f>
        <v>1054.5509778099</v>
      </c>
      <c r="BC143" s="56" t="n">
        <f aca="false">BC59+BC66+BC91+BC95+BC96+BC79+BC89+BC97+BC58+BC108</f>
        <v>1036.22696191651</v>
      </c>
      <c r="BD143" s="56" t="n">
        <f aca="false">BD59+BD66+BD91+BD95+BD96+BD79+BD89+BD97+BD58+BD108</f>
        <v>1045.10966370716</v>
      </c>
      <c r="BE143" s="56" t="n">
        <f aca="false">BE59+BE66+BE91+BE95+BE96+BE79+BE89+BE97+BE58+BE108</f>
        <v>1053.94832138633</v>
      </c>
      <c r="BF143" s="56" t="n">
        <f aca="false">BF59+BF66+BF91+BF95+BF96+BF79+BF89+BF97+BF58+BF108</f>
        <v>1049.65602202331</v>
      </c>
      <c r="BG143" s="56" t="n">
        <f aca="false">BG59+BG66+BG91+BG95+BG96+BG79+BG89+BG97+BG58+BG108</f>
        <v>1031.16776100808</v>
      </c>
      <c r="BH143" s="56" t="n">
        <f aca="false">BH59+BH66+BH91+BH95+BH96+BH79+BH89+BH97+BH58+BH108</f>
        <v>1039.99830506568</v>
      </c>
      <c r="BI143" s="56" t="n">
        <f aca="false">BI59+BI66+BI91+BI95+BI96+BI79+BI89+BI97+BI58+BI108</f>
        <v>1048.7840546085</v>
      </c>
      <c r="BJ143" s="56" t="n">
        <f aca="false">BJ59+BJ66+BJ91+BJ95+BJ96+BJ79+BJ89+BJ97+BJ58+BJ108</f>
        <v>1044.40317768032</v>
      </c>
      <c r="BK143" s="56" t="n">
        <f aca="false">BK59+BK66+BK91+BK95+BK96+BK79+BK89+BK97+BK58+BK108</f>
        <v>1036.30085910819</v>
      </c>
      <c r="BL143" s="56" t="n">
        <f aca="false">BL59+BL66+BL91+BL95+BL96+BL79+BL89+BL97+BL58+BL108</f>
        <v>1034.49405144777</v>
      </c>
      <c r="BM143" s="56" t="n">
        <f aca="false">BM59+BM66+BM91+BM95+BM96+BM79+BM89+BM97+BM58+BM108</f>
        <v>1043.22313711164</v>
      </c>
      <c r="BN143" s="56" t="n">
        <f aca="false">BN59+BN66+BN91+BN95+BN96+BN79+BN89+BN97+BN58+BN108</f>
        <v>1038.75065913417</v>
      </c>
      <c r="BO143" s="56" t="n">
        <f aca="false">BO59+BO66+BO91+BO95+BO96+BO79+BO89+BO97+BO58+BO108</f>
        <v>1019.92305816477</v>
      </c>
      <c r="BP143" s="56" t="n">
        <f aca="false">BP59+BP66+BP91+BP95+BP96+BP79+BP89+BP97+BP58+BP108</f>
        <v>1028.63850835743</v>
      </c>
      <c r="BQ143" s="56" t="n">
        <f aca="false">BQ59+BQ66+BQ91+BQ95+BQ96+BQ79+BQ89+BQ97+BQ58+BQ108</f>
        <v>1037.30758768783</v>
      </c>
      <c r="BR143" s="56" t="n">
        <f aca="false">BR59+BR66+BR91+BR95+BR96+BR79+BR89+BR97+BR58+BR108</f>
        <v>1032.7409319943</v>
      </c>
      <c r="BS143" s="56" t="n">
        <f aca="false">BS59+BS66+BS91+BS95+BS96+BS79+BS89+BS97+BS58+BS108</f>
        <v>1013.73828329197</v>
      </c>
      <c r="BT143" s="56" t="n">
        <f aca="false">BT59+BT66+BT91+BT95+BT96+BT79+BT89+BT97+BT58+BT108</f>
        <v>1022.39081161493</v>
      </c>
      <c r="BU143" s="56" t="n">
        <f aca="false">BU59+BU66+BU91+BU95+BU96+BU79+BU89+BU97+BU58+BU108</f>
        <v>1030.99614398252</v>
      </c>
      <c r="BV143" s="56" t="n">
        <f aca="false">BV59+BV66+BV91+BV95+BV96+BV79+BV89+BV97+BV58+BV108</f>
        <v>1026.33236206429</v>
      </c>
      <c r="BW143" s="56" t="n">
        <f aca="false">BW59+BW66+BW91+BW95+BW96+BW79+BW89+BW97+BW58+BW108</f>
        <v>1007.15083803024</v>
      </c>
      <c r="BX143" s="56" t="n">
        <f aca="false">BX59+BX66+BX91+BX95+BX96+BX79+BX89+BX97+BX58+BX108</f>
        <v>1015.73659328711</v>
      </c>
      <c r="BY143" s="56" t="n">
        <f aca="false">BY59+BY66+BY91+BY95+BY96+BY79+BY89+BY97+BY58+BY108</f>
        <v>1024.27430073573</v>
      </c>
      <c r="BZ143" s="56" t="n">
        <f aca="false">BZ59+BZ66+BZ91+BZ95+BZ96+BZ79+BZ89+BZ97+BZ58+BZ108</f>
        <v>1019.51033646602</v>
      </c>
      <c r="CA143" s="56" t="n">
        <f aca="false">CA59+CA66+CA91+CA95+CA96+CA79+CA89+CA97+CA58+CA108</f>
        <v>1010.76370501708</v>
      </c>
      <c r="CB143" s="56" t="n">
        <f aca="false">CB59+CB66+CB91+CB95+CB96+CB79+CB89+CB97+CB58+CB108</f>
        <v>1008.63274230787</v>
      </c>
      <c r="CC143" s="56" t="n">
        <f aca="false">CC59+CC66+CC91+CC95+CC96+CC79+CC89+CC97+CC58+CC108</f>
        <v>1017.09852680721</v>
      </c>
      <c r="CD143" s="56" t="n">
        <f aca="false">CD59+CD66+CD91+CD95+CD96+CD79+CD89+CD97+CD58+CD108</f>
        <v>1012.23093174033</v>
      </c>
      <c r="CE143" s="56" t="n">
        <f aca="false">CE59+CE66+CE91+CE95+CE96+CE79+CE89+CE97+CE58+CE108</f>
        <v>992.679398466994</v>
      </c>
      <c r="CF143" s="56" t="n">
        <f aca="false">CF59+CF66+CF91+CF95+CF96+CF79+CF89+CF97+CF58+CF108</f>
        <v>1001.11919799225</v>
      </c>
      <c r="CG143" s="56" t="n">
        <f aca="false">CG59+CG66+CG91+CG95+CG96+CG79+CG89+CG97+CG58+CG108</f>
        <v>1009.50915882733</v>
      </c>
      <c r="CH143" s="56" t="n">
        <f aca="false">CH59+CH66+CH91+CH95+CH96+CH79+CH89+CH97+CH58+CH108</f>
        <v>1004.53491848135</v>
      </c>
      <c r="CI143" s="56" t="n">
        <f aca="false">CI59+CI66+CI91+CI95+CI96+CI79+CI89+CI97+CI58+CI108</f>
        <v>984.792265894847</v>
      </c>
      <c r="CJ143" s="56" t="n">
        <f aca="false">CJ59+CJ66+CJ91+CJ95+CJ96+CJ79+CJ89+CJ97+CJ58+CJ108</f>
        <v>993.15285975898</v>
      </c>
      <c r="CK143" s="56" t="n">
        <f aca="false">CK59+CK66+CK91+CK95+CK96+CK79+CK89+CK97+CK58+CK108</f>
        <v>1001.46267646635</v>
      </c>
      <c r="CL143" s="56" t="n">
        <f aca="false">CL59+CL66+CL91+CL95+CL96+CL79+CL89+CL97+CL58+CL108</f>
        <v>996.378386089547</v>
      </c>
      <c r="CM143" s="56" t="n">
        <f aca="false">CM59+CM66+CM91+CM95+CM96+CM79+CM89+CM97+CM58+CM108</f>
        <v>976.440270925493</v>
      </c>
      <c r="CN143" s="56" t="n">
        <f aca="false">CN59+CN66+CN91+CN95+CN96+CN79+CN89+CN97+CN58+CN108</f>
        <v>984.717211694837</v>
      </c>
      <c r="CO143" s="56" t="n">
        <f aca="false">CO59+CO66+CO91+CO95+CO96+CO79+CO89+CO97+CO58+CO108</f>
        <v>992.942405791612</v>
      </c>
      <c r="CP143" s="56" t="n">
        <f aca="false">CP59+CP66+CP91+CP95+CP96+CP79+CP89+CP97+CP58+CP108</f>
        <v>987.744535559406</v>
      </c>
      <c r="CQ143" s="56" t="n">
        <f aca="false">CQ59+CQ66+CQ91+CQ95+CQ96+CQ79+CQ89+CQ97+CQ58+CQ108</f>
        <v>978.272977224399</v>
      </c>
      <c r="CR143" s="56" t="n">
        <f aca="false">CR59+CR66+CR91+CR95+CR96+CR79+CR89+CR97+CR58+CR108</f>
        <v>975.766786855006</v>
      </c>
      <c r="CS143" s="56" t="n">
        <f aca="false">CS59+CS66+CS91+CS95+CS96+CS79+CS89+CS97+CS58+CS108</f>
        <v>1932.67397250266</v>
      </c>
      <c r="CT143" s="56" t="n">
        <f aca="false">CT59+CT66+CT91+CT95+CT96+CT79+CT89+CT97+CT58+CT108</f>
        <v>1820.54291781078</v>
      </c>
      <c r="CU143" s="56" t="n">
        <f aca="false">CU59+CU66+CU91+CU95+CU96+CU79+CU89+CU97+CU58+CU108</f>
        <v>1787.53861493413</v>
      </c>
      <c r="CV143" s="56" t="n">
        <f aca="false">CV59+CV66+CV91+CV95+CV96+CV79+CV89+CV97+CV58+CV108</f>
        <v>1807.40015510007</v>
      </c>
      <c r="CW143" s="56" t="n">
        <f aca="false">CW59+CW66+CW91+CW95+CW96+CW79+CW89+CW97+CW58+CW108</f>
        <v>1827.261695266</v>
      </c>
      <c r="CX143" s="56" t="n">
        <f aca="false">CX59+CX66+CX91+CX95+CX96+CX79+CX89+CX97+CX58+CX108</f>
        <v>1822.1500941112</v>
      </c>
      <c r="CY143" s="56" t="n">
        <f aca="false">CY59+CY66+CY91+CY95+CY96+CY79+CY89+CY97+CY58+CY108</f>
        <v>1788.95290510507</v>
      </c>
      <c r="CZ143" s="56" t="n">
        <f aca="false">CZ59+CZ66+CZ91+CZ95+CZ96+CZ79+CZ89+CZ97+CZ58+CZ108</f>
        <v>1808.83015960624</v>
      </c>
      <c r="DA143" s="56" t="n">
        <f aca="false">DA59+DA66+DA91+DA95+DA96+DA79+DA89+DA97+DA58+DA108</f>
        <v>1828.70741410741</v>
      </c>
      <c r="DB143" s="56" t="n">
        <f aca="false">DB59+DB66+DB91+DB95+DB96+DB79+DB89+DB97+DB58+DB108</f>
        <v>1351.75211954894</v>
      </c>
      <c r="DC143" s="56" t="n">
        <f aca="false">DC59+DC66+DC91+DC95+DC96+DC79+DC89+DC97+DC58+DC108</f>
        <v>1328.61699672919</v>
      </c>
      <c r="DD143" s="56" t="n">
        <f aca="false">DD59+DD66+DD91+DD95+DD96+DD79+DD89+DD97+DD58+DD108</f>
        <v>1343.37940780396</v>
      </c>
      <c r="DE143" s="56" t="n">
        <f aca="false">DE59+DE66+DE91+DE95+DE96+DE79+DE89+DE97+DE58+DE108</f>
        <v>1358.14181887873</v>
      </c>
      <c r="DF143" s="56" t="n">
        <f aca="false">DF59+DF66+DF91+DF95+DF96+DF79+DF89+DF97+DF58+DF108</f>
        <v>1352.96922160651</v>
      </c>
      <c r="DG143" s="56" t="n">
        <f aca="false">DG59+DG66+DG91+DG95+DG96+DG79+DG89+DG97+DG58+DG108</f>
        <v>1344.41122217711</v>
      </c>
      <c r="DH143" s="56" t="n">
        <f aca="false">DH59+DH66+DH91+DH95+DH96+DH79+DH89+DH97+DH58+DH108</f>
        <v>1344.41122217711</v>
      </c>
      <c r="DI143" s="56" t="n">
        <f aca="false">DI59+DI66+DI91+DI95+DI96+DI79+DI89+DI97+DI58+DI108</f>
        <v>1359.18497187136</v>
      </c>
      <c r="DJ143" s="56" t="n">
        <f aca="false">DJ59+DJ66+DJ91+DJ95+DJ96+DJ79+DJ89+DJ97+DJ58+DJ108</f>
        <v>1353.98179084478</v>
      </c>
      <c r="DK143" s="56" t="n">
        <f aca="false">DK59+DK66+DK91+DK95+DK96+DK79+DK89+DK97+DK58+DK108</f>
        <v>1330.45150532208</v>
      </c>
      <c r="DL143" s="56" t="n">
        <f aca="false">DL59+DL66+DL91+DL95+DL96+DL79+DL89+DL97+DL58+DL108</f>
        <v>1345.23429982566</v>
      </c>
      <c r="DM143" s="56" t="n">
        <f aca="false">DM59+DM66+DM91+DM95+DM96+DM79+DM89+DM97+DM58+DM108</f>
        <v>1360.01709432924</v>
      </c>
      <c r="DN143" s="56" t="n">
        <f aca="false">DN59+DN66+DN91+DN95+DN96+DN79+DN89+DN97+DN58+DN108</f>
        <v>1354.78327628251</v>
      </c>
      <c r="DO143" s="56" t="n">
        <f aca="false">DO59+DO66+DO91+DO95+DO96+DO79+DO89+DO97+DO58+DO108</f>
        <v>1331.05251690687</v>
      </c>
      <c r="DP143" s="56" t="n">
        <f aca="false">DP59+DP66+DP91+DP95+DP96+DP79+DP89+DP97+DP58+DP108</f>
        <v>1345.84198931695</v>
      </c>
      <c r="DQ143" s="56" t="n">
        <f aca="false">DQ59+DQ66+DQ91+DQ95+DQ96+DQ79+DQ89+DQ97+DQ58+DQ108</f>
        <v>1360.63146172703</v>
      </c>
      <c r="DR143" s="56" t="n">
        <f aca="false">DR59+DR66+DR91+DR95+DR96+DR79+DR89+DR97+DR58+DR108</f>
        <v>1355.36695640901</v>
      </c>
      <c r="DS143" s="56" t="n">
        <f aca="false">DS59+DS66+DS91+DS95+DS96+DS79+DS89+DS97+DS58+DS108</f>
        <v>1331.43375783812</v>
      </c>
      <c r="DT143" s="56" t="n">
        <f aca="false">DT59+DT66+DT91+DT95+DT96+DT79+DT89+DT97+DT58+DT108</f>
        <v>1346.22746625854</v>
      </c>
      <c r="DU143" s="56" t="n">
        <f aca="false">DU59+DU66+DU91+DU95+DU96+DU79+DU89+DU97+DU58+DU108</f>
        <v>1361.02117467897</v>
      </c>
      <c r="DV143" s="56" t="n">
        <f aca="false">DV59+DV66+DV91+DV95+DV96+DV79+DV89+DV97+DV58+DV108</f>
        <v>1355.72593494877</v>
      </c>
      <c r="DW143" s="56" t="n">
        <f aca="false">DW59+DW66+DW91+DW95+DW96+DW79+DW89+DW97+DW58+DW108</f>
        <v>1346.38372900372</v>
      </c>
      <c r="DX143" s="56" t="n">
        <f aca="false">DX59+DX66+DX91+DX95+DX96+DX79+DX89+DX97+DX58+DX108</f>
        <v>1346.38372900372</v>
      </c>
      <c r="DY143" s="56" t="n">
        <f aca="false">DY59+DY66+DY91+DY95+DY96+DY79+DY89+DY97+DY58+DY108</f>
        <v>1361.17915459717</v>
      </c>
      <c r="DZ143" s="56" t="n">
        <f aca="false">DZ59+DZ66+DZ91+DZ95+DZ96+DZ79+DZ89+DZ97+DZ58+DZ108</f>
        <v>1355.85313652207</v>
      </c>
      <c r="EA143" s="56" t="n">
        <f aca="false">EA59+EA66+EA91+EA95+EA96+EA79+EA89+EA97+EA58+EA108</f>
        <v>1331.50904925967</v>
      </c>
      <c r="EB143" s="56" t="n">
        <f aca="false">EB59+EB66+EB91+EB95+EB96+EB79+EB89+EB97+EB58+EB108</f>
        <v>1346.30359425145</v>
      </c>
      <c r="EC143" s="56" t="n">
        <f aca="false">EC59+EC66+EC91+EC95+EC96+EC79+EC89+EC97+EC58+EC108</f>
        <v>1361.09813924322</v>
      </c>
      <c r="ED143" s="56" t="n">
        <f aca="false">ED59+ED66+ED91+ED95+ED96+ED79+ED89+ED97+ED58+ED108</f>
        <v>1355.7413021989</v>
      </c>
      <c r="EE143" s="56" t="n">
        <f aca="false">EE59+EE66+EE91+EE95+EE96+EE79+EE89+EE97+EE58+EE108</f>
        <v>1331.18870690596</v>
      </c>
      <c r="EF143" s="56" t="n">
        <f aca="false">EF59+EF66+EF91+EF95+EF96+EF79+EF89+EF97+EF58+EF108</f>
        <v>1345.97969253824</v>
      </c>
      <c r="EG143" s="56" t="n">
        <f aca="false">EG59+EG66+EG91+EG95+EG96+EG79+EG89+EG97+EG58+EG108</f>
        <v>1360.77067817053</v>
      </c>
      <c r="EH143" s="56" t="n">
        <f aca="false">EH59+EH66+EH91+EH95+EH96+EH79+EH89+EH97+EH58+EH108</f>
        <v>1355.38298494376</v>
      </c>
      <c r="EI143" s="56" t="n">
        <f aca="false">EI59+EI66+EI91+EI95+EI96+EI79+EI89+EI97+EI58+EI108</f>
        <v>1330.61979918396</v>
      </c>
      <c r="EJ143" s="56" t="n">
        <f aca="false">EJ59+EJ66+EJ91+EJ95+EJ96+EJ79+EJ89+EJ97+EJ58+EJ108</f>
        <v>1345.40446361934</v>
      </c>
      <c r="EK143" s="56" t="n">
        <f aca="false">EK59+EK66+EK91+EK95+EK96+EK79+EK89+EK97+EK58+EK108</f>
        <v>1360.18912805472</v>
      </c>
      <c r="EL143" s="56" t="n">
        <f aca="false">EL59+EL66+EL91+EL95+EL96+EL79+EL89+EL97+EL58+EL108</f>
        <v>1354.77054494849</v>
      </c>
      <c r="EM143" s="56" t="n">
        <f aca="false">EM59+EM66+EM91+EM95+EM96+EM79+EM89+EM97+EM58+EM108</f>
        <v>1344.57015173635</v>
      </c>
      <c r="EN143" s="56" t="n">
        <f aca="false">EN59+EN66+EN91+EN95+EN96+EN79+EN89+EN97+EN58+EN108</f>
        <v>1344.57015173635</v>
      </c>
      <c r="EO143" s="56" t="n">
        <f aca="false">EO59+EO66+EO91+EO95+EO96+EO79+EO89+EO97+EO58+EO108</f>
        <v>1359.34564790928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0.0905083310230022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3.43770962247376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4134.74323761697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381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485</v>
      </c>
      <c r="F9" s="8" t="s">
        <v>486</v>
      </c>
    </row>
    <row r="11" customFormat="false" ht="15" hidden="false" customHeight="false" outlineLevel="0" collapsed="false">
      <c r="A11" s="9" t="s">
        <v>13</v>
      </c>
      <c r="B11" s="9"/>
      <c r="C11" s="9" t="s">
        <v>487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488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489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490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491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492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493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494</v>
      </c>
      <c r="D18" s="11" t="s">
        <v>43</v>
      </c>
      <c r="E18" s="27" t="str">
        <f aca="false">IF(F18=0,"OK","CHECK")</f>
        <v>OK</v>
      </c>
      <c r="F18" s="49" t="n">
        <f aca="false">N(Calc_1!$F85&gt;1+Tolerance)</f>
        <v>0</v>
      </c>
    </row>
    <row r="19" customFormat="false" ht="15" hidden="false" customHeight="false" outlineLevel="0" collapsed="false">
      <c r="C19" s="0" t="s">
        <v>495</v>
      </c>
      <c r="D19" s="11" t="s">
        <v>43</v>
      </c>
      <c r="E19" s="27" t="str">
        <f aca="false">IF(F19=0,"OK","CHECK")</f>
        <v>OK</v>
      </c>
      <c r="F19" s="49" t="n">
        <f aca="false">N(Calc_2!$F85&gt;1+Tolerance)</f>
        <v>0</v>
      </c>
    </row>
    <row r="20" customFormat="false" ht="15" hidden="false" customHeight="false" outlineLevel="0" collapsed="false">
      <c r="C20" s="0" t="s">
        <v>496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N((Calc_1!J$4&gt;=Calc_1!$F17)*ABS(Calc_1!J94)&gt;Tolerance)</f>
        <v>0</v>
      </c>
      <c r="K20" s="49" t="n">
        <f aca="false">N((Calc_1!K$4&gt;=Calc_1!$F17)*ABS(Calc_1!K94)&gt;Tolerance)</f>
        <v>0</v>
      </c>
      <c r="L20" s="49" t="n">
        <f aca="false">N((Calc_1!L$4&gt;=Calc_1!$F17)*ABS(Calc_1!L94)&gt;Tolerance)</f>
        <v>0</v>
      </c>
      <c r="M20" s="49" t="n">
        <f aca="false">N((Calc_1!M$4&gt;=Calc_1!$F17)*ABS(Calc_1!M94)&gt;Tolerance)</f>
        <v>0</v>
      </c>
      <c r="N20" s="49" t="n">
        <f aca="false">N((Calc_1!N$4&gt;=Calc_1!$F17)*ABS(Calc_1!N94)&gt;Tolerance)</f>
        <v>0</v>
      </c>
      <c r="O20" s="49" t="n">
        <f aca="false">N((Calc_1!O$4&gt;=Calc_1!$F17)*ABS(Calc_1!O94)&gt;Tolerance)</f>
        <v>0</v>
      </c>
      <c r="P20" s="49" t="n">
        <f aca="false">N((Calc_1!P$4&gt;=Calc_1!$F17)*ABS(Calc_1!P94)&gt;Tolerance)</f>
        <v>0</v>
      </c>
      <c r="Q20" s="49" t="n">
        <f aca="false">N((Calc_1!Q$4&gt;=Calc_1!$F17)*ABS(Calc_1!Q94)&gt;Tolerance)</f>
        <v>0</v>
      </c>
      <c r="R20" s="49" t="n">
        <f aca="false">N((Calc_1!R$4&gt;=Calc_1!$F17)*ABS(Calc_1!R94)&gt;Tolerance)</f>
        <v>0</v>
      </c>
      <c r="S20" s="49" t="n">
        <f aca="false">N((Calc_1!S$4&gt;=Calc_1!$F17)*ABS(Calc_1!S94)&gt;Tolerance)</f>
        <v>0</v>
      </c>
      <c r="T20" s="49" t="n">
        <f aca="false">N((Calc_1!T$4&gt;=Calc_1!$F17)*ABS(Calc_1!T94)&gt;Tolerance)</f>
        <v>0</v>
      </c>
      <c r="U20" s="49" t="n">
        <f aca="false">N((Calc_1!U$4&gt;=Calc_1!$F17)*ABS(Calc_1!U94)&gt;Tolerance)</f>
        <v>0</v>
      </c>
      <c r="V20" s="49" t="n">
        <f aca="false">N((Calc_1!V$4&gt;=Calc_1!$F17)*ABS(Calc_1!V94)&gt;Tolerance)</f>
        <v>0</v>
      </c>
      <c r="W20" s="49" t="n">
        <f aca="false">N((Calc_1!W$4&gt;=Calc_1!$F17)*ABS(Calc_1!W94)&gt;Tolerance)</f>
        <v>0</v>
      </c>
      <c r="X20" s="49" t="n">
        <f aca="false">N((Calc_1!X$4&gt;=Calc_1!$F17)*ABS(Calc_1!X94)&gt;Tolerance)</f>
        <v>0</v>
      </c>
      <c r="Y20" s="49" t="n">
        <f aca="false">N((Calc_1!Y$4&gt;=Calc_1!$F17)*ABS(Calc_1!Y94)&gt;Tolerance)</f>
        <v>0</v>
      </c>
      <c r="Z20" s="49" t="n">
        <f aca="false">N((Calc_1!Z$4&gt;=Calc_1!$F17)*ABS(Calc_1!Z94)&gt;Tolerance)</f>
        <v>0</v>
      </c>
      <c r="AA20" s="49" t="n">
        <f aca="false">N((Calc_1!AA$4&gt;=Calc_1!$F17)*ABS(Calc_1!AA94)&gt;Tolerance)</f>
        <v>0</v>
      </c>
      <c r="AB20" s="49" t="n">
        <f aca="false">N((Calc_1!AB$4&gt;=Calc_1!$F17)*ABS(Calc_1!AB94)&gt;Tolerance)</f>
        <v>0</v>
      </c>
      <c r="AC20" s="49" t="n">
        <f aca="false">N((Calc_1!AC$4&gt;=Calc_1!$F17)*ABS(Calc_1!AC94)&gt;Tolerance)</f>
        <v>0</v>
      </c>
      <c r="AD20" s="49" t="n">
        <f aca="false">N((Calc_1!AD$4&gt;=Calc_1!$F17)*ABS(Calc_1!AD94)&gt;Tolerance)</f>
        <v>0</v>
      </c>
      <c r="AE20" s="49" t="n">
        <f aca="false">N((Calc_1!AE$4&gt;=Calc_1!$F17)*ABS(Calc_1!AE94)&gt;Tolerance)</f>
        <v>0</v>
      </c>
      <c r="AF20" s="49" t="n">
        <f aca="false">N((Calc_1!AF$4&gt;=Calc_1!$F17)*ABS(Calc_1!AF94)&gt;Tolerance)</f>
        <v>0</v>
      </c>
      <c r="AG20" s="49" t="n">
        <f aca="false">N((Calc_1!AG$4&gt;=Calc_1!$F17)*ABS(Calc_1!AG94)&gt;Tolerance)</f>
        <v>0</v>
      </c>
      <c r="AH20" s="49" t="n">
        <f aca="false">N((Calc_1!AH$4&gt;=Calc_1!$F17)*ABS(Calc_1!AH94)&gt;Tolerance)</f>
        <v>0</v>
      </c>
      <c r="AI20" s="49" t="n">
        <f aca="false">N((Calc_1!AI$4&gt;=Calc_1!$F17)*ABS(Calc_1!AI94)&gt;Tolerance)</f>
        <v>0</v>
      </c>
      <c r="AJ20" s="49" t="n">
        <f aca="false">N((Calc_1!AJ$4&gt;=Calc_1!$F17)*ABS(Calc_1!AJ94)&gt;Tolerance)</f>
        <v>0</v>
      </c>
      <c r="AK20" s="49" t="n">
        <f aca="false">N((Calc_1!AK$4&gt;=Calc_1!$F17)*ABS(Calc_1!AK94)&gt;Tolerance)</f>
        <v>0</v>
      </c>
      <c r="AL20" s="49" t="n">
        <f aca="false">N((Calc_1!AL$4&gt;=Calc_1!$F17)*ABS(Calc_1!AL94)&gt;Tolerance)</f>
        <v>0</v>
      </c>
      <c r="AM20" s="49" t="n">
        <f aca="false">N((Calc_1!AM$4&gt;=Calc_1!$F17)*ABS(Calc_1!AM94)&gt;Tolerance)</f>
        <v>0</v>
      </c>
      <c r="AN20" s="49" t="n">
        <f aca="false">N((Calc_1!AN$4&gt;=Calc_1!$F17)*ABS(Calc_1!AN94)&gt;Tolerance)</f>
        <v>0</v>
      </c>
      <c r="AO20" s="49" t="n">
        <f aca="false">N((Calc_1!AO$4&gt;=Calc_1!$F17)*ABS(Calc_1!AO94)&gt;Tolerance)</f>
        <v>0</v>
      </c>
      <c r="AP20" s="49" t="n">
        <f aca="false">N((Calc_1!AP$4&gt;=Calc_1!$F17)*ABS(Calc_1!AP94)&gt;Tolerance)</f>
        <v>0</v>
      </c>
      <c r="AQ20" s="49" t="n">
        <f aca="false">N((Calc_1!AQ$4&gt;=Calc_1!$F17)*ABS(Calc_1!AQ94)&gt;Tolerance)</f>
        <v>0</v>
      </c>
      <c r="AR20" s="49" t="n">
        <f aca="false">N((Calc_1!AR$4&gt;=Calc_1!$F17)*ABS(Calc_1!AR94)&gt;Tolerance)</f>
        <v>0</v>
      </c>
      <c r="AS20" s="49" t="n">
        <f aca="false">N((Calc_1!AS$4&gt;=Calc_1!$F17)*ABS(Calc_1!AS94)&gt;Tolerance)</f>
        <v>0</v>
      </c>
      <c r="AT20" s="49" t="n">
        <f aca="false">N((Calc_1!AT$4&gt;=Calc_1!$F17)*ABS(Calc_1!AT94)&gt;Tolerance)</f>
        <v>0</v>
      </c>
      <c r="AU20" s="49" t="n">
        <f aca="false">N((Calc_1!AU$4&gt;=Calc_1!$F17)*ABS(Calc_1!AU94)&gt;Tolerance)</f>
        <v>0</v>
      </c>
      <c r="AV20" s="49" t="n">
        <f aca="false">N((Calc_1!AV$4&gt;=Calc_1!$F17)*ABS(Calc_1!AV94)&gt;Tolerance)</f>
        <v>0</v>
      </c>
      <c r="AW20" s="49" t="n">
        <f aca="false">N((Calc_1!AW$4&gt;=Calc_1!$F17)*ABS(Calc_1!AW94)&gt;Tolerance)</f>
        <v>0</v>
      </c>
      <c r="AX20" s="49" t="n">
        <f aca="false">N((Calc_1!AX$4&gt;=Calc_1!$F17)*ABS(Calc_1!AX94)&gt;Tolerance)</f>
        <v>0</v>
      </c>
      <c r="AY20" s="49" t="n">
        <f aca="false">N((Calc_1!AY$4&gt;=Calc_1!$F17)*ABS(Calc_1!AY94)&gt;Tolerance)</f>
        <v>0</v>
      </c>
      <c r="AZ20" s="49" t="n">
        <f aca="false">N((Calc_1!AZ$4&gt;=Calc_1!$F17)*ABS(Calc_1!AZ94)&gt;Tolerance)</f>
        <v>0</v>
      </c>
      <c r="BA20" s="49" t="n">
        <f aca="false">N((Calc_1!BA$4&gt;=Calc_1!$F17)*ABS(Calc_1!BA94)&gt;Tolerance)</f>
        <v>0</v>
      </c>
      <c r="BB20" s="49" t="n">
        <f aca="false">N((Calc_1!BB$4&gt;=Calc_1!$F17)*ABS(Calc_1!BB94)&gt;Tolerance)</f>
        <v>0</v>
      </c>
      <c r="BC20" s="49" t="n">
        <f aca="false">N((Calc_1!BC$4&gt;=Calc_1!$F17)*ABS(Calc_1!BC94)&gt;Tolerance)</f>
        <v>0</v>
      </c>
      <c r="BD20" s="49" t="n">
        <f aca="false">N((Calc_1!BD$4&gt;=Calc_1!$F17)*ABS(Calc_1!BD94)&gt;Tolerance)</f>
        <v>0</v>
      </c>
      <c r="BE20" s="49" t="n">
        <f aca="false">N((Calc_1!BE$4&gt;=Calc_1!$F17)*ABS(Calc_1!BE94)&gt;Tolerance)</f>
        <v>0</v>
      </c>
      <c r="BF20" s="49" t="n">
        <f aca="false">N((Calc_1!BF$4&gt;=Calc_1!$F17)*ABS(Calc_1!BF94)&gt;Tolerance)</f>
        <v>0</v>
      </c>
      <c r="BG20" s="49" t="n">
        <f aca="false">N((Calc_1!BG$4&gt;=Calc_1!$F17)*ABS(Calc_1!BG94)&gt;Tolerance)</f>
        <v>0</v>
      </c>
      <c r="BH20" s="49" t="n">
        <f aca="false">N((Calc_1!BH$4&gt;=Calc_1!$F17)*ABS(Calc_1!BH94)&gt;Tolerance)</f>
        <v>0</v>
      </c>
      <c r="BI20" s="49" t="n">
        <f aca="false">N((Calc_1!BI$4&gt;=Calc_1!$F17)*ABS(Calc_1!BI94)&gt;Tolerance)</f>
        <v>0</v>
      </c>
      <c r="BJ20" s="49" t="n">
        <f aca="false">N((Calc_1!BJ$4&gt;=Calc_1!$F17)*ABS(Calc_1!BJ94)&gt;Tolerance)</f>
        <v>0</v>
      </c>
      <c r="BK20" s="49" t="n">
        <f aca="false">N((Calc_1!BK$4&gt;=Calc_1!$F17)*ABS(Calc_1!BK94)&gt;Tolerance)</f>
        <v>0</v>
      </c>
      <c r="BL20" s="49" t="n">
        <f aca="false">N((Calc_1!BL$4&gt;=Calc_1!$F17)*ABS(Calc_1!BL94)&gt;Tolerance)</f>
        <v>0</v>
      </c>
      <c r="BM20" s="49" t="n">
        <f aca="false">N((Calc_1!BM$4&gt;=Calc_1!$F17)*ABS(Calc_1!BM94)&gt;Tolerance)</f>
        <v>0</v>
      </c>
      <c r="BN20" s="49" t="n">
        <f aca="false">N((Calc_1!BN$4&gt;=Calc_1!$F17)*ABS(Calc_1!BN94)&gt;Tolerance)</f>
        <v>0</v>
      </c>
      <c r="BO20" s="49" t="n">
        <f aca="false">N((Calc_1!BO$4&gt;=Calc_1!$F17)*ABS(Calc_1!BO94)&gt;Tolerance)</f>
        <v>0</v>
      </c>
      <c r="BP20" s="49" t="n">
        <f aca="false">N((Calc_1!BP$4&gt;=Calc_1!$F17)*ABS(Calc_1!BP94)&gt;Tolerance)</f>
        <v>0</v>
      </c>
      <c r="BQ20" s="49" t="n">
        <f aca="false">N((Calc_1!BQ$4&gt;=Calc_1!$F17)*ABS(Calc_1!BQ94)&gt;Tolerance)</f>
        <v>0</v>
      </c>
      <c r="BR20" s="49" t="n">
        <f aca="false">N((Calc_1!BR$4&gt;=Calc_1!$F17)*ABS(Calc_1!BR94)&gt;Tolerance)</f>
        <v>0</v>
      </c>
      <c r="BS20" s="49" t="n">
        <f aca="false">N((Calc_1!BS$4&gt;=Calc_1!$F17)*ABS(Calc_1!BS94)&gt;Tolerance)</f>
        <v>0</v>
      </c>
      <c r="BT20" s="49" t="n">
        <f aca="false">N((Calc_1!BT$4&gt;=Calc_1!$F17)*ABS(Calc_1!BT94)&gt;Tolerance)</f>
        <v>0</v>
      </c>
      <c r="BU20" s="49" t="n">
        <f aca="false">N((Calc_1!BU$4&gt;=Calc_1!$F17)*ABS(Calc_1!BU94)&gt;Tolerance)</f>
        <v>0</v>
      </c>
      <c r="BV20" s="49" t="n">
        <f aca="false">N((Calc_1!BV$4&gt;=Calc_1!$F17)*ABS(Calc_1!BV94)&gt;Tolerance)</f>
        <v>0</v>
      </c>
      <c r="BW20" s="49" t="n">
        <f aca="false">N((Calc_1!BW$4&gt;=Calc_1!$F17)*ABS(Calc_1!BW94)&gt;Tolerance)</f>
        <v>0</v>
      </c>
      <c r="BX20" s="49" t="n">
        <f aca="false">N((Calc_1!BX$4&gt;=Calc_1!$F17)*ABS(Calc_1!BX94)&gt;Tolerance)</f>
        <v>0</v>
      </c>
      <c r="BY20" s="49" t="n">
        <f aca="false">N((Calc_1!BY$4&gt;=Calc_1!$F17)*ABS(Calc_1!BY94)&gt;Tolerance)</f>
        <v>0</v>
      </c>
      <c r="BZ20" s="49" t="n">
        <f aca="false">N((Calc_1!BZ$4&gt;=Calc_1!$F17)*ABS(Calc_1!BZ94)&gt;Tolerance)</f>
        <v>0</v>
      </c>
      <c r="CA20" s="49" t="n">
        <f aca="false">N((Calc_1!CA$4&gt;=Calc_1!$F17)*ABS(Calc_1!CA94)&gt;Tolerance)</f>
        <v>0</v>
      </c>
      <c r="CB20" s="49" t="n">
        <f aca="false">N((Calc_1!CB$4&gt;=Calc_1!$F17)*ABS(Calc_1!CB94)&gt;Tolerance)</f>
        <v>0</v>
      </c>
      <c r="CC20" s="49" t="n">
        <f aca="false">N((Calc_1!CC$4&gt;=Calc_1!$F17)*ABS(Calc_1!CC94)&gt;Tolerance)</f>
        <v>0</v>
      </c>
      <c r="CD20" s="49" t="n">
        <f aca="false">N((Calc_1!CD$4&gt;=Calc_1!$F17)*ABS(Calc_1!CD94)&gt;Tolerance)</f>
        <v>0</v>
      </c>
      <c r="CE20" s="49" t="n">
        <f aca="false">N((Calc_1!CE$4&gt;=Calc_1!$F17)*ABS(Calc_1!CE94)&gt;Tolerance)</f>
        <v>0</v>
      </c>
      <c r="CF20" s="49" t="n">
        <f aca="false">N((Calc_1!CF$4&gt;=Calc_1!$F17)*ABS(Calc_1!CF94)&gt;Tolerance)</f>
        <v>0</v>
      </c>
      <c r="CG20" s="49" t="n">
        <f aca="false">N((Calc_1!CG$4&gt;=Calc_1!$F17)*ABS(Calc_1!CG94)&gt;Tolerance)</f>
        <v>0</v>
      </c>
      <c r="CH20" s="49" t="n">
        <f aca="false">N((Calc_1!CH$4&gt;=Calc_1!$F17)*ABS(Calc_1!CH94)&gt;Tolerance)</f>
        <v>0</v>
      </c>
      <c r="CI20" s="49" t="n">
        <f aca="false">N((Calc_1!CI$4&gt;=Calc_1!$F17)*ABS(Calc_1!CI94)&gt;Tolerance)</f>
        <v>0</v>
      </c>
      <c r="CJ20" s="49" t="n">
        <f aca="false">N((Calc_1!CJ$4&gt;=Calc_1!$F17)*ABS(Calc_1!CJ94)&gt;Tolerance)</f>
        <v>0</v>
      </c>
      <c r="CK20" s="49" t="n">
        <f aca="false">N((Calc_1!CK$4&gt;=Calc_1!$F17)*ABS(Calc_1!CK94)&gt;Tolerance)</f>
        <v>0</v>
      </c>
      <c r="CL20" s="49" t="n">
        <f aca="false">N((Calc_1!CL$4&gt;=Calc_1!$F17)*ABS(Calc_1!CL94)&gt;Tolerance)</f>
        <v>0</v>
      </c>
      <c r="CM20" s="49" t="n">
        <f aca="false">N((Calc_1!CM$4&gt;=Calc_1!$F17)*ABS(Calc_1!CM94)&gt;Tolerance)</f>
        <v>0</v>
      </c>
      <c r="CN20" s="49" t="n">
        <f aca="false">N((Calc_1!CN$4&gt;=Calc_1!$F17)*ABS(Calc_1!CN94)&gt;Tolerance)</f>
        <v>0</v>
      </c>
      <c r="CO20" s="49" t="n">
        <f aca="false">N((Calc_1!CO$4&gt;=Calc_1!$F17)*ABS(Calc_1!CO94)&gt;Tolerance)</f>
        <v>0</v>
      </c>
      <c r="CP20" s="49" t="n">
        <f aca="false">N((Calc_1!CP$4&gt;=Calc_1!$F17)*ABS(Calc_1!CP94)&gt;Tolerance)</f>
        <v>0</v>
      </c>
      <c r="CQ20" s="49" t="n">
        <f aca="false">N((Calc_1!CQ$4&gt;=Calc_1!$F17)*ABS(Calc_1!CQ94)&gt;Tolerance)</f>
        <v>0</v>
      </c>
      <c r="CR20" s="49" t="n">
        <f aca="false">N((Calc_1!CR$4&gt;=Calc_1!$F17)*ABS(Calc_1!CR94)&gt;Tolerance)</f>
        <v>0</v>
      </c>
      <c r="CS20" s="49" t="n">
        <f aca="false">N((Calc_1!CS$4&gt;=Calc_1!$F17)*ABS(Calc_1!CS94)&gt;Tolerance)</f>
        <v>0</v>
      </c>
      <c r="CT20" s="49" t="n">
        <f aca="false">N((Calc_1!CT$4&gt;=Calc_1!$F17)*ABS(Calc_1!CT94)&gt;Tolerance)</f>
        <v>0</v>
      </c>
      <c r="CU20" s="49" t="n">
        <f aca="false">N((Calc_1!CU$4&gt;=Calc_1!$F17)*ABS(Calc_1!CU94)&gt;Tolerance)</f>
        <v>0</v>
      </c>
      <c r="CV20" s="49" t="n">
        <f aca="false">N((Calc_1!CV$4&gt;=Calc_1!$F17)*ABS(Calc_1!CV94)&gt;Tolerance)</f>
        <v>0</v>
      </c>
      <c r="CW20" s="49" t="n">
        <f aca="false">N((Calc_1!CW$4&gt;=Calc_1!$F17)*ABS(Calc_1!CW94)&gt;Tolerance)</f>
        <v>0</v>
      </c>
      <c r="CX20" s="49" t="n">
        <f aca="false">N((Calc_1!CX$4&gt;=Calc_1!$F17)*ABS(Calc_1!CX94)&gt;Tolerance)</f>
        <v>0</v>
      </c>
      <c r="CY20" s="49" t="n">
        <f aca="false">N((Calc_1!CY$4&gt;=Calc_1!$F17)*ABS(Calc_1!CY94)&gt;Tolerance)</f>
        <v>0</v>
      </c>
      <c r="CZ20" s="49" t="n">
        <f aca="false">N((Calc_1!CZ$4&gt;=Calc_1!$F17)*ABS(Calc_1!CZ94)&gt;Tolerance)</f>
        <v>0</v>
      </c>
      <c r="DA20" s="49" t="n">
        <f aca="false">N((Calc_1!DA$4&gt;=Calc_1!$F17)*ABS(Calc_1!DA94)&gt;Tolerance)</f>
        <v>0</v>
      </c>
      <c r="DB20" s="49" t="n">
        <f aca="false">N((Calc_1!DB$4&gt;=Calc_1!$F17)*ABS(Calc_1!DB94)&gt;Tolerance)</f>
        <v>0</v>
      </c>
      <c r="DC20" s="49" t="n">
        <f aca="false">N((Calc_1!DC$4&gt;=Calc_1!$F17)*ABS(Calc_1!DC94)&gt;Tolerance)</f>
        <v>0</v>
      </c>
      <c r="DD20" s="49" t="n">
        <f aca="false">N((Calc_1!DD$4&gt;=Calc_1!$F17)*ABS(Calc_1!DD94)&gt;Tolerance)</f>
        <v>0</v>
      </c>
      <c r="DE20" s="49" t="n">
        <f aca="false">N((Calc_1!DE$4&gt;=Calc_1!$F17)*ABS(Calc_1!DE94)&gt;Tolerance)</f>
        <v>0</v>
      </c>
      <c r="DF20" s="49" t="n">
        <f aca="false">N((Calc_1!DF$4&gt;=Calc_1!$F17)*ABS(Calc_1!DF94)&gt;Tolerance)</f>
        <v>0</v>
      </c>
      <c r="DG20" s="49" t="n">
        <f aca="false">N((Calc_1!DG$4&gt;=Calc_1!$F17)*ABS(Calc_1!DG94)&gt;Tolerance)</f>
        <v>0</v>
      </c>
      <c r="DH20" s="49" t="n">
        <f aca="false">N((Calc_1!DH$4&gt;=Calc_1!$F17)*ABS(Calc_1!DH94)&gt;Tolerance)</f>
        <v>0</v>
      </c>
      <c r="DI20" s="49" t="n">
        <f aca="false">N((Calc_1!DI$4&gt;=Calc_1!$F17)*ABS(Calc_1!DI94)&gt;Tolerance)</f>
        <v>0</v>
      </c>
      <c r="DJ20" s="49" t="n">
        <f aca="false">N((Calc_1!DJ$4&gt;=Calc_1!$F17)*ABS(Calc_1!DJ94)&gt;Tolerance)</f>
        <v>0</v>
      </c>
      <c r="DK20" s="49" t="n">
        <f aca="false">N((Calc_1!DK$4&gt;=Calc_1!$F17)*ABS(Calc_1!DK94)&gt;Tolerance)</f>
        <v>0</v>
      </c>
      <c r="DL20" s="49" t="n">
        <f aca="false">N((Calc_1!DL$4&gt;=Calc_1!$F17)*ABS(Calc_1!DL94)&gt;Tolerance)</f>
        <v>0</v>
      </c>
      <c r="DM20" s="49" t="n">
        <f aca="false">N((Calc_1!DM$4&gt;=Calc_1!$F17)*ABS(Calc_1!DM94)&gt;Tolerance)</f>
        <v>0</v>
      </c>
      <c r="DN20" s="49" t="n">
        <f aca="false">N((Calc_1!DN$4&gt;=Calc_1!$F17)*ABS(Calc_1!DN94)&gt;Tolerance)</f>
        <v>0</v>
      </c>
      <c r="DO20" s="49" t="n">
        <f aca="false">N((Calc_1!DO$4&gt;=Calc_1!$F17)*ABS(Calc_1!DO94)&gt;Tolerance)</f>
        <v>0</v>
      </c>
      <c r="DP20" s="49" t="n">
        <f aca="false">N((Calc_1!DP$4&gt;=Calc_1!$F17)*ABS(Calc_1!DP94)&gt;Tolerance)</f>
        <v>0</v>
      </c>
      <c r="DQ20" s="49" t="n">
        <f aca="false">N((Calc_1!DQ$4&gt;=Calc_1!$F17)*ABS(Calc_1!DQ94)&gt;Tolerance)</f>
        <v>0</v>
      </c>
      <c r="DR20" s="49" t="n">
        <f aca="false">N((Calc_1!DR$4&gt;=Calc_1!$F17)*ABS(Calc_1!DR94)&gt;Tolerance)</f>
        <v>0</v>
      </c>
      <c r="DS20" s="49" t="n">
        <f aca="false">N((Calc_1!DS$4&gt;=Calc_1!$F17)*ABS(Calc_1!DS94)&gt;Tolerance)</f>
        <v>0</v>
      </c>
      <c r="DT20" s="49" t="n">
        <f aca="false">N((Calc_1!DT$4&gt;=Calc_1!$F17)*ABS(Calc_1!DT94)&gt;Tolerance)</f>
        <v>0</v>
      </c>
      <c r="DU20" s="49" t="n">
        <f aca="false">N((Calc_1!DU$4&gt;=Calc_1!$F17)*ABS(Calc_1!DU94)&gt;Tolerance)</f>
        <v>0</v>
      </c>
      <c r="DV20" s="49" t="n">
        <f aca="false">N((Calc_1!DV$4&gt;=Calc_1!$F17)*ABS(Calc_1!DV94)&gt;Tolerance)</f>
        <v>0</v>
      </c>
      <c r="DW20" s="49" t="n">
        <f aca="false">N((Calc_1!DW$4&gt;=Calc_1!$F17)*ABS(Calc_1!DW94)&gt;Tolerance)</f>
        <v>0</v>
      </c>
      <c r="DX20" s="49" t="n">
        <f aca="false">N((Calc_1!DX$4&gt;=Calc_1!$F17)*ABS(Calc_1!DX94)&gt;Tolerance)</f>
        <v>0</v>
      </c>
      <c r="DY20" s="49" t="n">
        <f aca="false">N((Calc_1!DY$4&gt;=Calc_1!$F17)*ABS(Calc_1!DY94)&gt;Tolerance)</f>
        <v>0</v>
      </c>
      <c r="DZ20" s="49" t="n">
        <f aca="false">N((Calc_1!DZ$4&gt;=Calc_1!$F17)*ABS(Calc_1!DZ94)&gt;Tolerance)</f>
        <v>0</v>
      </c>
      <c r="EA20" s="49" t="n">
        <f aca="false">N((Calc_1!EA$4&gt;=Calc_1!$F17)*ABS(Calc_1!EA94)&gt;Tolerance)</f>
        <v>0</v>
      </c>
      <c r="EB20" s="49" t="n">
        <f aca="false">N((Calc_1!EB$4&gt;=Calc_1!$F17)*ABS(Calc_1!EB94)&gt;Tolerance)</f>
        <v>0</v>
      </c>
      <c r="EC20" s="49" t="n">
        <f aca="false">N((Calc_1!EC$4&gt;=Calc_1!$F17)*ABS(Calc_1!EC94)&gt;Tolerance)</f>
        <v>0</v>
      </c>
      <c r="ED20" s="49" t="n">
        <f aca="false">N((Calc_1!ED$4&gt;=Calc_1!$F17)*ABS(Calc_1!ED94)&gt;Tolerance)</f>
        <v>0</v>
      </c>
      <c r="EE20" s="49" t="n">
        <f aca="false">N((Calc_1!EE$4&gt;=Calc_1!$F17)*ABS(Calc_1!EE94)&gt;Tolerance)</f>
        <v>0</v>
      </c>
      <c r="EF20" s="49" t="n">
        <f aca="false">N((Calc_1!EF$4&gt;=Calc_1!$F17)*ABS(Calc_1!EF94)&gt;Tolerance)</f>
        <v>0</v>
      </c>
      <c r="EG20" s="49" t="n">
        <f aca="false">N((Calc_1!EG$4&gt;=Calc_1!$F17)*ABS(Calc_1!EG94)&gt;Tolerance)</f>
        <v>0</v>
      </c>
      <c r="EH20" s="49" t="n">
        <f aca="false">N((Calc_1!EH$4&gt;=Calc_1!$F17)*ABS(Calc_1!EH94)&gt;Tolerance)</f>
        <v>0</v>
      </c>
      <c r="EI20" s="49" t="n">
        <f aca="false">N((Calc_1!EI$4&gt;=Calc_1!$F17)*ABS(Calc_1!EI94)&gt;Tolerance)</f>
        <v>0</v>
      </c>
      <c r="EJ20" s="49" t="n">
        <f aca="false">N((Calc_1!EJ$4&gt;=Calc_1!$F17)*ABS(Calc_1!EJ94)&gt;Tolerance)</f>
        <v>0</v>
      </c>
      <c r="EK20" s="49" t="n">
        <f aca="false">N((Calc_1!EK$4&gt;=Calc_1!$F17)*ABS(Calc_1!EK94)&gt;Tolerance)</f>
        <v>0</v>
      </c>
      <c r="EL20" s="49" t="n">
        <f aca="false">N((Calc_1!EL$4&gt;=Calc_1!$F17)*ABS(Calc_1!EL94)&gt;Tolerance)</f>
        <v>0</v>
      </c>
      <c r="EM20" s="49" t="n">
        <f aca="false">N((Calc_1!EM$4&gt;=Calc_1!$F17)*ABS(Calc_1!EM94)&gt;Tolerance)</f>
        <v>0</v>
      </c>
      <c r="EN20" s="49" t="n">
        <f aca="false">N((Calc_1!EN$4&gt;=Calc_1!$F17)*ABS(Calc_1!EN94)&gt;Tolerance)</f>
        <v>0</v>
      </c>
      <c r="EO20" s="49" t="n">
        <f aca="false">N((Calc_1!EO$4&gt;=Calc_1!$F17)*ABS(Calc_1!EO94)&gt;Tolerance)</f>
        <v>0</v>
      </c>
    </row>
    <row r="21" customFormat="false" ht="15" hidden="false" customHeight="false" outlineLevel="0" collapsed="false">
      <c r="C21" s="0" t="s">
        <v>497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N((Calc_2!J$4&gt;=Calc_2!$F17)*ABS(Calc_2!J94)&gt;Tolerance)</f>
        <v>0</v>
      </c>
      <c r="K21" s="49" t="n">
        <f aca="false">N((Calc_2!K$4&gt;=Calc_2!$F17)*ABS(Calc_2!K94)&gt;Tolerance)</f>
        <v>0</v>
      </c>
      <c r="L21" s="49" t="n">
        <f aca="false">N((Calc_2!L$4&gt;=Calc_2!$F17)*ABS(Calc_2!L94)&gt;Tolerance)</f>
        <v>0</v>
      </c>
      <c r="M21" s="49" t="n">
        <f aca="false">N((Calc_2!M$4&gt;=Calc_2!$F17)*ABS(Calc_2!M94)&gt;Tolerance)</f>
        <v>0</v>
      </c>
      <c r="N21" s="49" t="n">
        <f aca="false">N((Calc_2!N$4&gt;=Calc_2!$F17)*ABS(Calc_2!N94)&gt;Tolerance)</f>
        <v>0</v>
      </c>
      <c r="O21" s="49" t="n">
        <f aca="false">N((Calc_2!O$4&gt;=Calc_2!$F17)*ABS(Calc_2!O94)&gt;Tolerance)</f>
        <v>0</v>
      </c>
      <c r="P21" s="49" t="n">
        <f aca="false">N((Calc_2!P$4&gt;=Calc_2!$F17)*ABS(Calc_2!P94)&gt;Tolerance)</f>
        <v>0</v>
      </c>
      <c r="Q21" s="49" t="n">
        <f aca="false">N((Calc_2!Q$4&gt;=Calc_2!$F17)*ABS(Calc_2!Q94)&gt;Tolerance)</f>
        <v>0</v>
      </c>
      <c r="R21" s="49" t="n">
        <f aca="false">N((Calc_2!R$4&gt;=Calc_2!$F17)*ABS(Calc_2!R94)&gt;Tolerance)</f>
        <v>0</v>
      </c>
      <c r="S21" s="49" t="n">
        <f aca="false">N((Calc_2!S$4&gt;=Calc_2!$F17)*ABS(Calc_2!S94)&gt;Tolerance)</f>
        <v>0</v>
      </c>
      <c r="T21" s="49" t="n">
        <f aca="false">N((Calc_2!T$4&gt;=Calc_2!$F17)*ABS(Calc_2!T94)&gt;Tolerance)</f>
        <v>0</v>
      </c>
      <c r="U21" s="49" t="n">
        <f aca="false">N((Calc_2!U$4&gt;=Calc_2!$F17)*ABS(Calc_2!U94)&gt;Tolerance)</f>
        <v>0</v>
      </c>
      <c r="V21" s="49" t="n">
        <f aca="false">N((Calc_2!V$4&gt;=Calc_2!$F17)*ABS(Calc_2!V94)&gt;Tolerance)</f>
        <v>0</v>
      </c>
      <c r="W21" s="49" t="n">
        <f aca="false">N((Calc_2!W$4&gt;=Calc_2!$F17)*ABS(Calc_2!W94)&gt;Tolerance)</f>
        <v>0</v>
      </c>
      <c r="X21" s="49" t="n">
        <f aca="false">N((Calc_2!X$4&gt;=Calc_2!$F17)*ABS(Calc_2!X94)&gt;Tolerance)</f>
        <v>0</v>
      </c>
      <c r="Y21" s="49" t="n">
        <f aca="false">N((Calc_2!Y$4&gt;=Calc_2!$F17)*ABS(Calc_2!Y94)&gt;Tolerance)</f>
        <v>0</v>
      </c>
      <c r="Z21" s="49" t="n">
        <f aca="false">N((Calc_2!Z$4&gt;=Calc_2!$F17)*ABS(Calc_2!Z94)&gt;Tolerance)</f>
        <v>0</v>
      </c>
      <c r="AA21" s="49" t="n">
        <f aca="false">N((Calc_2!AA$4&gt;=Calc_2!$F17)*ABS(Calc_2!AA94)&gt;Tolerance)</f>
        <v>0</v>
      </c>
      <c r="AB21" s="49" t="n">
        <f aca="false">N((Calc_2!AB$4&gt;=Calc_2!$F17)*ABS(Calc_2!AB94)&gt;Tolerance)</f>
        <v>0</v>
      </c>
      <c r="AC21" s="49" t="n">
        <f aca="false">N((Calc_2!AC$4&gt;=Calc_2!$F17)*ABS(Calc_2!AC94)&gt;Tolerance)</f>
        <v>0</v>
      </c>
      <c r="AD21" s="49" t="n">
        <f aca="false">N((Calc_2!AD$4&gt;=Calc_2!$F17)*ABS(Calc_2!AD94)&gt;Tolerance)</f>
        <v>0</v>
      </c>
      <c r="AE21" s="49" t="n">
        <f aca="false">N((Calc_2!AE$4&gt;=Calc_2!$F17)*ABS(Calc_2!AE94)&gt;Tolerance)</f>
        <v>0</v>
      </c>
      <c r="AF21" s="49" t="n">
        <f aca="false">N((Calc_2!AF$4&gt;=Calc_2!$F17)*ABS(Calc_2!AF94)&gt;Tolerance)</f>
        <v>0</v>
      </c>
      <c r="AG21" s="49" t="n">
        <f aca="false">N((Calc_2!AG$4&gt;=Calc_2!$F17)*ABS(Calc_2!AG94)&gt;Tolerance)</f>
        <v>0</v>
      </c>
      <c r="AH21" s="49" t="n">
        <f aca="false">N((Calc_2!AH$4&gt;=Calc_2!$F17)*ABS(Calc_2!AH94)&gt;Tolerance)</f>
        <v>0</v>
      </c>
      <c r="AI21" s="49" t="n">
        <f aca="false">N((Calc_2!AI$4&gt;=Calc_2!$F17)*ABS(Calc_2!AI94)&gt;Tolerance)</f>
        <v>0</v>
      </c>
      <c r="AJ21" s="49" t="n">
        <f aca="false">N((Calc_2!AJ$4&gt;=Calc_2!$F17)*ABS(Calc_2!AJ94)&gt;Tolerance)</f>
        <v>0</v>
      </c>
      <c r="AK21" s="49" t="n">
        <f aca="false">N((Calc_2!AK$4&gt;=Calc_2!$F17)*ABS(Calc_2!AK94)&gt;Tolerance)</f>
        <v>0</v>
      </c>
      <c r="AL21" s="49" t="n">
        <f aca="false">N((Calc_2!AL$4&gt;=Calc_2!$F17)*ABS(Calc_2!AL94)&gt;Tolerance)</f>
        <v>0</v>
      </c>
      <c r="AM21" s="49" t="n">
        <f aca="false">N((Calc_2!AM$4&gt;=Calc_2!$F17)*ABS(Calc_2!AM94)&gt;Tolerance)</f>
        <v>0</v>
      </c>
      <c r="AN21" s="49" t="n">
        <f aca="false">N((Calc_2!AN$4&gt;=Calc_2!$F17)*ABS(Calc_2!AN94)&gt;Tolerance)</f>
        <v>0</v>
      </c>
      <c r="AO21" s="49" t="n">
        <f aca="false">N((Calc_2!AO$4&gt;=Calc_2!$F17)*ABS(Calc_2!AO94)&gt;Tolerance)</f>
        <v>0</v>
      </c>
      <c r="AP21" s="49" t="n">
        <f aca="false">N((Calc_2!AP$4&gt;=Calc_2!$F17)*ABS(Calc_2!AP94)&gt;Tolerance)</f>
        <v>0</v>
      </c>
      <c r="AQ21" s="49" t="n">
        <f aca="false">N((Calc_2!AQ$4&gt;=Calc_2!$F17)*ABS(Calc_2!AQ94)&gt;Tolerance)</f>
        <v>0</v>
      </c>
      <c r="AR21" s="49" t="n">
        <f aca="false">N((Calc_2!AR$4&gt;=Calc_2!$F17)*ABS(Calc_2!AR94)&gt;Tolerance)</f>
        <v>0</v>
      </c>
      <c r="AS21" s="49" t="n">
        <f aca="false">N((Calc_2!AS$4&gt;=Calc_2!$F17)*ABS(Calc_2!AS94)&gt;Tolerance)</f>
        <v>0</v>
      </c>
      <c r="AT21" s="49" t="n">
        <f aca="false">N((Calc_2!AT$4&gt;=Calc_2!$F17)*ABS(Calc_2!AT94)&gt;Tolerance)</f>
        <v>0</v>
      </c>
      <c r="AU21" s="49" t="n">
        <f aca="false">N((Calc_2!AU$4&gt;=Calc_2!$F17)*ABS(Calc_2!AU94)&gt;Tolerance)</f>
        <v>0</v>
      </c>
      <c r="AV21" s="49" t="n">
        <f aca="false">N((Calc_2!AV$4&gt;=Calc_2!$F17)*ABS(Calc_2!AV94)&gt;Tolerance)</f>
        <v>0</v>
      </c>
      <c r="AW21" s="49" t="n">
        <f aca="false">N((Calc_2!AW$4&gt;=Calc_2!$F17)*ABS(Calc_2!AW94)&gt;Tolerance)</f>
        <v>0</v>
      </c>
      <c r="AX21" s="49" t="n">
        <f aca="false">N((Calc_2!AX$4&gt;=Calc_2!$F17)*ABS(Calc_2!AX94)&gt;Tolerance)</f>
        <v>0</v>
      </c>
      <c r="AY21" s="49" t="n">
        <f aca="false">N((Calc_2!AY$4&gt;=Calc_2!$F17)*ABS(Calc_2!AY94)&gt;Tolerance)</f>
        <v>0</v>
      </c>
      <c r="AZ21" s="49" t="n">
        <f aca="false">N((Calc_2!AZ$4&gt;=Calc_2!$F17)*ABS(Calc_2!AZ94)&gt;Tolerance)</f>
        <v>0</v>
      </c>
      <c r="BA21" s="49" t="n">
        <f aca="false">N((Calc_2!BA$4&gt;=Calc_2!$F17)*ABS(Calc_2!BA94)&gt;Tolerance)</f>
        <v>0</v>
      </c>
      <c r="BB21" s="49" t="n">
        <f aca="false">N((Calc_2!BB$4&gt;=Calc_2!$F17)*ABS(Calc_2!BB94)&gt;Tolerance)</f>
        <v>0</v>
      </c>
      <c r="BC21" s="49" t="n">
        <f aca="false">N((Calc_2!BC$4&gt;=Calc_2!$F17)*ABS(Calc_2!BC94)&gt;Tolerance)</f>
        <v>0</v>
      </c>
      <c r="BD21" s="49" t="n">
        <f aca="false">N((Calc_2!BD$4&gt;=Calc_2!$F17)*ABS(Calc_2!BD94)&gt;Tolerance)</f>
        <v>0</v>
      </c>
      <c r="BE21" s="49" t="n">
        <f aca="false">N((Calc_2!BE$4&gt;=Calc_2!$F17)*ABS(Calc_2!BE94)&gt;Tolerance)</f>
        <v>0</v>
      </c>
      <c r="BF21" s="49" t="n">
        <f aca="false">N((Calc_2!BF$4&gt;=Calc_2!$F17)*ABS(Calc_2!BF94)&gt;Tolerance)</f>
        <v>0</v>
      </c>
      <c r="BG21" s="49" t="n">
        <f aca="false">N((Calc_2!BG$4&gt;=Calc_2!$F17)*ABS(Calc_2!BG94)&gt;Tolerance)</f>
        <v>0</v>
      </c>
      <c r="BH21" s="49" t="n">
        <f aca="false">N((Calc_2!BH$4&gt;=Calc_2!$F17)*ABS(Calc_2!BH94)&gt;Tolerance)</f>
        <v>0</v>
      </c>
      <c r="BI21" s="49" t="n">
        <f aca="false">N((Calc_2!BI$4&gt;=Calc_2!$F17)*ABS(Calc_2!BI94)&gt;Tolerance)</f>
        <v>0</v>
      </c>
      <c r="BJ21" s="49" t="n">
        <f aca="false">N((Calc_2!BJ$4&gt;=Calc_2!$F17)*ABS(Calc_2!BJ94)&gt;Tolerance)</f>
        <v>0</v>
      </c>
      <c r="BK21" s="49" t="n">
        <f aca="false">N((Calc_2!BK$4&gt;=Calc_2!$F17)*ABS(Calc_2!BK94)&gt;Tolerance)</f>
        <v>0</v>
      </c>
      <c r="BL21" s="49" t="n">
        <f aca="false">N((Calc_2!BL$4&gt;=Calc_2!$F17)*ABS(Calc_2!BL94)&gt;Tolerance)</f>
        <v>0</v>
      </c>
      <c r="BM21" s="49" t="n">
        <f aca="false">N((Calc_2!BM$4&gt;=Calc_2!$F17)*ABS(Calc_2!BM94)&gt;Tolerance)</f>
        <v>0</v>
      </c>
      <c r="BN21" s="49" t="n">
        <f aca="false">N((Calc_2!BN$4&gt;=Calc_2!$F17)*ABS(Calc_2!BN94)&gt;Tolerance)</f>
        <v>0</v>
      </c>
      <c r="BO21" s="49" t="n">
        <f aca="false">N((Calc_2!BO$4&gt;=Calc_2!$F17)*ABS(Calc_2!BO94)&gt;Tolerance)</f>
        <v>0</v>
      </c>
      <c r="BP21" s="49" t="n">
        <f aca="false">N((Calc_2!BP$4&gt;=Calc_2!$F17)*ABS(Calc_2!BP94)&gt;Tolerance)</f>
        <v>0</v>
      </c>
      <c r="BQ21" s="49" t="n">
        <f aca="false">N((Calc_2!BQ$4&gt;=Calc_2!$F17)*ABS(Calc_2!BQ94)&gt;Tolerance)</f>
        <v>0</v>
      </c>
      <c r="BR21" s="49" t="n">
        <f aca="false">N((Calc_2!BR$4&gt;=Calc_2!$F17)*ABS(Calc_2!BR94)&gt;Tolerance)</f>
        <v>0</v>
      </c>
      <c r="BS21" s="49" t="n">
        <f aca="false">N((Calc_2!BS$4&gt;=Calc_2!$F17)*ABS(Calc_2!BS94)&gt;Tolerance)</f>
        <v>0</v>
      </c>
      <c r="BT21" s="49" t="n">
        <f aca="false">N((Calc_2!BT$4&gt;=Calc_2!$F17)*ABS(Calc_2!BT94)&gt;Tolerance)</f>
        <v>0</v>
      </c>
      <c r="BU21" s="49" t="n">
        <f aca="false">N((Calc_2!BU$4&gt;=Calc_2!$F17)*ABS(Calc_2!BU94)&gt;Tolerance)</f>
        <v>0</v>
      </c>
      <c r="BV21" s="49" t="n">
        <f aca="false">N((Calc_2!BV$4&gt;=Calc_2!$F17)*ABS(Calc_2!BV94)&gt;Tolerance)</f>
        <v>0</v>
      </c>
      <c r="BW21" s="49" t="n">
        <f aca="false">N((Calc_2!BW$4&gt;=Calc_2!$F17)*ABS(Calc_2!BW94)&gt;Tolerance)</f>
        <v>0</v>
      </c>
      <c r="BX21" s="49" t="n">
        <f aca="false">N((Calc_2!BX$4&gt;=Calc_2!$F17)*ABS(Calc_2!BX94)&gt;Tolerance)</f>
        <v>0</v>
      </c>
      <c r="BY21" s="49" t="n">
        <f aca="false">N((Calc_2!BY$4&gt;=Calc_2!$F17)*ABS(Calc_2!BY94)&gt;Tolerance)</f>
        <v>0</v>
      </c>
      <c r="BZ21" s="49" t="n">
        <f aca="false">N((Calc_2!BZ$4&gt;=Calc_2!$F17)*ABS(Calc_2!BZ94)&gt;Tolerance)</f>
        <v>0</v>
      </c>
      <c r="CA21" s="49" t="n">
        <f aca="false">N((Calc_2!CA$4&gt;=Calc_2!$F17)*ABS(Calc_2!CA94)&gt;Tolerance)</f>
        <v>0</v>
      </c>
      <c r="CB21" s="49" t="n">
        <f aca="false">N((Calc_2!CB$4&gt;=Calc_2!$F17)*ABS(Calc_2!CB94)&gt;Tolerance)</f>
        <v>0</v>
      </c>
      <c r="CC21" s="49" t="n">
        <f aca="false">N((Calc_2!CC$4&gt;=Calc_2!$F17)*ABS(Calc_2!CC94)&gt;Tolerance)</f>
        <v>0</v>
      </c>
      <c r="CD21" s="49" t="n">
        <f aca="false">N((Calc_2!CD$4&gt;=Calc_2!$F17)*ABS(Calc_2!CD94)&gt;Tolerance)</f>
        <v>0</v>
      </c>
      <c r="CE21" s="49" t="n">
        <f aca="false">N((Calc_2!CE$4&gt;=Calc_2!$F17)*ABS(Calc_2!CE94)&gt;Tolerance)</f>
        <v>0</v>
      </c>
      <c r="CF21" s="49" t="n">
        <f aca="false">N((Calc_2!CF$4&gt;=Calc_2!$F17)*ABS(Calc_2!CF94)&gt;Tolerance)</f>
        <v>0</v>
      </c>
      <c r="CG21" s="49" t="n">
        <f aca="false">N((Calc_2!CG$4&gt;=Calc_2!$F17)*ABS(Calc_2!CG94)&gt;Tolerance)</f>
        <v>0</v>
      </c>
      <c r="CH21" s="49" t="n">
        <f aca="false">N((Calc_2!CH$4&gt;=Calc_2!$F17)*ABS(Calc_2!CH94)&gt;Tolerance)</f>
        <v>0</v>
      </c>
      <c r="CI21" s="49" t="n">
        <f aca="false">N((Calc_2!CI$4&gt;=Calc_2!$F17)*ABS(Calc_2!CI94)&gt;Tolerance)</f>
        <v>0</v>
      </c>
      <c r="CJ21" s="49" t="n">
        <f aca="false">N((Calc_2!CJ$4&gt;=Calc_2!$F17)*ABS(Calc_2!CJ94)&gt;Tolerance)</f>
        <v>0</v>
      </c>
      <c r="CK21" s="49" t="n">
        <f aca="false">N((Calc_2!CK$4&gt;=Calc_2!$F17)*ABS(Calc_2!CK94)&gt;Tolerance)</f>
        <v>0</v>
      </c>
      <c r="CL21" s="49" t="n">
        <f aca="false">N((Calc_2!CL$4&gt;=Calc_2!$F17)*ABS(Calc_2!CL94)&gt;Tolerance)</f>
        <v>0</v>
      </c>
      <c r="CM21" s="49" t="n">
        <f aca="false">N((Calc_2!CM$4&gt;=Calc_2!$F17)*ABS(Calc_2!CM94)&gt;Tolerance)</f>
        <v>0</v>
      </c>
      <c r="CN21" s="49" t="n">
        <f aca="false">N((Calc_2!CN$4&gt;=Calc_2!$F17)*ABS(Calc_2!CN94)&gt;Tolerance)</f>
        <v>0</v>
      </c>
      <c r="CO21" s="49" t="n">
        <f aca="false">N((Calc_2!CO$4&gt;=Calc_2!$F17)*ABS(Calc_2!CO94)&gt;Tolerance)</f>
        <v>0</v>
      </c>
      <c r="CP21" s="49" t="n">
        <f aca="false">N((Calc_2!CP$4&gt;=Calc_2!$F17)*ABS(Calc_2!CP94)&gt;Tolerance)</f>
        <v>0</v>
      </c>
      <c r="CQ21" s="49" t="n">
        <f aca="false">N((Calc_2!CQ$4&gt;=Calc_2!$F17)*ABS(Calc_2!CQ94)&gt;Tolerance)</f>
        <v>0</v>
      </c>
      <c r="CR21" s="49" t="n">
        <f aca="false">N((Calc_2!CR$4&gt;=Calc_2!$F17)*ABS(Calc_2!CR94)&gt;Tolerance)</f>
        <v>0</v>
      </c>
      <c r="CS21" s="49" t="n">
        <f aca="false">N((Calc_2!CS$4&gt;=Calc_2!$F17)*ABS(Calc_2!CS94)&gt;Tolerance)</f>
        <v>0</v>
      </c>
      <c r="CT21" s="49" t="n">
        <f aca="false">N((Calc_2!CT$4&gt;=Calc_2!$F17)*ABS(Calc_2!CT94)&gt;Tolerance)</f>
        <v>0</v>
      </c>
      <c r="CU21" s="49" t="n">
        <f aca="false">N((Calc_2!CU$4&gt;=Calc_2!$F17)*ABS(Calc_2!CU94)&gt;Tolerance)</f>
        <v>0</v>
      </c>
      <c r="CV21" s="49" t="n">
        <f aca="false">N((Calc_2!CV$4&gt;=Calc_2!$F17)*ABS(Calc_2!CV94)&gt;Tolerance)</f>
        <v>0</v>
      </c>
      <c r="CW21" s="49" t="n">
        <f aca="false">N((Calc_2!CW$4&gt;=Calc_2!$F17)*ABS(Calc_2!CW94)&gt;Tolerance)</f>
        <v>0</v>
      </c>
      <c r="CX21" s="49" t="n">
        <f aca="false">N((Calc_2!CX$4&gt;=Calc_2!$F17)*ABS(Calc_2!CX94)&gt;Tolerance)</f>
        <v>0</v>
      </c>
      <c r="CY21" s="49" t="n">
        <f aca="false">N((Calc_2!CY$4&gt;=Calc_2!$F17)*ABS(Calc_2!CY94)&gt;Tolerance)</f>
        <v>0</v>
      </c>
      <c r="CZ21" s="49" t="n">
        <f aca="false">N((Calc_2!CZ$4&gt;=Calc_2!$F17)*ABS(Calc_2!CZ94)&gt;Tolerance)</f>
        <v>0</v>
      </c>
      <c r="DA21" s="49" t="n">
        <f aca="false">N((Calc_2!DA$4&gt;=Calc_2!$F17)*ABS(Calc_2!DA94)&gt;Tolerance)</f>
        <v>0</v>
      </c>
      <c r="DB21" s="49" t="n">
        <f aca="false">N((Calc_2!DB$4&gt;=Calc_2!$F17)*ABS(Calc_2!DB94)&gt;Tolerance)</f>
        <v>0</v>
      </c>
      <c r="DC21" s="49" t="n">
        <f aca="false">N((Calc_2!DC$4&gt;=Calc_2!$F17)*ABS(Calc_2!DC94)&gt;Tolerance)</f>
        <v>0</v>
      </c>
      <c r="DD21" s="49" t="n">
        <f aca="false">N((Calc_2!DD$4&gt;=Calc_2!$F17)*ABS(Calc_2!DD94)&gt;Tolerance)</f>
        <v>0</v>
      </c>
      <c r="DE21" s="49" t="n">
        <f aca="false">N((Calc_2!DE$4&gt;=Calc_2!$F17)*ABS(Calc_2!DE94)&gt;Tolerance)</f>
        <v>0</v>
      </c>
      <c r="DF21" s="49" t="n">
        <f aca="false">N((Calc_2!DF$4&gt;=Calc_2!$F17)*ABS(Calc_2!DF94)&gt;Tolerance)</f>
        <v>0</v>
      </c>
      <c r="DG21" s="49" t="n">
        <f aca="false">N((Calc_2!DG$4&gt;=Calc_2!$F17)*ABS(Calc_2!DG94)&gt;Tolerance)</f>
        <v>0</v>
      </c>
      <c r="DH21" s="49" t="n">
        <f aca="false">N((Calc_2!DH$4&gt;=Calc_2!$F17)*ABS(Calc_2!DH94)&gt;Tolerance)</f>
        <v>0</v>
      </c>
      <c r="DI21" s="49" t="n">
        <f aca="false">N((Calc_2!DI$4&gt;=Calc_2!$F17)*ABS(Calc_2!DI94)&gt;Tolerance)</f>
        <v>0</v>
      </c>
      <c r="DJ21" s="49" t="n">
        <f aca="false">N((Calc_2!DJ$4&gt;=Calc_2!$F17)*ABS(Calc_2!DJ94)&gt;Tolerance)</f>
        <v>0</v>
      </c>
      <c r="DK21" s="49" t="n">
        <f aca="false">N((Calc_2!DK$4&gt;=Calc_2!$F17)*ABS(Calc_2!DK94)&gt;Tolerance)</f>
        <v>0</v>
      </c>
      <c r="DL21" s="49" t="n">
        <f aca="false">N((Calc_2!DL$4&gt;=Calc_2!$F17)*ABS(Calc_2!DL94)&gt;Tolerance)</f>
        <v>0</v>
      </c>
      <c r="DM21" s="49" t="n">
        <f aca="false">N((Calc_2!DM$4&gt;=Calc_2!$F17)*ABS(Calc_2!DM94)&gt;Tolerance)</f>
        <v>0</v>
      </c>
      <c r="DN21" s="49" t="n">
        <f aca="false">N((Calc_2!DN$4&gt;=Calc_2!$F17)*ABS(Calc_2!DN94)&gt;Tolerance)</f>
        <v>0</v>
      </c>
      <c r="DO21" s="49" t="n">
        <f aca="false">N((Calc_2!DO$4&gt;=Calc_2!$F17)*ABS(Calc_2!DO94)&gt;Tolerance)</f>
        <v>0</v>
      </c>
      <c r="DP21" s="49" t="n">
        <f aca="false">N((Calc_2!DP$4&gt;=Calc_2!$F17)*ABS(Calc_2!DP94)&gt;Tolerance)</f>
        <v>0</v>
      </c>
      <c r="DQ21" s="49" t="n">
        <f aca="false">N((Calc_2!DQ$4&gt;=Calc_2!$F17)*ABS(Calc_2!DQ94)&gt;Tolerance)</f>
        <v>0</v>
      </c>
      <c r="DR21" s="49" t="n">
        <f aca="false">N((Calc_2!DR$4&gt;=Calc_2!$F17)*ABS(Calc_2!DR94)&gt;Tolerance)</f>
        <v>0</v>
      </c>
      <c r="DS21" s="49" t="n">
        <f aca="false">N((Calc_2!DS$4&gt;=Calc_2!$F17)*ABS(Calc_2!DS94)&gt;Tolerance)</f>
        <v>0</v>
      </c>
      <c r="DT21" s="49" t="n">
        <f aca="false">N((Calc_2!DT$4&gt;=Calc_2!$F17)*ABS(Calc_2!DT94)&gt;Tolerance)</f>
        <v>0</v>
      </c>
      <c r="DU21" s="49" t="n">
        <f aca="false">N((Calc_2!DU$4&gt;=Calc_2!$F17)*ABS(Calc_2!DU94)&gt;Tolerance)</f>
        <v>0</v>
      </c>
      <c r="DV21" s="49" t="n">
        <f aca="false">N((Calc_2!DV$4&gt;=Calc_2!$F17)*ABS(Calc_2!DV94)&gt;Tolerance)</f>
        <v>0</v>
      </c>
      <c r="DW21" s="49" t="n">
        <f aca="false">N((Calc_2!DW$4&gt;=Calc_2!$F17)*ABS(Calc_2!DW94)&gt;Tolerance)</f>
        <v>0</v>
      </c>
      <c r="DX21" s="49" t="n">
        <f aca="false">N((Calc_2!DX$4&gt;=Calc_2!$F17)*ABS(Calc_2!DX94)&gt;Tolerance)</f>
        <v>0</v>
      </c>
      <c r="DY21" s="49" t="n">
        <f aca="false">N((Calc_2!DY$4&gt;=Calc_2!$F17)*ABS(Calc_2!DY94)&gt;Tolerance)</f>
        <v>0</v>
      </c>
      <c r="DZ21" s="49" t="n">
        <f aca="false">N((Calc_2!DZ$4&gt;=Calc_2!$F17)*ABS(Calc_2!DZ94)&gt;Tolerance)</f>
        <v>0</v>
      </c>
      <c r="EA21" s="49" t="n">
        <f aca="false">N((Calc_2!EA$4&gt;=Calc_2!$F17)*ABS(Calc_2!EA94)&gt;Tolerance)</f>
        <v>0</v>
      </c>
      <c r="EB21" s="49" t="n">
        <f aca="false">N((Calc_2!EB$4&gt;=Calc_2!$F17)*ABS(Calc_2!EB94)&gt;Tolerance)</f>
        <v>0</v>
      </c>
      <c r="EC21" s="49" t="n">
        <f aca="false">N((Calc_2!EC$4&gt;=Calc_2!$F17)*ABS(Calc_2!EC94)&gt;Tolerance)</f>
        <v>0</v>
      </c>
      <c r="ED21" s="49" t="n">
        <f aca="false">N((Calc_2!ED$4&gt;=Calc_2!$F17)*ABS(Calc_2!ED94)&gt;Tolerance)</f>
        <v>0</v>
      </c>
      <c r="EE21" s="49" t="n">
        <f aca="false">N((Calc_2!EE$4&gt;=Calc_2!$F17)*ABS(Calc_2!EE94)&gt;Tolerance)</f>
        <v>0</v>
      </c>
      <c r="EF21" s="49" t="n">
        <f aca="false">N((Calc_2!EF$4&gt;=Calc_2!$F17)*ABS(Calc_2!EF94)&gt;Tolerance)</f>
        <v>0</v>
      </c>
      <c r="EG21" s="49" t="n">
        <f aca="false">N((Calc_2!EG$4&gt;=Calc_2!$F17)*ABS(Calc_2!EG94)&gt;Tolerance)</f>
        <v>0</v>
      </c>
      <c r="EH21" s="49" t="n">
        <f aca="false">N((Calc_2!EH$4&gt;=Calc_2!$F17)*ABS(Calc_2!EH94)&gt;Tolerance)</f>
        <v>0</v>
      </c>
      <c r="EI21" s="49" t="n">
        <f aca="false">N((Calc_2!EI$4&gt;=Calc_2!$F17)*ABS(Calc_2!EI94)&gt;Tolerance)</f>
        <v>0</v>
      </c>
      <c r="EJ21" s="49" t="n">
        <f aca="false">N((Calc_2!EJ$4&gt;=Calc_2!$F17)*ABS(Calc_2!EJ94)&gt;Tolerance)</f>
        <v>0</v>
      </c>
      <c r="EK21" s="49" t="n">
        <f aca="false">N((Calc_2!EK$4&gt;=Calc_2!$F17)*ABS(Calc_2!EK94)&gt;Tolerance)</f>
        <v>0</v>
      </c>
      <c r="EL21" s="49" t="n">
        <f aca="false">N((Calc_2!EL$4&gt;=Calc_2!$F17)*ABS(Calc_2!EL94)&gt;Tolerance)</f>
        <v>0</v>
      </c>
      <c r="EM21" s="49" t="n">
        <f aca="false">N((Calc_2!EM$4&gt;=Calc_2!$F17)*ABS(Calc_2!EM94)&gt;Tolerance)</f>
        <v>0</v>
      </c>
      <c r="EN21" s="49" t="n">
        <f aca="false">N((Calc_2!EN$4&gt;=Calc_2!$F17)*ABS(Calc_2!EN94)&gt;Tolerance)</f>
        <v>0</v>
      </c>
      <c r="EO21" s="49" t="n">
        <f aca="false">N((Calc_2!EO$4&gt;=Calc_2!$F17)*ABS(Calc_2!EO94)&gt;Tolerance)</f>
        <v>0</v>
      </c>
    </row>
    <row r="22" customFormat="false" ht="15" hidden="false" customHeight="false" outlineLevel="0" collapsed="false">
      <c r="C22" s="0" t="s">
        <v>498</v>
      </c>
      <c r="D22" s="11" t="s">
        <v>43</v>
      </c>
      <c r="E22" s="27" t="str">
        <f aca="false">IF(F22=0,"OK","CHECK")</f>
        <v>OK</v>
      </c>
      <c r="F22" s="49" t="n">
        <f aca="false">N(Calc_1!$E98&lt;In_DSCR-Tolerance)</f>
        <v>0</v>
      </c>
    </row>
    <row r="23" customFormat="false" ht="15" hidden="false" customHeight="false" outlineLevel="0" collapsed="false">
      <c r="C23" s="0" t="s">
        <v>499</v>
      </c>
      <c r="D23" s="11" t="s">
        <v>43</v>
      </c>
      <c r="E23" s="27" t="str">
        <f aca="false">IF(F23=0,"OK","CHECK")</f>
        <v>OK</v>
      </c>
      <c r="F23" s="49" t="n">
        <f aca="false">N(Calc_2!$E98&lt;In_DSCR-Tolerance)</f>
        <v>0</v>
      </c>
    </row>
    <row r="24" customFormat="false" ht="15" hidden="false" customHeight="false" outlineLevel="0" collapsed="false">
      <c r="C24" s="0" t="s">
        <v>500</v>
      </c>
      <c r="D24" s="11" t="s">
        <v>43</v>
      </c>
      <c r="E24" s="27" t="str">
        <f aca="false">IF(F24=0,"OK","CHECK")</f>
        <v>OK</v>
      </c>
      <c r="F24" s="49" t="n">
        <f aca="false">N(ABS(Calc_1!$E119+Calc_1!$I126-Calc_1!$E94)&gt;Tolerance)</f>
        <v>0</v>
      </c>
    </row>
    <row r="25" customFormat="false" ht="15" hidden="false" customHeight="false" outlineLevel="0" collapsed="false">
      <c r="C25" s="0" t="s">
        <v>501</v>
      </c>
      <c r="D25" s="11" t="s">
        <v>43</v>
      </c>
      <c r="E25" s="27" t="str">
        <f aca="false">IF(F25=0,"OK","CHECK")</f>
        <v>OK</v>
      </c>
      <c r="F25" s="49" t="n">
        <f aca="false">N(ABS(Calc_2!$E119+Calc_2!$I126-Calc_2!$E94)&gt;Tolerance)</f>
        <v>0</v>
      </c>
    </row>
    <row r="26" customFormat="false" ht="15" hidden="false" customHeight="false" outlineLevel="0" collapsed="false">
      <c r="C26" s="0" t="s">
        <v>502</v>
      </c>
      <c r="D26" s="11" t="s">
        <v>43</v>
      </c>
      <c r="E26" s="27" t="str">
        <f aca="false">IF(F26=0,"OK","CHECK")</f>
        <v>OK</v>
      </c>
      <c r="F26" s="49" t="n">
        <f aca="false">N(ISERROR(Calc_1!$E131))+N(ISERROR(Calc_1!$E144))+N(ISERROR(Calc_1!$E142))+N(ISERROR(Calc_1!$E138))</f>
        <v>0</v>
      </c>
    </row>
    <row r="27" customFormat="false" ht="15" hidden="false" customHeight="false" outlineLevel="0" collapsed="false">
      <c r="C27" s="0" t="s">
        <v>503</v>
      </c>
      <c r="D27" s="11" t="s">
        <v>43</v>
      </c>
      <c r="E27" s="27" t="str">
        <f aca="false">IF(F27=0,"OK","CHECK")</f>
        <v>OK</v>
      </c>
      <c r="F27" s="49" t="n">
        <f aca="false">N(ISERROR(Calc_2!$E131))+N(ISERROR(Calc_2!$E144))+N(ISERROR(Calc_2!$E142))+N(ISERROR(Calc_2!$E138))</f>
        <v>0</v>
      </c>
    </row>
    <row r="28" customFormat="false" ht="15" hidden="false" customHeight="false" outlineLevel="0" collapsed="false">
      <c r="C28" s="0" t="s">
        <v>504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505</v>
      </c>
      <c r="F30" s="61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2" t="str">
        <f aca="false">IF(F32=0,"OK","CHECK")</f>
        <v>OK</v>
      </c>
      <c r="F32" s="61" t="n">
        <f aca="false">SUMPRODUCT(ABS(F12:F28))</f>
        <v>0</v>
      </c>
    </row>
    <row r="34" customFormat="false" ht="15" hidden="false" customHeight="false" outlineLevel="0" collapsed="false">
      <c r="C34" s="41" t="s">
        <v>169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2026-10-14T07:05:01Z</dcterms:created>
  <dc:creator>openpyxl</dc:creator>
  <dc:description/>
  <dc:language>en-US</dc:language>
  <cp:lastModifiedBy/>
  <dcterms:modified xsi:type="dcterms:W3CDTF">2026-10-14T07:05:09Z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