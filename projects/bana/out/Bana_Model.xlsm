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Dashboard!$H$121:$W$121</definedName>
    <definedName function="false" hidden="false" name="Buyer_IRR_L_2_Stored" vbProcedure="false">Dashboard!$H$122:$W$122</definedName>
    <definedName function="false" hidden="false" name="Buyer_IRR_U_1_Stored" vbProcedure="false">Dashboard!$H$119:$W$119</definedName>
    <definedName function="false" hidden="false" name="Buyer_IRR_U_2_Stored" vbProcedure="false">Dashboard!$H$120:$W$120</definedName>
    <definedName function="false" hidden="false" name="Checks_1_Stored" vbProcedure="false">Dashboard!$H$125:$W$125</definedName>
    <definedName function="false" hidden="false" name="Checks_2_Stored" vbProcedure="false">Dashboard!$H$126:$W$126</definedName>
    <definedName function="false" hidden="false" name="COD_IRR_1_Stored" vbProcedure="false">Dashboard!$H$107:$W$107</definedName>
    <definedName function="false" hidden="false" name="COD_IRR_2_Stored" vbProcedure="false">Dashboard!$H$108:$W$108</definedName>
    <definedName function="false" hidden="false" name="COD_MOIC_1_Stored" vbProcedure="false">Dashboard!$H$109:$W$109</definedName>
    <definedName function="false" hidden="false" name="COD_MOIC_2_Stored" vbProcedure="false">Dashboard!$H$110:$W$110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Dashboard!$H$115:$W$115</definedName>
    <definedName function="false" hidden="false" name="Debt_COD_2_Stored" vbProcedure="false">Dashboard!$H$116:$W$116</definedName>
    <definedName function="false" hidden="false" name="Equity_COD_1_Stored" vbProcedure="false">Dashboard!$H$117:$W$117</definedName>
    <definedName function="false" hidden="false" name="Equity_COD_2_Stored" vbProcedure="false">Dashboard!$H$118:$W$118</definedName>
    <definedName function="false" hidden="false" name="GoalSeek_Topics" vbProcedure="false">Inputs!$F$109</definedName>
    <definedName function="false" hidden="false" name="HTM_IRR_1_Stored" vbProcedure="false">Dashboard!$H$111:$W$111</definedName>
    <definedName function="false" hidden="false" name="HTM_IRR_2_Stored" vbProcedure="false">Dashboard!$H$112:$W$112</definedName>
    <definedName function="false" hidden="false" name="HTM_MOIC_1_Stored" vbProcedure="false">Dashboard!$H$113:$W$113</definedName>
    <definedName function="false" hidden="false" name="HTM_MOIC_2_Stored" vbProcedure="false">Dashboard!$H$114:$W$114</definedName>
    <definedName function="false" hidden="false" name="In_Admin" vbProcedure="false">Inputs!$F$88</definedName>
    <definedName function="false" hidden="false" name="In_Award_Date" vbProcedure="false">Inputs!$F$22</definedName>
    <definedName function="false" hidden="false" name="In_Bench_BESS" vbProcedure="false">Inputs!$F$60</definedName>
    <definedName function="false" hidden="false" name="In_Bench_Wind" vbProcedure="false">Inputs!$F$61</definedName>
    <definedName function="false" hidden="false" name="In_BESS_Built" vbProcedure="false">Inputs!$F$55</definedName>
    <definedName function="false" hidden="false" name="In_BESS_Capex" vbProcedure="false">Inputs!$F$77</definedName>
    <definedName function="false" hidden="false" name="In_BESS_Set" vbProcedure="false">Inputs!$F$53</definedName>
    <definedName function="false" hidden="false" name="In_Bid_Date" vbProcedure="false">Inputs!$F$21</definedName>
    <definedName function="false" hidden="false" name="In_Bid_Rate" vbProcedure="false">Inputs!$F$63</definedName>
    <definedName function="false" hidden="false" name="In_Bottleneck_Loss" vbProcedure="false">Inputs!$F$54</definedName>
    <definedName function="false" hidden="false" name="In_Capex_Contingency" vbProcedure="false">Inputs!$F$76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Inputs!$F$104</definedName>
    <definedName function="false" hidden="false" name="In_Curtailment" vbProcedure="false">Inputs!$F$81</definedName>
    <definedName function="false" hidden="false" name="In_DD" vbProcedure="false">Inputs!$F$35</definedName>
    <definedName function="false" hidden="false" name="In_Debt_Mult" vbProcedure="false">Inputs!$F$97</definedName>
    <definedName function="false" hidden="false" name="In_Debt_Rate" vbProcedure="false">Inputs!$F$102</definedName>
    <definedName function="false" hidden="false" name="In_Debt_Tenor" vbProcedure="false">Inputs!$F$101</definedName>
    <definedName function="false" hidden="false" name="In_Decision_Date" vbProcedure="false">Inputs!$F$23</definedName>
    <definedName function="false" hidden="false" name="In_Degradation" vbProcedure="false">Inputs!$F$82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Inputs!$F$66</definedName>
    <definedName function="false" hidden="false" name="In_Discount_Rate" vbProcedure="false">Inputs!$F$40</definedName>
    <definedName function="false" hidden="false" name="In_DSCR" vbProcedure="false">Inputs!$F$100</definedName>
    <definedName function="false" hidden="false" name="In_DSCR_Max_High" vbProcedure="false">Inputs!$F$99</definedName>
    <definedName function="false" hidden="false" name="In_DSCR_Max_Low" vbProcedure="false">Inputs!$F$98</definedName>
    <definedName function="false" hidden="false" name="In_DSRA_Months" vbProcedure="false">Inputs!$F$105</definedName>
    <definedName function="false" hidden="false" name="In_Fixed_Opex" vbProcedure="false">Inputs!$F$86</definedName>
    <definedName function="false" hidden="false" name="In_FX" vbProcedure="false">Inputs!$F$33</definedName>
    <definedName function="false" hidden="false" name="In_Gearing" vbProcedure="false">Inputs!$F$96</definedName>
    <definedName function="false" hidden="false" name="In_Guarantee_Fee" vbProcedure="false">Inputs!$F$68</definedName>
    <definedName function="false" hidden="false" name="In_HCSSZ_Date" vbProcedure="false">Inputs!$F$27</definedName>
    <definedName function="false" hidden="false" name="In_HIPA" vbProcedure="false">Inputs!$F$92</definedName>
    <definedName function="false" hidden="false" name="In_Indirect_Fee" vbProcedure="false">Inputs!$F$67</definedName>
    <definedName function="false" hidden="false" name="In_Innovation" vbProcedure="false">Inputs!$F$93</definedName>
    <definedName function="false" hidden="false" name="In_Lease" vbProcedure="false">Inputs!$F$87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Inputs!$F$91</definedName>
    <definedName function="false" hidden="false" name="In_Min_Hours" vbProcedure="false">Inputs!$F$56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Inputs!$F$89</definedName>
    <definedName function="false" hidden="false" name="In_Opex_Esc" vbProcedure="false">Inputs!$F$90</definedName>
    <definedName function="false" hidden="false" name="In_Other_Wind" vbProcedure="false">Inputs!$F$73</definedName>
    <definedName function="false" hidden="false" name="In_Overbuild_Built" vbProcedure="false">Inputs!$F$52</definedName>
    <definedName function="false" hidden="false" name="In_P50_Hours" vbProcedure="false">Inputs!$F$80</definedName>
    <definedName function="false" hidden="false" name="In_Part_Fee" vbProcedure="false">Inputs!$F$62</definedName>
    <definedName function="false" hidden="false" name="In_PB_Days" vbProcedure="false">Inputs!$F$24</definedName>
    <definedName function="false" hidden="false" name="In_PB_Rate" vbProcedure="false">Inputs!$F$64</definedName>
    <definedName function="false" hidden="false" name="In_PB_Release" vbProcedure="false">Inputs!$F$30</definedName>
    <definedName function="false" hidden="false" name="In_PPA_Esc" vbProcedure="false">Inputs!$F$84</definedName>
    <definedName function="false" hidden="false" name="In_PPA_Price" vbProcedure="false">Inputs!$F$83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Inputs!$F$59</definedName>
    <definedName function="false" hidden="false" name="In_Sanction_Regime" vbProcedure="false">Inputs!$F$58</definedName>
    <definedName function="false" hidden="false" name="In_Substation" vbProcedure="false">Inputs!$F$74</definedName>
    <definedName function="false" hidden="false" name="In_Substation_CN" vbProcedure="false">Inputs!$F$75</definedName>
    <definedName function="false" hidden="false" name="In_Tolerance_Cap" vbProcedure="false">Inputs!$F$57</definedName>
    <definedName function="false" hidden="false" name="In_TSO_Security" vbProcedure="false">Inputs!$F$65</definedName>
    <definedName function="false" hidden="false" name="In_Turbine" vbProcedure="false">Inputs!$F$71</definedName>
    <definedName function="false" hidden="false" name="In_Turbine_CN" vbProcedure="false">Inputs!$F$72</definedName>
    <definedName function="false" hidden="false" name="In_Upfront_Fee" vbProcedure="false">Inputs!$F$103</definedName>
    <definedName function="false" hidden="false" name="In_Var_Opex" vbProcedure="false">Inputs!$F$85</definedName>
    <definedName function="false" hidden="false" name="Live_Results" vbProcedure="false">Dashboard!$E$101:$E$126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Dashboard!$H$123:$W$123</definedName>
    <definedName function="false" hidden="false" name="Min_DSCR_2_Stored" vbProcedure="false">Dashboard!$H$124:$W$124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Dashboard!$H$103:$W$103</definedName>
    <definedName function="false" hidden="false" name="MVA_At_Risk_2_Stored" vbProcedure="false">Dashboard!$H$104:$W$104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Dashboard!$H$105:$W$105</definedName>
    <definedName function="false" hidden="false" name="PB_Call_Applied_2_Stored" vbProcedure="false">Dashboard!$H$106:$W$106</definedName>
    <definedName function="false" hidden="false" name="Points_1_Stored" vbProcedure="false">Dashboard!$H$101:$W$101</definedName>
    <definedName function="false" hidden="false" name="Points_2_Stored" vbProcedure="false">Dashboard!$H$102:$W$102</definedName>
    <definedName function="false" hidden="false" name="Points_Decimals" vbProcedure="false">Inputs!$F$50</definedName>
    <definedName function="false" hidden="false" name="Scenario_Name" vbProcedure="false">Dashboard!$AA$12</definedName>
    <definedName function="false" hidden="false" name="Scenario_Names" vbProcedure="false">Inputs!$H$7:$W$7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Inputs!$F$108</definedName>
    <definedName function="false" hidden="false" name="Stored_Results" vbProcedure="false">Dashboard!$H$101:$W$126</definedName>
    <definedName function="false" hidden="false" name="Tax_1_Copy" vbProcedure="false">Calc_1!$J$112:$EO$112</definedName>
    <definedName function="false" hidden="false" name="Tax_1_Delta" vbProcedure="false">Calc_1!$I$113</definedName>
    <definedName function="false" hidden="false" name="Tax_1_Paste" vbProcedure="false">Calc_1!$J$85:$EO$85</definedName>
    <definedName function="false" hidden="false" name="Tax_2_Copy" vbProcedure="false">Calc_2!$J$112:$EO$112</definedName>
    <definedName function="false" hidden="false" name="Tax_2_Delta" vbProcedure="false">Calc_2!$I$113</definedName>
    <definedName function="false" hidden="false" name="Tax_2_Paste" vbProcedure="false">Calc_2!$J$85:$EO$85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<sst xmlns="http://schemas.openxmlformats.org/spreadsheetml/2006/main" count="1239" uniqueCount="527">
  <si>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</si>
  <si>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</si>
  <si>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</si>
  <si>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</si>
  <si>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</si>
  <si>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</si>
  <si>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</si>
  <si>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</si>
  <si>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</si>
  <si>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</si>
  <si>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</si>
  <si>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</si>
  <si>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</si>
  <si>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</si>
  <si>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</si>
  <si>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</si>
  <si>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</si>
  <si>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</si>
  <si>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</si>
  <si>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</si>
  <si>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</si>
  <si>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</si>
  <si>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</si>
  <si>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</si>
  <si>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</si>
  <si>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</si>
  <si>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</si>
  <si>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</si>
  <si>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</si>
  <si>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</si>
  <si>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</si>
  <si>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</si>
  <si>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</si>
  <si>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</si>
  <si>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</si>
  <si>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</si>
  <si>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</si>
  <si>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</si>
  <si>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</si>
  <si>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</si>
  <si>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</si>
  <si>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</si>
  <si>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</si>
  <si>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</si>
  <si>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</si>
  <si>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</si>
  <si>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</si>
  <si>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</si>
  <si>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</si>
  <si>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</si>
  <si>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</si>
  <si>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</si>
  <si>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</si>
  <si>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</si>
  <si>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</si>
  <si>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</si>
  <si>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</si>
  <si>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</si>
  <si>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</si>
  <si>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</si>
  <si>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</si>
  <si>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</si>
  <si>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</si>
  <si>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</si>
  <si>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</si>
  <si>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</si>
  <si>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</si>
  <si>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</si>
  <si>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</si>
  <si>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</si>
  <si>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</si>
  <si>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</si>
  <si>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</si>
  <si>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</si>
  <si>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</si>
  <si>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</si>
  <si>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</si>
  <si>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</si>
  <si>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</si>
  <si>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</si>
  <si>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</si>
  <si>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</si>
  <si>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</si>
  <si>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</si>
  <si>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</si>
  <si>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</si>
  <si>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</si>
  <si>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</si>
  <si>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</si>
  <si>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</si>
  <si>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</si>
  <si>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</si>
  <si>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</si>
  <si>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</si>
  <si>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</si>
  <si>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</si>
  <si>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</si>
  <si>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</si>
  <si>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</si>
  <si>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</si>
  <si>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</si>
  <si>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</si>
  <si>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</si>
  <si>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</si>
  <si>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</si>
  <si>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</si>
  <si>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</si>
  <si>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</si>
  <si>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</si>
  <si>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</si>
  <si>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</si>
  <si>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</si>
  <si>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</si>
  <si>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</si>
  <si>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</si>
  <si>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</si>
  <si>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</si>
  <si>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</si>
  <si>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</si>
  <si>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</si>
  <si>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</si>
  <si>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</si>
  <si>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</si>
  <si>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</si>
  <si>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</si>
  <si>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</si>
  <si>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</si>
  <si>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</si>
  <si>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</si>
  <si>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</si>
  <si>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</si>
  <si>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</si>
  <si>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</si>
  <si>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</si>
  <si>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</si>
  <si>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</si>
  <si>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</si>
  <si>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</si>
  <si>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</si>
  <si>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</si>
  <si>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</si>
  <si>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</si>
  <si>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</si>
  <si>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</si>
  <si>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</si>
  <si>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</si>
  <si>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</si>
  <si>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</si>
  <si>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</si>
  <si>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</si>
  <si>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</si>
  <si>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</si>
  <si>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</si>
  <si>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</si>
  <si>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</si>
  <si>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</si>
  <si>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</si>
  <si>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</si>
  <si>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</si>
  <si>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</si>
  <si>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</si>
  <si>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</si>
  <si>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</si>
  <si>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</si>
  <si>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</si>
  <si>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</si>
  <si>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</si>
  <si>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</si>
  <si>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</si>
  <si>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</si>
  <si>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</si>
  <si>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</si>
  <si>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</si>
  <si>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</si>
  <si>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</si>
  <si>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</si>
  <si>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</si>
  <si>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</si>
  <si>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</si>
  <si>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</si>
  <si>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</si>
  <si>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</si>
  <si>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</si>
  <si>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</si>
  <si>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</si>
  <si>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</si>
  <si>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</si>
  <si>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</si>
  <si>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</si>
  <si>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</si>
  <si>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</si>
  <si>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</si>
  <si>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</si>
  <si>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</si>
  <si>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Debt 6x EBITDA</t>
  </si>
  <si>
    <t xml:space="preserve">BESS 100 MWh</t>
  </si>
  <si>
    <t xml:space="preserve">Not built, pro rata</t>
  </si>
  <si>
    <t xml:space="preserve">Not built, full call</t>
  </si>
  <si>
    <t xml:space="preserve">BESS not built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</si>
  <si>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</si>
  <si>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</si>
  <si>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</si>
  <si>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</si>
  <si>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</si>
  <si>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</si>
  <si>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</si>
  <si>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</si>
  <si>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</si>
  <si>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</si>
  <si>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</si>
  <si>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</si>
  <si>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</si>
  <si>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</si>
  <si>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</si>
  <si>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</si>
  <si>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</si>
  <si>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</si>
  <si>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</si>
  <si>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</si>
  <si>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</si>
  <si>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</si>
  <si>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</si>
  <si>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</si>
  <si>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</si>
  <si>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</si>
  <si>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</si>
  <si>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</si>
  <si>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</si>
  <si>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</si>
  <si>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</si>
  <si>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</si>
  <si>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</si>
  <si>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</si>
  <si>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</si>
  <si>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</si>
  <si>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</si>
  <si>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</si>
  <si>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</si>
  <si>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</si>
  <si>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</si>
  <si>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</si>
  <si>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</si>
  <si>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</si>
  <si>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</si>
  <si>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</si>
  <si>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</si>
  <si>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</si>
  <si>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</si>
  <si>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</si>
  <si>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</si>
  <si>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</si>
  <si>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</si>
  <si>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</si>
  <si>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</si>
  <si>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</si>
  <si>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</si>
  <si>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</si>
  <si>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</si>
  <si>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</si>
  <si>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</si>
  <si>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</si>
  <si>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</si>
  <si>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</si>
  <si>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</si>
  <si>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</si>
  <si>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</si>
  <si>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</si>
  <si>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</si>
  <si>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</si>
  <si>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</si>
  <si>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</si>
  <si>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</si>
  <si>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</si>
  <si>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</si>
  <si>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</si>
  <si>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</si>
  <si>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</si>
  <si>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</si>
  <si>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</si>
  <si>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</si>
  <si>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</si>
  <si>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</si>
  <si>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</si>
  <si>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</si>
  <si>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</si>
  <si>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</si>
  <si>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</si>
  <si>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</si>
  <si>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</si>
  <si>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</si>
  <si>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</si>
  <si>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</si>
  <si>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</si>
  <si>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</si>
  <si>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</si>
  <si>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</si>
  <si>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</si>
  <si>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</si>
  <si>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</si>
  <si>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</si>
  <si>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</si>
  <si>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</si>
  <si>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</si>
  <si>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</si>
  <si>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</si>
  <si>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</si>
  <si>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</si>
  <si>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</si>
  <si>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</si>
  <si>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</si>
  <si>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</si>
  <si>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</si>
  <si>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</si>
  <si>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</si>
  <si>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</si>
  <si>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</si>
  <si>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</si>
  <si>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</si>
  <si>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</si>
  <si>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</si>
  <si>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</si>
  <si>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</si>
  <si>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</si>
  <si>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</si>
  <si>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User 15-Oct-26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</si>
  <si>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</si>
  <si>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</si>
  <si>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</si>
  <si>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</si>
  <si>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</si>
  <si>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</si>
  <si>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</si>
  <si>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</si>
  <si>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</si>
  <si>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</si>
  <si>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</si>
  <si>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</si>
  <si>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</si>
  <si>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</si>
  <si>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</si>
  <si>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</si>
  <si>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</si>
  <si>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</si>
  <si>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</si>
  <si>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</si>
  <si>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</si>
  <si>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</si>
  <si>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</si>
  <si>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</si>
  <si>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</si>
  <si>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</si>
  <si>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</si>
  <si>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</si>
  <si>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</si>
  <si>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Debt sized at first full-year EBITDA x (0 = off)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</si>
  <si>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</si>
  <si>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</si>
  <si>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</si>
  <si>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</si>
  <si>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</si>
  <si>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</si>
  <si>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</si>
  <si>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</si>
  <si>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</si>
  <si>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</si>
  <si>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</si>
  <si>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</si>
  <si>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</si>
  <si>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</si>
  <si>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</si>
  <si>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</si>
  <si>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</si>
  <si>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</si>
  <si>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</si>
  <si>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</si>
  <si>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</si>
  <si>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</si>
  <si>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</si>
  <si>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</si>
  <si>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</si>
  <si>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</si>
  <si>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</si>
  <si>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</si>
  <si>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</si>
  <si>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</si>
  <si>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</si>
  <si>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</si>
  <si>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</si>
  <si>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</si>
  <si>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</si>
  <si>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</si>
  <si>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</si>
  <si>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</si>
  <si>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</si>
  <si>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</si>
  <si>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</si>
  <si>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</si>
  <si>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</si>
  <si>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</si>
  <si>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</si>
  <si>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</si>
  <si>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</si>
  <si>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</si>
  <si>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</si>
  <si>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</si>
  <si>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</si>
  <si>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</si>
  <si>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</si>
  <si>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</si>
  <si>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</si>
  <si>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</si>
  <si>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</si>
  <si>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</si>
  <si>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</si>
  <si>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</si>
  <si>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</si>
  <si>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</si>
  <si>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</si>
  <si>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</si>
  <si>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</si>
  <si>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</si>
  <si>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</si>
  <si>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</si>
  <si>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</si>
  <si>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</si>
  <si>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</si>
  <si>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</si>
  <si>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</si>
  <si>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</si>
  <si>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</si>
  <si>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</si>
  <si>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</si>
  <si>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</si>
  <si>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</si>
  <si>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</si>
  <si>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</si>
  <si>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</si>
  <si>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</si>
  <si>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</si>
  <si>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</si>
  <si>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</si>
  <si>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</si>
  <si>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</si>
  <si>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</si>
  <si>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</si>
  <si>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</si>
  <si>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</si>
  <si>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</si>
  <si>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</si>
  <si>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</si>
  <si>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</si>
  <si>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</si>
  <si>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</si>
  <si>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</si>
  <si>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</si>
  <si>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</si>
  <si>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</si>
  <si>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</si>
  <si>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</si>
  <si>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</si>
  <si>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</si>
  <si>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</si>
  <si>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</si>
  <si>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</si>
  <si>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</si>
  <si>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</si>
  <si>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</si>
  <si>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</si>
  <si>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target: EBITDA multiple (else the DSCR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</si>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</sst>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A12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3"/>
    <col collapsed="false" customWidth="true" hidden="false" outlineLevel="0" max="25" min="25" style="0" width="34"/>
    <col collapsed="false" customWidth="true" hidden="false" outlineLevel="0" max="26" min="26" style="0" width="10"/>
    <col collapsed="false" customWidth="true" hidden="false" outlineLevel="0" max="27" min="27" style="0" width="12"/>
    <col collapsed="false" customWidth="false" hidden="true" outlineLevel="1" max="16384" min="28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Y9" s="7" t="s">
        <v>11</v>
      </c>
      <c r="Z9" s="7" t="s">
        <v>8</v>
      </c>
      <c r="AA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Y11" s="9" t="s">
        <v>5</v>
      </c>
      <c r="Z11" s="9"/>
      <c r="AA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Y12" s="13" t="s">
        <v>5</v>
      </c>
      <c r="Z12" s="11" t="s">
        <v>21</v>
      </c>
      <c r="AA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Y14" s="9" t="s">
        <v>29</v>
      </c>
      <c r="Z14" s="9"/>
      <c r="AA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Y15" s="13" t="s">
        <v>32</v>
      </c>
      <c r="Z15" s="11" t="s">
        <v>33</v>
      </c>
      <c r="AA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Y16" s="13" t="s">
        <v>37</v>
      </c>
      <c r="Z16" s="11" t="s">
        <v>38</v>
      </c>
      <c r="AA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Y17" s="13" t="s">
        <v>41</v>
      </c>
      <c r="Z17" s="11" t="s">
        <v>27</v>
      </c>
      <c r="AA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Y18" s="13" t="s">
        <v>45</v>
      </c>
      <c r="Z18" s="11" t="s">
        <v>43</v>
      </c>
      <c r="AA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Y19" s="13" t="s">
        <v>47</v>
      </c>
      <c r="Z19" s="11" t="s">
        <v>19</v>
      </c>
      <c r="AA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Y20" s="13" t="s">
        <v>49</v>
      </c>
      <c r="Z20" s="11" t="s">
        <v>19</v>
      </c>
      <c r="AA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Y21" s="13" t="s">
        <v>51</v>
      </c>
      <c r="Z21" s="11" t="s">
        <v>19</v>
      </c>
      <c r="AA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Y22" s="13" t="s">
        <v>54</v>
      </c>
      <c r="Z22" s="11" t="s">
        <v>19</v>
      </c>
      <c r="AA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IF(Calc_1!$E44+Calc_1!$F44=0,"OK","CHECK")</f>
        <v>OK</v>
      </c>
      <c r="F23" s="27" t="str">
        <f aca="false">IF(Calc_2!$E44+Calc_2!$F44=0,"OK","CHECK")</f>
        <v>OK</v>
      </c>
      <c r="Y23" s="13" t="s">
        <v>56</v>
      </c>
      <c r="Z23" s="11" t="s">
        <v>57</v>
      </c>
      <c r="AA23" s="18" t="n">
        <f aca="false">In_P50_Hours</f>
        <v>2600</v>
      </c>
    </row>
    <row r="24" customFormat="false" ht="15" hidden="false" customHeight="false" outlineLevel="0" collapsed="false">
      <c r="Y24" s="0" t="s">
        <v>58</v>
      </c>
      <c r="Z24" s="11" t="s">
        <v>24</v>
      </c>
      <c r="AA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Y25" s="13" t="s">
        <v>60</v>
      </c>
      <c r="Z25" s="11" t="s">
        <v>27</v>
      </c>
      <c r="AA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Y26" s="13" t="s">
        <v>63</v>
      </c>
      <c r="Z26" s="11" t="s">
        <v>13</v>
      </c>
      <c r="AA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Y27" s="13" t="s">
        <v>65</v>
      </c>
      <c r="Z27" s="11" t="s">
        <v>66</v>
      </c>
      <c r="AA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Y28" s="13" t="s">
        <v>68</v>
      </c>
      <c r="Z28" s="11" t="s">
        <v>27</v>
      </c>
      <c r="AA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Y29" s="13" t="s">
        <v>71</v>
      </c>
      <c r="Z29" s="11" t="s">
        <v>27</v>
      </c>
      <c r="AA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Y30" s="13" t="s">
        <v>73</v>
      </c>
      <c r="Z30" s="11" t="s">
        <v>43</v>
      </c>
      <c r="AA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Y31" s="13" t="s">
        <v>75</v>
      </c>
      <c r="Z31" s="11" t="s">
        <v>27</v>
      </c>
      <c r="AA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Y32" s="13" t="s">
        <v>78</v>
      </c>
      <c r="Z32" s="11" t="s">
        <v>79</v>
      </c>
      <c r="AA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Calc_1!$E60/Thousand</f>
        <v>0</v>
      </c>
      <c r="F34" s="32" t="n">
        <f aca="false">Calc_2!$E60/Thousand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Calc_1!$F60/Thousand</f>
        <v>2.21643835616438</v>
      </c>
      <c r="F35" s="32" t="n">
        <f aca="false">Calc_2!$F60/Thousand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(-Calc_1!$I61)/Thousand</f>
        <v>-0</v>
      </c>
      <c r="F36" s="32" t="n">
        <f aca="false">(-Calc_2!$I61)/Thousand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Calc_1!$I134/Thousand</f>
        <v>20.2080757486889</v>
      </c>
      <c r="F39" s="32" t="n">
        <f aca="false">Calc_2!$I134/Thousand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Calc_1!$E135</f>
        <v>0.2632612602034</v>
      </c>
      <c r="F40" s="33" t="n">
        <f aca="false">Calc_2!$E135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Calc_1!$E136</f>
        <v>1.37165010901922</v>
      </c>
      <c r="F41" s="29" t="n">
        <f aca="false">Calc_2!$E136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Calc_1!$E137/Thousand</f>
        <v>10.9902192290749</v>
      </c>
      <c r="F42" s="32" t="n">
        <f aca="false">Calc_2!$E137/Thousand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Calc_1!$I147/Thousand</f>
        <v>128.354805752678</v>
      </c>
      <c r="F43" s="32" t="n">
        <f aca="false">Calc_2!$I147/Thousand</f>
        <v>159.468109171738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Calc_1!$E148</f>
        <v>0.0778882731983792</v>
      </c>
      <c r="F44" s="33" t="n">
        <f aca="false">Calc_2!$E148</f>
        <v>0.117451501890167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Calc_1!$E149</f>
        <v>3.30771250081149</v>
      </c>
      <c r="F45" s="29" t="n">
        <f aca="false">Calc_2!$E149</f>
        <v>4.74214556361979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Calc_1!$E150/Thousand</f>
        <v>-1.15479514410967</v>
      </c>
      <c r="F46" s="32" t="n">
        <f aca="false">Calc_2!$E150/Thousand</f>
        <v>16.6806940920772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Calc_1!$E146</f>
        <v>0.0703014521926973</v>
      </c>
      <c r="F47" s="22" t="n">
        <f aca="false">Calc_2!$E146</f>
        <v>0.0962713849592859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Calc_1!$E116/Thousand</f>
        <v>5.15</v>
      </c>
      <c r="F50" s="32" t="n">
        <f aca="false">Calc_2!$E116/Thousand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Calc_1!$E117/Thousand</f>
        <v>1.11492155376243</v>
      </c>
      <c r="F51" s="32" t="n">
        <f aca="false">Calc_2!$E117/Thousand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Calc_1!$E118/Thousand</f>
        <v>91.96375</v>
      </c>
      <c r="F52" s="32" t="n">
        <f aca="false">Calc_2!$E118/Thousand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Calc_1!$E119/Thousand</f>
        <v>8.15482315068493</v>
      </c>
      <c r="F53" s="32" t="n">
        <f aca="false">Calc_2!$E119/Thousand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Calc_1!$E120/Thousand</f>
        <v>2.5</v>
      </c>
      <c r="F54" s="32" t="n">
        <f aca="false">Calc_2!$E120/Thousand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Calc_1!$E121/Thousand</f>
        <v>4.20575934932964</v>
      </c>
      <c r="F55" s="32" t="n">
        <f aca="false">Calc_2!$E121/Thousand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Calc_1!$E122/Thousand</f>
        <v>0.340170197534084</v>
      </c>
      <c r="F56" s="32" t="n">
        <f aca="false">Calc_2!$E122/Thousand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Calc_1!$E123/Thousand</f>
        <v>113.429424251311</v>
      </c>
      <c r="F57" s="26" t="n">
        <f aca="false">Calc_2!$E123/Thousand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Calc_1!$E98/Thousand</f>
        <v>59.0554976513219</v>
      </c>
      <c r="F58" s="32" t="n">
        <f aca="false">Calc_2!$E98/Thousand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Calc_1!$E124/Thousand</f>
        <v>54.3739265999892</v>
      </c>
      <c r="F59" s="26" t="n">
        <f aca="false">Calc_2!$E124/Thousand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Calc_1!$F124/Thousand</f>
        <v>55.6199291322218</v>
      </c>
      <c r="F60" s="32" t="n">
        <f aca="false">Calc_2!$F124/Thousand</f>
        <v>42.6140850110287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Calc_1!$E125</f>
        <v>0.520636493053868</v>
      </c>
      <c r="F61" s="22" t="n">
        <f aca="false">Calc_2!$E125</f>
        <v>0.510052041850856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Calc_1!$E51/Thousand</f>
        <v>0.00821917808219178</v>
      </c>
      <c r="F64" s="34" t="n">
        <f aca="false">Calc_2!$E51/Thousand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Calc_1!$E52/Thousand</f>
        <v>0.443287671232877</v>
      </c>
      <c r="F65" s="34" t="n">
        <f aca="false">Calc_2!$E52/Thousand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Calc_1!$F$53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2.21643835616438</v>
      </c>
      <c r="F66" s="34" t="n">
        <f aca="false">Calc_2!$E53/Thousand</f>
        <v>2.21643835616438</v>
      </c>
      <c r="H66" s="13" t="s">
        <v>116</v>
      </c>
      <c r="I66" s="20" t="n">
        <f aca="false">Calc_1!$F$53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Calc_1!$E54/Thousand</f>
        <v>0.616438356164384</v>
      </c>
      <c r="F67" s="34" t="n">
        <f aca="false">Calc_2!$E54/Thousand</f>
        <v>0.616438356164384</v>
      </c>
      <c r="H67" s="13" t="s">
        <v>113</v>
      </c>
      <c r="I67" s="20" t="n">
        <f aca="false">Calc_1!$F$53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1.26027397260274</v>
      </c>
      <c r="F68" s="34" t="n">
        <f aca="false">Calc_2!$E55/Thousand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Calc_1!$E56/Thousand</f>
        <v>6.89454917808219</v>
      </c>
      <c r="F69" s="34" t="n">
        <f aca="false">Calc_2!$E56/Thousand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(-Calc_1!$E58)/Thousand</f>
        <v>0.490264019515857</v>
      </c>
      <c r="F70" s="34" t="n">
        <f aca="false">(-Calc_2!$E58)/Thousand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Calc_1!$E131/Thousand</f>
        <v>134.1375</v>
      </c>
      <c r="F73" s="32" t="n">
        <f aca="false">Calc_2!$E131/Thousand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Calc_1!$E132/Thousand</f>
        <v>74.5820023486781</v>
      </c>
      <c r="F74" s="32" t="n">
        <f aca="false">Calc_2!$E132/Thousand</f>
        <v>71.0776635714193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Calc_1!$E133/Thousand</f>
        <v>-0</v>
      </c>
      <c r="F75" s="32" t="n">
        <f aca="false">Calc_2!$E133/Thousand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Calc_1!$E140</f>
        <v>0.0569296881085363</v>
      </c>
      <c r="F76" s="33" t="n">
        <f aca="false">Calc_2!$E140</f>
        <v>0.0698570950743651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Calc_1!$E142</f>
        <v>0.0587523414589974</v>
      </c>
      <c r="F77" s="22" t="n">
        <f aca="false">Calc_2!$E142</f>
        <v>0.0759030321814568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Calc_1!$E87/Thousand</f>
        <v>92.5962536855794</v>
      </c>
      <c r="F80" s="32" t="n">
        <f aca="false">Calc_2!$E87/Thousand</f>
        <v>89.8315464768429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Calc_1!$E89</f>
        <v>0.55</v>
      </c>
      <c r="F81" s="22" t="n">
        <f aca="false">Calc_2!$E89</f>
        <v>0.55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Calc_1!$F89</f>
        <v>0.637774157168942</v>
      </c>
      <c r="F82" s="22" t="n">
        <f aca="false">Calc_2!$F89</f>
        <v>0.483096842151858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Calc_1!$E126/Thousand</f>
        <v>101.014094929723</v>
      </c>
      <c r="F84" s="32" t="n">
        <f aca="false">Calc_2!$E126/Thousand</f>
        <v>97.9980507020105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Calc_1!$E127</f>
        <v>0.890545778544366</v>
      </c>
      <c r="F85" s="22" t="n">
        <f aca="false">Calc_2!$E127</f>
        <v>1.1517781958859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Calc_1!$F126/Thousand</f>
        <v>92.5962536855794</v>
      </c>
      <c r="F87" s="32" t="n">
        <f aca="false">Calc_2!$F126/Thousand</f>
        <v>89.8315464768429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Calc_1!$F127</f>
        <v>0.816333630332335</v>
      </c>
      <c r="F88" s="22" t="n">
        <f aca="false">Calc_2!$F127</f>
        <v>1.05579667956208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Calc_1!$E101/Thousand</f>
        <v>1.24600253223261</v>
      </c>
      <c r="F89" s="32" t="n">
        <f aca="false">Calc_2!$E101/Thousand</f>
        <v>0.927287140093298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Calc_1!$E102</f>
        <v>1.8815437824053</v>
      </c>
      <c r="F90" s="29" t="n">
        <f aca="false">Calc_2!$E102</f>
        <v>2.48397400954815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Calc_1!$E74/Thousand</f>
        <v>139.3975128</v>
      </c>
      <c r="F91" s="36" t="n">
        <f aca="false">Calc_2!$E74/Thousand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Calc_1!$E75/Thousand</f>
        <v>12.67123391352</v>
      </c>
      <c r="F92" s="32" t="n">
        <f aca="false">Calc_2!$E75/Thousand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Calc_1!$E82/Thousand</f>
        <v>9.55688408374485</v>
      </c>
      <c r="F93" s="32" t="n">
        <f aca="false">Calc_2!$E82/Thousand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Calc_1!$I75/Thousand</f>
        <v>420.752711777652</v>
      </c>
      <c r="F94" s="32" t="n">
        <f aca="false">Calc_2!$I75/Thousand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Calc_1!$I82/Thousand</f>
        <v>295.37332772584</v>
      </c>
      <c r="F95" s="32" t="n">
        <f aca="false">Calc_2!$I82/Thousand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(SUM(Calc_1!$J112:$EO112))/Thousand</f>
        <v>-22.7836180587867</v>
      </c>
      <c r="F96" s="32" t="n">
        <f aca="false">(SUM(Calc_2!$J112:$EO112))/Thousand</f>
        <v>-28.1414310303066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(-Calc_1!$I110)/Thousand</f>
        <v>0.752363247114141</v>
      </c>
      <c r="F97" s="32" t="n">
        <f aca="false">(-Calc_2!$I110)/Thousand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</v>
      </c>
      <c r="I100" s="10" t="str">
        <f aca="false">Inputs!I$7</f>
        <v>COD price −10%</v>
      </c>
      <c r="J100" s="10" t="str">
        <f aca="false">Inputs!J$7</f>
        <v>COD price +10%</v>
      </c>
      <c r="K100" s="10" t="str">
        <f aca="false">Inputs!K$7</f>
        <v>Turbine +10%</v>
      </c>
      <c r="L100" s="10" t="str">
        <f aca="false">Inputs!L$7</f>
        <v>Yield −10%</v>
      </c>
      <c r="M100" s="10" t="str">
        <f aca="false">Inputs!M$7</f>
        <v>PPA +10%</v>
      </c>
      <c r="N100" s="10" t="str">
        <f aca="false">Inputs!N$7</f>
        <v>Full PB call</v>
      </c>
      <c r="O100" s="10" t="str">
        <f aca="false">Inputs!O$7</f>
        <v>Rate +1 pp</v>
      </c>
      <c r="P100" s="10" t="str">
        <f aca="false">Inputs!P$7</f>
        <v>Tenor 10 years</v>
      </c>
      <c r="Q100" s="10" t="str">
        <f aca="false">Inputs!Q$7</f>
        <v>Robin Hood 31%</v>
      </c>
      <c r="R100" s="10" t="str">
        <f aca="false">Inputs!R$7</f>
        <v>CIT 9%</v>
      </c>
      <c r="S100" s="10" t="str">
        <f aca="false">Inputs!S$7</f>
        <v>Debt 6x EBITDA</v>
      </c>
      <c r="T100" s="10" t="str">
        <f aca="false">Inputs!T$7</f>
        <v>BESS 100 MWh</v>
      </c>
      <c r="U100" s="10" t="str">
        <f aca="false">Inputs!U$7</f>
        <v>Not built, pro rata</v>
      </c>
      <c r="V100" s="10" t="str">
        <f aca="false">Inputs!V$7</f>
        <v>Not built, full call</v>
      </c>
      <c r="W100" s="10" t="str">
        <f aca="false">Inputs!W$7</f>
        <v>BESS not built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  <c r="W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  <c r="W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8.33333333333333</v>
      </c>
      <c r="V103" s="38" t="n">
        <v>8.33333333333333</v>
      </c>
      <c r="W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8.33333333333333</v>
      </c>
      <c r="V104" s="38" t="n">
        <v>8.33333333333333</v>
      </c>
      <c r="W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(-Calc_1!$I61)/Thousand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2.21643835616438</v>
      </c>
      <c r="O105" s="37" t="n">
        <v>0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0.826027397260274</v>
      </c>
      <c r="V105" s="37" t="n">
        <v>2.21643835616438</v>
      </c>
      <c r="W105" s="37" t="n">
        <v>0.547945205479452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(-Calc_2!$I61)/Thousand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0.826027397260274</v>
      </c>
      <c r="V106" s="37" t="n">
        <v>2.21643835616438</v>
      </c>
      <c r="W106" s="37" t="n">
        <v>0.547945205479452</v>
      </c>
    </row>
    <row r="107" customFormat="false" ht="15" hidden="false" customHeight="false" outlineLevel="0" collapsed="false">
      <c r="C107" s="0" t="s">
        <v>158</v>
      </c>
      <c r="D107" s="11" t="s">
        <v>27</v>
      </c>
      <c r="E107" s="22" t="n">
        <f aca="false">Calc_1!$E135</f>
        <v>0.2632612602034</v>
      </c>
      <c r="H107" s="39" t="n">
        <v>0.2632612602034</v>
      </c>
      <c r="I107" s="39" t="n">
        <v>0.0971893034559214</v>
      </c>
      <c r="J107" s="39" t="n">
        <v>0.403564977303025</v>
      </c>
      <c r="K107" s="39" t="n">
        <v>0.190786177934972</v>
      </c>
      <c r="L107" s="39" t="n">
        <v>0.2632612602034</v>
      </c>
      <c r="M107" s="39" t="n">
        <v>0.2632612602034</v>
      </c>
      <c r="N107" s="39" t="n">
        <v>0.237829411719297</v>
      </c>
      <c r="O107" s="39" t="n">
        <v>0.25697697435903</v>
      </c>
      <c r="P107" s="39" t="n">
        <v>0.2632612602034</v>
      </c>
      <c r="Q107" s="39" t="n">
        <v>0.2632612602034</v>
      </c>
      <c r="R107" s="39" t="n">
        <v>0.2632612602034</v>
      </c>
      <c r="S107" s="39" t="n">
        <v>0.260346598481744</v>
      </c>
      <c r="T107" s="39" t="n">
        <v>0.180970451878692</v>
      </c>
      <c r="U107" s="39" t="n">
        <v>0.264450738445034</v>
      </c>
      <c r="V107" s="39" t="n">
        <v>0.247659499391315</v>
      </c>
      <c r="W107" s="39" t="n">
        <v>0.309053306934891</v>
      </c>
    </row>
    <row r="108" customFormat="false" ht="15" hidden="false" customHeight="false" outlineLevel="0" collapsed="false">
      <c r="C108" s="0" t="s">
        <v>159</v>
      </c>
      <c r="D108" s="11" t="s">
        <v>27</v>
      </c>
      <c r="E108" s="22" t="n">
        <f aca="false">Calc_2!$E135</f>
        <v>0.410318082809979</v>
      </c>
      <c r="H108" s="39" t="n">
        <v>0.410318082809979</v>
      </c>
      <c r="I108" s="39" t="n">
        <v>0.273558608993453</v>
      </c>
      <c r="J108" s="39" t="n">
        <v>0.527449012156222</v>
      </c>
      <c r="K108" s="39" t="n">
        <v>0.371364553097074</v>
      </c>
      <c r="L108" s="39" t="n">
        <v>0.410318082809979</v>
      </c>
      <c r="M108" s="39" t="n">
        <v>0.410318082809979</v>
      </c>
      <c r="N108" s="39" t="n">
        <v>0.385684120479278</v>
      </c>
      <c r="O108" s="39" t="n">
        <v>0.405776603823075</v>
      </c>
      <c r="P108" s="39" t="n">
        <v>0.410318082809979</v>
      </c>
      <c r="Q108" s="39" t="n">
        <v>0.410318082809979</v>
      </c>
      <c r="R108" s="39" t="n">
        <v>0.410318082809979</v>
      </c>
      <c r="S108" s="39" t="n">
        <v>0.451597429376523</v>
      </c>
      <c r="T108" s="39" t="n">
        <v>0.324971457742521</v>
      </c>
      <c r="U108" s="39" t="n">
        <v>0.405821753092211</v>
      </c>
      <c r="V108" s="39" t="n">
        <v>0.389651997135684</v>
      </c>
      <c r="W108" s="39" t="n">
        <v>0.457385242234122</v>
      </c>
    </row>
    <row r="109" customFormat="false" ht="15" hidden="false" customHeight="false" outlineLevel="0" collapsed="false">
      <c r="C109" s="0" t="s">
        <v>160</v>
      </c>
      <c r="D109" s="11" t="s">
        <v>13</v>
      </c>
      <c r="E109" s="29" t="n">
        <f aca="false">Calc_1!$E136</f>
        <v>1.37165010901922</v>
      </c>
      <c r="H109" s="40" t="n">
        <v>1.37165010901922</v>
      </c>
      <c r="I109" s="40" t="n">
        <v>1.1249555839267</v>
      </c>
      <c r="J109" s="40" t="n">
        <v>1.61834463411174</v>
      </c>
      <c r="K109" s="40" t="n">
        <v>1.25471945100028</v>
      </c>
      <c r="L109" s="40" t="n">
        <v>1.37165010901922</v>
      </c>
      <c r="M109" s="40" t="n">
        <v>1.37165010901922</v>
      </c>
      <c r="N109" s="40" t="n">
        <v>1.33088721962059</v>
      </c>
      <c r="O109" s="40" t="n">
        <v>1.3614932742964</v>
      </c>
      <c r="P109" s="40" t="n">
        <v>1.37165010901922</v>
      </c>
      <c r="Q109" s="40" t="n">
        <v>1.37165010901922</v>
      </c>
      <c r="R109" s="40" t="n">
        <v>1.37165010901922</v>
      </c>
      <c r="S109" s="40" t="n">
        <v>1.36325878299198</v>
      </c>
      <c r="T109" s="40" t="n">
        <v>1.24036022558485</v>
      </c>
      <c r="U109" s="40" t="n">
        <v>1.38676742723913</v>
      </c>
      <c r="V109" s="40" t="n">
        <v>1.35855886318289</v>
      </c>
      <c r="W109" s="40" t="n">
        <v>1.4536401145147</v>
      </c>
    </row>
    <row r="110" customFormat="false" ht="15" hidden="false" customHeight="false" outlineLevel="0" collapsed="false">
      <c r="C110" s="0" t="s">
        <v>161</v>
      </c>
      <c r="D110" s="11" t="s">
        <v>13</v>
      </c>
      <c r="E110" s="29" t="n">
        <f aca="false">Calc_2!$E136</f>
        <v>1.70504013744302</v>
      </c>
      <c r="H110" s="40" t="n">
        <v>1.70504013744302</v>
      </c>
      <c r="I110" s="40" t="n">
        <v>1.42923339316881</v>
      </c>
      <c r="J110" s="40" t="n">
        <v>1.98084688171724</v>
      </c>
      <c r="K110" s="40" t="n">
        <v>1.61320561834386</v>
      </c>
      <c r="L110" s="40" t="n">
        <v>1.70504013744302</v>
      </c>
      <c r="M110" s="40" t="n">
        <v>1.70504013744302</v>
      </c>
      <c r="N110" s="40" t="n">
        <v>1.65187130535795</v>
      </c>
      <c r="O110" s="40" t="n">
        <v>1.69513700442128</v>
      </c>
      <c r="P110" s="40" t="n">
        <v>1.70504013744302</v>
      </c>
      <c r="Q110" s="40" t="n">
        <v>1.70504013744302</v>
      </c>
      <c r="R110" s="40" t="n">
        <v>1.70504013744302</v>
      </c>
      <c r="S110" s="40" t="n">
        <v>1.92978384195874</v>
      </c>
      <c r="T110" s="40" t="n">
        <v>1.51424348395704</v>
      </c>
      <c r="U110" s="40" t="n">
        <v>1.72809340832654</v>
      </c>
      <c r="V110" s="40" t="n">
        <v>1.69121570464785</v>
      </c>
      <c r="W110" s="40" t="n">
        <v>1.82874229874565</v>
      </c>
    </row>
    <row r="111" customFormat="false" ht="15" hidden="false" customHeight="false" outlineLevel="0" collapsed="false">
      <c r="C111" s="0" t="s">
        <v>162</v>
      </c>
      <c r="D111" s="11" t="s">
        <v>27</v>
      </c>
      <c r="E111" s="22" t="n">
        <f aca="false">Calc_1!$E148</f>
        <v>0.0778882731983792</v>
      </c>
      <c r="H111" s="39" t="n">
        <v>0.0778882731983987</v>
      </c>
      <c r="I111" s="39" t="n">
        <v>0.0778882731983987</v>
      </c>
      <c r="J111" s="39" t="n">
        <v>0.0778882731983987</v>
      </c>
      <c r="K111" s="39" t="n">
        <v>0.0715433562650098</v>
      </c>
      <c r="L111" s="39" t="n">
        <v>0.0610826471131583</v>
      </c>
      <c r="M111" s="39" t="n">
        <v>0.0954537476372053</v>
      </c>
      <c r="N111" s="39" t="n">
        <v>0.0750714877346744</v>
      </c>
      <c r="O111" s="39" t="n">
        <v>0.07279740294257</v>
      </c>
      <c r="P111" s="39" t="n">
        <v>0.0724135937197519</v>
      </c>
      <c r="Q111" s="39" t="n">
        <v>0.0591856521881188</v>
      </c>
      <c r="R111" s="39" t="n">
        <v>0.0808937816054077</v>
      </c>
      <c r="S111" s="39" t="n">
        <v>0.0774489997988233</v>
      </c>
      <c r="T111" s="39" t="n">
        <v>0.0706100367112937</v>
      </c>
      <c r="U111" s="39" t="n">
        <v>0.0780785905800754</v>
      </c>
      <c r="V111" s="39" t="n">
        <v>0.0761393933096526</v>
      </c>
      <c r="W111" s="39" t="n">
        <v>0.0820668502646019</v>
      </c>
    </row>
    <row r="112" customFormat="false" ht="15" hidden="false" customHeight="false" outlineLevel="0" collapsed="false">
      <c r="C112" s="0" t="s">
        <v>163</v>
      </c>
      <c r="D112" s="11" t="s">
        <v>27</v>
      </c>
      <c r="E112" s="22" t="n">
        <f aca="false">Calc_2!$E148</f>
        <v>0.117451501890167</v>
      </c>
      <c r="H112" s="39" t="n">
        <v>0.117451501890174</v>
      </c>
      <c r="I112" s="39" t="n">
        <v>0.117451501890174</v>
      </c>
      <c r="J112" s="39" t="n">
        <v>0.117451501890174</v>
      </c>
      <c r="K112" s="39" t="n">
        <v>0.112441025156954</v>
      </c>
      <c r="L112" s="39" t="n">
        <v>0.0982731499476269</v>
      </c>
      <c r="M112" s="39" t="n">
        <v>0.137717748645658</v>
      </c>
      <c r="N112" s="39" t="n">
        <v>0.112986945398579</v>
      </c>
      <c r="O112" s="39" t="n">
        <v>0.112778933470855</v>
      </c>
      <c r="P112" s="39" t="n">
        <v>0.10685030933559</v>
      </c>
      <c r="Q112" s="39" t="n">
        <v>0.0883964534137923</v>
      </c>
      <c r="R112" s="39" t="n">
        <v>0.122268282218015</v>
      </c>
      <c r="S112" s="39" t="n">
        <v>0.130188960047466</v>
      </c>
      <c r="T112" s="39" t="n">
        <v>0.106765804555509</v>
      </c>
      <c r="U112" s="39" t="n">
        <v>0.117290740738967</v>
      </c>
      <c r="V112" s="39" t="n">
        <v>0.114234429690077</v>
      </c>
      <c r="W112" s="39" t="n">
        <v>0.123592237100102</v>
      </c>
    </row>
    <row r="113" customFormat="false" ht="15" hidden="false" customHeight="false" outlineLevel="0" collapsed="false">
      <c r="C113" s="0" t="s">
        <v>164</v>
      </c>
      <c r="D113" s="11" t="s">
        <v>13</v>
      </c>
      <c r="E113" s="29" t="n">
        <f aca="false">Calc_1!$E149</f>
        <v>3.30771250081149</v>
      </c>
      <c r="H113" s="40" t="n">
        <v>3.307712500811</v>
      </c>
      <c r="I113" s="40" t="n">
        <v>3.307712500811</v>
      </c>
      <c r="J113" s="40" t="n">
        <v>3.307712500811</v>
      </c>
      <c r="K113" s="40" t="n">
        <v>3.09467497912358</v>
      </c>
      <c r="L113" s="40" t="n">
        <v>2.74204576737906</v>
      </c>
      <c r="M113" s="40" t="n">
        <v>3.93609601223023</v>
      </c>
      <c r="N113" s="40" t="n">
        <v>3.22252080784761</v>
      </c>
      <c r="O113" s="40" t="n">
        <v>3.1794857652674</v>
      </c>
      <c r="P113" s="40" t="n">
        <v>3.50114076861243</v>
      </c>
      <c r="Q113" s="40" t="n">
        <v>2.45811114864766</v>
      </c>
      <c r="R113" s="40" t="n">
        <v>3.46947210183341</v>
      </c>
      <c r="S113" s="40" t="n">
        <v>3.26040988159205</v>
      </c>
      <c r="T113" s="40" t="n">
        <v>3.06401425244263</v>
      </c>
      <c r="U113" s="40" t="n">
        <v>3.33803003886153</v>
      </c>
      <c r="V113" s="40" t="n">
        <v>3.25619941074688</v>
      </c>
      <c r="W113" s="40" t="n">
        <v>3.46593133563338</v>
      </c>
    </row>
    <row r="114" customFormat="false" ht="15" hidden="false" customHeight="false" outlineLevel="0" collapsed="false">
      <c r="C114" s="0" t="s">
        <v>165</v>
      </c>
      <c r="D114" s="11" t="s">
        <v>13</v>
      </c>
      <c r="E114" s="29" t="n">
        <f aca="false">Calc_2!$E149</f>
        <v>4.74214556361979</v>
      </c>
      <c r="H114" s="40" t="n">
        <v>4.74214556361974</v>
      </c>
      <c r="I114" s="40" t="n">
        <v>4.74214556361974</v>
      </c>
      <c r="J114" s="40" t="n">
        <v>4.74214556361974</v>
      </c>
      <c r="K114" s="40" t="n">
        <v>4.55022750717426</v>
      </c>
      <c r="L114" s="40" t="n">
        <v>4.01081974460778</v>
      </c>
      <c r="M114" s="40" t="n">
        <v>5.55969521465425</v>
      </c>
      <c r="N114" s="40" t="n">
        <v>4.61703406739402</v>
      </c>
      <c r="O114" s="40" t="n">
        <v>4.61857898041816</v>
      </c>
      <c r="P114" s="40" t="n">
        <v>4.91113308341426</v>
      </c>
      <c r="Q114" s="40" t="n">
        <v>3.36691604988038</v>
      </c>
      <c r="R114" s="40" t="n">
        <v>5.00546368741617</v>
      </c>
      <c r="S114" s="40" t="n">
        <v>5.81684797876232</v>
      </c>
      <c r="T114" s="40" t="n">
        <v>4.33739979644525</v>
      </c>
      <c r="U114" s="40" t="n">
        <v>4.79580470561466</v>
      </c>
      <c r="V114" s="40" t="n">
        <v>4.668112268713</v>
      </c>
      <c r="W114" s="40" t="n">
        <v>5.01604918631532</v>
      </c>
    </row>
    <row r="115" customFormat="false" ht="15" hidden="false" customHeight="false" outlineLevel="0" collapsed="false">
      <c r="C115" s="0" t="s">
        <v>166</v>
      </c>
      <c r="D115" s="11" t="s">
        <v>82</v>
      </c>
      <c r="E115" s="32" t="n">
        <f aca="false">Calc_1!$E98/Thousand</f>
        <v>59.0554976513219</v>
      </c>
      <c r="H115" s="37" t="n">
        <v>59.0554976513219</v>
      </c>
      <c r="I115" s="37" t="n">
        <v>59.0554976513219</v>
      </c>
      <c r="J115" s="37" t="n">
        <v>59.0554976513219</v>
      </c>
      <c r="K115" s="37" t="n">
        <v>62.208248803107</v>
      </c>
      <c r="L115" s="37" t="n">
        <v>59.0554976513219</v>
      </c>
      <c r="M115" s="37" t="n">
        <v>59.0554976513219</v>
      </c>
      <c r="N115" s="37" t="n">
        <v>59.0554976513219</v>
      </c>
      <c r="O115" s="37" t="n">
        <v>59.594912468236</v>
      </c>
      <c r="P115" s="37" t="n">
        <v>59.0554976513219</v>
      </c>
      <c r="Q115" s="37" t="n">
        <v>59.0554976513219</v>
      </c>
      <c r="R115" s="37" t="n">
        <v>59.0554976513219</v>
      </c>
      <c r="S115" s="37" t="n">
        <v>57.3413045024691</v>
      </c>
      <c r="T115" s="37" t="n">
        <v>62.5034825063159</v>
      </c>
      <c r="U115" s="37" t="n">
        <v>52.8196733750298</v>
      </c>
      <c r="V115" s="37" t="n">
        <v>52.8196733750298</v>
      </c>
      <c r="W115" s="37" t="n">
        <v>56.756841081326</v>
      </c>
    </row>
    <row r="116" customFormat="false" ht="15" hidden="false" customHeight="false" outlineLevel="0" collapsed="false">
      <c r="C116" s="0" t="s">
        <v>167</v>
      </c>
      <c r="D116" s="11" t="s">
        <v>82</v>
      </c>
      <c r="E116" s="32" t="n">
        <f aca="false">Calc_2!$E98/Thousand</f>
        <v>43.3973364285807</v>
      </c>
      <c r="H116" s="37" t="n">
        <v>43.3973364285807</v>
      </c>
      <c r="I116" s="37" t="n">
        <v>43.3973364285807</v>
      </c>
      <c r="J116" s="37" t="n">
        <v>43.3973364285807</v>
      </c>
      <c r="K116" s="37" t="n">
        <v>45.0566791400465</v>
      </c>
      <c r="L116" s="37" t="n">
        <v>43.3973364285807</v>
      </c>
      <c r="M116" s="37" t="n">
        <v>43.3973364285807</v>
      </c>
      <c r="N116" s="37" t="n">
        <v>43.3973364285807</v>
      </c>
      <c r="O116" s="37" t="n">
        <v>43.7982726026096</v>
      </c>
      <c r="P116" s="37" t="n">
        <v>43.3973364285807</v>
      </c>
      <c r="Q116" s="37" t="n">
        <v>43.3973364285807</v>
      </c>
      <c r="R116" s="37" t="n">
        <v>43.3973364285807</v>
      </c>
      <c r="S116" s="37" t="n">
        <v>55.2329736363755</v>
      </c>
      <c r="T116" s="37" t="n">
        <v>46.8453212835746</v>
      </c>
      <c r="U116" s="37" t="n">
        <v>38.5191561889424</v>
      </c>
      <c r="V116" s="37" t="n">
        <v>38.5191561889424</v>
      </c>
      <c r="W116" s="37" t="n">
        <v>41.0986798585847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Calc_1!$E124/Thousand</f>
        <v>54.3739265999892</v>
      </c>
      <c r="H117" s="37" t="n">
        <v>54.3739265999892</v>
      </c>
      <c r="I117" s="37" t="n">
        <v>54.3739265999892</v>
      </c>
      <c r="J117" s="37" t="n">
        <v>54.3739265999892</v>
      </c>
      <c r="K117" s="37" t="n">
        <v>56.9284640801166</v>
      </c>
      <c r="L117" s="37" t="n">
        <v>54.3739265999892</v>
      </c>
      <c r="M117" s="37" t="n">
        <v>54.3739265999892</v>
      </c>
      <c r="N117" s="37" t="n">
        <v>54.3739265999892</v>
      </c>
      <c r="O117" s="37" t="n">
        <v>54.3833663592852</v>
      </c>
      <c r="P117" s="37" t="n">
        <v>54.3739265999892</v>
      </c>
      <c r="Q117" s="37" t="n">
        <v>54.3739265999892</v>
      </c>
      <c r="R117" s="37" t="n">
        <v>54.3739265999892</v>
      </c>
      <c r="S117" s="37" t="n">
        <v>55.9660399400338</v>
      </c>
      <c r="T117" s="37" t="n">
        <v>57.3494828570007</v>
      </c>
      <c r="U117" s="37" t="n">
        <v>49.2903841589315</v>
      </c>
      <c r="V117" s="37" t="n">
        <v>49.2903841589315</v>
      </c>
      <c r="W117" s="37" t="n">
        <v>52.5114249056607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Calc_2!$E124/Thousand</f>
        <v>41.6867978709354</v>
      </c>
      <c r="H118" s="37" t="n">
        <v>41.6867978709354</v>
      </c>
      <c r="I118" s="37" t="n">
        <v>41.6867978709354</v>
      </c>
      <c r="J118" s="37" t="n">
        <v>41.6867978709354</v>
      </c>
      <c r="K118" s="37" t="n">
        <v>43.0312912815288</v>
      </c>
      <c r="L118" s="37" t="n">
        <v>41.6867978709354</v>
      </c>
      <c r="M118" s="37" t="n">
        <v>41.6867978709354</v>
      </c>
      <c r="N118" s="37" t="n">
        <v>41.6867978709354</v>
      </c>
      <c r="O118" s="37" t="n">
        <v>41.6938142539809</v>
      </c>
      <c r="P118" s="37" t="n">
        <v>41.6867978709354</v>
      </c>
      <c r="Q118" s="37" t="n">
        <v>41.6867978709354</v>
      </c>
      <c r="R118" s="37" t="n">
        <v>41.6867978709354</v>
      </c>
      <c r="S118" s="37" t="n">
        <v>30.6987886806502</v>
      </c>
      <c r="T118" s="37" t="n">
        <v>44.662354127947</v>
      </c>
      <c r="U118" s="37" t="n">
        <v>37.7032954930906</v>
      </c>
      <c r="V118" s="37" t="n">
        <v>37.7032954930906</v>
      </c>
      <c r="W118" s="37" t="n">
        <v>39.824296176607</v>
      </c>
    </row>
    <row r="119" customFormat="false" ht="15" hidden="false" customHeight="false" outlineLevel="0" collapsed="false">
      <c r="C119" s="0" t="s">
        <v>170</v>
      </c>
      <c r="D119" s="11" t="s">
        <v>27</v>
      </c>
      <c r="E119" s="22" t="n">
        <f aca="false">Calc_1!$E140</f>
        <v>0.0569296881085363</v>
      </c>
      <c r="H119" s="39" t="n">
        <v>0.0569296881085387</v>
      </c>
      <c r="I119" s="39" t="n">
        <v>0.0674803054948227</v>
      </c>
      <c r="J119" s="39" t="n">
        <v>0.0479671375235331</v>
      </c>
      <c r="K119" s="39" t="n">
        <v>0.0573586076385385</v>
      </c>
      <c r="L119" s="39" t="n">
        <v>0.0457913846385378</v>
      </c>
      <c r="M119" s="39" t="n">
        <v>0.0685476692232811</v>
      </c>
      <c r="N119" s="39" t="n">
        <v>0.0569732948793288</v>
      </c>
      <c r="O119" s="39" t="n">
        <v>0.0574297177099026</v>
      </c>
      <c r="P119" s="39" t="n">
        <v>0.0560282161812483</v>
      </c>
      <c r="Q119" s="39" t="n">
        <v>0.0434551926876172</v>
      </c>
      <c r="R119" s="39" t="n">
        <v>0.0591345064749821</v>
      </c>
      <c r="S119" s="39" t="n">
        <v>0.0568685536550732</v>
      </c>
      <c r="T119" s="39" t="n">
        <v>0.0573239534184653</v>
      </c>
      <c r="U119" s="39" t="n">
        <v>0.0566913139884747</v>
      </c>
      <c r="V119" s="39" t="n">
        <v>0.0567210961045192</v>
      </c>
      <c r="W119" s="39" t="n">
        <v>0.0566277513464241</v>
      </c>
    </row>
    <row r="120" customFormat="false" ht="15" hidden="false" customHeight="false" outlineLevel="0" collapsed="false">
      <c r="C120" s="0" t="s">
        <v>171</v>
      </c>
      <c r="D120" s="11" t="s">
        <v>27</v>
      </c>
      <c r="E120" s="22" t="n">
        <f aca="false">Calc_2!$E140</f>
        <v>0.0698570950743651</v>
      </c>
      <c r="H120" s="39" t="n">
        <v>0.0698570950743655</v>
      </c>
      <c r="I120" s="39" t="n">
        <v>0.0812736105603523</v>
      </c>
      <c r="J120" s="39" t="n">
        <v>0.0602059236830934</v>
      </c>
      <c r="K120" s="39" t="n">
        <v>0.0701595776586858</v>
      </c>
      <c r="L120" s="39" t="n">
        <v>0.0578283821218867</v>
      </c>
      <c r="M120" s="39" t="n">
        <v>0.0825727344509393</v>
      </c>
      <c r="N120" s="39" t="n">
        <v>0.0699238776085356</v>
      </c>
      <c r="O120" s="39" t="n">
        <v>0.0703680537994932</v>
      </c>
      <c r="P120" s="39" t="n">
        <v>0.0690864760333364</v>
      </c>
      <c r="Q120" s="39" t="n">
        <v>0.0498293062288718</v>
      </c>
      <c r="R120" s="39" t="n">
        <v>0.0731894969701397</v>
      </c>
      <c r="S120" s="39" t="n">
        <v>0.0704916182644306</v>
      </c>
      <c r="T120" s="39" t="n">
        <v>0.0704214363525039</v>
      </c>
      <c r="U120" s="39" t="n">
        <v>0.0695759321385506</v>
      </c>
      <c r="V120" s="39" t="n">
        <v>0.0696215325667591</v>
      </c>
      <c r="W120" s="39" t="n">
        <v>0.0694542934963401</v>
      </c>
    </row>
    <row r="121" customFormat="false" ht="15" hidden="false" customHeight="false" outlineLevel="0" collapsed="false">
      <c r="C121" s="0" t="s">
        <v>172</v>
      </c>
      <c r="D121" s="11" t="s">
        <v>27</v>
      </c>
      <c r="E121" s="22" t="n">
        <f aca="false">Calc_1!$E142</f>
        <v>0.0587523414589974</v>
      </c>
      <c r="H121" s="39" t="n">
        <v>0.0587523414590059</v>
      </c>
      <c r="I121" s="39" t="n">
        <v>0.0751118277096248</v>
      </c>
      <c r="J121" s="39" t="n">
        <v>0.0462686641550997</v>
      </c>
      <c r="K121" s="39" t="n">
        <v>0.0595292314594261</v>
      </c>
      <c r="L121" s="39" t="n">
        <v>0.042951119183</v>
      </c>
      <c r="M121" s="39" t="n">
        <v>0.0754980781761551</v>
      </c>
      <c r="N121" s="39" t="n">
        <v>0.058817875376593</v>
      </c>
      <c r="O121" s="39" t="n">
        <v>0.0548049927131866</v>
      </c>
      <c r="P121" s="39" t="n">
        <v>0.0564906128392004</v>
      </c>
      <c r="Q121" s="39" t="n">
        <v>0.0392767923989467</v>
      </c>
      <c r="R121" s="39" t="n">
        <v>0.0618870510621726</v>
      </c>
      <c r="S121" s="39" t="n">
        <v>0.0585907234698031</v>
      </c>
      <c r="T121" s="39" t="n">
        <v>0.0594987256828657</v>
      </c>
      <c r="U121" s="39" t="n">
        <v>0.0583620488277178</v>
      </c>
      <c r="V121" s="39" t="n">
        <v>0.0584062149740838</v>
      </c>
      <c r="W121" s="39" t="n">
        <v>0.0582252785117663</v>
      </c>
    </row>
    <row r="122" customFormat="false" ht="15" hidden="false" customHeight="false" outlineLevel="0" collapsed="false">
      <c r="C122" s="0" t="s">
        <v>173</v>
      </c>
      <c r="D122" s="11" t="s">
        <v>27</v>
      </c>
      <c r="E122" s="22" t="n">
        <f aca="false">Calc_2!$E142</f>
        <v>0.0759030321814568</v>
      </c>
      <c r="H122" s="39" t="n">
        <v>0.0759030321814591</v>
      </c>
      <c r="I122" s="39" t="n">
        <v>0.0933457596457021</v>
      </c>
      <c r="J122" s="39" t="n">
        <v>0.0624851095440811</v>
      </c>
      <c r="K122" s="39" t="n">
        <v>0.0766530777264474</v>
      </c>
      <c r="L122" s="39" t="n">
        <v>0.0596013438093339</v>
      </c>
      <c r="M122" s="39" t="n">
        <v>0.09339664466248</v>
      </c>
      <c r="N122" s="39" t="n">
        <v>0.076007681983624</v>
      </c>
      <c r="O122" s="39" t="n">
        <v>0.0728289812281461</v>
      </c>
      <c r="P122" s="39" t="n">
        <v>0.0719448333838699</v>
      </c>
      <c r="Q122" s="39" t="n">
        <v>0.048772364922962</v>
      </c>
      <c r="R122" s="39" t="n">
        <v>0.0804180702605127</v>
      </c>
      <c r="S122" s="39" t="n">
        <v>0.0794336094103767</v>
      </c>
      <c r="T122" s="39" t="n">
        <v>0.0774027536242704</v>
      </c>
      <c r="U122" s="39" t="n">
        <v>0.0752944165767624</v>
      </c>
      <c r="V122" s="39" t="n">
        <v>0.0753646139266189</v>
      </c>
      <c r="W122" s="39" t="n">
        <v>0.0749257641357008</v>
      </c>
    </row>
    <row r="123" customFormat="false" ht="15" hidden="false" customHeight="false" outlineLevel="0" collapsed="false">
      <c r="C123" s="0" t="s">
        <v>174</v>
      </c>
      <c r="D123" s="11" t="s">
        <v>13</v>
      </c>
      <c r="E123" s="29" t="n">
        <f aca="false">Calc_1!$E102</f>
        <v>1.8815437824053</v>
      </c>
      <c r="H123" s="40" t="n">
        <v>1.88154378240769</v>
      </c>
      <c r="I123" s="40" t="n">
        <v>1.88154378240769</v>
      </c>
      <c r="J123" s="40" t="n">
        <v>1.88154378240769</v>
      </c>
      <c r="K123" s="40" t="n">
        <v>1.79569473471562</v>
      </c>
      <c r="L123" s="40" t="n">
        <v>1.67809785540891</v>
      </c>
      <c r="M123" s="40" t="n">
        <v>2.10465277029539</v>
      </c>
      <c r="N123" s="40" t="n">
        <v>1.88154378240501</v>
      </c>
      <c r="O123" s="40" t="n">
        <v>1.73993842542426</v>
      </c>
      <c r="P123" s="40" t="n">
        <v>1.2354671181201</v>
      </c>
      <c r="Q123" s="40" t="n">
        <v>1.73844152842893</v>
      </c>
      <c r="R123" s="40" t="n">
        <v>1.90706423954487</v>
      </c>
      <c r="S123" s="40" t="n">
        <v>1.93626453846011</v>
      </c>
      <c r="T123" s="40" t="n">
        <v>1.78643376869491</v>
      </c>
      <c r="U123" s="40" t="n">
        <v>1.91566255264028</v>
      </c>
      <c r="V123" s="40" t="n">
        <v>1.91566255264028</v>
      </c>
      <c r="W123" s="40" t="n">
        <v>1.95014838478087</v>
      </c>
    </row>
    <row r="124" customFormat="false" ht="15" hidden="false" customHeight="false" outlineLevel="0" collapsed="false">
      <c r="C124" s="0" t="s">
        <v>175</v>
      </c>
      <c r="D124" s="11" t="s">
        <v>13</v>
      </c>
      <c r="E124" s="29" t="n">
        <f aca="false">Calc_2!$E102</f>
        <v>2.48397400954815</v>
      </c>
      <c r="H124" s="40" t="n">
        <v>2.48397400954913</v>
      </c>
      <c r="I124" s="40" t="n">
        <v>2.48397400954913</v>
      </c>
      <c r="J124" s="40" t="n">
        <v>2.48397400954913</v>
      </c>
      <c r="K124" s="40" t="n">
        <v>2.40055427184272</v>
      </c>
      <c r="L124" s="40" t="n">
        <v>2.2126561605366</v>
      </c>
      <c r="M124" s="40" t="n">
        <v>2.78506057799376</v>
      </c>
      <c r="N124" s="40" t="n">
        <v>2.48397400954807</v>
      </c>
      <c r="O124" s="40" t="n">
        <v>2.29509540822652</v>
      </c>
      <c r="P124" s="40" t="n">
        <v>1.63140936187203</v>
      </c>
      <c r="Q124" s="40" t="n">
        <v>2.13043048610751</v>
      </c>
      <c r="R124" s="40" t="n">
        <v>2.54921521529798</v>
      </c>
      <c r="S124" s="40" t="n">
        <v>1.96557114176413</v>
      </c>
      <c r="T124" s="40" t="n">
        <v>2.31571869036718</v>
      </c>
      <c r="U124" s="40" t="n">
        <v>2.54766400380892</v>
      </c>
      <c r="V124" s="40" t="n">
        <v>2.54766400380892</v>
      </c>
      <c r="W124" s="40" t="n">
        <v>2.61065228180401</v>
      </c>
    </row>
    <row r="125" customFormat="false" ht="15" hidden="false" customHeight="false" outlineLevel="0" collapsed="false">
      <c r="C125" s="0" t="s">
        <v>176</v>
      </c>
      <c r="D125" s="11" t="s">
        <v>150</v>
      </c>
      <c r="E125" s="30" t="n">
        <f aca="false">Model_Checks</f>
        <v>0</v>
      </c>
      <c r="H125" s="41" t="n">
        <v>0</v>
      </c>
      <c r="I125" s="41" t="n">
        <v>0</v>
      </c>
      <c r="J125" s="41" t="n">
        <v>0</v>
      </c>
      <c r="K125" s="41" t="n">
        <v>0</v>
      </c>
      <c r="L125" s="41" t="n">
        <v>0</v>
      </c>
      <c r="M125" s="41" t="n">
        <v>0</v>
      </c>
      <c r="N125" s="41" t="n">
        <v>0</v>
      </c>
      <c r="O125" s="41" t="n">
        <v>0</v>
      </c>
      <c r="P125" s="41" t="n">
        <v>0</v>
      </c>
      <c r="Q125" s="41" t="n">
        <v>0</v>
      </c>
      <c r="R125" s="41" t="n">
        <v>0</v>
      </c>
      <c r="S125" s="41" t="n">
        <v>0</v>
      </c>
      <c r="T125" s="41" t="n">
        <v>0</v>
      </c>
      <c r="U125" s="41" t="n">
        <v>0</v>
      </c>
      <c r="V125" s="41" t="n">
        <v>0</v>
      </c>
      <c r="W125" s="41" t="n">
        <v>0</v>
      </c>
    </row>
    <row r="126" customFormat="false" ht="15" hidden="false" customHeight="false" outlineLevel="0" collapsed="false">
      <c r="C126" s="0" t="s">
        <v>177</v>
      </c>
      <c r="D126" s="11" t="s">
        <v>150</v>
      </c>
      <c r="E126" s="30" t="n">
        <f aca="false">Model_Checks</f>
        <v>0</v>
      </c>
      <c r="H126" s="41" t="n">
        <v>0</v>
      </c>
      <c r="I126" s="41" t="n">
        <v>0</v>
      </c>
      <c r="J126" s="41" t="n">
        <v>0</v>
      </c>
      <c r="K126" s="41" t="n">
        <v>0</v>
      </c>
      <c r="L126" s="41" t="n">
        <v>0</v>
      </c>
      <c r="M126" s="41" t="n">
        <v>0</v>
      </c>
      <c r="N126" s="41" t="n">
        <v>0</v>
      </c>
      <c r="O126" s="41" t="n">
        <v>0</v>
      </c>
      <c r="P126" s="41" t="n">
        <v>0</v>
      </c>
      <c r="Q126" s="41" t="n">
        <v>0</v>
      </c>
      <c r="R126" s="41" t="n">
        <v>0</v>
      </c>
      <c r="S126" s="41" t="n">
        <v>0</v>
      </c>
      <c r="T126" s="41" t="n">
        <v>0</v>
      </c>
      <c r="U126" s="41" t="n">
        <v>0</v>
      </c>
      <c r="V126" s="41" t="n">
        <v>0</v>
      </c>
      <c r="W126" s="41" t="n">
        <v>0</v>
      </c>
    </row>
    <row r="128" customFormat="false" ht="15" hidden="false" customHeight="false" outlineLevel="0" collapsed="false">
      <c r="C128" s="42" t="s">
        <v>178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A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179</v>
      </c>
      <c r="D4" s="0" t="s">
        <v>180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182</v>
      </c>
      <c r="C7" s="7" t="s">
        <v>8</v>
      </c>
      <c r="D7" s="7" t="s">
        <v>183</v>
      </c>
      <c r="F7" s="8" t="s">
        <v>12</v>
      </c>
      <c r="H7" s="45" t="s">
        <v>22</v>
      </c>
      <c r="I7" s="45" t="s">
        <v>184</v>
      </c>
      <c r="J7" s="45" t="s">
        <v>185</v>
      </c>
      <c r="K7" s="45" t="s">
        <v>186</v>
      </c>
      <c r="L7" s="45" t="s">
        <v>187</v>
      </c>
      <c r="M7" s="45" t="s">
        <v>188</v>
      </c>
      <c r="N7" s="45" t="s">
        <v>189</v>
      </c>
      <c r="O7" s="45" t="s">
        <v>190</v>
      </c>
      <c r="P7" s="45" t="s">
        <v>191</v>
      </c>
      <c r="Q7" s="45" t="s">
        <v>192</v>
      </c>
      <c r="R7" s="45" t="s">
        <v>193</v>
      </c>
      <c r="S7" s="45" t="s">
        <v>194</v>
      </c>
      <c r="T7" s="45" t="s">
        <v>195</v>
      </c>
      <c r="U7" s="45" t="s">
        <v>196</v>
      </c>
      <c r="V7" s="45" t="s">
        <v>197</v>
      </c>
      <c r="W7" s="45" t="s">
        <v>198</v>
      </c>
    </row>
    <row r="10" customFormat="false" ht="15" hidden="false" customHeight="false" outlineLevel="0" collapsed="false">
      <c r="A10" s="9" t="s">
        <v>13</v>
      </c>
      <c r="B10" s="9"/>
      <c r="C10" s="9" t="s">
        <v>199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200</v>
      </c>
      <c r="C11" s="11" t="s">
        <v>150</v>
      </c>
      <c r="D11" s="13" t="s">
        <v>201</v>
      </c>
      <c r="F11" s="45" t="n">
        <v>1000</v>
      </c>
    </row>
    <row r="12" customFormat="false" ht="15" hidden="false" customHeight="false" outlineLevel="0" collapsed="false">
      <c r="B12" s="0" t="s">
        <v>202</v>
      </c>
      <c r="C12" s="11" t="s">
        <v>150</v>
      </c>
      <c r="D12" s="13" t="s">
        <v>201</v>
      </c>
      <c r="F12" s="45" t="n">
        <v>1000000</v>
      </c>
    </row>
    <row r="13" customFormat="false" ht="15" hidden="false" customHeight="false" outlineLevel="0" collapsed="false">
      <c r="B13" s="0" t="s">
        <v>203</v>
      </c>
      <c r="C13" s="11" t="s">
        <v>204</v>
      </c>
      <c r="D13" s="13" t="s">
        <v>205</v>
      </c>
      <c r="F13" s="45" t="n">
        <v>365</v>
      </c>
    </row>
    <row r="14" customFormat="false" ht="15" hidden="false" customHeight="false" outlineLevel="0" collapsed="false">
      <c r="B14" s="0" t="s">
        <v>206</v>
      </c>
      <c r="C14" s="11" t="s">
        <v>207</v>
      </c>
      <c r="F14" s="45" t="n">
        <v>12</v>
      </c>
    </row>
    <row r="15" customFormat="false" ht="15" hidden="false" customHeight="false" outlineLevel="0" collapsed="false">
      <c r="B15" s="0" t="s">
        <v>208</v>
      </c>
      <c r="C15" s="11" t="s">
        <v>207</v>
      </c>
      <c r="D15" s="13" t="s">
        <v>209</v>
      </c>
      <c r="F15" s="45" t="n">
        <v>3</v>
      </c>
    </row>
    <row r="16" customFormat="false" ht="15" hidden="false" customHeight="false" outlineLevel="0" collapsed="false">
      <c r="B16" s="0" t="s">
        <v>210</v>
      </c>
      <c r="C16" s="11" t="s">
        <v>150</v>
      </c>
      <c r="D16" s="13" t="s">
        <v>211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213</v>
      </c>
      <c r="C19" s="11" t="s">
        <v>38</v>
      </c>
      <c r="D19" s="13" t="s">
        <v>214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customFormat="false" ht="15" hidden="false" customHeight="false" outlineLevel="0" collapsed="false">
      <c r="B20" s="0" t="s">
        <v>215</v>
      </c>
      <c r="C20" s="11" t="s">
        <v>27</v>
      </c>
      <c r="D20" s="13" t="s">
        <v>216</v>
      </c>
      <c r="F20" s="45" t="n">
        <v>0.1</v>
      </c>
    </row>
    <row r="21" customFormat="false" ht="15" hidden="false" customHeight="false" outlineLevel="0" collapsed="false">
      <c r="B21" s="0" t="s">
        <v>217</v>
      </c>
      <c r="C21" s="11" t="s">
        <v>38</v>
      </c>
      <c r="D21" s="13" t="s">
        <v>218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customFormat="false" ht="15" hidden="false" customHeight="false" outlineLevel="0" collapsed="false">
      <c r="B22" s="0" t="s">
        <v>219</v>
      </c>
      <c r="C22" s="11" t="s">
        <v>38</v>
      </c>
      <c r="D22" s="13" t="s">
        <v>220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customFormat="false" ht="15" hidden="false" customHeight="false" outlineLevel="0" collapsed="false">
      <c r="B23" s="0" t="s">
        <v>221</v>
      </c>
      <c r="C23" s="11" t="s">
        <v>38</v>
      </c>
      <c r="D23" s="13" t="s">
        <v>222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customFormat="false" ht="15" hidden="false" customHeight="false" outlineLevel="0" collapsed="false">
      <c r="B24" s="0" t="s">
        <v>223</v>
      </c>
      <c r="C24" s="11" t="s">
        <v>204</v>
      </c>
      <c r="D24" s="13" t="s">
        <v>224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customFormat="false" ht="15" hidden="false" customHeight="false" outlineLevel="0" collapsed="false">
      <c r="B25" s="0" t="s">
        <v>225</v>
      </c>
      <c r="C25" s="11" t="s">
        <v>38</v>
      </c>
      <c r="D25" s="13" t="s">
        <v>226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customFormat="false" ht="15" hidden="false" customHeight="false" outlineLevel="0" collapsed="false">
      <c r="B26" s="0" t="s">
        <v>227</v>
      </c>
      <c r="C26" s="11" t="s">
        <v>38</v>
      </c>
      <c r="D26" s="13" t="s">
        <v>228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customFormat="false" ht="15" hidden="false" customHeight="false" outlineLevel="0" collapsed="false">
      <c r="B27" s="0" t="s">
        <v>229</v>
      </c>
      <c r="C27" s="11" t="s">
        <v>38</v>
      </c>
      <c r="D27" s="13" t="s">
        <v>230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customFormat="false" ht="15" hidden="false" customHeight="false" outlineLevel="0" collapsed="false">
      <c r="B28" s="0" t="s">
        <v>231</v>
      </c>
      <c r="C28" s="11" t="s">
        <v>38</v>
      </c>
      <c r="D28" s="13" t="s">
        <v>232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customFormat="false" ht="15" hidden="false" customHeight="false" outlineLevel="0" collapsed="false">
      <c r="B29" s="0" t="s">
        <v>233</v>
      </c>
      <c r="C29" s="11" t="s">
        <v>66</v>
      </c>
      <c r="D29" s="13" t="s">
        <v>234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customFormat="false" ht="15" hidden="false" customHeight="false" outlineLevel="0" collapsed="false">
      <c r="B30" s="0" t="s">
        <v>235</v>
      </c>
      <c r="C30" s="11" t="s">
        <v>38</v>
      </c>
      <c r="D30" s="13" t="s">
        <v>236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2" customFormat="false" ht="15" hidden="false" customHeight="false" outlineLevel="0" collapsed="false">
      <c r="A32" s="9" t="s">
        <v>13</v>
      </c>
      <c r="B32" s="9"/>
      <c r="C32" s="9" t="s">
        <v>237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238</v>
      </c>
      <c r="C33" s="11" t="s">
        <v>79</v>
      </c>
      <c r="D33" s="13" t="s">
        <v>239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customFormat="false" ht="15" hidden="false" customHeight="false" outlineLevel="0" collapsed="false">
      <c r="B34" s="0" t="s">
        <v>240</v>
      </c>
      <c r="C34" s="11" t="s">
        <v>33</v>
      </c>
      <c r="D34" s="13" t="s">
        <v>241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customFormat="false" ht="15" hidden="false" customHeight="false" outlineLevel="0" collapsed="false">
      <c r="B35" s="0" t="s">
        <v>242</v>
      </c>
      <c r="C35" s="11" t="s">
        <v>33</v>
      </c>
      <c r="D35" s="13" t="s">
        <v>243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customFormat="false" ht="15" hidden="false" customHeight="false" outlineLevel="0" collapsed="false">
      <c r="B36" s="0" t="s">
        <v>244</v>
      </c>
      <c r="C36" s="11" t="s">
        <v>33</v>
      </c>
      <c r="D36" s="13" t="s">
        <v>245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customFormat="false" ht="15" hidden="false" customHeight="false" outlineLevel="0" collapsed="false">
      <c r="B37" s="0" t="s">
        <v>246</v>
      </c>
      <c r="C37" s="11" t="s">
        <v>19</v>
      </c>
      <c r="D37" s="13" t="s">
        <v>247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customFormat="false" ht="15" hidden="false" customHeight="false" outlineLevel="0" collapsed="false">
      <c r="B38" s="0" t="s">
        <v>248</v>
      </c>
      <c r="C38" s="11" t="s">
        <v>19</v>
      </c>
      <c r="D38" s="13" t="s">
        <v>249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customFormat="false" ht="15" hidden="false" customHeight="false" outlineLevel="0" collapsed="false">
      <c r="B39" s="0" t="s">
        <v>250</v>
      </c>
      <c r="C39" s="11" t="s">
        <v>33</v>
      </c>
      <c r="D39" s="13" t="s">
        <v>251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customFormat="false" ht="15" hidden="false" customHeight="false" outlineLevel="0" collapsed="false">
      <c r="B40" s="0" t="s">
        <v>252</v>
      </c>
      <c r="C40" s="11" t="s">
        <v>27</v>
      </c>
      <c r="D40" s="13" t="s">
        <v>253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customFormat="false" ht="15" hidden="false" customHeight="false" outlineLevel="0" collapsed="false">
      <c r="B41" s="0" t="s">
        <v>254</v>
      </c>
      <c r="C41" s="11" t="s">
        <v>27</v>
      </c>
      <c r="D41" s="13" t="s">
        <v>255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</row>
    <row r="42" customFormat="false" ht="15" hidden="false" customHeight="false" outlineLevel="0" collapsed="false">
      <c r="B42" s="0" t="s">
        <v>256</v>
      </c>
      <c r="C42" s="11" t="s">
        <v>43</v>
      </c>
      <c r="D42" s="13" t="s">
        <v>257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</row>
    <row r="43" customFormat="false" ht="15" hidden="false" customHeight="false" outlineLevel="0" collapsed="false">
      <c r="B43" s="0" t="s">
        <v>258</v>
      </c>
      <c r="C43" s="11" t="s">
        <v>27</v>
      </c>
      <c r="D43" s="13" t="s">
        <v>259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customFormat="false" ht="15" hidden="false" customHeight="false" outlineLevel="0" collapsed="false">
      <c r="B44" s="0" t="s">
        <v>260</v>
      </c>
      <c r="C44" s="11" t="s">
        <v>43</v>
      </c>
      <c r="D44" s="13" t="s">
        <v>261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customFormat="false" ht="15" hidden="false" customHeight="false" outlineLevel="0" collapsed="false">
      <c r="B45" s="0" t="s">
        <v>262</v>
      </c>
      <c r="C45" s="11" t="s">
        <v>66</v>
      </c>
      <c r="D45" s="13" t="s">
        <v>263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customFormat="false" ht="15" hidden="false" customHeight="false" outlineLevel="0" collapsed="false">
      <c r="B46" s="0" t="s">
        <v>264</v>
      </c>
      <c r="C46" s="11" t="s">
        <v>27</v>
      </c>
      <c r="D46" s="13" t="s">
        <v>265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customFormat="false" ht="15" hidden="false" customHeight="false" outlineLevel="0" collapsed="false">
      <c r="B47" s="0" t="s">
        <v>266</v>
      </c>
      <c r="C47" s="11" t="s">
        <v>66</v>
      </c>
      <c r="D47" s="13" t="s">
        <v>267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9" customFormat="false" ht="15" hidden="false" customHeight="false" outlineLevel="0" collapsed="false">
      <c r="A49" s="9" t="s">
        <v>13</v>
      </c>
      <c r="B49" s="9"/>
      <c r="C49" s="9" t="s">
        <v>268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269</v>
      </c>
      <c r="C50" s="11" t="s">
        <v>150</v>
      </c>
      <c r="D50" s="13" t="s">
        <v>270</v>
      </c>
      <c r="F50" s="45" t="n">
        <v>2</v>
      </c>
    </row>
    <row r="51" customFormat="false" ht="15" hidden="false" customHeight="false" outlineLevel="0" collapsed="false">
      <c r="B51" s="0" t="s">
        <v>271</v>
      </c>
      <c r="C51" s="11" t="s">
        <v>77</v>
      </c>
      <c r="D51" s="13" t="s">
        <v>272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</row>
    <row r="52" customFormat="false" ht="15" hidden="false" customHeight="false" outlineLevel="0" collapsed="false">
      <c r="B52" s="0" t="s">
        <v>273</v>
      </c>
      <c r="C52" s="11" t="s">
        <v>27</v>
      </c>
      <c r="D52" s="13" t="s">
        <v>216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 t="n">
        <v>0</v>
      </c>
      <c r="W52" s="17"/>
    </row>
    <row r="53" customFormat="false" ht="15" hidden="false" customHeight="false" outlineLevel="0" collapsed="false">
      <c r="B53" s="0" t="s">
        <v>274</v>
      </c>
      <c r="C53" s="11" t="s">
        <v>27</v>
      </c>
      <c r="D53" s="13" t="s">
        <v>275</v>
      </c>
      <c r="F53" s="49" t="n">
        <f aca="false">IF(INDEX($H53:$W53,1,Scenario_Selected)="",$H53,INDEX($H53:$W53,1,Scenario_Selected))</f>
        <v>0</v>
      </c>
      <c r="H53" s="17" t="n">
        <v>0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 t="n">
        <v>0.5</v>
      </c>
      <c r="U53" s="17"/>
      <c r="V53" s="17"/>
      <c r="W53" s="17"/>
    </row>
    <row r="54" customFormat="false" ht="15" hidden="false" customHeight="false" outlineLevel="0" collapsed="false">
      <c r="B54" s="0" t="s">
        <v>276</v>
      </c>
      <c r="C54" s="11" t="s">
        <v>27</v>
      </c>
      <c r="D54" s="13" t="s">
        <v>277</v>
      </c>
      <c r="F54" s="49" t="n">
        <f aca="false">IF(INDEX($H54:$W54,1,Scenario_Selected)="",$H54,INDEX($H54:$W54,1,Scenario_Selected))</f>
        <v>0.05</v>
      </c>
      <c r="H54" s="17" t="n">
        <v>0.05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customFormat="false" ht="15" hidden="false" customHeight="false" outlineLevel="0" collapsed="false">
      <c r="B55" s="0" t="s">
        <v>278</v>
      </c>
      <c r="C55" s="11" t="s">
        <v>43</v>
      </c>
      <c r="D55" s="13" t="s">
        <v>279</v>
      </c>
      <c r="F55" s="50" t="n">
        <f aca="false">IF(INDEX($H55:$W55,1,Scenario_Selected)="",$H55,INDEX($H55:$W55,1,Scenario_Selected))</f>
        <v>1</v>
      </c>
      <c r="H55" s="23" t="n">
        <v>1</v>
      </c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 t="n">
        <v>0</v>
      </c>
      <c r="V55" s="23" t="n">
        <v>0</v>
      </c>
      <c r="W55" s="23" t="n">
        <v>0</v>
      </c>
    </row>
    <row r="56" customFormat="false" ht="15" hidden="false" customHeight="false" outlineLevel="0" collapsed="false">
      <c r="B56" s="0" t="s">
        <v>280</v>
      </c>
      <c r="C56" s="11" t="s">
        <v>35</v>
      </c>
      <c r="D56" s="13" t="s">
        <v>281</v>
      </c>
      <c r="F56" s="36" t="n">
        <f aca="false">IF(INDEX($H56:$W56,1,Scenario_Selected)="",$H56,INDEX($H56:$W56,1,Scenario_Selected))</f>
        <v>4</v>
      </c>
      <c r="H56" s="19" t="n">
        <v>4</v>
      </c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customFormat="false" ht="15" hidden="false" customHeight="false" outlineLevel="0" collapsed="false">
      <c r="B57" s="0" t="s">
        <v>282</v>
      </c>
      <c r="C57" s="11" t="s">
        <v>27</v>
      </c>
      <c r="D57" s="13" t="s">
        <v>283</v>
      </c>
      <c r="F57" s="49" t="n">
        <f aca="false">IF(INDEX($H57:$W57,1,Scenario_Selected)="",$H57,INDEX($H57:$W57,1,Scenario_Selected))</f>
        <v>0.1</v>
      </c>
      <c r="H57" s="17" t="n">
        <v>0.1</v>
      </c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customFormat="false" ht="15" hidden="false" customHeight="false" outlineLevel="0" collapsed="false">
      <c r="B58" s="0" t="s">
        <v>284</v>
      </c>
      <c r="C58" s="11" t="s">
        <v>43</v>
      </c>
      <c r="D58" s="13" t="s">
        <v>285</v>
      </c>
      <c r="F58" s="50" t="n">
        <f aca="false">IF(INDEX($H58:$W58,1,Scenario_Selected)="",$H58,INDEX($H58:$W58,1,Scenario_Selected))</f>
        <v>1</v>
      </c>
      <c r="H58" s="23" t="n">
        <v>1</v>
      </c>
      <c r="I58" s="23"/>
      <c r="J58" s="23"/>
      <c r="K58" s="23"/>
      <c r="L58" s="23"/>
      <c r="M58" s="23"/>
      <c r="N58" s="23" t="n">
        <v>2</v>
      </c>
      <c r="O58" s="23"/>
      <c r="P58" s="23"/>
      <c r="Q58" s="23"/>
      <c r="R58" s="23"/>
      <c r="S58" s="23"/>
      <c r="T58" s="23"/>
      <c r="U58" s="23"/>
      <c r="V58" s="23" t="n">
        <v>2</v>
      </c>
      <c r="W58" s="23"/>
    </row>
    <row r="59" customFormat="false" ht="15" hidden="false" customHeight="false" outlineLevel="0" collapsed="false">
      <c r="B59" s="0" t="s">
        <v>286</v>
      </c>
      <c r="C59" s="11" t="s">
        <v>207</v>
      </c>
      <c r="D59" s="13" t="s">
        <v>287</v>
      </c>
      <c r="F59" s="44" t="n">
        <f aca="false">IF(INDEX($H59:$W59,1,Scenario_Selected)="",$H59,INDEX($H59:$W59,1,Scenario_Selected))</f>
        <v>6</v>
      </c>
      <c r="H59" s="47" t="n">
        <v>6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</row>
    <row r="60" customFormat="false" ht="15" hidden="false" customHeight="false" outlineLevel="0" collapsed="false">
      <c r="B60" s="0" t="s">
        <v>288</v>
      </c>
      <c r="C60" s="11" t="s">
        <v>289</v>
      </c>
      <c r="D60" s="13" t="s">
        <v>290</v>
      </c>
      <c r="F60" s="48" t="n">
        <f aca="false">IF(INDEX($H60:$W60,1,Scenario_Selected)="",$H60,INDEX($H60:$W60,1,Scenario_Selected))</f>
        <v>200</v>
      </c>
      <c r="H60" s="12" t="n">
        <v>200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</row>
    <row r="61" customFormat="false" ht="15" hidden="false" customHeight="false" outlineLevel="0" collapsed="false">
      <c r="B61" s="0" t="s">
        <v>291</v>
      </c>
      <c r="C61" s="11" t="s">
        <v>292</v>
      </c>
      <c r="D61" s="13" t="s">
        <v>290</v>
      </c>
      <c r="F61" s="48" t="n">
        <f aca="false">IF(INDEX($H61:$W61,1,Scenario_Selected)="",$H61,INDEX($H61:$W61,1,Scenario_Selected))</f>
        <v>406</v>
      </c>
      <c r="H61" s="12" t="n">
        <v>406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</row>
    <row r="62" customFormat="false" ht="15" hidden="false" customHeight="false" outlineLevel="0" collapsed="false">
      <c r="B62" s="0" t="s">
        <v>293</v>
      </c>
      <c r="C62" s="11" t="s">
        <v>294</v>
      </c>
      <c r="D62" s="13" t="s">
        <v>295</v>
      </c>
      <c r="F62" s="36" t="n">
        <f aca="false">IF(INDEX($H62:$W62,1,Scenario_Selected)="",$H62,INDEX($H62:$W62,1,Scenario_Selected))</f>
        <v>3</v>
      </c>
      <c r="H62" s="19" t="n">
        <v>3</v>
      </c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customFormat="false" ht="15" hidden="false" customHeight="false" outlineLevel="0" collapsed="false">
      <c r="B63" s="0" t="s">
        <v>296</v>
      </c>
      <c r="C63" s="11" t="s">
        <v>27</v>
      </c>
      <c r="D63" s="13" t="s">
        <v>297</v>
      </c>
      <c r="F63" s="51" t="n">
        <f aca="false">IF(INDEX($H63:$W63,1,Scenario_Selected)="",$H63,INDEX($H63:$W63,1,Scenario_Selected))</f>
        <v>0.005</v>
      </c>
      <c r="H63" s="52" t="n">
        <v>0.005</v>
      </c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</row>
    <row r="64" customFormat="false" ht="15" hidden="false" customHeight="false" outlineLevel="0" collapsed="false">
      <c r="B64" s="0" t="s">
        <v>298</v>
      </c>
      <c r="C64" s="11" t="s">
        <v>27</v>
      </c>
      <c r="D64" s="13" t="s">
        <v>299</v>
      </c>
      <c r="F64" s="51" t="n">
        <f aca="false">IF(INDEX($H64:$W64,1,Scenario_Selected)="",$H64,INDEX($H64:$W64,1,Scenario_Selected))</f>
        <v>0.025</v>
      </c>
      <c r="H64" s="52" t="n">
        <v>0.025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customFormat="false" ht="15" hidden="false" customHeight="false" outlineLevel="0" collapsed="false">
      <c r="B65" s="0" t="s">
        <v>300</v>
      </c>
      <c r="C65" s="11" t="s">
        <v>301</v>
      </c>
      <c r="D65" s="13" t="s">
        <v>302</v>
      </c>
      <c r="F65" s="36" t="n">
        <f aca="false">IF(INDEX($H65:$W65,1,Scenario_Selected)="",$H65,INDEX($H65:$W65,1,Scenario_Selected))</f>
        <v>4.5</v>
      </c>
      <c r="H65" s="19" t="n">
        <v>4.5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customFormat="false" ht="15" hidden="false" customHeight="false" outlineLevel="0" collapsed="false">
      <c r="B66" s="0" t="s">
        <v>303</v>
      </c>
      <c r="C66" s="11" t="s">
        <v>294</v>
      </c>
      <c r="D66" s="13" t="s">
        <v>304</v>
      </c>
      <c r="F66" s="36" t="n">
        <f aca="false">IF(INDEX($H66:$W66,1,Scenario_Selected)="",$H66,INDEX($H66:$W66,1,Scenario_Selected))</f>
        <v>460</v>
      </c>
      <c r="H66" s="19" t="n">
        <v>460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customFormat="false" ht="15" hidden="false" customHeight="false" outlineLevel="0" collapsed="false">
      <c r="B67" s="0" t="s">
        <v>305</v>
      </c>
      <c r="C67" s="11" t="s">
        <v>301</v>
      </c>
      <c r="D67" s="13" t="s">
        <v>306</v>
      </c>
      <c r="F67" s="32" t="n">
        <f aca="false">IF(INDEX($H67:$W67,1,Scenario_Selected)="",$H67,INDEX($H67:$W67,1,Scenario_Selected))</f>
        <v>54.830209</v>
      </c>
      <c r="H67" s="16" t="n">
        <v>54.830209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</row>
    <row r="68" customFormat="false" ht="15" hidden="false" customHeight="false" outlineLevel="0" collapsed="false">
      <c r="B68" s="0" t="s">
        <v>307</v>
      </c>
      <c r="C68" s="11" t="s">
        <v>27</v>
      </c>
      <c r="D68" s="13" t="s">
        <v>308</v>
      </c>
      <c r="F68" s="49" t="n">
        <f aca="false">IF(INDEX($H68:$W68,1,Scenario_Selected)="",$H68,INDEX($H68:$W68,1,Scenario_Selected))</f>
        <v>0.06</v>
      </c>
      <c r="H68" s="17" t="n">
        <v>0.06</v>
      </c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70" customFormat="false" ht="15" hidden="false" customHeight="false" outlineLevel="0" collapsed="false">
      <c r="A70" s="9" t="s">
        <v>13</v>
      </c>
      <c r="B70" s="9"/>
      <c r="C70" s="9" t="s">
        <v>309</v>
      </c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customFormat="false" ht="15" hidden="false" customHeight="false" outlineLevel="0" collapsed="false">
      <c r="B71" s="0" t="s">
        <v>310</v>
      </c>
      <c r="C71" s="11" t="s">
        <v>19</v>
      </c>
      <c r="D71" s="13" t="s">
        <v>311</v>
      </c>
      <c r="F71" s="48" t="n">
        <f aca="false">IF(INDEX($H71:$W71,1,Scenario_Selected)="",$H71,INDEX($H71:$W71,1,Scenario_Selected))</f>
        <v>950</v>
      </c>
      <c r="H71" s="12" t="n">
        <v>950</v>
      </c>
      <c r="I71" s="12"/>
      <c r="J71" s="12"/>
      <c r="K71" s="12" t="n">
        <f aca="false">H71*(1+Sens_Step)</f>
        <v>1045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</row>
    <row r="72" customFormat="false" ht="15" hidden="false" customHeight="false" outlineLevel="0" collapsed="false">
      <c r="B72" s="0" t="s">
        <v>312</v>
      </c>
      <c r="C72" s="11" t="s">
        <v>19</v>
      </c>
      <c r="D72" s="13" t="s">
        <v>313</v>
      </c>
      <c r="F72" s="48" t="n">
        <f aca="false">IF(INDEX($H72:$W72,1,Scenario_Selected)="",$H72,INDEX($H72:$W72,1,Scenario_Selected))</f>
        <v>500</v>
      </c>
      <c r="H72" s="12" t="n">
        <v>500</v>
      </c>
      <c r="I72" s="12"/>
      <c r="J72" s="12"/>
      <c r="K72" s="12" t="n">
        <f aca="false">H72*(1+Sens_Step)</f>
        <v>550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</row>
    <row r="73" customFormat="false" ht="15" hidden="false" customHeight="false" outlineLevel="0" collapsed="false">
      <c r="B73" s="0" t="s">
        <v>314</v>
      </c>
      <c r="C73" s="11" t="s">
        <v>19</v>
      </c>
      <c r="D73" s="13" t="s">
        <v>315</v>
      </c>
      <c r="F73" s="48" t="n">
        <f aca="false">IF(INDEX($H73:$W73,1,Scenario_Selected)="",$H73,INDEX($H73:$W73,1,Scenario_Selected))</f>
        <v>355</v>
      </c>
      <c r="H73" s="12" t="n">
        <v>355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</row>
    <row r="74" customFormat="false" ht="15" hidden="false" customHeight="false" outlineLevel="0" collapsed="false">
      <c r="B74" s="0" t="s">
        <v>316</v>
      </c>
      <c r="C74" s="11" t="s">
        <v>33</v>
      </c>
      <c r="D74" s="13" t="s">
        <v>317</v>
      </c>
      <c r="F74" s="48" t="n">
        <f aca="false">IF(INDEX($H74:$W74,1,Scenario_Selected)="",$H74,INDEX($H74:$W74,1,Scenario_Selected))</f>
        <v>12000</v>
      </c>
      <c r="H74" s="12" t="n">
        <v>12000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</row>
    <row r="75" customFormat="false" ht="15" hidden="false" customHeight="false" outlineLevel="0" collapsed="false">
      <c r="B75" s="0" t="s">
        <v>318</v>
      </c>
      <c r="C75" s="11" t="s">
        <v>33</v>
      </c>
      <c r="D75" s="13" t="s">
        <v>319</v>
      </c>
      <c r="F75" s="48" t="n">
        <f aca="false">IF(INDEX($H75:$W75,1,Scenario_Selected)="",$H75,INDEX($H75:$W75,1,Scenario_Selected))</f>
        <v>10800</v>
      </c>
      <c r="H75" s="12" t="n">
        <v>10800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</row>
    <row r="76" customFormat="false" ht="15" hidden="false" customHeight="false" outlineLevel="0" collapsed="false">
      <c r="B76" s="0" t="s">
        <v>320</v>
      </c>
      <c r="C76" s="11" t="s">
        <v>27</v>
      </c>
      <c r="D76" s="13" t="s">
        <v>321</v>
      </c>
      <c r="F76" s="49" t="n">
        <f aca="false">IF(INDEX($H76:$W76,1,Scenario_Selected)="",$H76,INDEX($H76:$W76,1,Scenario_Selected))</f>
        <v>0.05</v>
      </c>
      <c r="H76" s="17" t="n">
        <v>0.05</v>
      </c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customFormat="false" ht="15" hidden="false" customHeight="false" outlineLevel="0" collapsed="false">
      <c r="B77" s="0" t="s">
        <v>322</v>
      </c>
      <c r="C77" s="11" t="s">
        <v>323</v>
      </c>
      <c r="D77" s="13" t="s">
        <v>324</v>
      </c>
      <c r="F77" s="48" t="n">
        <f aca="false">IF(INDEX($H77:$W77,1,Scenario_Selected)="",$H77,INDEX($H77:$W77,1,Scenario_Selected))</f>
        <v>100</v>
      </c>
      <c r="H77" s="12" t="n">
        <v>100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</row>
    <row r="79" customFormat="false" ht="15" hidden="false" customHeight="false" outlineLevel="0" collapsed="false">
      <c r="A79" s="9" t="s">
        <v>13</v>
      </c>
      <c r="B79" s="9"/>
      <c r="C79" s="9" t="s">
        <v>325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customFormat="false" ht="15" hidden="false" customHeight="false" outlineLevel="0" collapsed="false">
      <c r="B80" s="0" t="s">
        <v>56</v>
      </c>
      <c r="C80" s="11" t="s">
        <v>57</v>
      </c>
      <c r="D80" s="13" t="s">
        <v>216</v>
      </c>
      <c r="F80" s="48" t="n">
        <f aca="false">IF(INDEX($H80:$W80,1,Scenario_Selected)="",$H80,INDEX($H80:$W80,1,Scenario_Selected))</f>
        <v>2600</v>
      </c>
      <c r="H80" s="12" t="n">
        <v>2600</v>
      </c>
      <c r="I80" s="12"/>
      <c r="J80" s="12"/>
      <c r="K80" s="12"/>
      <c r="L80" s="12" t="n">
        <f aca="false">H80*(1-Sens_Step)</f>
        <v>2340</v>
      </c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</row>
    <row r="81" customFormat="false" ht="15" hidden="false" customHeight="false" outlineLevel="0" collapsed="false">
      <c r="B81" s="0" t="s">
        <v>326</v>
      </c>
      <c r="C81" s="11" t="s">
        <v>27</v>
      </c>
      <c r="D81" s="13" t="s">
        <v>327</v>
      </c>
      <c r="F81" s="49" t="n">
        <f aca="false">IF(INDEX($H81:$W81,1,Scenario_Selected)="",$H81,INDEX($H81:$W81,1,Scenario_Selected))</f>
        <v>0.02</v>
      </c>
      <c r="H81" s="17" t="n">
        <v>0.02</v>
      </c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customFormat="false" ht="15" hidden="false" customHeight="false" outlineLevel="0" collapsed="false">
      <c r="B82" s="0" t="s">
        <v>328</v>
      </c>
      <c r="C82" s="11" t="s">
        <v>27</v>
      </c>
      <c r="D82" s="13" t="s">
        <v>329</v>
      </c>
      <c r="F82" s="51" t="n">
        <f aca="false">IF(INDEX($H82:$W82,1,Scenario_Selected)="",$H82,INDEX($H82:$W82,1,Scenario_Selected))</f>
        <v>0.003</v>
      </c>
      <c r="H82" s="52" t="n">
        <v>0.003</v>
      </c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</row>
    <row r="83" customFormat="false" ht="15" hidden="false" customHeight="false" outlineLevel="0" collapsed="false">
      <c r="B83" s="0" t="s">
        <v>330</v>
      </c>
      <c r="C83" s="11" t="s">
        <v>24</v>
      </c>
      <c r="D83" s="13" t="s">
        <v>216</v>
      </c>
      <c r="F83" s="36" t="n">
        <f aca="false">IF(INDEX($H83:$W83,1,Scenario_Selected)="",$H83,INDEX($H83:$W83,1,Scenario_Selected))</f>
        <v>90</v>
      </c>
      <c r="H83" s="19" t="n">
        <v>90</v>
      </c>
      <c r="I83" s="19"/>
      <c r="J83" s="19"/>
      <c r="K83" s="19"/>
      <c r="L83" s="19"/>
      <c r="M83" s="19" t="n">
        <v>99</v>
      </c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customFormat="false" ht="15" hidden="false" customHeight="false" outlineLevel="0" collapsed="false">
      <c r="B84" s="0" t="s">
        <v>331</v>
      </c>
      <c r="C84" s="11" t="s">
        <v>27</v>
      </c>
      <c r="D84" s="13" t="s">
        <v>332</v>
      </c>
      <c r="F84" s="49" t="n">
        <f aca="false">IF(INDEX($H84:$W84,1,Scenario_Selected)="",$H84,INDEX($H84:$W84,1,Scenario_Selected))</f>
        <v>0.01</v>
      </c>
      <c r="H84" s="17" t="n">
        <v>0.01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customFormat="false" ht="15" hidden="false" customHeight="false" outlineLevel="0" collapsed="false">
      <c r="B85" s="0" t="s">
        <v>333</v>
      </c>
      <c r="C85" s="11" t="s">
        <v>24</v>
      </c>
      <c r="D85" s="13" t="s">
        <v>334</v>
      </c>
      <c r="F85" s="36" t="n">
        <f aca="false">IF(INDEX($H85:$W85,1,Scenario_Selected)="",$H85,INDEX($H85:$W85,1,Scenario_Selected))</f>
        <v>5</v>
      </c>
      <c r="H85" s="19" t="n">
        <v>5</v>
      </c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</row>
    <row r="86" customFormat="false" ht="15" hidden="false" customHeight="false" outlineLevel="0" collapsed="false">
      <c r="B86" s="0" t="s">
        <v>335</v>
      </c>
      <c r="C86" s="11" t="s">
        <v>19</v>
      </c>
      <c r="D86" s="13" t="s">
        <v>336</v>
      </c>
      <c r="F86" s="48" t="n">
        <f aca="false">IF(INDEX($H86:$W86,1,Scenario_Selected)="",$H86,INDEX($H86:$W86,1,Scenario_Selected))</f>
        <v>22</v>
      </c>
      <c r="H86" s="12" t="n">
        <v>22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</row>
    <row r="87" customFormat="false" ht="15" hidden="false" customHeight="false" outlineLevel="0" collapsed="false">
      <c r="B87" s="0" t="s">
        <v>337</v>
      </c>
      <c r="C87" s="11" t="s">
        <v>19</v>
      </c>
      <c r="D87" s="13" t="s">
        <v>338</v>
      </c>
      <c r="F87" s="48" t="n">
        <f aca="false">IF(INDEX($H87:$W87,1,Scenario_Selected)="",$H87,INDEX($H87:$W87,1,Scenario_Selected))</f>
        <v>3</v>
      </c>
      <c r="H87" s="12" t="n">
        <v>3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</row>
    <row r="88" customFormat="false" ht="15" hidden="false" customHeight="false" outlineLevel="0" collapsed="false">
      <c r="B88" s="0" t="s">
        <v>339</v>
      </c>
      <c r="C88" s="11" t="s">
        <v>33</v>
      </c>
      <c r="D88" s="13" t="s">
        <v>340</v>
      </c>
      <c r="F88" s="48" t="n">
        <f aca="false">IF(INDEX($H88:$W88,1,Scenario_Selected)="",$H88,INDEX($H88:$W88,1,Scenario_Selected))</f>
        <v>150</v>
      </c>
      <c r="H88" s="12" t="n">
        <v>150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</row>
    <row r="89" customFormat="false" ht="15" hidden="false" customHeight="false" outlineLevel="0" collapsed="false">
      <c r="B89" s="0" t="s">
        <v>341</v>
      </c>
      <c r="C89" s="11" t="s">
        <v>27</v>
      </c>
      <c r="D89" s="13" t="s">
        <v>342</v>
      </c>
      <c r="F89" s="49" t="n">
        <f aca="false">IF(INDEX($H89:$W89,1,Scenario_Selected)="",$H89,INDEX($H89:$W89,1,Scenario_Selected))</f>
        <v>0.05</v>
      </c>
      <c r="H89" s="17" t="n">
        <v>0.05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customFormat="false" ht="15" hidden="false" customHeight="false" outlineLevel="0" collapsed="false">
      <c r="B90" s="0" t="s">
        <v>343</v>
      </c>
      <c r="C90" s="11" t="s">
        <v>27</v>
      </c>
      <c r="D90" s="13" t="s">
        <v>344</v>
      </c>
      <c r="F90" s="49" t="n">
        <f aca="false">IF(INDEX($H90:$W90,1,Scenario_Selected)="",$H90,INDEX($H90:$W90,1,Scenario_Selected))</f>
        <v>0.025</v>
      </c>
      <c r="H90" s="17" t="n">
        <v>0.025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customFormat="false" ht="15" hidden="false" customHeight="false" outlineLevel="0" collapsed="false">
      <c r="B91" s="0" t="s">
        <v>345</v>
      </c>
      <c r="C91" s="11" t="s">
        <v>27</v>
      </c>
      <c r="D91" s="13" t="s">
        <v>346</v>
      </c>
      <c r="F91" s="51" t="n">
        <f aca="false">IF(INDEX($H91:$W91,1,Scenario_Selected)="",$H91,INDEX($H91:$W91,1,Scenario_Selected))</f>
        <v>0.001</v>
      </c>
      <c r="H91" s="52" t="n">
        <v>0.001</v>
      </c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</row>
    <row r="92" customFormat="false" ht="15" hidden="false" customHeight="false" outlineLevel="0" collapsed="false">
      <c r="B92" s="0" t="s">
        <v>347</v>
      </c>
      <c r="C92" s="11" t="s">
        <v>27</v>
      </c>
      <c r="D92" s="13" t="s">
        <v>348</v>
      </c>
      <c r="F92" s="49" t="n">
        <f aca="false">IF(INDEX($H92:$W92,1,Scenario_Selected)="",$H92,INDEX($H92:$W92,1,Scenario_Selected))</f>
        <v>0.02</v>
      </c>
      <c r="H92" s="17" t="n">
        <v>0.02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customFormat="false" ht="15" hidden="false" customHeight="false" outlineLevel="0" collapsed="false">
      <c r="B93" s="0" t="s">
        <v>349</v>
      </c>
      <c r="C93" s="11" t="s">
        <v>27</v>
      </c>
      <c r="D93" s="13" t="s">
        <v>350</v>
      </c>
      <c r="F93" s="51" t="n">
        <f aca="false">IF(INDEX($H93:$W93,1,Scenario_Selected)="",$H93,INDEX($H93:$W93,1,Scenario_Selected))</f>
        <v>0.003</v>
      </c>
      <c r="H93" s="52" t="n">
        <v>0.003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</row>
    <row r="95" customFormat="false" ht="15" hidden="false" customHeight="false" outlineLevel="0" collapsed="false">
      <c r="A95" s="9" t="s">
        <v>13</v>
      </c>
      <c r="B95" s="9"/>
      <c r="C95" s="9" t="s">
        <v>351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customFormat="false" ht="15" hidden="false" customHeight="false" outlineLevel="0" collapsed="false">
      <c r="B96" s="0" t="s">
        <v>352</v>
      </c>
      <c r="C96" s="11" t="s">
        <v>27</v>
      </c>
      <c r="D96" s="13" t="s">
        <v>353</v>
      </c>
      <c r="F96" s="49" t="n">
        <f aca="false">IF(INDEX($H96:$W96,1,Scenario_Selected)="",$H96,INDEX($H96:$W96,1,Scenario_Selected))</f>
        <v>0.55</v>
      </c>
      <c r="H96" s="17" t="n">
        <v>0.55</v>
      </c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 t="n">
        <v>0.7</v>
      </c>
      <c r="T96" s="17"/>
      <c r="U96" s="17"/>
      <c r="V96" s="17"/>
      <c r="W96" s="17"/>
    </row>
    <row r="97" customFormat="false" ht="15" hidden="false" customHeight="false" outlineLevel="0" collapsed="false">
      <c r="B97" s="0" t="s">
        <v>354</v>
      </c>
      <c r="C97" s="11" t="s">
        <v>13</v>
      </c>
      <c r="D97" s="13" t="s">
        <v>353</v>
      </c>
      <c r="F97" s="36" t="n">
        <f aca="false">IF(INDEX($H97:$W97,1,Scenario_Selected)="",$H97,INDEX($H97:$W97,1,Scenario_Selected))</f>
        <v>0</v>
      </c>
      <c r="H97" s="19" t="n">
        <v>0</v>
      </c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 t="n">
        <v>6</v>
      </c>
      <c r="T97" s="19"/>
      <c r="U97" s="19"/>
      <c r="V97" s="19"/>
      <c r="W97" s="19"/>
    </row>
    <row r="98" customFormat="false" ht="15" hidden="false" customHeight="false" outlineLevel="0" collapsed="false">
      <c r="B98" s="0" t="s">
        <v>133</v>
      </c>
      <c r="C98" s="11" t="s">
        <v>13</v>
      </c>
      <c r="D98" s="13" t="s">
        <v>353</v>
      </c>
      <c r="F98" s="53" t="n">
        <f aca="false">IF(INDEX($H98:$W98,1,Scenario_Selected)="",$H98,INDEX($H98:$W98,1,Scenario_Selected))</f>
        <v>1.1</v>
      </c>
      <c r="H98" s="21" t="n">
        <v>1.1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</row>
    <row r="99" customFormat="false" ht="15" hidden="false" customHeight="false" outlineLevel="0" collapsed="false">
      <c r="B99" s="0" t="s">
        <v>136</v>
      </c>
      <c r="C99" s="11" t="s">
        <v>13</v>
      </c>
      <c r="D99" s="13" t="s">
        <v>353</v>
      </c>
      <c r="F99" s="53" t="n">
        <f aca="false">IF(INDEX($H99:$W99,1,Scenario_Selected)="",$H99,INDEX($H99:$W99,1,Scenario_Selected))</f>
        <v>1.2</v>
      </c>
      <c r="H99" s="21" t="n">
        <v>1.2</v>
      </c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</row>
    <row r="100" customFormat="false" ht="15" hidden="false" customHeight="false" outlineLevel="0" collapsed="false">
      <c r="B100" s="0" t="s">
        <v>355</v>
      </c>
      <c r="C100" s="11" t="s">
        <v>13</v>
      </c>
      <c r="D100" s="13" t="s">
        <v>356</v>
      </c>
      <c r="F100" s="53" t="n">
        <f aca="false">IF(INDEX($H100:$W100,1,Scenario_Selected)="",$H100,INDEX($H100:$W100,1,Scenario_Selected))</f>
        <v>1.2</v>
      </c>
      <c r="H100" s="21" t="n">
        <v>1.2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</row>
    <row r="101" customFormat="false" ht="15" hidden="false" customHeight="false" outlineLevel="0" collapsed="false">
      <c r="B101" s="0" t="s">
        <v>65</v>
      </c>
      <c r="C101" s="11" t="s">
        <v>66</v>
      </c>
      <c r="D101" s="13" t="s">
        <v>357</v>
      </c>
      <c r="F101" s="44" t="n">
        <f aca="false">IF(INDEX($H101:$W101,1,Scenario_Selected)="",$H101,INDEX($H101:$W101,1,Scenario_Selected))</f>
        <v>18</v>
      </c>
      <c r="H101" s="47" t="n">
        <v>18</v>
      </c>
      <c r="I101" s="47"/>
      <c r="J101" s="47"/>
      <c r="K101" s="47"/>
      <c r="L101" s="47"/>
      <c r="M101" s="47"/>
      <c r="N101" s="47"/>
      <c r="O101" s="47"/>
      <c r="P101" s="47" t="n">
        <v>10</v>
      </c>
      <c r="Q101" s="47"/>
      <c r="R101" s="47"/>
      <c r="S101" s="47"/>
      <c r="T101" s="47"/>
      <c r="U101" s="47"/>
      <c r="V101" s="47"/>
      <c r="W101" s="47"/>
    </row>
    <row r="102" customFormat="false" ht="15" hidden="false" customHeight="false" outlineLevel="0" collapsed="false">
      <c r="B102" s="0" t="s">
        <v>358</v>
      </c>
      <c r="C102" s="11" t="s">
        <v>27</v>
      </c>
      <c r="D102" s="13" t="s">
        <v>359</v>
      </c>
      <c r="F102" s="49" t="n">
        <f aca="false">IF(INDEX($H102:$W102,1,Scenario_Selected)="",$H102,INDEX($H102:$W102,1,Scenario_Selected))</f>
        <v>0.05</v>
      </c>
      <c r="H102" s="17" t="n">
        <v>0.05</v>
      </c>
      <c r="I102" s="17"/>
      <c r="J102" s="17"/>
      <c r="K102" s="17"/>
      <c r="L102" s="17"/>
      <c r="M102" s="17"/>
      <c r="N102" s="17"/>
      <c r="O102" s="17" t="n">
        <v>0.06</v>
      </c>
      <c r="P102" s="17"/>
      <c r="Q102" s="17"/>
      <c r="R102" s="17"/>
      <c r="S102" s="17"/>
      <c r="T102" s="17"/>
      <c r="U102" s="17"/>
      <c r="V102" s="17"/>
      <c r="W102" s="17"/>
    </row>
    <row r="103" customFormat="false" ht="15" hidden="false" customHeight="false" outlineLevel="0" collapsed="false">
      <c r="B103" s="0" t="s">
        <v>360</v>
      </c>
      <c r="C103" s="11" t="s">
        <v>27</v>
      </c>
      <c r="D103" s="13" t="s">
        <v>361</v>
      </c>
      <c r="F103" s="51" t="n">
        <f aca="false">IF(INDEX($H103:$W103,1,Scenario_Selected)="",$H103,INDEX($H103:$W103,1,Scenario_Selected))</f>
        <v>0.0175</v>
      </c>
      <c r="H103" s="52" t="n">
        <v>0.0175</v>
      </c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</row>
    <row r="104" customFormat="false" ht="15" hidden="false" customHeight="false" outlineLevel="0" collapsed="false">
      <c r="B104" s="0" t="s">
        <v>362</v>
      </c>
      <c r="C104" s="11" t="s">
        <v>27</v>
      </c>
      <c r="D104" s="13" t="s">
        <v>363</v>
      </c>
      <c r="F104" s="51" t="n">
        <f aca="false">IF(INDEX($H104:$W104,1,Scenario_Selected)="",$H104,INDEX($H104:$W104,1,Scenario_Selected))</f>
        <v>0.009</v>
      </c>
      <c r="H104" s="52" t="n">
        <v>0.009</v>
      </c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</row>
    <row r="105" customFormat="false" ht="15" hidden="false" customHeight="false" outlineLevel="0" collapsed="false">
      <c r="B105" s="0" t="s">
        <v>364</v>
      </c>
      <c r="C105" s="11" t="s">
        <v>207</v>
      </c>
      <c r="D105" s="13" t="s">
        <v>365</v>
      </c>
      <c r="F105" s="44" t="n">
        <f aca="false">IF(INDEX($H105:$W105,1,Scenario_Selected)="",$H105,INDEX($H105:$W105,1,Scenario_Selected))</f>
        <v>6</v>
      </c>
      <c r="H105" s="47" t="n">
        <v>6</v>
      </c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</row>
    <row r="107" customFormat="false" ht="15" hidden="false" customHeight="false" outlineLevel="0" collapsed="false">
      <c r="A107" s="9" t="s">
        <v>13</v>
      </c>
      <c r="B107" s="9"/>
      <c r="C107" s="9" t="s">
        <v>366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customFormat="false" ht="15" hidden="false" customHeight="false" outlineLevel="0" collapsed="false">
      <c r="B108" s="0" t="s">
        <v>367</v>
      </c>
      <c r="C108" s="11" t="s">
        <v>21</v>
      </c>
      <c r="D108" s="13" t="s">
        <v>368</v>
      </c>
      <c r="F108" s="3" t="s">
        <v>369</v>
      </c>
    </row>
    <row r="109" customFormat="false" ht="15" hidden="false" customHeight="false" outlineLevel="0" collapsed="false">
      <c r="B109" s="0" t="s">
        <v>370</v>
      </c>
      <c r="C109" s="11" t="s">
        <v>21</v>
      </c>
      <c r="D109" s="13" t="s">
        <v>371</v>
      </c>
      <c r="F109" s="3"/>
    </row>
    <row r="111" customFormat="false" ht="15" hidden="false" customHeight="false" outlineLevel="0" collapsed="false">
      <c r="C111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372</v>
      </c>
      <c r="D5" s="9"/>
      <c r="E5" s="9" t="s">
        <v>373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374</v>
      </c>
      <c r="F6" s="8" t="s">
        <v>375</v>
      </c>
      <c r="J6" s="8" t="s">
        <v>376</v>
      </c>
    </row>
    <row r="7" customFormat="false" ht="15" hidden="false" customHeight="false" outlineLevel="0" collapsed="false">
      <c r="C7" s="0" t="s">
        <v>377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378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379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380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381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382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383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384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385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386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387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388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389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390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391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392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393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394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395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396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399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400</v>
      </c>
      <c r="D6" s="11" t="s">
        <v>401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402</v>
      </c>
      <c r="D7" s="11" t="s">
        <v>403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406</v>
      </c>
      <c r="D12" s="11" t="s">
        <v>401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407</v>
      </c>
      <c r="D13" s="11" t="s">
        <v>401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325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411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412</v>
      </c>
      <c r="D20" s="11" t="s">
        <v>401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414</v>
      </c>
      <c r="D22" s="11" t="s">
        <v>401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422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432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433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435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436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437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438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439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440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441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442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443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444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445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446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447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448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449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450</v>
      </c>
      <c r="D65" s="11" t="s">
        <v>19</v>
      </c>
      <c r="E65" s="48" t="n">
        <f aca="false">IF($E41=1,In_Turbine,In_Turbine_CN)</f>
        <v>950</v>
      </c>
    </row>
    <row r="66" customFormat="false" ht="15" hidden="false" customHeight="false" outlineLevel="0" collapsed="false">
      <c r="C66" s="0" t="s">
        <v>451</v>
      </c>
      <c r="D66" s="11" t="s">
        <v>33</v>
      </c>
      <c r="E66" s="48" t="n">
        <f aca="false">IF($E41=1,In_Substation,In_Substation_CN)</f>
        <v>12000</v>
      </c>
    </row>
    <row r="67" customFormat="false" ht="15" hidden="false" customHeight="false" outlineLevel="0" collapsed="false">
      <c r="C67" s="0" t="s">
        <v>452</v>
      </c>
      <c r="D67" s="11" t="s">
        <v>33</v>
      </c>
      <c r="E67" s="48" t="n">
        <f aca="false">(($E65+In_Other_Wind)*$F25+$E66)*(1+In_Capex_Contingency)+In_BESS_Capex*$E28*In_BESS_Built</f>
        <v>91963.75</v>
      </c>
      <c r="I67" s="48" t="n">
        <f aca="false">SUM(J67:EO67)</f>
        <v>-91963.75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-11589.9520547945</v>
      </c>
      <c r="S67" s="48" t="n">
        <f aca="false">-$E67*S12</f>
        <v>-11337.9965753425</v>
      </c>
      <c r="T67" s="48" t="n">
        <f aca="false">-$E67*T12</f>
        <v>-11463.9743150685</v>
      </c>
      <c r="U67" s="48" t="n">
        <f aca="false">-$E67*U12</f>
        <v>-11589.9520547945</v>
      </c>
      <c r="V67" s="48" t="n">
        <f aca="false">-$E67*V12</f>
        <v>-11589.9520547945</v>
      </c>
      <c r="W67" s="48" t="n">
        <f aca="false">-$E67*W12</f>
        <v>-11337.9965753425</v>
      </c>
      <c r="X67" s="48" t="n">
        <f aca="false">-$E67*X12</f>
        <v>-11463.9743150685</v>
      </c>
      <c r="Y67" s="48" t="n">
        <f aca="false">-$E67*Y12</f>
        <v>-11589.9520547945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453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454</v>
      </c>
      <c r="D69" s="11" t="s">
        <v>33</v>
      </c>
      <c r="E69" s="57" t="n">
        <f aca="false">SUMPRODUCT($J69:$EO69/$J22:$EO22)*$E22</f>
        <v>-107373.632093313</v>
      </c>
      <c r="I69" s="57" t="n">
        <f aca="false">SUM(J69:EO69)</f>
        <v>-102618.573150685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-11589.9520547945</v>
      </c>
      <c r="S69" s="57" t="n">
        <f aca="false">S67+S57+S68</f>
        <v>-19492.8197260274</v>
      </c>
      <c r="T69" s="57" t="n">
        <f aca="false">T67+T57+T68</f>
        <v>-11463.9743150685</v>
      </c>
      <c r="U69" s="57" t="n">
        <f aca="false">U67+U57+U68</f>
        <v>-11589.9520547945</v>
      </c>
      <c r="V69" s="57" t="n">
        <f aca="false">V67+V57+V68</f>
        <v>-11589.9520547945</v>
      </c>
      <c r="W69" s="57" t="n">
        <f aca="false">W67+W57+W68</f>
        <v>-11337.9965753425</v>
      </c>
      <c r="X69" s="57" t="n">
        <f aca="false">X67+X57+X68</f>
        <v>-11463.9743150685</v>
      </c>
      <c r="Y69" s="57" t="n">
        <f aca="false">Y67+Y57+Y68</f>
        <v>-14089.9520547945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455</v>
      </c>
      <c r="D72" s="11" t="s">
        <v>401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456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457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458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459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460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461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462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341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463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464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465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-16.886293224631</v>
      </c>
      <c r="AA85" s="58" t="n">
        <v>-16.9788088319921</v>
      </c>
      <c r="AB85" s="58" t="n">
        <v>-18.2416191640304</v>
      </c>
      <c r="AC85" s="58" t="n">
        <v>-19.522479970568</v>
      </c>
      <c r="AD85" s="58" t="n">
        <v>-19.3875280807122</v>
      </c>
      <c r="AE85" s="58" t="n">
        <v>-20.2886713939922</v>
      </c>
      <c r="AF85" s="58" t="n">
        <v>-20.7922872960809</v>
      </c>
      <c r="AG85" s="58" t="n">
        <v>-22.1066419810911</v>
      </c>
      <c r="AH85" s="58" t="n">
        <v>-21.9953507415349</v>
      </c>
      <c r="AI85" s="58" t="n">
        <v>-22.0968937596873</v>
      </c>
      <c r="AJ85" s="58" t="n">
        <v>-25.9135500958892</v>
      </c>
      <c r="AK85" s="58" t="n">
        <v>-27.3049372957678</v>
      </c>
      <c r="AL85" s="58" t="n">
        <v>-54.4680631835654</v>
      </c>
      <c r="AM85" s="58" t="n">
        <v>-54.5783625156455</v>
      </c>
      <c r="AN85" s="58" t="n">
        <v>-57.367158806465</v>
      </c>
      <c r="AO85" s="58" t="n">
        <v>-60.1932939772512</v>
      </c>
      <c r="AP85" s="58" t="n">
        <v>-60.0740965084775</v>
      </c>
      <c r="AQ85" s="58" t="n">
        <v>-60.1960068335165</v>
      </c>
      <c r="AR85" s="58" t="n">
        <v>-63.0547832757686</v>
      </c>
      <c r="AS85" s="58" t="n">
        <v>-65.9516372637399</v>
      </c>
      <c r="AT85" s="58" t="n">
        <v>-65.8844378862593</v>
      </c>
      <c r="AU85" s="58" t="n">
        <v>-67.7301064928825</v>
      </c>
      <c r="AV85" s="58" t="n">
        <v>-68.9758354879371</v>
      </c>
      <c r="AW85" s="58" t="n">
        <v>-71.9459246839619</v>
      </c>
      <c r="AX85" s="58" t="n">
        <v>-71.9336068268387</v>
      </c>
      <c r="AY85" s="58" t="n">
        <v>-72.085489453627</v>
      </c>
      <c r="AZ85" s="58" t="n">
        <v>-75.0912326588092</v>
      </c>
      <c r="BA85" s="58" t="n">
        <v>-78.1366177676977</v>
      </c>
      <c r="BB85" s="58" t="n">
        <v>-78.1816175360602</v>
      </c>
      <c r="BC85" s="58" t="n">
        <v>-78.3518012931668</v>
      </c>
      <c r="BD85" s="58" t="n">
        <v>-81.4344550227713</v>
      </c>
      <c r="BE85" s="58" t="n">
        <v>-84.5575756280171</v>
      </c>
      <c r="BF85" s="58" t="n">
        <v>-84.662726335426</v>
      </c>
      <c r="BG85" s="58" t="n">
        <v>-84.8536638908335</v>
      </c>
      <c r="BH85" s="58" t="n">
        <v>-88.0157478197051</v>
      </c>
      <c r="BI85" s="58" t="n">
        <v>-91.2191549338506</v>
      </c>
      <c r="BJ85" s="58" t="n">
        <v>-91.3874169524563</v>
      </c>
      <c r="BK85" s="58" t="n">
        <v>-93.3517023462516</v>
      </c>
      <c r="BL85" s="58" t="n">
        <v>-94.8708568147493</v>
      </c>
      <c r="BM85" s="58" t="n">
        <v>-98.1575060535722</v>
      </c>
      <c r="BN85" s="58" t="n">
        <v>-98.3922637466062</v>
      </c>
      <c r="BO85" s="58" t="n">
        <v>-98.6328557706773</v>
      </c>
      <c r="BP85" s="58" t="n">
        <v>-101.962123830241</v>
      </c>
      <c r="BQ85" s="58" t="n">
        <v>-105.334530837327</v>
      </c>
      <c r="BR85" s="58" t="n">
        <v>-105.63873866352</v>
      </c>
      <c r="BS85" s="58" t="n">
        <v>-105.908212276823</v>
      </c>
      <c r="BT85" s="58" t="n">
        <v>-109.325197678435</v>
      </c>
      <c r="BU85" s="58" t="n">
        <v>-112.786281231362</v>
      </c>
      <c r="BV85" s="58" t="n">
        <v>-113.163316955031</v>
      </c>
      <c r="BW85" s="58" t="n">
        <v>-113.464649334242</v>
      </c>
      <c r="BX85" s="58" t="n">
        <v>-116.972367703597</v>
      </c>
      <c r="BY85" s="58" t="n">
        <v>-120.52518081519</v>
      </c>
      <c r="BZ85" s="58" t="n">
        <v>-120.978573929578</v>
      </c>
      <c r="CA85" s="58" t="n">
        <v>-123.098004105192</v>
      </c>
      <c r="CB85" s="58" t="n">
        <v>-124.941706181021</v>
      </c>
      <c r="CC85" s="58" t="n">
        <v>-128.589732504539</v>
      </c>
      <c r="CD85" s="58" t="n">
        <v>-129.123464472373</v>
      </c>
      <c r="CE85" s="58" t="n">
        <v>-129.498335838154</v>
      </c>
      <c r="CF85" s="58" t="n">
        <v>-133.197429498129</v>
      </c>
      <c r="CG85" s="58" t="n">
        <v>-136.943733534805</v>
      </c>
      <c r="CH85" s="58" t="n">
        <v>-137.561378656563</v>
      </c>
      <c r="CI85" s="58" t="n">
        <v>-137.977961383161</v>
      </c>
      <c r="CJ85" s="58" t="n">
        <v>-141.7777092787</v>
      </c>
      <c r="CK85" s="58" t="n">
        <v>-145.625786922483</v>
      </c>
      <c r="CL85" s="58" t="n">
        <v>-146.331373112496</v>
      </c>
      <c r="CM85" s="58" t="n">
        <v>-146.793273634208</v>
      </c>
      <c r="CN85" s="58" t="n">
        <v>-150.697288700434</v>
      </c>
      <c r="CO85" s="58" t="n">
        <v>-154.650797526773</v>
      </c>
      <c r="CP85" s="58" t="n">
        <v>-155.448533957651</v>
      </c>
      <c r="CQ85" s="58" t="n">
        <v>-157.767861040584</v>
      </c>
      <c r="CR85" s="58" t="n">
        <v>-159.996950919877</v>
      </c>
      <c r="CS85" s="58" t="n">
        <v>-164.060009528393</v>
      </c>
      <c r="CT85" s="58" t="n">
        <v>-164.954589886834</v>
      </c>
      <c r="CU85" s="58" t="n">
        <v>-163.194375284734</v>
      </c>
      <c r="CV85" s="58" t="n">
        <v>-165.007646121231</v>
      </c>
      <c r="CW85" s="58" t="n">
        <v>-166.820916957728</v>
      </c>
      <c r="CX85" s="58" t="n">
        <v>-165.401027748062</v>
      </c>
      <c r="CY85" s="58" t="n">
        <v>-163.58723366555</v>
      </c>
      <c r="CZ85" s="58" t="n">
        <v>-165.404869595167</v>
      </c>
      <c r="DA85" s="58" t="n">
        <v>-167.222505524784</v>
      </c>
      <c r="DB85" s="58" t="n">
        <v>-375.486699874706</v>
      </c>
      <c r="DC85" s="58" t="n">
        <v>-369.060276869219</v>
      </c>
      <c r="DD85" s="58" t="n">
        <v>-373.160946612211</v>
      </c>
      <c r="DE85" s="58" t="n">
        <v>-377.261616355202</v>
      </c>
      <c r="DF85" s="58" t="n">
        <v>-375.824783779586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-373.952073960705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-378.105320721435</v>
      </c>
      <c r="DZ85" s="58" t="n">
        <v>-376.625871256129</v>
      </c>
      <c r="EA85" s="58" t="n">
        <v>-369.863624794353</v>
      </c>
      <c r="EB85" s="58" t="n">
        <v>-373.973220625401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-377.991855047369</v>
      </c>
      <c r="EH85" s="58" t="n">
        <v>-376.495273595488</v>
      </c>
      <c r="EI85" s="58" t="n">
        <v>-369.616610884433</v>
      </c>
      <c r="EJ85" s="58" t="n">
        <v>-373.723462116482</v>
      </c>
      <c r="EK85" s="58" t="n">
        <v>-377.830313348532</v>
      </c>
      <c r="EL85" s="58" t="n">
        <v>-376.325151374579</v>
      </c>
      <c r="EM85" s="58" t="n">
        <v>-373.491708815651</v>
      </c>
      <c r="EN85" s="58" t="n">
        <v>-373.491708815651</v>
      </c>
      <c r="EO85" s="58" t="n">
        <v>-377.596013308131</v>
      </c>
    </row>
    <row r="86" customFormat="false" ht="15" hidden="false" customHeight="false" outlineLevel="0" collapsed="false">
      <c r="C86" s="0" t="s">
        <v>466</v>
      </c>
      <c r="D86" s="11" t="s">
        <v>33</v>
      </c>
      <c r="I86" s="48" t="n">
        <f aca="false">SUM(J86:EO86)</f>
        <v>272597.231938133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2344.40831738351</v>
      </c>
      <c r="AA86" s="48" t="n">
        <f aca="false">(AA82+AA58+AA85)*(AA$4&gt;In_COD)</f>
        <v>2308.81150885311</v>
      </c>
      <c r="AB86" s="48" t="n">
        <f aca="false">(AB82+AB58+AB85)*(AB$4&gt;In_COD)</f>
        <v>2333.39081316202</v>
      </c>
      <c r="AC86" s="48" t="n">
        <f aca="false">(AC82+AC58+AC85)*(AC$4&gt;In_COD)</f>
        <v>2357.95206699643</v>
      </c>
      <c r="AD86" s="48" t="n">
        <f aca="false">(AD82+AD58+AD85)*(AD$4&gt;In_COD)</f>
        <v>2349.61295731613</v>
      </c>
      <c r="AE86" s="48" t="n">
        <f aca="false">(AE82+AE58+AE85)*(AE$4&gt;In_COD)</f>
        <v>2338.8292099635</v>
      </c>
      <c r="AF86" s="48" t="n">
        <f aca="false">(AF82+AF58+AF85)*(AF$4&gt;In_COD)</f>
        <v>2338.32559406141</v>
      </c>
      <c r="AG86" s="48" t="n">
        <f aca="false">(AG82+AG58+AG85)*(AG$4&gt;In_COD)</f>
        <v>2362.93561169901</v>
      </c>
      <c r="AH86" s="48" t="n">
        <f aca="false">(AH82+AH58+AH85)*(AH$4&gt;In_COD)</f>
        <v>2354.51911128766</v>
      </c>
      <c r="AI86" s="48" t="n">
        <f aca="false">(AI82+AI58+AI85)*(AI$4&gt;In_COD)</f>
        <v>2318.30520851505</v>
      </c>
      <c r="AJ86" s="48" t="n">
        <f aca="false">(AJ82+AJ58+AJ85)*(AJ$4&gt;In_COD)</f>
        <v>2373.64850881658</v>
      </c>
      <c r="AK86" s="48" t="n">
        <f aca="false">(AK82+AK58+AK85)*(AK$4&gt;In_COD)</f>
        <v>2398.62593545091</v>
      </c>
      <c r="AL86" s="48" t="n">
        <f aca="false">(AL82+AL58+AL85)*(AL$4&gt;In_COD)</f>
        <v>2362.88110892496</v>
      </c>
      <c r="AM86" s="48" t="n">
        <f aca="false">(AM82+AM58+AM85)*(AM$4&gt;In_COD)</f>
        <v>2325.6216394404</v>
      </c>
      <c r="AN86" s="48" t="n">
        <f aca="false">(AN82+AN58+AN85)*(AN$4&gt;In_COD)</f>
        <v>2349.27950983798</v>
      </c>
      <c r="AO86" s="48" t="n">
        <f aca="false">(AO82+AO58+AO85)*(AO$4&gt;In_COD)</f>
        <v>2372.9000413556</v>
      </c>
      <c r="AP86" s="48" t="n">
        <f aca="false">(AP82+AP58+AP85)*(AP$4&gt;In_COD)</f>
        <v>2364.38345309797</v>
      </c>
      <c r="AQ86" s="48" t="n">
        <f aca="false">(AQ82+AQ58+AQ85)*(AQ$4&gt;In_COD)</f>
        <v>2326.80148372052</v>
      </c>
      <c r="AR86" s="48" t="n">
        <f aca="false">(AR82+AR58+AR85)*(AR$4&gt;In_COD)</f>
        <v>2350.46490161776</v>
      </c>
      <c r="AS86" s="48" t="n">
        <f aca="false">(AS82+AS58+AS85)*(AS$4&gt;In_COD)</f>
        <v>2374.09024196927</v>
      </c>
      <c r="AT86" s="48" t="n">
        <f aca="false">(AT82+AT58+AT85)*(AT$4&gt;In_COD)</f>
        <v>2365.46739734564</v>
      </c>
      <c r="AU86" s="48" t="n">
        <f aca="false">(AU82+AU58+AU85)*(AU$4&gt;In_COD)</f>
        <v>2352.44328596136</v>
      </c>
      <c r="AV86" s="48" t="n">
        <f aca="false">(AV82+AV58+AV85)*(AV$4&gt;In_COD)</f>
        <v>2351.1975569663</v>
      </c>
      <c r="AW86" s="48" t="n">
        <f aca="false">(AW82+AW58+AW85)*(AW$4&gt;In_COD)</f>
        <v>2374.82277977527</v>
      </c>
      <c r="AX86" s="48" t="n">
        <f aca="false">(AX82+AX58+AX85)*(AX$4&gt;In_COD)</f>
        <v>2366.09062519652</v>
      </c>
      <c r="AY86" s="48" t="n">
        <f aca="false">(AY82+AY58+AY85)*(AY$4&gt;In_COD)</f>
        <v>2327.84844830105</v>
      </c>
      <c r="AZ86" s="48" t="n">
        <f aca="false">(AZ82+AZ58+AZ85)*(AZ$4&gt;In_COD)</f>
        <v>2351.50863773759</v>
      </c>
      <c r="BA86" s="48" t="n">
        <f aca="false">(BA82+BA58+BA85)*(BA$4&gt;In_COD)</f>
        <v>2375.12918527042</v>
      </c>
      <c r="BB86" s="48" t="n">
        <f aca="false">(BB82+BB58+BB85)*(BB$4&gt;In_COD)</f>
        <v>2366.28511761238</v>
      </c>
      <c r="BC86" s="48" t="n">
        <f aca="false">(BC82+BC58+BC85)*(BC$4&gt;In_COD)</f>
        <v>2327.70521874544</v>
      </c>
      <c r="BD86" s="48" t="n">
        <f aca="false">(BD82+BD58+BD85)*(BD$4&gt;In_COD)</f>
        <v>2351.35653190516</v>
      </c>
      <c r="BE86" s="48" t="n">
        <f aca="false">(BE82+BE58+BE85)*(BE$4&gt;In_COD)</f>
        <v>2374.96737818923</v>
      </c>
      <c r="BF86" s="48" t="n">
        <f aca="false">(BF82+BF58+BF85)*(BF$4&gt;In_COD)</f>
        <v>2366.00840037779</v>
      </c>
      <c r="BG86" s="48" t="n">
        <f aca="false">(BG82+BG58+BG85)*(BG$4&gt;In_COD)</f>
        <v>2327.08540722819</v>
      </c>
      <c r="BH86" s="48" t="n">
        <f aca="false">(BH82+BH58+BH85)*(BH$4&gt;In_COD)</f>
        <v>2350.72264631176</v>
      </c>
      <c r="BI86" s="48" t="n">
        <f aca="false">(BI82+BI58+BI85)*(BI$4&gt;In_COD)</f>
        <v>2374.31856221004</v>
      </c>
      <c r="BJ86" s="48" t="n">
        <f aca="false">(BJ82+BJ58+BJ85)*(BJ$4&gt;In_COD)</f>
        <v>2365.24155349137</v>
      </c>
      <c r="BK86" s="48" t="n">
        <f aca="false">(BK82+BK58+BK85)*(BK$4&gt;In_COD)</f>
        <v>2351.08182022522</v>
      </c>
      <c r="BL86" s="48" t="n">
        <f aca="false">(BL82+BL58+BL85)*(BL$4&gt;In_COD)</f>
        <v>2349.56266575672</v>
      </c>
      <c r="BM86" s="48" t="n">
        <f aca="false">(BM82+BM58+BM85)*(BM$4&gt;In_COD)</f>
        <v>2373.13792335935</v>
      </c>
      <c r="BN86" s="48" t="n">
        <f aca="false">(BN82+BN58+BN85)*(BN$4&gt;In_COD)</f>
        <v>2363.93934249072</v>
      </c>
      <c r="BO86" s="48" t="n">
        <f aca="false">(BO82+BO58+BO85)*(BO$4&gt;In_COD)</f>
        <v>2324.31309828642</v>
      </c>
      <c r="BP86" s="48" t="n">
        <f aca="false">(BP82+BP58+BP85)*(BP$4&gt;In_COD)</f>
        <v>2347.9054519386</v>
      </c>
      <c r="BQ86" s="48" t="n">
        <f aca="false">(BQ82+BQ58+BQ85)*(BQ$4&gt;In_COD)</f>
        <v>2371.45466664326</v>
      </c>
      <c r="BR86" s="48" t="n">
        <f aca="false">(BR82+BR58+BR85)*(BR$4&gt;In_COD)</f>
        <v>2362.13140591509</v>
      </c>
      <c r="BS86" s="48" t="n">
        <f aca="false">(BS82+BS58+BS85)*(BS$4&gt;In_COD)</f>
        <v>2322.14494386124</v>
      </c>
      <c r="BT86" s="48" t="n">
        <f aca="false">(BT82+BT58+BT85)*(BT$4&gt;In_COD)</f>
        <v>2345.70632686116</v>
      </c>
      <c r="BU86" s="48" t="n">
        <f aca="false">(BU82+BU58+BU85)*(BU$4&gt;In_COD)</f>
        <v>2369.22361170977</v>
      </c>
      <c r="BV86" s="48" t="n">
        <f aca="false">(BV82+BV58+BV85)*(BV$4&gt;In_COD)</f>
        <v>2359.77214386499</v>
      </c>
      <c r="BW86" s="48" t="n">
        <f aca="false">(BW82+BW58+BW85)*(BW$4&gt;In_COD)</f>
        <v>2319.41940679214</v>
      </c>
      <c r="BX86" s="48" t="n">
        <f aca="false">(BX82+BX58+BX85)*(BX$4&gt;In_COD)</f>
        <v>2342.94373349086</v>
      </c>
      <c r="BY86" s="48" t="n">
        <f aca="false">(BY82+BY58+BY85)*(BY$4&gt;In_COD)</f>
        <v>2366.42296544733</v>
      </c>
      <c r="BZ86" s="48" t="n">
        <f aca="false">(BZ82+BZ58+BZ85)*(BZ$4&gt;In_COD)</f>
        <v>2356.83961539082</v>
      </c>
      <c r="CA86" s="48" t="n">
        <f aca="false">(CA82+CA58+CA85)*(CA$4&gt;In_COD)</f>
        <v>2341.41378949065</v>
      </c>
      <c r="CB86" s="48" t="n">
        <f aca="false">(CB82+CB58+CB85)*(CB$4&gt;In_COD)</f>
        <v>2339.57008741482</v>
      </c>
      <c r="CC86" s="48" t="n">
        <f aca="false">(CC82+CC58+CC85)*(CC$4&gt;In_COD)</f>
        <v>2363.00460827367</v>
      </c>
      <c r="CD86" s="48" t="n">
        <f aca="false">(CD82+CD58+CD85)*(CD$4&gt;In_COD)</f>
        <v>2353.28525296759</v>
      </c>
      <c r="CE86" s="48" t="n">
        <f aca="false">(CE82+CE58+CE85)*(CE$4&gt;In_COD)</f>
        <v>2312.18073576834</v>
      </c>
      <c r="CF86" s="48" t="n">
        <f aca="false">(CF82+CF58+CF85)*(CF$4&gt;In_COD)</f>
        <v>2335.61140957066</v>
      </c>
      <c r="CG86" s="48" t="n">
        <f aca="false">(CG82+CG58+CG85)*(CG$4&gt;In_COD)</f>
        <v>2358.99487299628</v>
      </c>
      <c r="CH86" s="48" t="n">
        <f aca="false">(CH82+CH58+CH85)*(CH$4&gt;In_COD)</f>
        <v>2349.13580073111</v>
      </c>
      <c r="CI86" s="48" t="n">
        <f aca="false">(CI82+CI58+CI85)*(CI$4&gt;In_COD)</f>
        <v>2307.64566097505</v>
      </c>
      <c r="CJ86" s="48" t="n">
        <f aca="false">(CJ82+CJ58+CJ85)*(CJ$4&gt;In_COD)</f>
        <v>2331.01950888349</v>
      </c>
      <c r="CK86" s="48" t="n">
        <f aca="false">(CK82+CK58+CK85)*(CK$4&gt;In_COD)</f>
        <v>2354.34502704369</v>
      </c>
      <c r="CL86" s="48" t="n">
        <f aca="false">(CL82+CL58+CL85)*(CL$4&gt;In_COD)</f>
        <v>2344.34207680487</v>
      </c>
      <c r="CM86" s="48" t="n">
        <f aca="false">(CM82+CM58+CM85)*(CM$4&gt;In_COD)</f>
        <v>2302.45945541091</v>
      </c>
      <c r="CN86" s="48" t="n">
        <f aca="false">(CN82+CN58+CN85)*(CN$4&gt;In_COD)</f>
        <v>2325.7693595563</v>
      </c>
      <c r="CO86" s="48" t="n">
        <f aca="false">(CO82+CO58+CO85)*(CO$4&gt;In_COD)</f>
        <v>2349.02976994157</v>
      </c>
      <c r="CP86" s="48" t="n">
        <f aca="false">(CP82+CP58+CP85)*(CP$4&gt;In_COD)</f>
        <v>2338.87860391121</v>
      </c>
      <c r="CQ86" s="48" t="n">
        <f aca="false">(CQ82+CQ58+CQ85)*(CQ$4&gt;In_COD)</f>
        <v>2322.03871597514</v>
      </c>
      <c r="CR86" s="48" t="n">
        <f aca="false">(CR82+CR58+CR85)*(CR$4&gt;In_COD)</f>
        <v>2319.80962609584</v>
      </c>
      <c r="CS86" s="48" t="n">
        <f aca="false">(CS82+CS58+CS85)*(CS$4&gt;In_COD)</f>
        <v>2342.99718921278</v>
      </c>
      <c r="CT86" s="48" t="n">
        <f aca="false">(CT82+CT58+CT85)*(CT$4&gt;In_COD)</f>
        <v>2332.6929896636</v>
      </c>
      <c r="CU86" s="48" t="n">
        <f aca="false">(CU82+CU58+CU85)*(CU$4&gt;In_COD)</f>
        <v>2292.32821604218</v>
      </c>
      <c r="CV86" s="48" t="n">
        <f aca="false">(CV82+CV58+CV85)*(CV$4&gt;In_COD)</f>
        <v>2317.79852955376</v>
      </c>
      <c r="CW86" s="48" t="n">
        <f aca="false">(CW82+CW58+CW85)*(CW$4&gt;In_COD)</f>
        <v>2343.26884306534</v>
      </c>
      <c r="CX86" s="48" t="n">
        <f aca="false">(CX82+CX58+CX85)*(CX$4&gt;In_COD)</f>
        <v>2335.22280421056</v>
      </c>
      <c r="CY86" s="48" t="n">
        <f aca="false">(CY82+CY58+CY85)*(CY$4&gt;In_COD)</f>
        <v>2294.55441353347</v>
      </c>
      <c r="CZ86" s="48" t="n">
        <f aca="false">(CZ82+CZ58+CZ85)*(CZ$4&gt;In_COD)</f>
        <v>2320.04946257273</v>
      </c>
      <c r="DA86" s="48" t="n">
        <f aca="false">(DA82+DA58+DA85)*(DA$4&gt;In_COD)</f>
        <v>2345.54451161199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467</v>
      </c>
      <c r="D87" s="11" t="s">
        <v>33</v>
      </c>
      <c r="E87" s="48" t="n">
        <f aca="false">SUMPRODUCT($J87:$EO87/$J22:$EO22)*$E22</f>
        <v>92596.2536855795</v>
      </c>
      <c r="I87" s="48" t="n">
        <f aca="false">SUM(J87:EO87)</f>
        <v>140909.597190961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1953.67359781959</v>
      </c>
      <c r="AA87" s="48" t="n">
        <f aca="false">AA86/In_DSCR*AA18</f>
        <v>1924.00959071093</v>
      </c>
      <c r="AB87" s="48" t="n">
        <f aca="false">AB86/In_DSCR*AB18</f>
        <v>1944.49234430168</v>
      </c>
      <c r="AC87" s="48" t="n">
        <f aca="false">AC86/In_DSCR*AC18</f>
        <v>1964.96005583036</v>
      </c>
      <c r="AD87" s="48" t="n">
        <f aca="false">AD86/In_DSCR*AD18</f>
        <v>1958.01079776344</v>
      </c>
      <c r="AE87" s="48" t="n">
        <f aca="false">AE86/In_DSCR*AE18</f>
        <v>1949.02434163625</v>
      </c>
      <c r="AF87" s="48" t="n">
        <f aca="false">AF86/In_DSCR*AF18</f>
        <v>1948.60466171784</v>
      </c>
      <c r="AG87" s="48" t="n">
        <f aca="false">AG86/In_DSCR*AG18</f>
        <v>1969.11300974918</v>
      </c>
      <c r="AH87" s="48" t="n">
        <f aca="false">AH86/In_DSCR*AH18</f>
        <v>1962.09925940638</v>
      </c>
      <c r="AI87" s="48" t="n">
        <f aca="false">AI86/In_DSCR*AI18</f>
        <v>1931.92100709588</v>
      </c>
      <c r="AJ87" s="48" t="n">
        <f aca="false">AJ86/In_DSCR*AJ18</f>
        <v>1978.04042401382</v>
      </c>
      <c r="AK87" s="48" t="n">
        <f aca="false">AK86/In_DSCR*AK18</f>
        <v>1998.85494620909</v>
      </c>
      <c r="AL87" s="48" t="n">
        <f aca="false">AL86/In_DSCR*AL18</f>
        <v>1969.0675907708</v>
      </c>
      <c r="AM87" s="48" t="n">
        <f aca="false">AM86/In_DSCR*AM18</f>
        <v>1938.018032867</v>
      </c>
      <c r="AN87" s="48" t="n">
        <f aca="false">AN86/In_DSCR*AN18</f>
        <v>1957.73292486498</v>
      </c>
      <c r="AO87" s="48" t="n">
        <f aca="false">AO86/In_DSCR*AO18</f>
        <v>1977.41670112966</v>
      </c>
      <c r="AP87" s="48" t="n">
        <f aca="false">AP86/In_DSCR*AP18</f>
        <v>1970.31954424831</v>
      </c>
      <c r="AQ87" s="48" t="n">
        <f aca="false">AQ86/In_DSCR*AQ18</f>
        <v>1939.00123643377</v>
      </c>
      <c r="AR87" s="48" t="n">
        <f aca="false">AR86/In_DSCR*AR18</f>
        <v>1958.72075134813</v>
      </c>
      <c r="AS87" s="48" t="n">
        <f aca="false">AS86/In_DSCR*AS18</f>
        <v>1978.4085349744</v>
      </c>
      <c r="AT87" s="48" t="n">
        <f aca="false">AT86/In_DSCR*AT18</f>
        <v>1971.22283112137</v>
      </c>
      <c r="AU87" s="48" t="n">
        <f aca="false">AU86/In_DSCR*AU18</f>
        <v>1960.3694049678</v>
      </c>
      <c r="AV87" s="48" t="n">
        <f aca="false">AV86/In_DSCR*AV18</f>
        <v>1959.33129747192</v>
      </c>
      <c r="AW87" s="48" t="n">
        <f aca="false">AW86/In_DSCR*AW18</f>
        <v>1979.01898314606</v>
      </c>
      <c r="AX87" s="48" t="n">
        <f aca="false">AX86/In_DSCR*AX18</f>
        <v>1971.74218766376</v>
      </c>
      <c r="AY87" s="48" t="n">
        <f aca="false">AY86/In_DSCR*AY18</f>
        <v>1939.87370691754</v>
      </c>
      <c r="AZ87" s="48" t="n">
        <f aca="false">AZ86/In_DSCR*AZ18</f>
        <v>1959.59053144799</v>
      </c>
      <c r="BA87" s="48" t="n">
        <f aca="false">BA86/In_DSCR*BA18</f>
        <v>1979.27432105868</v>
      </c>
      <c r="BB87" s="48" t="n">
        <f aca="false">BB86/In_DSCR*BB18</f>
        <v>1971.90426467698</v>
      </c>
      <c r="BC87" s="48" t="n">
        <f aca="false">BC86/In_DSCR*BC18</f>
        <v>1939.75434895453</v>
      </c>
      <c r="BD87" s="48" t="n">
        <f aca="false">BD86/In_DSCR*BD18</f>
        <v>1959.46377658763</v>
      </c>
      <c r="BE87" s="48" t="n">
        <f aca="false">BE86/In_DSCR*BE18</f>
        <v>1979.13948182436</v>
      </c>
      <c r="BF87" s="48" t="n">
        <f aca="false">BF86/In_DSCR*BF18</f>
        <v>1971.67366698149</v>
      </c>
      <c r="BG87" s="48" t="n">
        <f aca="false">BG86/In_DSCR*BG18</f>
        <v>1939.23783935683</v>
      </c>
      <c r="BH87" s="48" t="n">
        <f aca="false">BH86/In_DSCR*BH18</f>
        <v>1958.93553859313</v>
      </c>
      <c r="BI87" s="48" t="n">
        <f aca="false">BI86/In_DSCR*BI18</f>
        <v>1978.5988018417</v>
      </c>
      <c r="BJ87" s="48" t="n">
        <f aca="false">BJ86/In_DSCR*BJ18</f>
        <v>1971.03462790947</v>
      </c>
      <c r="BK87" s="48" t="n">
        <f aca="false">BK86/In_DSCR*BK18</f>
        <v>1959.23485018768</v>
      </c>
      <c r="BL87" s="48" t="n">
        <f aca="false">BL86/In_DSCR*BL18</f>
        <v>1957.9688881306</v>
      </c>
      <c r="BM87" s="48" t="n">
        <f aca="false">BM86/In_DSCR*BM18</f>
        <v>1977.61493613279</v>
      </c>
      <c r="BN87" s="48" t="n">
        <f aca="false">BN86/In_DSCR*BN18</f>
        <v>1969.9494520756</v>
      </c>
      <c r="BO87" s="48" t="n">
        <f aca="false">BO86/In_DSCR*BO18</f>
        <v>1936.92758190535</v>
      </c>
      <c r="BP87" s="48" t="n">
        <f aca="false">BP86/In_DSCR*BP18</f>
        <v>1956.5878766155</v>
      </c>
      <c r="BQ87" s="48" t="n">
        <f aca="false">BQ86/In_DSCR*BQ18</f>
        <v>1976.21222220272</v>
      </c>
      <c r="BR87" s="48" t="n">
        <f aca="false">BR86/In_DSCR*BR18</f>
        <v>1968.44283826257</v>
      </c>
      <c r="BS87" s="48" t="n">
        <f aca="false">BS86/In_DSCR*BS18</f>
        <v>1935.12078655103</v>
      </c>
      <c r="BT87" s="48" t="n">
        <f aca="false">BT86/In_DSCR*BT18</f>
        <v>1954.7552723843</v>
      </c>
      <c r="BU87" s="48" t="n">
        <f aca="false">BU86/In_DSCR*BU18</f>
        <v>1974.35300975814</v>
      </c>
      <c r="BV87" s="48" t="n">
        <f aca="false">BV86/In_DSCR*BV18</f>
        <v>1966.47678655416</v>
      </c>
      <c r="BW87" s="48" t="n">
        <f aca="false">BW86/In_DSCR*BW18</f>
        <v>1932.84950566012</v>
      </c>
      <c r="BX87" s="48" t="n">
        <f aca="false">BX86/In_DSCR*BX18</f>
        <v>1952.45311124238</v>
      </c>
      <c r="BY87" s="48" t="n">
        <f aca="false">BY86/In_DSCR*BY18</f>
        <v>1972.01913787278</v>
      </c>
      <c r="BZ87" s="48" t="n">
        <f aca="false">BZ86/In_DSCR*BZ18</f>
        <v>1964.03301282569</v>
      </c>
      <c r="CA87" s="48" t="n">
        <f aca="false">CA86/In_DSCR*CA18</f>
        <v>1951.17815790887</v>
      </c>
      <c r="CB87" s="48" t="n">
        <f aca="false">CB86/In_DSCR*CB18</f>
        <v>1949.64173951235</v>
      </c>
      <c r="CC87" s="48" t="n">
        <f aca="false">CC86/In_DSCR*CC18</f>
        <v>1969.17050689473</v>
      </c>
      <c r="CD87" s="48" t="n">
        <f aca="false">CD86/In_DSCR*CD18</f>
        <v>1961.07104413965</v>
      </c>
      <c r="CE87" s="48" t="n">
        <f aca="false">CE86/In_DSCR*CE18</f>
        <v>1926.81727980695</v>
      </c>
      <c r="CF87" s="48" t="n">
        <f aca="false">CF86/In_DSCR*CF18</f>
        <v>1946.34284130888</v>
      </c>
      <c r="CG87" s="48" t="n">
        <f aca="false">CG86/In_DSCR*CG18</f>
        <v>1965.82906083023</v>
      </c>
      <c r="CH87" s="48" t="n">
        <f aca="false">CH86/In_DSCR*CH18</f>
        <v>1957.61316727593</v>
      </c>
      <c r="CI87" s="48" t="n">
        <f aca="false">CI86/In_DSCR*CI18</f>
        <v>1923.03805081254</v>
      </c>
      <c r="CJ87" s="48" t="n">
        <f aca="false">CJ86/In_DSCR*CJ18</f>
        <v>1942.51625740291</v>
      </c>
      <c r="CK87" s="48" t="n">
        <f aca="false">CK86/In_DSCR*CK18</f>
        <v>1961.95418920308</v>
      </c>
      <c r="CL87" s="48" t="n">
        <f aca="false">CL86/In_DSCR*CL18</f>
        <v>1953.61839733739</v>
      </c>
      <c r="CM87" s="48" t="n">
        <f aca="false">CM86/In_DSCR*CM18</f>
        <v>1918.71621284243</v>
      </c>
      <c r="CN87" s="48" t="n">
        <f aca="false">CN86/In_DSCR*CN18</f>
        <v>1938.14113296358</v>
      </c>
      <c r="CO87" s="48" t="n">
        <f aca="false">CO86/In_DSCR*CO18</f>
        <v>1957.52480828465</v>
      </c>
      <c r="CP87" s="48" t="n">
        <f aca="false">CP86/In_DSCR*CP18</f>
        <v>1949.06550325934</v>
      </c>
      <c r="CQ87" s="48" t="n">
        <f aca="false">CQ86/In_DSCR*CQ18</f>
        <v>1935.03226331262</v>
      </c>
      <c r="CR87" s="48" t="n">
        <f aca="false">CR86/In_DSCR*CR18</f>
        <v>1933.1746884132</v>
      </c>
      <c r="CS87" s="48" t="n">
        <f aca="false">CS86/In_DSCR*CS18</f>
        <v>1952.49765767731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468</v>
      </c>
      <c r="D88" s="11" t="s">
        <v>33</v>
      </c>
      <c r="E88" s="48" t="n">
        <f aca="false">IF(In_Debt_Mult&gt;0,In_Debt_Mult*$E82,$E87)</f>
        <v>92596.2536855795</v>
      </c>
    </row>
    <row r="89" customFormat="false" ht="15" hidden="false" customHeight="false" outlineLevel="0" collapsed="false">
      <c r="C89" s="25" t="s">
        <v>469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0.637774157168942</v>
      </c>
    </row>
    <row r="91" customFormat="false" ht="15" hidden="false" customHeight="false" outlineLevel="0" collapsed="false">
      <c r="A91" s="9" t="s">
        <v>13</v>
      </c>
      <c r="B91" s="9"/>
      <c r="C91" s="9" t="s">
        <v>351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470</v>
      </c>
      <c r="D92" s="11" t="s">
        <v>33</v>
      </c>
      <c r="I92" s="48" t="n">
        <f aca="false">SUM(J92:EO92)</f>
        <v>-30813.0019341586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-738.193720641525</v>
      </c>
      <c r="AA92" s="48" t="n">
        <f aca="false">-Z98*$F22*(AA$4&gt;In_COD)</f>
        <v>-731.846110496636</v>
      </c>
      <c r="AB92" s="48" t="n">
        <f aca="false">-AA98*$F22*(AB$4&gt;In_COD)</f>
        <v>-725.655641939086</v>
      </c>
      <c r="AC92" s="48" t="n">
        <f aca="false">-AB98*$F22*(AC$4&gt;In_COD)</f>
        <v>-719.224500388219</v>
      </c>
      <c r="AD92" s="48" t="n">
        <f aca="false">-AC98*$F22*(AD$4&gt;In_COD)</f>
        <v>-712.549797349599</v>
      </c>
      <c r="AE92" s="48" t="n">
        <f aca="false">-AD98*$F22*(AE$4&gt;In_COD)</f>
        <v>-705.847061238078</v>
      </c>
      <c r="AF92" s="48" t="n">
        <f aca="false">-AE98*$F22*(AF$4&gt;In_COD)</f>
        <v>-699.132182543694</v>
      </c>
      <c r="AG92" s="48" t="n">
        <f aca="false">-AF98*$F22*(AG$4&gt;In_COD)</f>
        <v>-692.336713628208</v>
      </c>
      <c r="AH92" s="48" t="n">
        <f aca="false">-AG98*$F22*(AH$4&gt;In_COD)</f>
        <v>-685.292805171521</v>
      </c>
      <c r="AI92" s="48" t="n">
        <f aca="false">-AH98*$F22*(AI$4&gt;In_COD)</f>
        <v>-678.216762718043</v>
      </c>
      <c r="AJ92" s="48" t="n">
        <f aca="false">-AI98*$F22*(AJ$4&gt;In_COD)</f>
        <v>-671.2928561018</v>
      </c>
      <c r="AK92" s="48" t="n">
        <f aca="false">-AJ98*$F22*(AK$4&gt;In_COD)</f>
        <v>-663.914728499678</v>
      </c>
      <c r="AL92" s="48" t="n">
        <f aca="false">-AK98*$F22*(AL$4&gt;In_COD)</f>
        <v>-656.278437248156</v>
      </c>
      <c r="AM92" s="48" t="n">
        <f aca="false">-AL98*$F22*(AM$4&gt;In_COD)</f>
        <v>-648.784162424851</v>
      </c>
      <c r="AN92" s="48" t="n">
        <f aca="false">-AM98*$F22*(AN$4&gt;In_COD)</f>
        <v>-641.443741736537</v>
      </c>
      <c r="AO92" s="48" t="n">
        <f aca="false">-AN98*$F22*(AO$4&gt;In_COD)</f>
        <v>-633.854395181773</v>
      </c>
      <c r="AP92" s="48" t="n">
        <f aca="false">-AO98*$F22*(AP$4&gt;In_COD)</f>
        <v>-626.013259247361</v>
      </c>
      <c r="AQ92" s="48" t="n">
        <f aca="false">-AP98*$F22*(AQ$4&gt;In_COD)</f>
        <v>-618.130688904372</v>
      </c>
      <c r="AR92" s="48" t="n">
        <f aca="false">-AQ98*$F22*(AR$4&gt;In_COD)</f>
        <v>-610.399261524226</v>
      </c>
      <c r="AS92" s="48" t="n">
        <f aca="false">-AR98*$F22*(AS$4&gt;In_COD)</f>
        <v>-602.413983839274</v>
      </c>
      <c r="AT92" s="48" t="n">
        <f aca="false">-AS98*$F22*(AT$4&gt;In_COD)</f>
        <v>-594.171935688151</v>
      </c>
      <c r="AU92" s="48" t="n">
        <f aca="false">-AT98*$F22*(AU$4&gt;In_COD)</f>
        <v>-585.88414763787</v>
      </c>
      <c r="AV92" s="48" t="n">
        <f aca="false">-AU98*$F22*(AV$4&gt;In_COD)</f>
        <v>-577.57928767093</v>
      </c>
      <c r="AW92" s="48" t="n">
        <f aca="false">-AV98*$F22*(AW$4&gt;In_COD)</f>
        <v>-569.178892931068</v>
      </c>
      <c r="AX92" s="48" t="n">
        <f aca="false">-AW98*$F22*(AX$4&gt;In_COD)</f>
        <v>-560.51653954274</v>
      </c>
      <c r="AY92" s="48" t="n">
        <f aca="false">-AX98*$F22*(AY$4&gt;In_COD)</f>
        <v>-551.803918638378</v>
      </c>
      <c r="AZ92" s="48" t="n">
        <f aca="false">-AY98*$F22*(AZ$4&gt;In_COD)</f>
        <v>-543.236451140813</v>
      </c>
      <c r="BA92" s="48" t="n">
        <f aca="false">-AZ98*$F22*(BA$4&gt;In_COD)</f>
        <v>-534.404704285192</v>
      </c>
      <c r="BB92" s="48" t="n">
        <f aca="false">-BA98*$F22*(BB$4&gt;In_COD)</f>
        <v>-525.305637939766</v>
      </c>
      <c r="BC92" s="48" t="n">
        <f aca="false">-BB98*$F22*(BC$4&gt;In_COD)</f>
        <v>-516.151588658735</v>
      </c>
      <c r="BD92" s="48" t="n">
        <f aca="false">-BC98*$F22*(BD$4&gt;In_COD)</f>
        <v>-507.139418579228</v>
      </c>
      <c r="BE92" s="48" t="n">
        <f aca="false">-BD98*$F22*(BE$4&gt;In_COD)</f>
        <v>-497.857469328766</v>
      </c>
      <c r="BF92" s="48" t="n">
        <f aca="false">-BE98*$F22*(BF$4&gt;In_COD)</f>
        <v>-488.302637508622</v>
      </c>
      <c r="BG92" s="48" t="n">
        <f aca="false">-BF98*$F22*(BG$4&gt;In_COD)</f>
        <v>-478.687889087838</v>
      </c>
      <c r="BH92" s="48" t="n">
        <f aca="false">-BG98*$F22*(BH$4&gt;In_COD)</f>
        <v>-469.211540469612</v>
      </c>
      <c r="BI92" s="48" t="n">
        <f aca="false">-BH98*$F22*(BI$4&gt;In_COD)</f>
        <v>-459.45970394955</v>
      </c>
      <c r="BJ92" s="48" t="n">
        <f aca="false">-BI98*$F22*(BJ$4&gt;In_COD)</f>
        <v>-449.429210458669</v>
      </c>
      <c r="BK92" s="48" t="n">
        <f aca="false">-BJ98*$F22*(BK$4&gt;In_COD)</f>
        <v>-439.33363873233</v>
      </c>
      <c r="BL92" s="48" t="n">
        <f aca="false">-BK98*$F22*(BL$4&gt;In_COD)</f>
        <v>-429.205942275553</v>
      </c>
      <c r="BM92" s="48" t="n">
        <f aca="false">-BL98*$F22*(BM$4&gt;In_COD)</f>
        <v>-418.961742086617</v>
      </c>
      <c r="BN92" s="48" t="n">
        <f aca="false">-BM98*$F22*(BN$4&gt;In_COD)</f>
        <v>-408.432867623989</v>
      </c>
      <c r="BO92" s="48" t="n">
        <f aca="false">-BN98*$F22*(BO$4&gt;In_COD)</f>
        <v>-397.833492826003</v>
      </c>
      <c r="BP92" s="48" t="n">
        <f aca="false">-BO98*$F22*(BP$4&gt;In_COD)</f>
        <v>-387.364882035741</v>
      </c>
      <c r="BQ92" s="48" t="n">
        <f aca="false">-BP98*$F22*(BQ$4&gt;In_COD)</f>
        <v>-376.608678261995</v>
      </c>
      <c r="BR92" s="48" t="n">
        <f aca="false">-BQ98*$F22*(BR$4&gt;In_COD)</f>
        <v>-365.561573185241</v>
      </c>
      <c r="BS92" s="48" t="n">
        <f aca="false">-BR98*$F22*(BS$4&gt;In_COD)</f>
        <v>-354.438318198704</v>
      </c>
      <c r="BT92" s="48" t="n">
        <f aca="false">-BS98*$F22*(BT$4&gt;In_COD)</f>
        <v>-343.441671817905</v>
      </c>
      <c r="BU92" s="48" t="n">
        <f aca="false">-BT98*$F22*(BU$4&gt;In_COD)</f>
        <v>-332.151037761673</v>
      </c>
      <c r="BV92" s="48" t="n">
        <f aca="false">-BU98*$F22*(BV$4&gt;In_COD)</f>
        <v>-320.563034149288</v>
      </c>
      <c r="BW92" s="48" t="n">
        <f aca="false">-BV98*$F22*(BW$4&gt;In_COD)</f>
        <v>-308.892971136943</v>
      </c>
      <c r="BX92" s="48" t="n">
        <f aca="false">-BW98*$F22*(BX$4&gt;In_COD)</f>
        <v>-297.34511497107</v>
      </c>
      <c r="BY92" s="48" t="n">
        <f aca="false">-BX98*$F22*(BY$4&gt;In_COD)</f>
        <v>-285.496627190278</v>
      </c>
      <c r="BZ92" s="48" t="n">
        <f aca="false">-BY98*$F22*(BZ$4&gt;In_COD)</f>
        <v>-273.344049485433</v>
      </c>
      <c r="CA92" s="48" t="n">
        <f aca="false">-BZ98*$F22*(CA$4&gt;In_COD)</f>
        <v>-261.103231361415</v>
      </c>
      <c r="CB92" s="48" t="n">
        <f aca="false">-CA98*$F22*(CB$4&gt;In_COD)</f>
        <v>-248.811884189098</v>
      </c>
      <c r="CC92" s="48" t="n">
        <f aca="false">-CB98*$F22*(CC$4&gt;In_COD)</f>
        <v>-236.379143776476</v>
      </c>
      <c r="CD92" s="48" t="n">
        <f aca="false">-CC98*$F22*(CD$4&gt;In_COD)</f>
        <v>-223.635307319223</v>
      </c>
      <c r="CE92" s="48" t="n">
        <f aca="false">-CD98*$F22*(CE$4&gt;In_COD)</f>
        <v>-210.796743256656</v>
      </c>
      <c r="CF92" s="48" t="n">
        <f aca="false">-CE98*$F22*(CF$4&gt;In_COD)</f>
        <v>-198.070774214271</v>
      </c>
      <c r="CG92" s="48" t="n">
        <f aca="false">-CF98*$F22*(CG$4&gt;In_COD)</f>
        <v>-185.03006932723</v>
      </c>
      <c r="CH92" s="48" t="n">
        <f aca="false">-CG98*$F22*(CH$4&gt;In_COD)</f>
        <v>-171.671008038705</v>
      </c>
      <c r="CI92" s="48" t="n">
        <f aca="false">-CH98*$F22*(CI$4&gt;In_COD)</f>
        <v>-158.210457041411</v>
      </c>
      <c r="CJ92" s="48" t="n">
        <f aca="false">-CI98*$F22*(CJ$4&gt;In_COD)</f>
        <v>-144.857288103669</v>
      </c>
      <c r="CK92" s="48" t="n">
        <f aca="false">-CJ98*$F22*(CK$4&gt;In_COD)</f>
        <v>-131.181920844313</v>
      </c>
      <c r="CL92" s="48" t="n">
        <f aca="false">-CK98*$F22*(CL$4&gt;In_COD)</f>
        <v>-117.180648862079</v>
      </c>
      <c r="CM92" s="48" t="n">
        <f aca="false">-CL98*$F22*(CM$4&gt;In_COD)</f>
        <v>-103.07081538796</v>
      </c>
      <c r="CN92" s="48" t="n">
        <f aca="false">-CM98*$F22*(CN$4&gt;In_COD)</f>
        <v>-89.06285538666</v>
      </c>
      <c r="CO92" s="48" t="n">
        <f aca="false">-CN98*$F22*(CO$4&gt;In_COD)</f>
        <v>-74.7249369846144</v>
      </c>
      <c r="CP92" s="48" t="n">
        <f aca="false">-CO98*$F22*(CP$4&gt;In_COD)</f>
        <v>-60.0532645126591</v>
      </c>
      <c r="CQ92" s="48" t="n">
        <f aca="false">-CP98*$F22*(CQ$4&gt;In_COD)</f>
        <v>-45.2656352114638</v>
      </c>
      <c r="CR92" s="48" t="n">
        <f aca="false">-CQ98*$F22*(CR$4&gt;In_COD)</f>
        <v>-30.4050360162457</v>
      </c>
      <c r="CS92" s="48" t="n">
        <f aca="false">-CR98*$F22*(CS$4&gt;In_COD)</f>
        <v>-15.3734882469105</v>
      </c>
      <c r="CT92" s="48" t="n">
        <f aca="false">-CS98*$F22*(CT$4&gt;In_COD)</f>
        <v>-3.36797256750288E-012</v>
      </c>
      <c r="CU92" s="48" t="n">
        <f aca="false">-CT98*$F22*(CU$4&gt;In_COD)</f>
        <v>-3.41007222459666E-012</v>
      </c>
      <c r="CV92" s="48" t="n">
        <f aca="false">-CU98*$F22*(CV$4&gt;In_COD)</f>
        <v>-3.45269812740412E-012</v>
      </c>
      <c r="CW92" s="48" t="n">
        <f aca="false">-CV98*$F22*(CW$4&gt;In_COD)</f>
        <v>-3.49585685399667E-012</v>
      </c>
      <c r="CX92" s="48" t="n">
        <f aca="false">-CW98*$F22*(CX$4&gt;In_COD)</f>
        <v>-3.53955506467163E-012</v>
      </c>
      <c r="CY92" s="48" t="n">
        <f aca="false">-CX98*$F22*(CY$4&gt;In_COD)</f>
        <v>-3.58379950298003E-012</v>
      </c>
      <c r="CZ92" s="48" t="n">
        <f aca="false">-CY98*$F22*(CZ$4&gt;In_COD)</f>
        <v>-3.62859699676728E-012</v>
      </c>
      <c r="DA92" s="48" t="n">
        <f aca="false">-CZ98*$F22*(DA$4&gt;In_COD)</f>
        <v>-3.67395445922687E-012</v>
      </c>
      <c r="DB92" s="48" t="n">
        <f aca="false">-DA98*$F22*(DB$4&gt;In_COD)</f>
        <v>-3.7198788899672E-012</v>
      </c>
      <c r="DC92" s="48" t="n">
        <f aca="false">-DB98*$F22*(DC$4&gt;In_COD)</f>
        <v>-3.76637737609179E-012</v>
      </c>
      <c r="DD92" s="48" t="n">
        <f aca="false">-DC98*$F22*(DD$4&gt;In_COD)</f>
        <v>-3.81345709329294E-012</v>
      </c>
      <c r="DE92" s="48" t="n">
        <f aca="false">-DD98*$F22*(DE$4&gt;In_COD)</f>
        <v>-3.8611253069591E-012</v>
      </c>
      <c r="DF92" s="48" t="n">
        <f aca="false">-DE98*$F22*(DF$4&gt;In_COD)</f>
        <v>-3.90938937329609E-012</v>
      </c>
      <c r="DG92" s="48" t="n">
        <f aca="false">-DF98*$F22*(DG$4&gt;In_COD)</f>
        <v>-3.95825674046229E-012</v>
      </c>
      <c r="DH92" s="48" t="n">
        <f aca="false">-DG98*$F22*(DH$4&gt;In_COD)</f>
        <v>-4.00773494971807E-012</v>
      </c>
      <c r="DI92" s="48" t="n">
        <f aca="false">-DH98*$F22*(DI$4&gt;In_COD)</f>
        <v>-4.05783163658955E-012</v>
      </c>
      <c r="DJ92" s="48" t="n">
        <f aca="false">-DI98*$F22*(DJ$4&gt;In_COD)</f>
        <v>-4.10855453204692E-012</v>
      </c>
      <c r="DK92" s="48" t="n">
        <f aca="false">-DJ98*$F22*(DK$4&gt;In_COD)</f>
        <v>-4.1599114636975E-012</v>
      </c>
      <c r="DL92" s="48" t="n">
        <f aca="false">-DK98*$F22*(DL$4&gt;In_COD)</f>
        <v>-4.21191035699372E-012</v>
      </c>
      <c r="DM92" s="48" t="n">
        <f aca="false">-DL98*$F22*(DM$4&gt;In_COD)</f>
        <v>-4.26455923645614E-012</v>
      </c>
      <c r="DN92" s="48" t="n">
        <f aca="false">-DM98*$F22*(DN$4&gt;In_COD)</f>
        <v>-4.31786622691184E-012</v>
      </c>
      <c r="DO92" s="48" t="n">
        <f aca="false">-DN98*$F22*(DO$4&gt;In_COD)</f>
        <v>-4.37183955474824E-012</v>
      </c>
      <c r="DP92" s="48" t="n">
        <f aca="false">-DO98*$F22*(DP$4&gt;In_COD)</f>
        <v>-4.4264875491826E-012</v>
      </c>
      <c r="DQ92" s="48" t="n">
        <f aca="false">-DP98*$F22*(DQ$4&gt;In_COD)</f>
        <v>-4.48181864354738E-012</v>
      </c>
      <c r="DR92" s="48" t="n">
        <f aca="false">-DQ98*$F22*(DR$4&gt;In_COD)</f>
        <v>-4.53784137659172E-012</v>
      </c>
      <c r="DS92" s="48" t="n">
        <f aca="false">-DR98*$F22*(DS$4&gt;In_COD)</f>
        <v>-4.59456439379912E-012</v>
      </c>
      <c r="DT92" s="48" t="n">
        <f aca="false">-DS98*$F22*(DT$4&gt;In_COD)</f>
        <v>-4.65199644872161E-012</v>
      </c>
      <c r="DU92" s="48" t="n">
        <f aca="false">-DT98*$F22*(DU$4&gt;In_COD)</f>
        <v>-4.71014640433063E-012</v>
      </c>
      <c r="DV92" s="48" t="n">
        <f aca="false">-DU98*$F22*(DV$4&gt;In_COD)</f>
        <v>-4.76902323438476E-012</v>
      </c>
      <c r="DW92" s="48" t="n">
        <f aca="false">-DV98*$F22*(DW$4&gt;In_COD)</f>
        <v>-4.82863602481457E-012</v>
      </c>
      <c r="DX92" s="48" t="n">
        <f aca="false">-DW98*$F22*(DX$4&gt;In_COD)</f>
        <v>-4.88899397512475E-012</v>
      </c>
      <c r="DY92" s="48" t="n">
        <f aca="false">-DX98*$F22*(DY$4&gt;In_COD)</f>
        <v>-4.95010639981381E-012</v>
      </c>
      <c r="DZ92" s="48" t="n">
        <f aca="false">-DY98*$F22*(DZ$4&gt;In_COD)</f>
        <v>-5.01198272981148E-012</v>
      </c>
      <c r="EA92" s="48" t="n">
        <f aca="false">-DZ98*$F22*(EA$4&gt;In_COD)</f>
        <v>-5.07463251393413E-012</v>
      </c>
      <c r="EB92" s="48" t="n">
        <f aca="false">-EA98*$F22*(EB$4&gt;In_COD)</f>
        <v>-5.1380654203583E-012</v>
      </c>
      <c r="EC92" s="48" t="n">
        <f aca="false">-EB98*$F22*(EC$4&gt;In_COD)</f>
        <v>-5.20229123811278E-012</v>
      </c>
      <c r="ED92" s="48" t="n">
        <f aca="false">-EC98*$F22*(ED$4&gt;In_COD)</f>
        <v>-5.26731987858919E-012</v>
      </c>
      <c r="EE92" s="48" t="n">
        <f aca="false">-ED98*$F22*(EE$4&gt;In_COD)</f>
        <v>-5.33316137707156E-012</v>
      </c>
      <c r="EF92" s="48" t="n">
        <f aca="false">-EE98*$F22*(EF$4&gt;In_COD)</f>
        <v>-5.39982589428495E-012</v>
      </c>
      <c r="EG92" s="48" t="n">
        <f aca="false">-EF98*$F22*(EG$4&gt;In_COD)</f>
        <v>-5.46732371796351E-012</v>
      </c>
      <c r="EH92" s="48" t="n">
        <f aca="false">-EG98*$F22*(EH$4&gt;In_COD)</f>
        <v>-5.53566526443806E-012</v>
      </c>
      <c r="EI92" s="48" t="n">
        <f aca="false">-EH98*$F22*(EI$4&gt;In_COD)</f>
        <v>-5.60486108024353E-012</v>
      </c>
      <c r="EJ92" s="48" t="n">
        <f aca="false">-EI98*$F22*(EJ$4&gt;In_COD)</f>
        <v>-5.67492184374658E-012</v>
      </c>
      <c r="EK92" s="48" t="n">
        <f aca="false">-EJ98*$F22*(EK$4&gt;In_COD)</f>
        <v>-5.74585836679341E-012</v>
      </c>
      <c r="EL92" s="48" t="n">
        <f aca="false">-EK98*$F22*(EL$4&gt;In_COD)</f>
        <v>-5.81768159637833E-012</v>
      </c>
      <c r="EM92" s="48" t="n">
        <f aca="false">-EL98*$F22*(EM$4&gt;In_COD)</f>
        <v>-5.89040261633306E-012</v>
      </c>
      <c r="EN92" s="48" t="n">
        <f aca="false">-EM98*$F22*(EN$4&gt;In_COD)</f>
        <v>-5.96403264903722E-012</v>
      </c>
      <c r="EO92" s="48" t="n">
        <f aca="false">-EN98*$F22*(EO$4&gt;In_COD)</f>
        <v>-6.03858305715019E-012</v>
      </c>
    </row>
    <row r="93" customFormat="false" ht="15" hidden="false" customHeight="false" outlineLevel="0" collapsed="false">
      <c r="C93" s="0" t="s">
        <v>471</v>
      </c>
      <c r="D93" s="11" t="s">
        <v>33</v>
      </c>
      <c r="I93" s="48" t="n">
        <f aca="false">SUM(J93:EO93)</f>
        <v>-89868.4995854801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-1246.00253223261</v>
      </c>
      <c r="AA93" s="48" t="n">
        <f aca="false">-AA87*$F89</f>
        <v>-1227.08359510062</v>
      </c>
      <c r="AB93" s="48" t="n">
        <f aca="false">-AB87*$F89</f>
        <v>-1240.14696600846</v>
      </c>
      <c r="AC93" s="48" t="n">
        <f aca="false">-AC87*$F89</f>
        <v>-1253.20074347784</v>
      </c>
      <c r="AD93" s="48" t="n">
        <f aca="false">-AD87*$F89</f>
        <v>-1248.76868627126</v>
      </c>
      <c r="AE93" s="48" t="n">
        <f aca="false">-AE87*$F89</f>
        <v>-1243.03735678881</v>
      </c>
      <c r="AF93" s="48" t="n">
        <f aca="false">-AF87*$F89</f>
        <v>-1242.76969578257</v>
      </c>
      <c r="AG93" s="48" t="n">
        <f aca="false">-AG87*$F89</f>
        <v>-1255.84939016318</v>
      </c>
      <c r="AH93" s="48" t="n">
        <f aca="false">-AH87*$F89</f>
        <v>-1251.37620144971</v>
      </c>
      <c r="AI93" s="48" t="n">
        <f aca="false">-AI87*$F89</f>
        <v>-1232.12929201755</v>
      </c>
      <c r="AJ93" s="48" t="n">
        <f aca="false">-AJ87*$F89</f>
        <v>-1261.54306427151</v>
      </c>
      <c r="AK93" s="48" t="n">
        <f aca="false">-AK87*$F89</f>
        <v>-1274.81802862147</v>
      </c>
      <c r="AL93" s="48" t="n">
        <f aca="false">-AL87*$F89</f>
        <v>-1255.82042311253</v>
      </c>
      <c r="AM93" s="48" t="n">
        <f aca="false">-AM87*$F89</f>
        <v>-1236.01781748996</v>
      </c>
      <c r="AN93" s="48" t="n">
        <f aca="false">-AN87*$F89</f>
        <v>-1248.59146611765</v>
      </c>
      <c r="AO93" s="48" t="n">
        <f aca="false">-AO87*$F89</f>
        <v>-1261.14526993476</v>
      </c>
      <c r="AP93" s="48" t="n">
        <f aca="false">-AP87*$F89</f>
        <v>-1256.61888668646</v>
      </c>
      <c r="AQ93" s="48" t="n">
        <f aca="false">-AQ87*$F89</f>
        <v>-1236.64487931608</v>
      </c>
      <c r="AR93" s="48" t="n">
        <f aca="false">-AR87*$F89</f>
        <v>-1249.22147632037</v>
      </c>
      <c r="AS93" s="48" t="n">
        <f aca="false">-AS87*$F89</f>
        <v>-1261.77783592914</v>
      </c>
      <c r="AT93" s="48" t="n">
        <f aca="false">-AT87*$F89</f>
        <v>-1257.19497971061</v>
      </c>
      <c r="AU93" s="48" t="n">
        <f aca="false">-AU87*$F89</f>
        <v>-1250.27294499312</v>
      </c>
      <c r="AV93" s="48" t="n">
        <f aca="false">-AV87*$F89</f>
        <v>-1249.61086685988</v>
      </c>
      <c r="AW93" s="48" t="n">
        <f aca="false">-AW87*$F89</f>
        <v>-1262.16716399731</v>
      </c>
      <c r="AX93" s="48" t="n">
        <f aca="false">-AX87*$F89</f>
        <v>-1257.5262118917</v>
      </c>
      <c r="AY93" s="48" t="n">
        <f aca="false">-AY87*$F89</f>
        <v>-1237.20131844353</v>
      </c>
      <c r="AZ93" s="48" t="n">
        <f aca="false">-AZ87*$F89</f>
        <v>-1249.77619959048</v>
      </c>
      <c r="BA93" s="48" t="n">
        <f aca="false">-BA87*$F89</f>
        <v>-1262.33001191933</v>
      </c>
      <c r="BB93" s="48" t="n">
        <f aca="false">-BB87*$F89</f>
        <v>-1257.6295804222</v>
      </c>
      <c r="BC93" s="48" t="n">
        <f aca="false">-BC87*$F89</f>
        <v>-1237.12519501927</v>
      </c>
      <c r="BD93" s="48" t="n">
        <f aca="false">-BD87*$F89</f>
        <v>-1249.69535861625</v>
      </c>
      <c r="BE93" s="48" t="n">
        <f aca="false">-BE87*$F89</f>
        <v>-1262.2440149403</v>
      </c>
      <c r="BF93" s="48" t="n">
        <f aca="false">-BF87*$F89</f>
        <v>-1257.48251117132</v>
      </c>
      <c r="BG93" s="48" t="n">
        <f aca="false">-BG87*$F89</f>
        <v>-1236.79577854592</v>
      </c>
      <c r="BH93" s="48" t="n">
        <f aca="false">-BH87*$F89</f>
        <v>-1249.35846207452</v>
      </c>
      <c r="BI93" s="48" t="n">
        <f aca="false">-BI87*$F89</f>
        <v>-1261.89918322007</v>
      </c>
      <c r="BJ93" s="48" t="n">
        <f aca="false">-BJ87*$F89</f>
        <v>-1257.07494856576</v>
      </c>
      <c r="BK93" s="48" t="n">
        <f aca="false">-BK87*$F89</f>
        <v>-1249.54935527447</v>
      </c>
      <c r="BL93" s="48" t="n">
        <f aca="false">-BL87*$F89</f>
        <v>-1248.7419573905</v>
      </c>
      <c r="BM93" s="48" t="n">
        <f aca="false">-BM87*$F89</f>
        <v>-1261.2716990968</v>
      </c>
      <c r="BN93" s="48" t="n">
        <f aca="false">-BN87*$F89</f>
        <v>-1256.38285146293</v>
      </c>
      <c r="BO93" s="48" t="n">
        <f aca="false">-BO87*$F89</f>
        <v>-1235.32235604696</v>
      </c>
      <c r="BP93" s="48" t="n">
        <f aca="false">-BP87*$F89</f>
        <v>-1247.86118393542</v>
      </c>
      <c r="BQ93" s="48" t="n">
        <f aca="false">-BQ87*$F89</f>
        <v>-1260.3770844023</v>
      </c>
      <c r="BR93" s="48" t="n">
        <f aca="false">-BR87*$F89</f>
        <v>-1255.42197210815</v>
      </c>
      <c r="BS93" s="48" t="n">
        <f aca="false">-BS87*$F89</f>
        <v>-1234.17002866268</v>
      </c>
      <c r="BT93" s="48" t="n">
        <f aca="false">-BT87*$F89</f>
        <v>-1246.69239631644</v>
      </c>
      <c r="BU93" s="48" t="n">
        <f aca="false">-BU87*$F89</f>
        <v>-1259.19132675246</v>
      </c>
      <c r="BV93" s="48" t="n">
        <f aca="false">-BV87*$F89</f>
        <v>-1254.16807513687</v>
      </c>
      <c r="BW93" s="48" t="n">
        <f aca="false">-BW87*$F89</f>
        <v>-1232.72146440679</v>
      </c>
      <c r="BX93" s="48" t="n">
        <f aca="false">-BX87*$F89</f>
        <v>-1245.22413743449</v>
      </c>
      <c r="BY93" s="48" t="n">
        <f aca="false">-BY87*$F89</f>
        <v>-1257.70284357783</v>
      </c>
      <c r="BZ93" s="48" t="n">
        <f aca="false">-BZ87*$F89</f>
        <v>-1252.60949940688</v>
      </c>
      <c r="CA93" s="48" t="n">
        <f aca="false">-CA87*$F89</f>
        <v>-1244.41100514678</v>
      </c>
      <c r="CB93" s="48" t="n">
        <f aca="false">-CB87*$F89</f>
        <v>-1243.43111719888</v>
      </c>
      <c r="CC93" s="48" t="n">
        <f aca="false">-CC87*$F89</f>
        <v>-1255.88606035672</v>
      </c>
      <c r="CD93" s="48" t="n">
        <f aca="false">-CD87*$F89</f>
        <v>-1250.72043232458</v>
      </c>
      <c r="CE93" s="48" t="n">
        <f aca="false">-CE87*$F89</f>
        <v>-1228.87426664743</v>
      </c>
      <c r="CF93" s="48" t="n">
        <f aca="false">-CF87*$F89</f>
        <v>-1241.32716517758</v>
      </c>
      <c r="CG93" s="48" t="n">
        <f aca="false">-CG87*$F89</f>
        <v>-1253.75497240921</v>
      </c>
      <c r="CH93" s="48" t="n">
        <f aca="false">-CH87*$F89</f>
        <v>-1248.51508782223</v>
      </c>
      <c r="CI93" s="48" t="n">
        <f aca="false">-CI87*$F89</f>
        <v>-1226.46397206077</v>
      </c>
      <c r="CJ93" s="48" t="n">
        <f aca="false">-CJ87*$F89</f>
        <v>-1238.88666885211</v>
      </c>
      <c r="CK93" s="48" t="n">
        <f aca="false">-CK87*$F89</f>
        <v>-1251.28367942307</v>
      </c>
      <c r="CL93" s="48" t="n">
        <f aca="false">-CL87*$F89</f>
        <v>-1245.96732679159</v>
      </c>
      <c r="CM93" s="48" t="n">
        <f aca="false">-CM87*$F89</f>
        <v>-1223.70761549196</v>
      </c>
      <c r="CN93" s="48" t="n">
        <f aca="false">-CN87*$F89</f>
        <v>-1236.09632755031</v>
      </c>
      <c r="CO93" s="48" t="n">
        <f aca="false">-CO87*$F89</f>
        <v>-1248.45873474103</v>
      </c>
      <c r="CP93" s="48" t="n">
        <f aca="false">-CP87*$F89</f>
        <v>-1243.06360860828</v>
      </c>
      <c r="CQ93" s="48" t="n">
        <f aca="false">-CQ87*$F89</f>
        <v>-1234.11357082891</v>
      </c>
      <c r="CR93" s="48" t="n">
        <f aca="false">-CR87*$F89</f>
        <v>-1232.92885756306</v>
      </c>
      <c r="CS93" s="48" t="n">
        <f aca="false">-CS87*$F89</f>
        <v>-1245.25254799948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472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6374.47363013699</v>
      </c>
      <c r="T94" s="18" t="n">
        <f aca="false">S98</f>
        <v>17175.2053998288</v>
      </c>
      <c r="U94" s="18" t="n">
        <f aca="false">T98</f>
        <v>23695.0813406143</v>
      </c>
      <c r="V94" s="18" t="n">
        <f aca="false">U98</f>
        <v>30365.743487509</v>
      </c>
      <c r="W94" s="18" t="n">
        <f aca="false">V98</f>
        <v>37119.7889112398</v>
      </c>
      <c r="X94" s="18" t="n">
        <f aca="false">W98</f>
        <v>43819.6843890687</v>
      </c>
      <c r="Y94" s="18" t="n">
        <f aca="false">X98</f>
        <v>50672.6163172197</v>
      </c>
      <c r="Z94" s="18" t="n">
        <f aca="false">Y98</f>
        <v>59055.4976513219</v>
      </c>
      <c r="AA94" s="18" t="n">
        <f aca="false">Z98</f>
        <v>58547.6888397309</v>
      </c>
      <c r="AB94" s="18" t="n">
        <f aca="false">AA98</f>
        <v>58052.4513551269</v>
      </c>
      <c r="AC94" s="18" t="n">
        <f aca="false">AB98</f>
        <v>57537.9600310575</v>
      </c>
      <c r="AD94" s="18" t="n">
        <f aca="false">AC98</f>
        <v>57003.9837879679</v>
      </c>
      <c r="AE94" s="18" t="n">
        <f aca="false">AD98</f>
        <v>56467.7648990462</v>
      </c>
      <c r="AF94" s="18" t="n">
        <f aca="false">AE98</f>
        <v>55930.5746034955</v>
      </c>
      <c r="AG94" s="18" t="n">
        <f aca="false">AF98</f>
        <v>55386.9370902566</v>
      </c>
      <c r="AH94" s="18" t="n">
        <f aca="false">AG98</f>
        <v>54823.4244137216</v>
      </c>
      <c r="AI94" s="18" t="n">
        <f aca="false">AH98</f>
        <v>54257.3410174435</v>
      </c>
      <c r="AJ94" s="18" t="n">
        <f aca="false">AI98</f>
        <v>53703.428488144</v>
      </c>
      <c r="AK94" s="18" t="n">
        <f aca="false">AJ98</f>
        <v>53113.1782799742</v>
      </c>
      <c r="AL94" s="18" t="n">
        <f aca="false">AK98</f>
        <v>52502.2749798524</v>
      </c>
      <c r="AM94" s="18" t="n">
        <f aca="false">AL98</f>
        <v>51902.7329939881</v>
      </c>
      <c r="AN94" s="18" t="n">
        <f aca="false">AM98</f>
        <v>51315.499338923</v>
      </c>
      <c r="AO94" s="18" t="n">
        <f aca="false">AN98</f>
        <v>50708.3516145419</v>
      </c>
      <c r="AP94" s="18" t="n">
        <f aca="false">AO98</f>
        <v>50081.0607397889</v>
      </c>
      <c r="AQ94" s="18" t="n">
        <f aca="false">AP98</f>
        <v>49450.4551123498</v>
      </c>
      <c r="AR94" s="18" t="n">
        <f aca="false">AQ98</f>
        <v>48831.9409219381</v>
      </c>
      <c r="AS94" s="18" t="n">
        <f aca="false">AR98</f>
        <v>48193.1187071419</v>
      </c>
      <c r="AT94" s="18" t="n">
        <f aca="false">AS98</f>
        <v>47533.7548550521</v>
      </c>
      <c r="AU94" s="18" t="n">
        <f aca="false">AT98</f>
        <v>46870.7318110296</v>
      </c>
      <c r="AV94" s="18" t="n">
        <f aca="false">AU98</f>
        <v>46206.3430136744</v>
      </c>
      <c r="AW94" s="18" t="n">
        <f aca="false">AV98</f>
        <v>45534.3114344854</v>
      </c>
      <c r="AX94" s="18" t="n">
        <f aca="false">AW98</f>
        <v>44841.3231634192</v>
      </c>
      <c r="AY94" s="18" t="n">
        <f aca="false">AX98</f>
        <v>44144.3134910702</v>
      </c>
      <c r="AZ94" s="18" t="n">
        <f aca="false">AY98</f>
        <v>43458.916091265</v>
      </c>
      <c r="BA94" s="18" t="n">
        <f aca="false">AZ98</f>
        <v>42752.3763428154</v>
      </c>
      <c r="BB94" s="18" t="n">
        <f aca="false">BA98</f>
        <v>42024.4510351812</v>
      </c>
      <c r="BC94" s="18" t="n">
        <f aca="false">BB98</f>
        <v>41292.1270926988</v>
      </c>
      <c r="BD94" s="18" t="n">
        <f aca="false">BC98</f>
        <v>40571.1534863383</v>
      </c>
      <c r="BE94" s="18" t="n">
        <f aca="false">BD98</f>
        <v>39828.5975463013</v>
      </c>
      <c r="BF94" s="18" t="n">
        <f aca="false">BE98</f>
        <v>39064.2110006897</v>
      </c>
      <c r="BG94" s="18" t="n">
        <f aca="false">BF98</f>
        <v>38295.031127027</v>
      </c>
      <c r="BH94" s="18" t="n">
        <f aca="false">BG98</f>
        <v>37536.9232375689</v>
      </c>
      <c r="BI94" s="18" t="n">
        <f aca="false">BH98</f>
        <v>36756.776315964</v>
      </c>
      <c r="BJ94" s="18" t="n">
        <f aca="false">BI98</f>
        <v>35954.3368366935</v>
      </c>
      <c r="BK94" s="18" t="n">
        <f aca="false">BJ98</f>
        <v>35146.6910985864</v>
      </c>
      <c r="BL94" s="18" t="n">
        <f aca="false">BK98</f>
        <v>34336.4753820443</v>
      </c>
      <c r="BM94" s="18" t="n">
        <f aca="false">BL98</f>
        <v>33516.9393669293</v>
      </c>
      <c r="BN94" s="18" t="n">
        <f aca="false">BM98</f>
        <v>32674.6294099191</v>
      </c>
      <c r="BO94" s="18" t="n">
        <f aca="false">BN98</f>
        <v>31826.6794260802</v>
      </c>
      <c r="BP94" s="18" t="n">
        <f aca="false">BO98</f>
        <v>30989.1905628592</v>
      </c>
      <c r="BQ94" s="18" t="n">
        <f aca="false">BP98</f>
        <v>30128.6942609596</v>
      </c>
      <c r="BR94" s="18" t="n">
        <f aca="false">BQ98</f>
        <v>29244.9258548193</v>
      </c>
      <c r="BS94" s="18" t="n">
        <f aca="false">BR98</f>
        <v>28355.0654558963</v>
      </c>
      <c r="BT94" s="18" t="n">
        <f aca="false">BS98</f>
        <v>27475.3337454324</v>
      </c>
      <c r="BU94" s="18" t="n">
        <f aca="false">BT98</f>
        <v>26572.0830209338</v>
      </c>
      <c r="BV94" s="18" t="n">
        <f aca="false">BU98</f>
        <v>25645.042731943</v>
      </c>
      <c r="BW94" s="18" t="n">
        <f aca="false">BV98</f>
        <v>24711.4376909555</v>
      </c>
      <c r="BX94" s="18" t="n">
        <f aca="false">BW98</f>
        <v>23787.6091976856</v>
      </c>
      <c r="BY94" s="18" t="n">
        <f aca="false">BX98</f>
        <v>22839.7301752222</v>
      </c>
      <c r="BZ94" s="18" t="n">
        <f aca="false">BY98</f>
        <v>21867.5239588347</v>
      </c>
      <c r="CA94" s="18" t="n">
        <f aca="false">BZ98</f>
        <v>20888.2585089132</v>
      </c>
      <c r="CB94" s="18" t="n">
        <f aca="false">CA98</f>
        <v>19904.9507351278</v>
      </c>
      <c r="CC94" s="18" t="n">
        <f aca="false">CB98</f>
        <v>18910.3315021181</v>
      </c>
      <c r="CD94" s="18" t="n">
        <f aca="false">CC98</f>
        <v>17890.8245855378</v>
      </c>
      <c r="CE94" s="18" t="n">
        <f aca="false">CD98</f>
        <v>16863.7394605325</v>
      </c>
      <c r="CF94" s="18" t="n">
        <f aca="false">CE98</f>
        <v>15845.6619371417</v>
      </c>
      <c r="CG94" s="18" t="n">
        <f aca="false">CF98</f>
        <v>14802.4055461784</v>
      </c>
      <c r="CH94" s="18" t="n">
        <f aca="false">CG98</f>
        <v>13733.6806430964</v>
      </c>
      <c r="CI94" s="18" t="n">
        <f aca="false">CH98</f>
        <v>12656.8365633129</v>
      </c>
      <c r="CJ94" s="18" t="n">
        <f aca="false">CI98</f>
        <v>11588.5830482935</v>
      </c>
      <c r="CK94" s="18" t="n">
        <f aca="false">CJ98</f>
        <v>10494.5536675451</v>
      </c>
      <c r="CL94" s="18" t="n">
        <f aca="false">CK98</f>
        <v>9374.45190896631</v>
      </c>
      <c r="CM94" s="18" t="n">
        <f aca="false">CL98</f>
        <v>8245.6652310368</v>
      </c>
      <c r="CN94" s="18" t="n">
        <f aca="false">CM98</f>
        <v>7125.0284309328</v>
      </c>
      <c r="CO94" s="18" t="n">
        <f aca="false">CN98</f>
        <v>5977.99495876915</v>
      </c>
      <c r="CP94" s="18" t="n">
        <f aca="false">CO98</f>
        <v>4804.26116101273</v>
      </c>
      <c r="CQ94" s="18" t="n">
        <f aca="false">CP98</f>
        <v>3621.25081691711</v>
      </c>
      <c r="CR94" s="18" t="n">
        <f aca="false">CQ98</f>
        <v>2432.40288129966</v>
      </c>
      <c r="CS94" s="18" t="n">
        <f aca="false">CR98</f>
        <v>1229.87905975284</v>
      </c>
      <c r="CT94" s="18" t="n">
        <f aca="false">CS98</f>
        <v>2.6943780540023E-010</v>
      </c>
      <c r="CU94" s="18" t="n">
        <f aca="false">CT98</f>
        <v>2.72805777967733E-010</v>
      </c>
      <c r="CV94" s="18" t="n">
        <f aca="false">CU98</f>
        <v>2.7621585019233E-010</v>
      </c>
      <c r="CW94" s="18" t="n">
        <f aca="false">CV98</f>
        <v>2.79668548319734E-010</v>
      </c>
      <c r="CX94" s="18" t="n">
        <f aca="false">CW98</f>
        <v>2.8316440517373E-010</v>
      </c>
      <c r="CY94" s="18" t="n">
        <f aca="false">CX98</f>
        <v>2.86703960238402E-010</v>
      </c>
      <c r="CZ94" s="18" t="n">
        <f aca="false">CY98</f>
        <v>2.90287759741382E-010</v>
      </c>
      <c r="DA94" s="18" t="n">
        <f aca="false">CZ98</f>
        <v>2.93916356738149E-010</v>
      </c>
      <c r="DB94" s="18" t="n">
        <f aca="false">DA98</f>
        <v>2.97590311197376E-010</v>
      </c>
      <c r="DC94" s="18" t="n">
        <f aca="false">DB98</f>
        <v>3.01310190087343E-010</v>
      </c>
      <c r="DD94" s="18" t="n">
        <f aca="false">DC98</f>
        <v>3.05076567463435E-010</v>
      </c>
      <c r="DE94" s="18" t="n">
        <f aca="false">DD98</f>
        <v>3.08890024556728E-010</v>
      </c>
      <c r="DF94" s="18" t="n">
        <f aca="false">DE98</f>
        <v>3.12751149863687E-010</v>
      </c>
      <c r="DG94" s="18" t="n">
        <f aca="false">DF98</f>
        <v>3.16660539236983E-010</v>
      </c>
      <c r="DH94" s="18" t="n">
        <f aca="false">DG98</f>
        <v>3.20618795977446E-010</v>
      </c>
      <c r="DI94" s="18" t="n">
        <f aca="false">DH98</f>
        <v>3.24626530927164E-010</v>
      </c>
      <c r="DJ94" s="18" t="n">
        <f aca="false">DI98</f>
        <v>3.28684362563753E-010</v>
      </c>
      <c r="DK94" s="18" t="n">
        <f aca="false">DJ98</f>
        <v>3.327929170958E-010</v>
      </c>
      <c r="DL94" s="18" t="n">
        <f aca="false">DK98</f>
        <v>3.36952828559498E-010</v>
      </c>
      <c r="DM94" s="18" t="n">
        <f aca="false">DL98</f>
        <v>3.41164738916491E-010</v>
      </c>
      <c r="DN94" s="18" t="n">
        <f aca="false">DM98</f>
        <v>3.45429298152947E-010</v>
      </c>
      <c r="DO94" s="18" t="n">
        <f aca="false">DN98</f>
        <v>3.49747164379859E-010</v>
      </c>
      <c r="DP94" s="18" t="n">
        <f aca="false">DO98</f>
        <v>3.54119003934608E-010</v>
      </c>
      <c r="DQ94" s="18" t="n">
        <f aca="false">DP98</f>
        <v>3.5854549148379E-010</v>
      </c>
      <c r="DR94" s="18" t="n">
        <f aca="false">DQ98</f>
        <v>3.63027310127338E-010</v>
      </c>
      <c r="DS94" s="18" t="n">
        <f aca="false">DR98</f>
        <v>3.67565151503929E-010</v>
      </c>
      <c r="DT94" s="18" t="n">
        <f aca="false">DS98</f>
        <v>3.72159715897728E-010</v>
      </c>
      <c r="DU94" s="18" t="n">
        <f aca="false">DT98</f>
        <v>3.7681171234645E-010</v>
      </c>
      <c r="DV94" s="18" t="n">
        <f aca="false">DU98</f>
        <v>3.81521858750781E-010</v>
      </c>
      <c r="DW94" s="18" t="n">
        <f aca="false">DV98</f>
        <v>3.86290881985165E-010</v>
      </c>
      <c r="DX94" s="18" t="n">
        <f aca="false">DW98</f>
        <v>3.9111951800998E-010</v>
      </c>
      <c r="DY94" s="18" t="n">
        <f aca="false">DX98</f>
        <v>3.96008511985105E-010</v>
      </c>
      <c r="DZ94" s="18" t="n">
        <f aca="false">DY98</f>
        <v>4.00958618384919E-010</v>
      </c>
      <c r="EA94" s="18" t="n">
        <f aca="false">DZ98</f>
        <v>4.0597060111473E-010</v>
      </c>
      <c r="EB94" s="18" t="n">
        <f aca="false">EA98</f>
        <v>4.11045233628664E-010</v>
      </c>
      <c r="EC94" s="18" t="n">
        <f aca="false">EB98</f>
        <v>4.16183299049022E-010</v>
      </c>
      <c r="ED94" s="18" t="n">
        <f aca="false">EC98</f>
        <v>4.21385590287135E-010</v>
      </c>
      <c r="EE94" s="18" t="n">
        <f aca="false">ED98</f>
        <v>4.26652910165724E-010</v>
      </c>
      <c r="EF94" s="18" t="n">
        <f aca="false">EE98</f>
        <v>4.31986071542796E-010</v>
      </c>
      <c r="EG94" s="18" t="n">
        <f aca="false">EF98</f>
        <v>4.37385897437081E-010</v>
      </c>
      <c r="EH94" s="18" t="n">
        <f aca="false">EG98</f>
        <v>4.42853221155045E-010</v>
      </c>
      <c r="EI94" s="18" t="n">
        <f aca="false">EH98</f>
        <v>4.48388886419483E-010</v>
      </c>
      <c r="EJ94" s="18" t="n">
        <f aca="false">EI98</f>
        <v>4.53993747499726E-010</v>
      </c>
      <c r="EK94" s="18" t="n">
        <f aca="false">EJ98</f>
        <v>4.59668669343473E-010</v>
      </c>
      <c r="EL94" s="18" t="n">
        <f aca="false">EK98</f>
        <v>4.65414527710266E-010</v>
      </c>
      <c r="EM94" s="18" t="n">
        <f aca="false">EL98</f>
        <v>4.71232209306644E-010</v>
      </c>
      <c r="EN94" s="18" t="n">
        <f aca="false">EM98</f>
        <v>4.77122611922978E-010</v>
      </c>
      <c r="EO94" s="18" t="n">
        <f aca="false">EN98</f>
        <v>4.83086644572015E-010</v>
      </c>
    </row>
    <row r="95" customFormat="false" ht="15" hidden="false" customHeight="false" outlineLevel="0" collapsed="false">
      <c r="C95" s="0" t="s">
        <v>473</v>
      </c>
      <c r="D95" s="11" t="s">
        <v>33</v>
      </c>
      <c r="I95" s="48" t="n">
        <f aca="false">SUM(J95:EO95)</f>
        <v>56440.2152328767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6374.47363013699</v>
      </c>
      <c r="S95" s="48" t="n">
        <f aca="false">-$E89*S69</f>
        <v>10721.0508493151</v>
      </c>
      <c r="T95" s="48" t="n">
        <f aca="false">-$E89*T69</f>
        <v>6305.18587328767</v>
      </c>
      <c r="U95" s="48" t="n">
        <f aca="false">-$E89*U69</f>
        <v>6374.47363013699</v>
      </c>
      <c r="V95" s="48" t="n">
        <f aca="false">-$E89*V69</f>
        <v>6374.47363013699</v>
      </c>
      <c r="W95" s="48" t="n">
        <f aca="false">-$E89*W69</f>
        <v>6235.89811643836</v>
      </c>
      <c r="X95" s="48" t="n">
        <f aca="false">-$E89*X69</f>
        <v>6305.18587328767</v>
      </c>
      <c r="Y95" s="48" t="n">
        <f aca="false">-$E89*Y69</f>
        <v>7749.47363013699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474</v>
      </c>
      <c r="D96" s="11" t="s">
        <v>33</v>
      </c>
      <c r="I96" s="48" t="n">
        <f aca="false">SUM(J96:EO96)</f>
        <v>2615.28241844522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79.6809203767124</v>
      </c>
      <c r="T96" s="48" t="n">
        <f aca="false">T94*$F22*(T$4&lt;=In_COD)</f>
        <v>214.69006749786</v>
      </c>
      <c r="U96" s="48" t="n">
        <f aca="false">U94*$F22*(U$4&lt;=In_COD)</f>
        <v>296.188516757679</v>
      </c>
      <c r="V96" s="48" t="n">
        <f aca="false">V94*$F22*(V$4&lt;=In_COD)</f>
        <v>379.571793593862</v>
      </c>
      <c r="W96" s="48" t="n">
        <f aca="false">W94*$F22*(W$4&lt;=In_COD)</f>
        <v>463.997361390498</v>
      </c>
      <c r="X96" s="48" t="n">
        <f aca="false">X94*$F22*(X$4&lt;=In_COD)</f>
        <v>547.746054863359</v>
      </c>
      <c r="Y96" s="48" t="n">
        <f aca="false">Y94*$F22*(Y$4&lt;=In_COD)</f>
        <v>633.407703965247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475</v>
      </c>
      <c r="D97" s="11" t="s">
        <v>33</v>
      </c>
      <c r="I97" s="48" t="n">
        <f aca="false">SUM(J97:EO97)</f>
        <v>-59055.4976513215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-507.808811591081</v>
      </c>
      <c r="AA97" s="48" t="n">
        <f aca="false">AA93-AA92</f>
        <v>-495.237484603985</v>
      </c>
      <c r="AB97" s="48" t="n">
        <f aca="false">AB93-AB92</f>
        <v>-514.491324069378</v>
      </c>
      <c r="AC97" s="48" t="n">
        <f aca="false">AC93-AC92</f>
        <v>-533.976243089622</v>
      </c>
      <c r="AD97" s="48" t="n">
        <f aca="false">AD93-AD92</f>
        <v>-536.218888921666</v>
      </c>
      <c r="AE97" s="48" t="n">
        <f aca="false">AE93-AE92</f>
        <v>-537.190295550733</v>
      </c>
      <c r="AF97" s="48" t="n">
        <f aca="false">AF93-AF92</f>
        <v>-543.637513238874</v>
      </c>
      <c r="AG97" s="48" t="n">
        <f aca="false">AG93-AG92</f>
        <v>-563.512676534971</v>
      </c>
      <c r="AH97" s="48" t="n">
        <f aca="false">AH93-AH92</f>
        <v>-566.083396278188</v>
      </c>
      <c r="AI97" s="48" t="n">
        <f aca="false">AI93-AI92</f>
        <v>-553.912529299503</v>
      </c>
      <c r="AJ97" s="48" t="n">
        <f aca="false">AJ93-AJ92</f>
        <v>-590.25020816971</v>
      </c>
      <c r="AK97" s="48" t="n">
        <f aca="false">AK93-AK92</f>
        <v>-610.903300121794</v>
      </c>
      <c r="AL97" s="48" t="n">
        <f aca="false">AL93-AL92</f>
        <v>-599.541985864371</v>
      </c>
      <c r="AM97" s="48" t="n">
        <f aca="false">AM93-AM92</f>
        <v>-587.23365506511</v>
      </c>
      <c r="AN97" s="48" t="n">
        <f aca="false">AN93-AN92</f>
        <v>-607.147724381115</v>
      </c>
      <c r="AO97" s="48" t="n">
        <f aca="false">AO93-AO92</f>
        <v>-627.290874752987</v>
      </c>
      <c r="AP97" s="48" t="n">
        <f aca="false">AP93-AP92</f>
        <v>-630.605627439096</v>
      </c>
      <c r="AQ97" s="48" t="n">
        <f aca="false">AQ93-AQ92</f>
        <v>-618.514190411709</v>
      </c>
      <c r="AR97" s="48" t="n">
        <f aca="false">AR93-AR92</f>
        <v>-638.822214796144</v>
      </c>
      <c r="AS97" s="48" t="n">
        <f aca="false">AS93-AS92</f>
        <v>-659.363852089861</v>
      </c>
      <c r="AT97" s="48" t="n">
        <f aca="false">AT93-AT92</f>
        <v>-663.023044022455</v>
      </c>
      <c r="AU97" s="48" t="n">
        <f aca="false">AU93-AU92</f>
        <v>-664.388797355247</v>
      </c>
      <c r="AV97" s="48" t="n">
        <f aca="false">AV93-AV92</f>
        <v>-672.031579188953</v>
      </c>
      <c r="AW97" s="48" t="n">
        <f aca="false">AW93-AW92</f>
        <v>-692.988271066246</v>
      </c>
      <c r="AX97" s="48" t="n">
        <f aca="false">AX93-AX92</f>
        <v>-697.009672348963</v>
      </c>
      <c r="AY97" s="48" t="n">
        <f aca="false">AY93-AY92</f>
        <v>-685.397399805148</v>
      </c>
      <c r="AZ97" s="48" t="n">
        <f aca="false">AZ93-AZ92</f>
        <v>-706.539748449667</v>
      </c>
      <c r="BA97" s="48" t="n">
        <f aca="false">BA93-BA92</f>
        <v>-727.925307634137</v>
      </c>
      <c r="BB97" s="48" t="n">
        <f aca="false">BB93-BB92</f>
        <v>-732.323942482438</v>
      </c>
      <c r="BC97" s="48" t="n">
        <f aca="false">BC93-BC92</f>
        <v>-720.973606360532</v>
      </c>
      <c r="BD97" s="48" t="n">
        <f aca="false">BD93-BD92</f>
        <v>-742.555940037018</v>
      </c>
      <c r="BE97" s="48" t="n">
        <f aca="false">BE93-BE92</f>
        <v>-764.386545611538</v>
      </c>
      <c r="BF97" s="48" t="n">
        <f aca="false">BF93-BF92</f>
        <v>-769.179873662696</v>
      </c>
      <c r="BG97" s="48" t="n">
        <f aca="false">BG93-BG92</f>
        <v>-758.107889458083</v>
      </c>
      <c r="BH97" s="48" t="n">
        <f aca="false">BH93-BH92</f>
        <v>-780.146921604908</v>
      </c>
      <c r="BI97" s="48" t="n">
        <f aca="false">BI93-BI92</f>
        <v>-802.43947927052</v>
      </c>
      <c r="BJ97" s="48" t="n">
        <f aca="false">BJ93-BJ92</f>
        <v>-807.645738107093</v>
      </c>
      <c r="BK97" s="48" t="n">
        <f aca="false">BK93-BK92</f>
        <v>-810.215716542138</v>
      </c>
      <c r="BL97" s="48" t="n">
        <f aca="false">BL93-BL92</f>
        <v>-819.536015114951</v>
      </c>
      <c r="BM97" s="48" t="n">
        <f aca="false">BM93-BM92</f>
        <v>-842.309957010183</v>
      </c>
      <c r="BN97" s="48" t="n">
        <f aca="false">BN93-BN92</f>
        <v>-847.949983838943</v>
      </c>
      <c r="BO97" s="48" t="n">
        <f aca="false">BO93-BO92</f>
        <v>-837.488863220958</v>
      </c>
      <c r="BP97" s="48" t="n">
        <f aca="false">BP93-BP92</f>
        <v>-860.49630189968</v>
      </c>
      <c r="BQ97" s="48" t="n">
        <f aca="false">BQ93-BQ92</f>
        <v>-883.768406140305</v>
      </c>
      <c r="BR97" s="48" t="n">
        <f aca="false">BR93-BR92</f>
        <v>-889.860398922911</v>
      </c>
      <c r="BS97" s="48" t="n">
        <f aca="false">BS93-BS92</f>
        <v>-879.731710463978</v>
      </c>
      <c r="BT97" s="48" t="n">
        <f aca="false">BT93-BT92</f>
        <v>-903.250724498537</v>
      </c>
      <c r="BU97" s="48" t="n">
        <f aca="false">BU93-BU92</f>
        <v>-927.040288990787</v>
      </c>
      <c r="BV97" s="48" t="n">
        <f aca="false">BV93-BV92</f>
        <v>-933.605040987581</v>
      </c>
      <c r="BW97" s="48" t="n">
        <f aca="false">BW93-BW92</f>
        <v>-923.828493269842</v>
      </c>
      <c r="BX97" s="48" t="n">
        <f aca="false">BX93-BX92</f>
        <v>-947.879022463416</v>
      </c>
      <c r="BY97" s="48" t="n">
        <f aca="false">BY93-BY92</f>
        <v>-972.206216387555</v>
      </c>
      <c r="BZ97" s="48" t="n">
        <f aca="false">BZ93-BZ92</f>
        <v>-979.265449921445</v>
      </c>
      <c r="CA97" s="48" t="n">
        <f aca="false">CA93-CA92</f>
        <v>-983.307773785365</v>
      </c>
      <c r="CB97" s="48" t="n">
        <f aca="false">CB93-CB92</f>
        <v>-994.61923300978</v>
      </c>
      <c r="CC97" s="48" t="n">
        <f aca="false">CC93-CC92</f>
        <v>-1019.50691658025</v>
      </c>
      <c r="CD97" s="48" t="n">
        <f aca="false">CD93-CD92</f>
        <v>-1027.08512500536</v>
      </c>
      <c r="CE97" s="48" t="n">
        <f aca="false">CE93-CE92</f>
        <v>-1018.07752339078</v>
      </c>
      <c r="CF97" s="48" t="n">
        <f aca="false">CF93-CF92</f>
        <v>-1043.25639096331</v>
      </c>
      <c r="CG97" s="48" t="n">
        <f aca="false">CG93-CG92</f>
        <v>-1068.72490308198</v>
      </c>
      <c r="CH97" s="48" t="n">
        <f aca="false">CH93-CH92</f>
        <v>-1076.84407978352</v>
      </c>
      <c r="CI97" s="48" t="n">
        <f aca="false">CI93-CI92</f>
        <v>-1068.25351501936</v>
      </c>
      <c r="CJ97" s="48" t="n">
        <f aca="false">CJ93-CJ92</f>
        <v>-1094.02938074844</v>
      </c>
      <c r="CK97" s="48" t="n">
        <f aca="false">CK93-CK92</f>
        <v>-1120.10175857875</v>
      </c>
      <c r="CL97" s="48" t="n">
        <f aca="false">CL93-CL92</f>
        <v>-1128.78667792951</v>
      </c>
      <c r="CM97" s="48" t="n">
        <f aca="false">CM93-CM92</f>
        <v>-1120.636800104</v>
      </c>
      <c r="CN97" s="48" t="n">
        <f aca="false">CN93-CN92</f>
        <v>-1147.03347216365</v>
      </c>
      <c r="CO97" s="48" t="n">
        <f aca="false">CO93-CO92</f>
        <v>-1173.73379775642</v>
      </c>
      <c r="CP97" s="48" t="n">
        <f aca="false">CP93-CP92</f>
        <v>-1183.01034409562</v>
      </c>
      <c r="CQ97" s="48" t="n">
        <f aca="false">CQ93-CQ92</f>
        <v>-1188.84793561745</v>
      </c>
      <c r="CR97" s="48" t="n">
        <f aca="false">CR93-CR92</f>
        <v>-1202.52382154682</v>
      </c>
      <c r="CS97" s="48" t="n">
        <f aca="false">CS93-CS92</f>
        <v>-1229.87905975257</v>
      </c>
      <c r="CT97" s="48" t="n">
        <f aca="false">CT93-CT92</f>
        <v>3.36797256750288E-012</v>
      </c>
      <c r="CU97" s="48" t="n">
        <f aca="false">CU93-CU92</f>
        <v>3.41007222459666E-012</v>
      </c>
      <c r="CV97" s="48" t="n">
        <f aca="false">CV93-CV92</f>
        <v>3.45269812740412E-012</v>
      </c>
      <c r="CW97" s="48" t="n">
        <f aca="false">CW93-CW92</f>
        <v>3.49585685399667E-012</v>
      </c>
      <c r="CX97" s="48" t="n">
        <f aca="false">CX93-CX92</f>
        <v>3.53955506467163E-012</v>
      </c>
      <c r="CY97" s="48" t="n">
        <f aca="false">CY93-CY92</f>
        <v>3.58379950298003E-012</v>
      </c>
      <c r="CZ97" s="48" t="n">
        <f aca="false">CZ93-CZ92</f>
        <v>3.62859699676728E-012</v>
      </c>
      <c r="DA97" s="48" t="n">
        <f aca="false">DA93-DA92</f>
        <v>3.67395445922687E-012</v>
      </c>
      <c r="DB97" s="48" t="n">
        <f aca="false">DB93-DB92</f>
        <v>3.7198788899672E-012</v>
      </c>
      <c r="DC97" s="48" t="n">
        <f aca="false">DC93-DC92</f>
        <v>3.76637737609179E-012</v>
      </c>
      <c r="DD97" s="48" t="n">
        <f aca="false">DD93-DD92</f>
        <v>3.81345709329294E-012</v>
      </c>
      <c r="DE97" s="48" t="n">
        <f aca="false">DE93-DE92</f>
        <v>3.8611253069591E-012</v>
      </c>
      <c r="DF97" s="48" t="n">
        <f aca="false">DF93-DF92</f>
        <v>3.90938937329609E-012</v>
      </c>
      <c r="DG97" s="48" t="n">
        <f aca="false">DG93-DG92</f>
        <v>3.95825674046229E-012</v>
      </c>
      <c r="DH97" s="48" t="n">
        <f aca="false">DH93-DH92</f>
        <v>4.00773494971807E-012</v>
      </c>
      <c r="DI97" s="48" t="n">
        <f aca="false">DI93-DI92</f>
        <v>4.05783163658955E-012</v>
      </c>
      <c r="DJ97" s="48" t="n">
        <f aca="false">DJ93-DJ92</f>
        <v>4.10855453204692E-012</v>
      </c>
      <c r="DK97" s="48" t="n">
        <f aca="false">DK93-DK92</f>
        <v>4.1599114636975E-012</v>
      </c>
      <c r="DL97" s="48" t="n">
        <f aca="false">DL93-DL92</f>
        <v>4.21191035699372E-012</v>
      </c>
      <c r="DM97" s="48" t="n">
        <f aca="false">DM93-DM92</f>
        <v>4.26455923645614E-012</v>
      </c>
      <c r="DN97" s="48" t="n">
        <f aca="false">DN93-DN92</f>
        <v>4.31786622691184E-012</v>
      </c>
      <c r="DO97" s="48" t="n">
        <f aca="false">DO93-DO92</f>
        <v>4.37183955474824E-012</v>
      </c>
      <c r="DP97" s="48" t="n">
        <f aca="false">DP93-DP92</f>
        <v>4.4264875491826E-012</v>
      </c>
      <c r="DQ97" s="48" t="n">
        <f aca="false">DQ93-DQ92</f>
        <v>4.48181864354738E-012</v>
      </c>
      <c r="DR97" s="48" t="n">
        <f aca="false">DR93-DR92</f>
        <v>4.53784137659172E-012</v>
      </c>
      <c r="DS97" s="48" t="n">
        <f aca="false">DS93-DS92</f>
        <v>4.59456439379912E-012</v>
      </c>
      <c r="DT97" s="48" t="n">
        <f aca="false">DT93-DT92</f>
        <v>4.65199644872161E-012</v>
      </c>
      <c r="DU97" s="48" t="n">
        <f aca="false">DU93-DU92</f>
        <v>4.71014640433063E-012</v>
      </c>
      <c r="DV97" s="48" t="n">
        <f aca="false">DV93-DV92</f>
        <v>4.76902323438476E-012</v>
      </c>
      <c r="DW97" s="48" t="n">
        <f aca="false">DW93-DW92</f>
        <v>4.82863602481457E-012</v>
      </c>
      <c r="DX97" s="48" t="n">
        <f aca="false">DX93-DX92</f>
        <v>4.88899397512475E-012</v>
      </c>
      <c r="DY97" s="48" t="n">
        <f aca="false">DY93-DY92</f>
        <v>4.95010639981381E-012</v>
      </c>
      <c r="DZ97" s="48" t="n">
        <f aca="false">DZ93-DZ92</f>
        <v>5.01198272981148E-012</v>
      </c>
      <c r="EA97" s="48" t="n">
        <f aca="false">EA93-EA92</f>
        <v>5.07463251393413E-012</v>
      </c>
      <c r="EB97" s="48" t="n">
        <f aca="false">EB93-EB92</f>
        <v>5.1380654203583E-012</v>
      </c>
      <c r="EC97" s="48" t="n">
        <f aca="false">EC93-EC92</f>
        <v>5.20229123811278E-012</v>
      </c>
      <c r="ED97" s="48" t="n">
        <f aca="false">ED93-ED92</f>
        <v>5.26731987858919E-012</v>
      </c>
      <c r="EE97" s="48" t="n">
        <f aca="false">EE93-EE92</f>
        <v>5.33316137707156E-012</v>
      </c>
      <c r="EF97" s="48" t="n">
        <f aca="false">EF93-EF92</f>
        <v>5.39982589428495E-012</v>
      </c>
      <c r="EG97" s="48" t="n">
        <f aca="false">EG93-EG92</f>
        <v>5.46732371796351E-012</v>
      </c>
      <c r="EH97" s="48" t="n">
        <f aca="false">EH93-EH92</f>
        <v>5.53566526443806E-012</v>
      </c>
      <c r="EI97" s="48" t="n">
        <f aca="false">EI93-EI92</f>
        <v>5.60486108024353E-012</v>
      </c>
      <c r="EJ97" s="48" t="n">
        <f aca="false">EJ93-EJ92</f>
        <v>5.67492184374658E-012</v>
      </c>
      <c r="EK97" s="48" t="n">
        <f aca="false">EK93-EK92</f>
        <v>5.74585836679341E-012</v>
      </c>
      <c r="EL97" s="48" t="n">
        <f aca="false">EL93-EL92</f>
        <v>5.81768159637833E-012</v>
      </c>
      <c r="EM97" s="48" t="n">
        <f aca="false">EM93-EM92</f>
        <v>5.89040261633306E-012</v>
      </c>
      <c r="EN97" s="48" t="n">
        <f aca="false">EN93-EN92</f>
        <v>5.96403264903722E-012</v>
      </c>
      <c r="EO97" s="48" t="n">
        <f aca="false">EO93-EO92</f>
        <v>6.03858305715019E-012</v>
      </c>
    </row>
    <row r="98" customFormat="false" ht="15" hidden="false" customHeight="false" outlineLevel="0" collapsed="false">
      <c r="C98" s="25" t="s">
        <v>476</v>
      </c>
      <c r="D98" s="11" t="s">
        <v>33</v>
      </c>
      <c r="E98" s="57" t="n">
        <f aca="false">SUMIF($J$4:$EO$4,In_COD,$J98:$EO98)</f>
        <v>59055.4976513219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6374.47363013699</v>
      </c>
      <c r="S98" s="57" t="n">
        <f aca="false">SUM(S94:S97)</f>
        <v>17175.2053998288</v>
      </c>
      <c r="T98" s="57" t="n">
        <f aca="false">SUM(T94:T97)</f>
        <v>23695.0813406143</v>
      </c>
      <c r="U98" s="57" t="n">
        <f aca="false">SUM(U94:U97)</f>
        <v>30365.743487509</v>
      </c>
      <c r="V98" s="57" t="n">
        <f aca="false">SUM(V94:V97)</f>
        <v>37119.7889112398</v>
      </c>
      <c r="W98" s="57" t="n">
        <f aca="false">SUM(W94:W97)</f>
        <v>43819.6843890687</v>
      </c>
      <c r="X98" s="57" t="n">
        <f aca="false">SUM(X94:X97)</f>
        <v>50672.6163172197</v>
      </c>
      <c r="Y98" s="57" t="n">
        <f aca="false">SUM(Y94:Y97)</f>
        <v>59055.4976513219</v>
      </c>
      <c r="Z98" s="57" t="n">
        <f aca="false">SUM(Z94:Z97)</f>
        <v>58547.6888397309</v>
      </c>
      <c r="AA98" s="57" t="n">
        <f aca="false">SUM(AA94:AA97)</f>
        <v>58052.4513551269</v>
      </c>
      <c r="AB98" s="57" t="n">
        <f aca="false">SUM(AB94:AB97)</f>
        <v>57537.9600310575</v>
      </c>
      <c r="AC98" s="57" t="n">
        <f aca="false">SUM(AC94:AC97)</f>
        <v>57003.9837879679</v>
      </c>
      <c r="AD98" s="57" t="n">
        <f aca="false">SUM(AD94:AD97)</f>
        <v>56467.7648990462</v>
      </c>
      <c r="AE98" s="57" t="n">
        <f aca="false">SUM(AE94:AE97)</f>
        <v>55930.5746034955</v>
      </c>
      <c r="AF98" s="57" t="n">
        <f aca="false">SUM(AF94:AF97)</f>
        <v>55386.9370902566</v>
      </c>
      <c r="AG98" s="57" t="n">
        <f aca="false">SUM(AG94:AG97)</f>
        <v>54823.4244137216</v>
      </c>
      <c r="AH98" s="57" t="n">
        <f aca="false">SUM(AH94:AH97)</f>
        <v>54257.3410174435</v>
      </c>
      <c r="AI98" s="57" t="n">
        <f aca="false">SUM(AI94:AI97)</f>
        <v>53703.428488144</v>
      </c>
      <c r="AJ98" s="57" t="n">
        <f aca="false">SUM(AJ94:AJ97)</f>
        <v>53113.1782799742</v>
      </c>
      <c r="AK98" s="57" t="n">
        <f aca="false">SUM(AK94:AK97)</f>
        <v>52502.2749798524</v>
      </c>
      <c r="AL98" s="57" t="n">
        <f aca="false">SUM(AL94:AL97)</f>
        <v>51902.7329939881</v>
      </c>
      <c r="AM98" s="57" t="n">
        <f aca="false">SUM(AM94:AM97)</f>
        <v>51315.499338923</v>
      </c>
      <c r="AN98" s="57" t="n">
        <f aca="false">SUM(AN94:AN97)</f>
        <v>50708.3516145419</v>
      </c>
      <c r="AO98" s="57" t="n">
        <f aca="false">SUM(AO94:AO97)</f>
        <v>50081.0607397889</v>
      </c>
      <c r="AP98" s="57" t="n">
        <f aca="false">SUM(AP94:AP97)</f>
        <v>49450.4551123498</v>
      </c>
      <c r="AQ98" s="57" t="n">
        <f aca="false">SUM(AQ94:AQ97)</f>
        <v>48831.9409219381</v>
      </c>
      <c r="AR98" s="57" t="n">
        <f aca="false">SUM(AR94:AR97)</f>
        <v>48193.1187071419</v>
      </c>
      <c r="AS98" s="57" t="n">
        <f aca="false">SUM(AS94:AS97)</f>
        <v>47533.7548550521</v>
      </c>
      <c r="AT98" s="57" t="n">
        <f aca="false">SUM(AT94:AT97)</f>
        <v>46870.7318110296</v>
      </c>
      <c r="AU98" s="57" t="n">
        <f aca="false">SUM(AU94:AU97)</f>
        <v>46206.3430136744</v>
      </c>
      <c r="AV98" s="57" t="n">
        <f aca="false">SUM(AV94:AV97)</f>
        <v>45534.3114344854</v>
      </c>
      <c r="AW98" s="57" t="n">
        <f aca="false">SUM(AW94:AW97)</f>
        <v>44841.3231634192</v>
      </c>
      <c r="AX98" s="57" t="n">
        <f aca="false">SUM(AX94:AX97)</f>
        <v>44144.3134910702</v>
      </c>
      <c r="AY98" s="57" t="n">
        <f aca="false">SUM(AY94:AY97)</f>
        <v>43458.916091265</v>
      </c>
      <c r="AZ98" s="57" t="n">
        <f aca="false">SUM(AZ94:AZ97)</f>
        <v>42752.3763428154</v>
      </c>
      <c r="BA98" s="57" t="n">
        <f aca="false">SUM(BA94:BA97)</f>
        <v>42024.4510351812</v>
      </c>
      <c r="BB98" s="57" t="n">
        <f aca="false">SUM(BB94:BB97)</f>
        <v>41292.1270926988</v>
      </c>
      <c r="BC98" s="57" t="n">
        <f aca="false">SUM(BC94:BC97)</f>
        <v>40571.1534863383</v>
      </c>
      <c r="BD98" s="57" t="n">
        <f aca="false">SUM(BD94:BD97)</f>
        <v>39828.5975463013</v>
      </c>
      <c r="BE98" s="57" t="n">
        <f aca="false">SUM(BE94:BE97)</f>
        <v>39064.2110006897</v>
      </c>
      <c r="BF98" s="57" t="n">
        <f aca="false">SUM(BF94:BF97)</f>
        <v>38295.031127027</v>
      </c>
      <c r="BG98" s="57" t="n">
        <f aca="false">SUM(BG94:BG97)</f>
        <v>37536.9232375689</v>
      </c>
      <c r="BH98" s="57" t="n">
        <f aca="false">SUM(BH94:BH97)</f>
        <v>36756.776315964</v>
      </c>
      <c r="BI98" s="57" t="n">
        <f aca="false">SUM(BI94:BI97)</f>
        <v>35954.3368366935</v>
      </c>
      <c r="BJ98" s="57" t="n">
        <f aca="false">SUM(BJ94:BJ97)</f>
        <v>35146.6910985864</v>
      </c>
      <c r="BK98" s="57" t="n">
        <f aca="false">SUM(BK94:BK97)</f>
        <v>34336.4753820443</v>
      </c>
      <c r="BL98" s="57" t="n">
        <f aca="false">SUM(BL94:BL97)</f>
        <v>33516.9393669293</v>
      </c>
      <c r="BM98" s="57" t="n">
        <f aca="false">SUM(BM94:BM97)</f>
        <v>32674.6294099191</v>
      </c>
      <c r="BN98" s="57" t="n">
        <f aca="false">SUM(BN94:BN97)</f>
        <v>31826.6794260802</v>
      </c>
      <c r="BO98" s="57" t="n">
        <f aca="false">SUM(BO94:BO97)</f>
        <v>30989.1905628592</v>
      </c>
      <c r="BP98" s="57" t="n">
        <f aca="false">SUM(BP94:BP97)</f>
        <v>30128.6942609596</v>
      </c>
      <c r="BQ98" s="57" t="n">
        <f aca="false">SUM(BQ94:BQ97)</f>
        <v>29244.9258548193</v>
      </c>
      <c r="BR98" s="57" t="n">
        <f aca="false">SUM(BR94:BR97)</f>
        <v>28355.0654558963</v>
      </c>
      <c r="BS98" s="57" t="n">
        <f aca="false">SUM(BS94:BS97)</f>
        <v>27475.3337454324</v>
      </c>
      <c r="BT98" s="57" t="n">
        <f aca="false">SUM(BT94:BT97)</f>
        <v>26572.0830209338</v>
      </c>
      <c r="BU98" s="57" t="n">
        <f aca="false">SUM(BU94:BU97)</f>
        <v>25645.042731943</v>
      </c>
      <c r="BV98" s="57" t="n">
        <f aca="false">SUM(BV94:BV97)</f>
        <v>24711.4376909555</v>
      </c>
      <c r="BW98" s="57" t="n">
        <f aca="false">SUM(BW94:BW97)</f>
        <v>23787.6091976856</v>
      </c>
      <c r="BX98" s="57" t="n">
        <f aca="false">SUM(BX94:BX97)</f>
        <v>22839.7301752222</v>
      </c>
      <c r="BY98" s="57" t="n">
        <f aca="false">SUM(BY94:BY97)</f>
        <v>21867.5239588347</v>
      </c>
      <c r="BZ98" s="57" t="n">
        <f aca="false">SUM(BZ94:BZ97)</f>
        <v>20888.2585089132</v>
      </c>
      <c r="CA98" s="57" t="n">
        <f aca="false">SUM(CA94:CA97)</f>
        <v>19904.9507351278</v>
      </c>
      <c r="CB98" s="57" t="n">
        <f aca="false">SUM(CB94:CB97)</f>
        <v>18910.3315021181</v>
      </c>
      <c r="CC98" s="57" t="n">
        <f aca="false">SUM(CC94:CC97)</f>
        <v>17890.8245855378</v>
      </c>
      <c r="CD98" s="57" t="n">
        <f aca="false">SUM(CD94:CD97)</f>
        <v>16863.7394605325</v>
      </c>
      <c r="CE98" s="57" t="n">
        <f aca="false">SUM(CE94:CE97)</f>
        <v>15845.6619371417</v>
      </c>
      <c r="CF98" s="57" t="n">
        <f aca="false">SUM(CF94:CF97)</f>
        <v>14802.4055461784</v>
      </c>
      <c r="CG98" s="57" t="n">
        <f aca="false">SUM(CG94:CG97)</f>
        <v>13733.6806430964</v>
      </c>
      <c r="CH98" s="57" t="n">
        <f aca="false">SUM(CH94:CH97)</f>
        <v>12656.8365633129</v>
      </c>
      <c r="CI98" s="57" t="n">
        <f aca="false">SUM(CI94:CI97)</f>
        <v>11588.5830482935</v>
      </c>
      <c r="CJ98" s="57" t="n">
        <f aca="false">SUM(CJ94:CJ97)</f>
        <v>10494.5536675451</v>
      </c>
      <c r="CK98" s="57" t="n">
        <f aca="false">SUM(CK94:CK97)</f>
        <v>9374.45190896631</v>
      </c>
      <c r="CL98" s="57" t="n">
        <f aca="false">SUM(CL94:CL97)</f>
        <v>8245.6652310368</v>
      </c>
      <c r="CM98" s="57" t="n">
        <f aca="false">SUM(CM94:CM97)</f>
        <v>7125.0284309328</v>
      </c>
      <c r="CN98" s="57" t="n">
        <f aca="false">SUM(CN94:CN97)</f>
        <v>5977.99495876915</v>
      </c>
      <c r="CO98" s="57" t="n">
        <f aca="false">SUM(CO94:CO97)</f>
        <v>4804.26116101273</v>
      </c>
      <c r="CP98" s="57" t="n">
        <f aca="false">SUM(CP94:CP97)</f>
        <v>3621.25081691711</v>
      </c>
      <c r="CQ98" s="57" t="n">
        <f aca="false">SUM(CQ94:CQ97)</f>
        <v>2432.40288129966</v>
      </c>
      <c r="CR98" s="57" t="n">
        <f aca="false">SUM(CR94:CR97)</f>
        <v>1229.87905975284</v>
      </c>
      <c r="CS98" s="57" t="n">
        <f aca="false">SUM(CS94:CS97)</f>
        <v>2.6943780540023E-010</v>
      </c>
      <c r="CT98" s="57" t="n">
        <f aca="false">SUM(CT94:CT97)</f>
        <v>2.72805777967733E-010</v>
      </c>
      <c r="CU98" s="57" t="n">
        <f aca="false">SUM(CU94:CU97)</f>
        <v>2.7621585019233E-010</v>
      </c>
      <c r="CV98" s="57" t="n">
        <f aca="false">SUM(CV94:CV97)</f>
        <v>2.79668548319734E-010</v>
      </c>
      <c r="CW98" s="57" t="n">
        <f aca="false">SUM(CW94:CW97)</f>
        <v>2.8316440517373E-010</v>
      </c>
      <c r="CX98" s="57" t="n">
        <f aca="false">SUM(CX94:CX97)</f>
        <v>2.86703960238402E-010</v>
      </c>
      <c r="CY98" s="57" t="n">
        <f aca="false">SUM(CY94:CY97)</f>
        <v>2.90287759741382E-010</v>
      </c>
      <c r="CZ98" s="57" t="n">
        <f aca="false">SUM(CZ94:CZ97)</f>
        <v>2.93916356738149E-010</v>
      </c>
      <c r="DA98" s="57" t="n">
        <f aca="false">SUM(DA94:DA97)</f>
        <v>2.97590311197376E-010</v>
      </c>
      <c r="DB98" s="57" t="n">
        <f aca="false">SUM(DB94:DB97)</f>
        <v>3.01310190087343E-010</v>
      </c>
      <c r="DC98" s="57" t="n">
        <f aca="false">SUM(DC94:DC97)</f>
        <v>3.05076567463435E-010</v>
      </c>
      <c r="DD98" s="57" t="n">
        <f aca="false">SUM(DD94:DD97)</f>
        <v>3.08890024556728E-010</v>
      </c>
      <c r="DE98" s="57" t="n">
        <f aca="false">SUM(DE94:DE97)</f>
        <v>3.12751149863687E-010</v>
      </c>
      <c r="DF98" s="57" t="n">
        <f aca="false">SUM(DF94:DF97)</f>
        <v>3.16660539236983E-010</v>
      </c>
      <c r="DG98" s="57" t="n">
        <f aca="false">SUM(DG94:DG97)</f>
        <v>3.20618795977446E-010</v>
      </c>
      <c r="DH98" s="57" t="n">
        <f aca="false">SUM(DH94:DH97)</f>
        <v>3.24626530927164E-010</v>
      </c>
      <c r="DI98" s="57" t="n">
        <f aca="false">SUM(DI94:DI97)</f>
        <v>3.28684362563753E-010</v>
      </c>
      <c r="DJ98" s="57" t="n">
        <f aca="false">SUM(DJ94:DJ97)</f>
        <v>3.327929170958E-010</v>
      </c>
      <c r="DK98" s="57" t="n">
        <f aca="false">SUM(DK94:DK97)</f>
        <v>3.36952828559498E-010</v>
      </c>
      <c r="DL98" s="57" t="n">
        <f aca="false">SUM(DL94:DL97)</f>
        <v>3.41164738916491E-010</v>
      </c>
      <c r="DM98" s="57" t="n">
        <f aca="false">SUM(DM94:DM97)</f>
        <v>3.45429298152947E-010</v>
      </c>
      <c r="DN98" s="57" t="n">
        <f aca="false">SUM(DN94:DN97)</f>
        <v>3.49747164379859E-010</v>
      </c>
      <c r="DO98" s="57" t="n">
        <f aca="false">SUM(DO94:DO97)</f>
        <v>3.54119003934608E-010</v>
      </c>
      <c r="DP98" s="57" t="n">
        <f aca="false">SUM(DP94:DP97)</f>
        <v>3.5854549148379E-010</v>
      </c>
      <c r="DQ98" s="57" t="n">
        <f aca="false">SUM(DQ94:DQ97)</f>
        <v>3.63027310127338E-010</v>
      </c>
      <c r="DR98" s="57" t="n">
        <f aca="false">SUM(DR94:DR97)</f>
        <v>3.67565151503929E-010</v>
      </c>
      <c r="DS98" s="57" t="n">
        <f aca="false">SUM(DS94:DS97)</f>
        <v>3.72159715897728E-010</v>
      </c>
      <c r="DT98" s="57" t="n">
        <f aca="false">SUM(DT94:DT97)</f>
        <v>3.7681171234645E-010</v>
      </c>
      <c r="DU98" s="57" t="n">
        <f aca="false">SUM(DU94:DU97)</f>
        <v>3.81521858750781E-010</v>
      </c>
      <c r="DV98" s="57" t="n">
        <f aca="false">SUM(DV94:DV97)</f>
        <v>3.86290881985165E-010</v>
      </c>
      <c r="DW98" s="57" t="n">
        <f aca="false">SUM(DW94:DW97)</f>
        <v>3.9111951800998E-010</v>
      </c>
      <c r="DX98" s="57" t="n">
        <f aca="false">SUM(DX94:DX97)</f>
        <v>3.96008511985105E-010</v>
      </c>
      <c r="DY98" s="57" t="n">
        <f aca="false">SUM(DY94:DY97)</f>
        <v>4.00958618384919E-010</v>
      </c>
      <c r="DZ98" s="57" t="n">
        <f aca="false">SUM(DZ94:DZ97)</f>
        <v>4.0597060111473E-010</v>
      </c>
      <c r="EA98" s="57" t="n">
        <f aca="false">SUM(EA94:EA97)</f>
        <v>4.11045233628664E-010</v>
      </c>
      <c r="EB98" s="57" t="n">
        <f aca="false">SUM(EB94:EB97)</f>
        <v>4.16183299049022E-010</v>
      </c>
      <c r="EC98" s="57" t="n">
        <f aca="false">SUM(EC94:EC97)</f>
        <v>4.21385590287135E-010</v>
      </c>
      <c r="ED98" s="57" t="n">
        <f aca="false">SUM(ED94:ED97)</f>
        <v>4.26652910165724E-010</v>
      </c>
      <c r="EE98" s="57" t="n">
        <f aca="false">SUM(EE94:EE97)</f>
        <v>4.31986071542796E-010</v>
      </c>
      <c r="EF98" s="57" t="n">
        <f aca="false">SUM(EF94:EF97)</f>
        <v>4.37385897437081E-010</v>
      </c>
      <c r="EG98" s="57" t="n">
        <f aca="false">SUM(EG94:EG97)</f>
        <v>4.42853221155045E-010</v>
      </c>
      <c r="EH98" s="57" t="n">
        <f aca="false">SUM(EH94:EH97)</f>
        <v>4.48388886419483E-010</v>
      </c>
      <c r="EI98" s="57" t="n">
        <f aca="false">SUM(EI94:EI97)</f>
        <v>4.53993747499726E-010</v>
      </c>
      <c r="EJ98" s="57" t="n">
        <f aca="false">SUM(EJ94:EJ97)</f>
        <v>4.59668669343473E-010</v>
      </c>
      <c r="EK98" s="57" t="n">
        <f aca="false">SUM(EK94:EK97)</f>
        <v>4.65414527710266E-010</v>
      </c>
      <c r="EL98" s="57" t="n">
        <f aca="false">SUM(EL94:EL97)</f>
        <v>4.71232209306644E-010</v>
      </c>
      <c r="EM98" s="57" t="n">
        <f aca="false">SUM(EM94:EM97)</f>
        <v>4.77122611922978E-010</v>
      </c>
      <c r="EN98" s="57" t="n">
        <f aca="false">SUM(EN94:EN97)</f>
        <v>4.83086644572015E-010</v>
      </c>
      <c r="EO98" s="57" t="n">
        <f aca="false">SUM(EO94:EO97)</f>
        <v>4.89125227629165E-010</v>
      </c>
    </row>
    <row r="99" customFormat="false" ht="15" hidden="false" customHeight="false" outlineLevel="0" collapsed="false">
      <c r="C99" s="0" t="s">
        <v>477</v>
      </c>
      <c r="D99" s="11" t="s">
        <v>33</v>
      </c>
      <c r="I99" s="48" t="n">
        <f aca="false">SUM(J99:EO99)</f>
        <v>-1033.47120889813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-1033.47120889813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478</v>
      </c>
      <c r="D100" s="11" t="s">
        <v>33</v>
      </c>
      <c r="I100" s="48" t="n">
        <f aca="false">SUM(J100:EO100)</f>
        <v>-557.005721986292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-128.034241678964</v>
      </c>
      <c r="S100" s="48" t="n">
        <f aca="false">-In_Commitment_Fee*($I95-SUM($J95:S95)+S95)*S$6*(S12&gt;0)</f>
        <v>-111.104796433477</v>
      </c>
      <c r="T100" s="48" t="n">
        <f aca="false">-In_Commitment_Fee*($I95-SUM($J95:T95)+T95)*T$6*(T12&gt;0)</f>
        <v>-88.2830184302871</v>
      </c>
      <c r="U100" s="48" t="n">
        <f aca="false">-In_Commitment_Fee*($I95-SUM($J95:U95)+U95)*U$6*(U12&gt;0)</f>
        <v>-74.9498905226122</v>
      </c>
      <c r="V100" s="48" t="n">
        <f aca="false">-In_Commitment_Fee*($I95-SUM($J95:V95)+V95)*V$6*(V12&gt;0)</f>
        <v>-60.4894407534247</v>
      </c>
      <c r="W100" s="48" t="n">
        <f aca="false">-In_Commitment_Fee*($I95-SUM($J95:W95)+W95)*W$6*(W12&gt;0)</f>
        <v>-45.0283607454494</v>
      </c>
      <c r="X100" s="48" t="n">
        <f aca="false">-In_Commitment_Fee*($I95-SUM($J95:X95)+X95)*X$6*(X12&gt;0)</f>
        <v>-31.5363455706981</v>
      </c>
      <c r="Y100" s="48" t="n">
        <f aca="false">-In_Commitment_Fee*($I95-SUM($J95:Y95)+Y95)*Y$6*(Y12&gt;0)</f>
        <v>-17.5796278513793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479</v>
      </c>
      <c r="D101" s="11" t="s">
        <v>33</v>
      </c>
      <c r="E101" s="48" t="n">
        <f aca="false">-SUMIFS($J93:$EO93,$J$4:$EO$4,"&gt;"&amp;In_COD,$J$4:$EO$4,"&lt;="&amp;EDATE(In_COD,In_DSRA_Months))</f>
        <v>1246.00253223261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-1246.00253223261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1246.00253223261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480</v>
      </c>
      <c r="D102" s="11" t="s">
        <v>13</v>
      </c>
      <c r="E102" s="53" t="n">
        <f aca="false">MIN($J102:$EO102)</f>
        <v>1.8815437824053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1.8815437824053</v>
      </c>
      <c r="AA102" s="53" t="n">
        <f aca="false">IF(AA93&lt;0,AA86/-AA93,"")</f>
        <v>1.8815437824053</v>
      </c>
      <c r="AB102" s="53" t="n">
        <f aca="false">IF(AB93&lt;0,AB86/-AB93,"")</f>
        <v>1.8815437824053</v>
      </c>
      <c r="AC102" s="53" t="n">
        <f aca="false">IF(AC93&lt;0,AC86/-AC93,"")</f>
        <v>1.8815437824053</v>
      </c>
      <c r="AD102" s="53" t="n">
        <f aca="false">IF(AD93&lt;0,AD86/-AD93,"")</f>
        <v>1.8815437824053</v>
      </c>
      <c r="AE102" s="53" t="n">
        <f aca="false">IF(AE93&lt;0,AE86/-AE93,"")</f>
        <v>1.8815437824053</v>
      </c>
      <c r="AF102" s="53" t="n">
        <f aca="false">IF(AF93&lt;0,AF86/-AF93,"")</f>
        <v>1.8815437824053</v>
      </c>
      <c r="AG102" s="53" t="n">
        <f aca="false">IF(AG93&lt;0,AG86/-AG93,"")</f>
        <v>1.8815437824053</v>
      </c>
      <c r="AH102" s="53" t="n">
        <f aca="false">IF(AH93&lt;0,AH86/-AH93,"")</f>
        <v>1.8815437824053</v>
      </c>
      <c r="AI102" s="53" t="n">
        <f aca="false">IF(AI93&lt;0,AI86/-AI93,"")</f>
        <v>1.8815437824053</v>
      </c>
      <c r="AJ102" s="53" t="n">
        <f aca="false">IF(AJ93&lt;0,AJ86/-AJ93,"")</f>
        <v>1.8815437824053</v>
      </c>
      <c r="AK102" s="53" t="n">
        <f aca="false">IF(AK93&lt;0,AK86/-AK93,"")</f>
        <v>1.8815437824053</v>
      </c>
      <c r="AL102" s="53" t="n">
        <f aca="false">IF(AL93&lt;0,AL86/-AL93,"")</f>
        <v>1.8815437824053</v>
      </c>
      <c r="AM102" s="53" t="n">
        <f aca="false">IF(AM93&lt;0,AM86/-AM93,"")</f>
        <v>1.8815437824053</v>
      </c>
      <c r="AN102" s="53" t="n">
        <f aca="false">IF(AN93&lt;0,AN86/-AN93,"")</f>
        <v>1.8815437824053</v>
      </c>
      <c r="AO102" s="53" t="n">
        <f aca="false">IF(AO93&lt;0,AO86/-AO93,"")</f>
        <v>1.8815437824053</v>
      </c>
      <c r="AP102" s="53" t="n">
        <f aca="false">IF(AP93&lt;0,AP86/-AP93,"")</f>
        <v>1.8815437824053</v>
      </c>
      <c r="AQ102" s="53" t="n">
        <f aca="false">IF(AQ93&lt;0,AQ86/-AQ93,"")</f>
        <v>1.8815437824053</v>
      </c>
      <c r="AR102" s="53" t="n">
        <f aca="false">IF(AR93&lt;0,AR86/-AR93,"")</f>
        <v>1.8815437824053</v>
      </c>
      <c r="AS102" s="53" t="n">
        <f aca="false">IF(AS93&lt;0,AS86/-AS93,"")</f>
        <v>1.8815437824053</v>
      </c>
      <c r="AT102" s="53" t="n">
        <f aca="false">IF(AT93&lt;0,AT86/-AT93,"")</f>
        <v>1.8815437824053</v>
      </c>
      <c r="AU102" s="53" t="n">
        <f aca="false">IF(AU93&lt;0,AU86/-AU93,"")</f>
        <v>1.8815437824053</v>
      </c>
      <c r="AV102" s="53" t="n">
        <f aca="false">IF(AV93&lt;0,AV86/-AV93,"")</f>
        <v>1.8815437824053</v>
      </c>
      <c r="AW102" s="53" t="n">
        <f aca="false">IF(AW93&lt;0,AW86/-AW93,"")</f>
        <v>1.8815437824053</v>
      </c>
      <c r="AX102" s="53" t="n">
        <f aca="false">IF(AX93&lt;0,AX86/-AX93,"")</f>
        <v>1.8815437824053</v>
      </c>
      <c r="AY102" s="53" t="n">
        <f aca="false">IF(AY93&lt;0,AY86/-AY93,"")</f>
        <v>1.8815437824053</v>
      </c>
      <c r="AZ102" s="53" t="n">
        <f aca="false">IF(AZ93&lt;0,AZ86/-AZ93,"")</f>
        <v>1.8815437824053</v>
      </c>
      <c r="BA102" s="53" t="n">
        <f aca="false">IF(BA93&lt;0,BA86/-BA93,"")</f>
        <v>1.8815437824053</v>
      </c>
      <c r="BB102" s="53" t="n">
        <f aca="false">IF(BB93&lt;0,BB86/-BB93,"")</f>
        <v>1.8815437824053</v>
      </c>
      <c r="BC102" s="53" t="n">
        <f aca="false">IF(BC93&lt;0,BC86/-BC93,"")</f>
        <v>1.8815437824053</v>
      </c>
      <c r="BD102" s="53" t="n">
        <f aca="false">IF(BD93&lt;0,BD86/-BD93,"")</f>
        <v>1.8815437824053</v>
      </c>
      <c r="BE102" s="53" t="n">
        <f aca="false">IF(BE93&lt;0,BE86/-BE93,"")</f>
        <v>1.8815437824053</v>
      </c>
      <c r="BF102" s="53" t="n">
        <f aca="false">IF(BF93&lt;0,BF86/-BF93,"")</f>
        <v>1.8815437824053</v>
      </c>
      <c r="BG102" s="53" t="n">
        <f aca="false">IF(BG93&lt;0,BG86/-BG93,"")</f>
        <v>1.8815437824053</v>
      </c>
      <c r="BH102" s="53" t="n">
        <f aca="false">IF(BH93&lt;0,BH86/-BH93,"")</f>
        <v>1.8815437824053</v>
      </c>
      <c r="BI102" s="53" t="n">
        <f aca="false">IF(BI93&lt;0,BI86/-BI93,"")</f>
        <v>1.8815437824053</v>
      </c>
      <c r="BJ102" s="53" t="n">
        <f aca="false">IF(BJ93&lt;0,BJ86/-BJ93,"")</f>
        <v>1.8815437824053</v>
      </c>
      <c r="BK102" s="53" t="n">
        <f aca="false">IF(BK93&lt;0,BK86/-BK93,"")</f>
        <v>1.8815437824053</v>
      </c>
      <c r="BL102" s="53" t="n">
        <f aca="false">IF(BL93&lt;0,BL86/-BL93,"")</f>
        <v>1.8815437824053</v>
      </c>
      <c r="BM102" s="53" t="n">
        <f aca="false">IF(BM93&lt;0,BM86/-BM93,"")</f>
        <v>1.8815437824053</v>
      </c>
      <c r="BN102" s="53" t="n">
        <f aca="false">IF(BN93&lt;0,BN86/-BN93,"")</f>
        <v>1.8815437824053</v>
      </c>
      <c r="BO102" s="53" t="n">
        <f aca="false">IF(BO93&lt;0,BO86/-BO93,"")</f>
        <v>1.8815437824053</v>
      </c>
      <c r="BP102" s="53" t="n">
        <f aca="false">IF(BP93&lt;0,BP86/-BP93,"")</f>
        <v>1.8815437824053</v>
      </c>
      <c r="BQ102" s="53" t="n">
        <f aca="false">IF(BQ93&lt;0,BQ86/-BQ93,"")</f>
        <v>1.8815437824053</v>
      </c>
      <c r="BR102" s="53" t="n">
        <f aca="false">IF(BR93&lt;0,BR86/-BR93,"")</f>
        <v>1.8815437824053</v>
      </c>
      <c r="BS102" s="53" t="n">
        <f aca="false">IF(BS93&lt;0,BS86/-BS93,"")</f>
        <v>1.8815437824053</v>
      </c>
      <c r="BT102" s="53" t="n">
        <f aca="false">IF(BT93&lt;0,BT86/-BT93,"")</f>
        <v>1.8815437824053</v>
      </c>
      <c r="BU102" s="53" t="n">
        <f aca="false">IF(BU93&lt;0,BU86/-BU93,"")</f>
        <v>1.8815437824053</v>
      </c>
      <c r="BV102" s="53" t="n">
        <f aca="false">IF(BV93&lt;0,BV86/-BV93,"")</f>
        <v>1.8815437824053</v>
      </c>
      <c r="BW102" s="53" t="n">
        <f aca="false">IF(BW93&lt;0,BW86/-BW93,"")</f>
        <v>1.8815437824053</v>
      </c>
      <c r="BX102" s="53" t="n">
        <f aca="false">IF(BX93&lt;0,BX86/-BX93,"")</f>
        <v>1.8815437824053</v>
      </c>
      <c r="BY102" s="53" t="n">
        <f aca="false">IF(BY93&lt;0,BY86/-BY93,"")</f>
        <v>1.8815437824053</v>
      </c>
      <c r="BZ102" s="53" t="n">
        <f aca="false">IF(BZ93&lt;0,BZ86/-BZ93,"")</f>
        <v>1.8815437824053</v>
      </c>
      <c r="CA102" s="53" t="n">
        <f aca="false">IF(CA93&lt;0,CA86/-CA93,"")</f>
        <v>1.8815437824053</v>
      </c>
      <c r="CB102" s="53" t="n">
        <f aca="false">IF(CB93&lt;0,CB86/-CB93,"")</f>
        <v>1.8815437824053</v>
      </c>
      <c r="CC102" s="53" t="n">
        <f aca="false">IF(CC93&lt;0,CC86/-CC93,"")</f>
        <v>1.8815437824053</v>
      </c>
      <c r="CD102" s="53" t="n">
        <f aca="false">IF(CD93&lt;0,CD86/-CD93,"")</f>
        <v>1.8815437824053</v>
      </c>
      <c r="CE102" s="53" t="n">
        <f aca="false">IF(CE93&lt;0,CE86/-CE93,"")</f>
        <v>1.8815437824053</v>
      </c>
      <c r="CF102" s="53" t="n">
        <f aca="false">IF(CF93&lt;0,CF86/-CF93,"")</f>
        <v>1.8815437824053</v>
      </c>
      <c r="CG102" s="53" t="n">
        <f aca="false">IF(CG93&lt;0,CG86/-CG93,"")</f>
        <v>1.8815437824053</v>
      </c>
      <c r="CH102" s="53" t="n">
        <f aca="false">IF(CH93&lt;0,CH86/-CH93,"")</f>
        <v>1.8815437824053</v>
      </c>
      <c r="CI102" s="53" t="n">
        <f aca="false">IF(CI93&lt;0,CI86/-CI93,"")</f>
        <v>1.8815437824053</v>
      </c>
      <c r="CJ102" s="53" t="n">
        <f aca="false">IF(CJ93&lt;0,CJ86/-CJ93,"")</f>
        <v>1.8815437824053</v>
      </c>
      <c r="CK102" s="53" t="n">
        <f aca="false">IF(CK93&lt;0,CK86/-CK93,"")</f>
        <v>1.8815437824053</v>
      </c>
      <c r="CL102" s="53" t="n">
        <f aca="false">IF(CL93&lt;0,CL86/-CL93,"")</f>
        <v>1.8815437824053</v>
      </c>
      <c r="CM102" s="53" t="n">
        <f aca="false">IF(CM93&lt;0,CM86/-CM93,"")</f>
        <v>1.8815437824053</v>
      </c>
      <c r="CN102" s="53" t="n">
        <f aca="false">IF(CN93&lt;0,CN86/-CN93,"")</f>
        <v>1.8815437824053</v>
      </c>
      <c r="CO102" s="53" t="n">
        <f aca="false">IF(CO93&lt;0,CO86/-CO93,"")</f>
        <v>1.8815437824053</v>
      </c>
      <c r="CP102" s="53" t="n">
        <f aca="false">IF(CP93&lt;0,CP86/-CP93,"")</f>
        <v>1.8815437824053</v>
      </c>
      <c r="CQ102" s="53" t="n">
        <f aca="false">IF(CQ93&lt;0,CQ86/-CQ93,"")</f>
        <v>1.8815437824053</v>
      </c>
      <c r="CR102" s="53" t="n">
        <f aca="false">IF(CR93&lt;0,CR86/-CR93,"")</f>
        <v>1.8815437824053</v>
      </c>
      <c r="CS102" s="53" t="n">
        <f aca="false">IF(CS93&lt;0,CS86/-CS93,"")</f>
        <v>1.8815437824053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481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482</v>
      </c>
      <c r="D105" s="11" t="s">
        <v>33</v>
      </c>
      <c r="E105" s="48" t="n">
        <f aca="false">$I96-($I67+$I57+$I68+$I54+$I47+$I48+$I49)</f>
        <v>111000.293925295</v>
      </c>
      <c r="I105" s="48" t="n">
        <f aca="false">SUM(J105:EO105)</f>
        <v>-111000.293925295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-1397.95031363821</v>
      </c>
      <c r="AA105" s="48" t="n">
        <f aca="false">-$E105*AA20</f>
        <v>-1367.56008942868</v>
      </c>
      <c r="AB105" s="48" t="n">
        <f aca="false">-$E105*AB20</f>
        <v>-1382.75520153344</v>
      </c>
      <c r="AC105" s="48" t="n">
        <f aca="false">-$E105*AC20</f>
        <v>-1397.95031363821</v>
      </c>
      <c r="AD105" s="48" t="n">
        <f aca="false">-$E105*AD20</f>
        <v>-1397.95031363821</v>
      </c>
      <c r="AE105" s="48" t="n">
        <f aca="false">-$E105*AE20</f>
        <v>-1382.75520153344</v>
      </c>
      <c r="AF105" s="48" t="n">
        <f aca="false">-$E105*AF20</f>
        <v>-1382.75520153344</v>
      </c>
      <c r="AG105" s="48" t="n">
        <f aca="false">-$E105*AG20</f>
        <v>-1397.95031363821</v>
      </c>
      <c r="AH105" s="48" t="n">
        <f aca="false">-$E105*AH20</f>
        <v>-1397.95031363821</v>
      </c>
      <c r="AI105" s="48" t="n">
        <f aca="false">-$E105*AI20</f>
        <v>-1367.56008942868</v>
      </c>
      <c r="AJ105" s="48" t="n">
        <f aca="false">-$E105*AJ20</f>
        <v>-1382.75520153344</v>
      </c>
      <c r="AK105" s="48" t="n">
        <f aca="false">-$E105*AK20</f>
        <v>-1397.95031363821</v>
      </c>
      <c r="AL105" s="48" t="n">
        <f aca="false">-$E105*AL20</f>
        <v>-1397.95031363821</v>
      </c>
      <c r="AM105" s="48" t="n">
        <f aca="false">-$E105*AM20</f>
        <v>-1367.56008942868</v>
      </c>
      <c r="AN105" s="48" t="n">
        <f aca="false">-$E105*AN20</f>
        <v>-1382.75520153344</v>
      </c>
      <c r="AO105" s="48" t="n">
        <f aca="false">-$E105*AO20</f>
        <v>-1397.95031363821</v>
      </c>
      <c r="AP105" s="48" t="n">
        <f aca="false">-$E105*AP20</f>
        <v>-1397.95031363821</v>
      </c>
      <c r="AQ105" s="48" t="n">
        <f aca="false">-$E105*AQ20</f>
        <v>-1367.56008942868</v>
      </c>
      <c r="AR105" s="48" t="n">
        <f aca="false">-$E105*AR20</f>
        <v>-1382.75520153344</v>
      </c>
      <c r="AS105" s="48" t="n">
        <f aca="false">-$E105*AS20</f>
        <v>-1397.95031363821</v>
      </c>
      <c r="AT105" s="48" t="n">
        <f aca="false">-$E105*AT20</f>
        <v>-1397.95031363821</v>
      </c>
      <c r="AU105" s="48" t="n">
        <f aca="false">-$E105*AU20</f>
        <v>-1382.75520153344</v>
      </c>
      <c r="AV105" s="48" t="n">
        <f aca="false">-$E105*AV20</f>
        <v>-1382.75520153344</v>
      </c>
      <c r="AW105" s="48" t="n">
        <f aca="false">-$E105*AW20</f>
        <v>-1397.95031363821</v>
      </c>
      <c r="AX105" s="48" t="n">
        <f aca="false">-$E105*AX20</f>
        <v>-1397.95031363821</v>
      </c>
      <c r="AY105" s="48" t="n">
        <f aca="false">-$E105*AY20</f>
        <v>-1367.56008942868</v>
      </c>
      <c r="AZ105" s="48" t="n">
        <f aca="false">-$E105*AZ20</f>
        <v>-1382.75520153344</v>
      </c>
      <c r="BA105" s="48" t="n">
        <f aca="false">-$E105*BA20</f>
        <v>-1397.95031363821</v>
      </c>
      <c r="BB105" s="48" t="n">
        <f aca="false">-$E105*BB20</f>
        <v>-1397.95031363821</v>
      </c>
      <c r="BC105" s="48" t="n">
        <f aca="false">-$E105*BC20</f>
        <v>-1367.56008942868</v>
      </c>
      <c r="BD105" s="48" t="n">
        <f aca="false">-$E105*BD20</f>
        <v>-1382.75520153344</v>
      </c>
      <c r="BE105" s="48" t="n">
        <f aca="false">-$E105*BE20</f>
        <v>-1397.95031363821</v>
      </c>
      <c r="BF105" s="48" t="n">
        <f aca="false">-$E105*BF20</f>
        <v>-1397.95031363821</v>
      </c>
      <c r="BG105" s="48" t="n">
        <f aca="false">-$E105*BG20</f>
        <v>-1367.56008942868</v>
      </c>
      <c r="BH105" s="48" t="n">
        <f aca="false">-$E105*BH20</f>
        <v>-1382.75520153344</v>
      </c>
      <c r="BI105" s="48" t="n">
        <f aca="false">-$E105*BI20</f>
        <v>-1397.95031363821</v>
      </c>
      <c r="BJ105" s="48" t="n">
        <f aca="false">-$E105*BJ20</f>
        <v>-1397.95031363821</v>
      </c>
      <c r="BK105" s="48" t="n">
        <f aca="false">-$E105*BK20</f>
        <v>-1382.75520153344</v>
      </c>
      <c r="BL105" s="48" t="n">
        <f aca="false">-$E105*BL20</f>
        <v>-1382.75520153344</v>
      </c>
      <c r="BM105" s="48" t="n">
        <f aca="false">-$E105*BM20</f>
        <v>-1397.95031363821</v>
      </c>
      <c r="BN105" s="48" t="n">
        <f aca="false">-$E105*BN20</f>
        <v>-1397.95031363821</v>
      </c>
      <c r="BO105" s="48" t="n">
        <f aca="false">-$E105*BO20</f>
        <v>-1367.56008942868</v>
      </c>
      <c r="BP105" s="48" t="n">
        <f aca="false">-$E105*BP20</f>
        <v>-1382.75520153344</v>
      </c>
      <c r="BQ105" s="48" t="n">
        <f aca="false">-$E105*BQ20</f>
        <v>-1397.95031363821</v>
      </c>
      <c r="BR105" s="48" t="n">
        <f aca="false">-$E105*BR20</f>
        <v>-1397.95031363821</v>
      </c>
      <c r="BS105" s="48" t="n">
        <f aca="false">-$E105*BS20</f>
        <v>-1367.56008942868</v>
      </c>
      <c r="BT105" s="48" t="n">
        <f aca="false">-$E105*BT20</f>
        <v>-1382.75520153344</v>
      </c>
      <c r="BU105" s="48" t="n">
        <f aca="false">-$E105*BU20</f>
        <v>-1397.95031363821</v>
      </c>
      <c r="BV105" s="48" t="n">
        <f aca="false">-$E105*BV20</f>
        <v>-1397.95031363821</v>
      </c>
      <c r="BW105" s="48" t="n">
        <f aca="false">-$E105*BW20</f>
        <v>-1367.56008942868</v>
      </c>
      <c r="BX105" s="48" t="n">
        <f aca="false">-$E105*BX20</f>
        <v>-1382.75520153344</v>
      </c>
      <c r="BY105" s="48" t="n">
        <f aca="false">-$E105*BY20</f>
        <v>-1397.95031363821</v>
      </c>
      <c r="BZ105" s="48" t="n">
        <f aca="false">-$E105*BZ20</f>
        <v>-1397.95031363821</v>
      </c>
      <c r="CA105" s="48" t="n">
        <f aca="false">-$E105*CA20</f>
        <v>-1382.75520153344</v>
      </c>
      <c r="CB105" s="48" t="n">
        <f aca="false">-$E105*CB20</f>
        <v>-1382.75520153344</v>
      </c>
      <c r="CC105" s="48" t="n">
        <f aca="false">-$E105*CC20</f>
        <v>-1397.95031363821</v>
      </c>
      <c r="CD105" s="48" t="n">
        <f aca="false">-$E105*CD20</f>
        <v>-1397.95031363821</v>
      </c>
      <c r="CE105" s="48" t="n">
        <f aca="false">-$E105*CE20</f>
        <v>-1367.56008942868</v>
      </c>
      <c r="CF105" s="48" t="n">
        <f aca="false">-$E105*CF20</f>
        <v>-1382.75520153344</v>
      </c>
      <c r="CG105" s="48" t="n">
        <f aca="false">-$E105*CG20</f>
        <v>-1397.95031363821</v>
      </c>
      <c r="CH105" s="48" t="n">
        <f aca="false">-$E105*CH20</f>
        <v>-1397.95031363821</v>
      </c>
      <c r="CI105" s="48" t="n">
        <f aca="false">-$E105*CI20</f>
        <v>-1367.56008942868</v>
      </c>
      <c r="CJ105" s="48" t="n">
        <f aca="false">-$E105*CJ20</f>
        <v>-1382.75520153344</v>
      </c>
      <c r="CK105" s="48" t="n">
        <f aca="false">-$E105*CK20</f>
        <v>-1397.95031363821</v>
      </c>
      <c r="CL105" s="48" t="n">
        <f aca="false">-$E105*CL20</f>
        <v>-1397.95031363821</v>
      </c>
      <c r="CM105" s="48" t="n">
        <f aca="false">-$E105*CM20</f>
        <v>-1367.56008942868</v>
      </c>
      <c r="CN105" s="48" t="n">
        <f aca="false">-$E105*CN20</f>
        <v>-1382.75520153344</v>
      </c>
      <c r="CO105" s="48" t="n">
        <f aca="false">-$E105*CO20</f>
        <v>-1397.95031363821</v>
      </c>
      <c r="CP105" s="48" t="n">
        <f aca="false">-$E105*CP20</f>
        <v>-1397.95031363821</v>
      </c>
      <c r="CQ105" s="48" t="n">
        <f aca="false">-$E105*CQ20</f>
        <v>-1382.75520153344</v>
      </c>
      <c r="CR105" s="48" t="n">
        <f aca="false">-$E105*CR20</f>
        <v>-1382.75520153344</v>
      </c>
      <c r="CS105" s="48" t="n">
        <f aca="false">-$E105*CS20</f>
        <v>-1397.95031363821</v>
      </c>
      <c r="CT105" s="48" t="n">
        <f aca="false">-$E105*CT20</f>
        <v>-1397.95031363821</v>
      </c>
      <c r="CU105" s="48" t="n">
        <f aca="false">-$E105*CU20</f>
        <v>-1367.56008942868</v>
      </c>
      <c r="CV105" s="48" t="n">
        <f aca="false">-$E105*CV20</f>
        <v>-1382.75520153344</v>
      </c>
      <c r="CW105" s="48" t="n">
        <f aca="false">-$E105*CW20</f>
        <v>-1397.95031363821</v>
      </c>
      <c r="CX105" s="48" t="n">
        <f aca="false">-$E105*CX20</f>
        <v>-1397.95031363821</v>
      </c>
      <c r="CY105" s="48" t="n">
        <f aca="false">-$E105*CY20</f>
        <v>-1367.56008942868</v>
      </c>
      <c r="CZ105" s="48" t="n">
        <f aca="false">-$E105*CZ20</f>
        <v>-1382.75520153344</v>
      </c>
      <c r="DA105" s="48" t="n">
        <f aca="false">-$E105*DA20</f>
        <v>-1397.95031363821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483</v>
      </c>
      <c r="D106" s="11" t="s">
        <v>33</v>
      </c>
      <c r="I106" s="48" t="n">
        <f aca="false">SUM(J106:EO106)</f>
        <v>151138.423811464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-1236.58958588379</v>
      </c>
      <c r="S106" s="48" t="n">
        <f aca="false">S82+S105+S92+S99+S100+S51+S58</f>
        <v>-185.573186146461</v>
      </c>
      <c r="T106" s="48" t="n">
        <f aca="false">T82+T105+T92+T99+T100+T51+T58</f>
        <v>-163.578834695637</v>
      </c>
      <c r="U106" s="48" t="n">
        <f aca="false">U82+U105+U92+U99+U100+U51+U58</f>
        <v>-151.073133340328</v>
      </c>
      <c r="V106" s="48" t="n">
        <f aca="false">V82+V105+V92+V99+V100+V51+V58</f>
        <v>-136.612683571141</v>
      </c>
      <c r="W106" s="48" t="n">
        <f aca="false">W82+W105+W92+W99+W100+W51+W58</f>
        <v>-120.538681631169</v>
      </c>
      <c r="X106" s="48" t="n">
        <f aca="false">X82+X105+X92+X99+X100+X51+X58</f>
        <v>-107.885670021815</v>
      </c>
      <c r="Y106" s="48" t="n">
        <f aca="false">Y82+Y105+Y92+Y99+Y100+Y51+Y58</f>
        <v>-94.7679558678927</v>
      </c>
      <c r="Z106" s="48" t="n">
        <f aca="false">Z82+Z105+Z92+Z99+Z100+Z51+Z58</f>
        <v>225.150576328414</v>
      </c>
      <c r="AA106" s="48" t="n">
        <f aca="false">AA82+AA105+AA92+AA99+AA100+AA51+AA58</f>
        <v>226.384117759787</v>
      </c>
      <c r="AB106" s="48" t="n">
        <f aca="false">AB82+AB105+AB92+AB99+AB100+AB51+AB58</f>
        <v>243.221588853519</v>
      </c>
      <c r="AC106" s="48" t="n">
        <f aca="false">AC82+AC105+AC92+AC99+AC100+AC51+AC58</f>
        <v>260.299732940569</v>
      </c>
      <c r="AD106" s="48" t="n">
        <f aca="false">AD82+AD105+AD92+AD99+AD100+AD51+AD58</f>
        <v>258.500374409033</v>
      </c>
      <c r="AE106" s="48" t="n">
        <f aca="false">AE82+AE105+AE92+AE99+AE100+AE51+AE58</f>
        <v>270.515618585971</v>
      </c>
      <c r="AF106" s="48" t="n">
        <f aca="false">AF82+AF105+AF92+AF99+AF100+AF51+AF58</f>
        <v>277.230497280355</v>
      </c>
      <c r="AG106" s="48" t="n">
        <f aca="false">AG82+AG105+AG92+AG99+AG100+AG51+AG58</f>
        <v>294.755226413688</v>
      </c>
      <c r="AH106" s="48" t="n">
        <f aca="false">AH82+AH105+AH92+AH99+AH100+AH51+AH58</f>
        <v>293.271343219463</v>
      </c>
      <c r="AI106" s="48" t="n">
        <f aca="false">AI82+AI105+AI92+AI99+AI100+AI51+AI58</f>
        <v>294.625250128017</v>
      </c>
      <c r="AJ106" s="48" t="n">
        <f aca="false">AJ82+AJ105+AJ92+AJ99+AJ100+AJ51+AJ58</f>
        <v>345.514001277229</v>
      </c>
      <c r="AK106" s="48" t="n">
        <f aca="false">AK82+AK105+AK92+AK99+AK100+AK51+AK58</f>
        <v>364.06583060879</v>
      </c>
      <c r="AL106" s="48" t="n">
        <f aca="false">AL82+AL105+AL92+AL99+AL100+AL51+AL58</f>
        <v>363.120421222166</v>
      </c>
      <c r="AM106" s="48" t="n">
        <f aca="false">AM82+AM105+AM92+AM99+AM100+AM51+AM58</f>
        <v>363.855750102514</v>
      </c>
      <c r="AN106" s="48" t="n">
        <f aca="false">AN82+AN105+AN92+AN99+AN100+AN51+AN58</f>
        <v>382.447725374465</v>
      </c>
      <c r="AO106" s="48" t="n">
        <f aca="false">AO82+AO105+AO92+AO99+AO100+AO51+AO58</f>
        <v>401.288626512867</v>
      </c>
      <c r="AP106" s="48" t="n">
        <f aca="false">AP82+AP105+AP92+AP99+AP100+AP51+AP58</f>
        <v>400.493976720877</v>
      </c>
      <c r="AQ106" s="48" t="n">
        <f aca="false">AQ82+AQ105+AQ92+AQ99+AQ100+AQ51+AQ58</f>
        <v>401.306712220983</v>
      </c>
      <c r="AR106" s="48" t="n">
        <f aca="false">AR82+AR105+AR92+AR99+AR100+AR51+AR58</f>
        <v>420.365221835856</v>
      </c>
      <c r="AS106" s="48" t="n">
        <f aca="false">AS82+AS105+AS92+AS99+AS100+AS51+AS58</f>
        <v>439.677581755533</v>
      </c>
      <c r="AT106" s="48" t="n">
        <f aca="false">AT82+AT105+AT92+AT99+AT100+AT51+AT58</f>
        <v>439.229585905544</v>
      </c>
      <c r="AU106" s="48" t="n">
        <f aca="false">AU82+AU105+AU92+AU99+AU100+AU51+AU58</f>
        <v>451.534043282927</v>
      </c>
      <c r="AV106" s="48" t="n">
        <f aca="false">AV82+AV105+AV92+AV99+AV100+AV51+AV58</f>
        <v>459.838903249868</v>
      </c>
      <c r="AW106" s="48" t="n">
        <f aca="false">AW82+AW105+AW92+AW99+AW100+AW51+AW58</f>
        <v>479.639497889959</v>
      </c>
      <c r="AX106" s="48" t="n">
        <f aca="false">AX82+AX105+AX92+AX99+AX100+AX51+AX58</f>
        <v>479.55737884241</v>
      </c>
      <c r="AY106" s="48" t="n">
        <f aca="false">AY82+AY105+AY92+AY99+AY100+AY51+AY58</f>
        <v>480.56992968762</v>
      </c>
      <c r="AZ106" s="48" t="n">
        <f aca="false">AZ82+AZ105+AZ92+AZ99+AZ100+AZ51+AZ58</f>
        <v>500.60821772214</v>
      </c>
      <c r="BA106" s="48" t="n">
        <f aca="false">BA82+BA105+BA92+BA99+BA100+BA51+BA58</f>
        <v>520.910785114716</v>
      </c>
      <c r="BB106" s="48" t="n">
        <f aca="false">BB82+BB105+BB92+BB99+BB100+BB51+BB58</f>
        <v>521.210783570466</v>
      </c>
      <c r="BC106" s="48" t="n">
        <f aca="false">BC82+BC105+BC92+BC99+BC100+BC51+BC58</f>
        <v>522.345341951193</v>
      </c>
      <c r="BD106" s="48" t="n">
        <f aca="false">BD82+BD105+BD92+BD99+BD100+BD51+BD58</f>
        <v>542.896366815254</v>
      </c>
      <c r="BE106" s="48" t="n">
        <f aca="false">BE82+BE105+BE92+BE99+BE100+BE51+BE58</f>
        <v>563.717170850271</v>
      </c>
      <c r="BF106" s="48" t="n">
        <f aca="false">BF82+BF105+BF92+BF99+BF100+BF51+BF58</f>
        <v>564.418175566389</v>
      </c>
      <c r="BG106" s="48" t="n">
        <f aca="false">BG82+BG105+BG92+BG99+BG100+BG51+BG58</f>
        <v>565.69109260251</v>
      </c>
      <c r="BH106" s="48" t="n">
        <f aca="false">BH82+BH105+BH92+BH99+BH100+BH51+BH58</f>
        <v>586.771652128406</v>
      </c>
      <c r="BI106" s="48" t="n">
        <f aca="false">BI82+BI105+BI92+BI99+BI100+BI51+BI58</f>
        <v>608.127699556138</v>
      </c>
      <c r="BJ106" s="48" t="n">
        <f aca="false">BJ82+BJ105+BJ92+BJ99+BJ100+BJ51+BJ58</f>
        <v>609.249446346948</v>
      </c>
      <c r="BK106" s="48" t="n">
        <f aca="false">BK82+BK105+BK92+BK99+BK100+BK51+BK58</f>
        <v>622.344682305699</v>
      </c>
      <c r="BL106" s="48" t="n">
        <f aca="false">BL82+BL105+BL92+BL99+BL100+BL51+BL58</f>
        <v>632.472378762476</v>
      </c>
      <c r="BM106" s="48" t="n">
        <f aca="false">BM82+BM105+BM92+BM99+BM100+BM51+BM58</f>
        <v>654.383373688095</v>
      </c>
      <c r="BN106" s="48" t="n">
        <f aca="false">BN82+BN105+BN92+BN99+BN100+BN51+BN58</f>
        <v>655.948424975127</v>
      </c>
      <c r="BO106" s="48" t="n">
        <f aca="false">BO82+BO105+BO92+BO99+BO100+BO51+BO58</f>
        <v>657.552371802414</v>
      </c>
      <c r="BP106" s="48" t="n">
        <f aca="false">BP82+BP105+BP92+BP99+BP100+BP51+BP58</f>
        <v>679.747492199659</v>
      </c>
      <c r="BQ106" s="48" t="n">
        <f aca="false">BQ82+BQ105+BQ92+BQ99+BQ100+BQ51+BQ58</f>
        <v>702.230205580387</v>
      </c>
      <c r="BR106" s="48" t="n">
        <f aca="false">BR82+BR105+BR92+BR99+BR100+BR51+BR58</f>
        <v>704.25825775516</v>
      </c>
      <c r="BS106" s="48" t="n">
        <f aca="false">BS82+BS105+BS92+BS99+BS100+BS51+BS58</f>
        <v>706.054748510674</v>
      </c>
      <c r="BT106" s="48" t="n">
        <f aca="false">BT82+BT105+BT92+BT99+BT100+BT51+BT58</f>
        <v>728.834651188246</v>
      </c>
      <c r="BU106" s="48" t="n">
        <f aca="false">BU82+BU105+BU92+BU99+BU100+BU51+BU58</f>
        <v>751.908541541248</v>
      </c>
      <c r="BV106" s="48" t="n">
        <f aca="false">BV82+BV105+BV92+BV99+BV100+BV51+BV58</f>
        <v>754.42211303253</v>
      </c>
      <c r="BW106" s="48" t="n">
        <f aca="false">BW82+BW105+BW92+BW99+BW100+BW51+BW58</f>
        <v>756.430995560756</v>
      </c>
      <c r="BX106" s="48" t="n">
        <f aca="false">BX82+BX105+BX92+BX99+BX100+BX51+BX58</f>
        <v>779.815784689938</v>
      </c>
      <c r="BY106" s="48" t="n">
        <f aca="false">BY82+BY105+BY92+BY99+BY100+BY51+BY58</f>
        <v>803.501205434038</v>
      </c>
      <c r="BZ106" s="48" t="n">
        <f aca="false">BZ82+BZ105+BZ92+BZ99+BZ100+BZ51+BZ58</f>
        <v>806.52382619676</v>
      </c>
      <c r="CA106" s="48" t="n">
        <f aca="false">CA82+CA105+CA92+CA99+CA100+CA51+CA58</f>
        <v>820.653360700981</v>
      </c>
      <c r="CB106" s="48" t="n">
        <f aca="false">CB82+CB105+CB92+CB99+CB100+CB51+CB58</f>
        <v>832.944707873298</v>
      </c>
      <c r="CC106" s="48" t="n">
        <f aca="false">CC82+CC105+CC92+CC99+CC100+CC51+CC58</f>
        <v>857.26488336353</v>
      </c>
      <c r="CD106" s="48" t="n">
        <f aca="false">CD82+CD105+CD92+CD99+CD100+CD51+CD58</f>
        <v>860.82309648253</v>
      </c>
      <c r="CE106" s="48" t="n">
        <f aca="false">CE82+CE105+CE92+CE99+CE100+CE51+CE58</f>
        <v>863.322238921159</v>
      </c>
      <c r="CF106" s="48" t="n">
        <f aca="false">CF82+CF105+CF92+CF99+CF100+CF51+CF58</f>
        <v>887.982863321075</v>
      </c>
      <c r="CG106" s="48" t="n">
        <f aca="false">CG82+CG105+CG92+CG99+CG100+CG51+CG58</f>
        <v>912.958223565647</v>
      </c>
      <c r="CH106" s="48" t="n">
        <f aca="false">CH82+CH105+CH92+CH99+CH100+CH51+CH58</f>
        <v>917.075857710763</v>
      </c>
      <c r="CI106" s="48" t="n">
        <f aca="false">CI82+CI105+CI92+CI99+CI100+CI51+CI58</f>
        <v>919.853075888122</v>
      </c>
      <c r="CJ106" s="48" t="n">
        <f aca="false">CJ82+CJ105+CJ92+CJ99+CJ100+CJ51+CJ58</f>
        <v>945.184728525082</v>
      </c>
      <c r="CK106" s="48" t="n">
        <f aca="false">CK82+CK105+CK92+CK99+CK100+CK51+CK58</f>
        <v>970.838579483654</v>
      </c>
      <c r="CL106" s="48" t="n">
        <f aca="false">CL82+CL105+CL92+CL99+CL100+CL51+CL58</f>
        <v>975.542487417078</v>
      </c>
      <c r="CM106" s="48" t="n">
        <f aca="false">CM82+CM105+CM92+CM99+CM100+CM51+CM58</f>
        <v>978.621824228481</v>
      </c>
      <c r="CN106" s="48" t="n">
        <f aca="false">CN82+CN105+CN92+CN99+CN100+CN51+CN58</f>
        <v>1004.64859133663</v>
      </c>
      <c r="CO106" s="48" t="n">
        <f aca="false">CO82+CO105+CO92+CO99+CO100+CO51+CO58</f>
        <v>1031.00531684553</v>
      </c>
      <c r="CP106" s="48" t="n">
        <f aca="false">CP82+CP105+CP92+CP99+CP100+CP51+CP58</f>
        <v>1036.32355971799</v>
      </c>
      <c r="CQ106" s="48" t="n">
        <f aca="false">CQ82+CQ105+CQ92+CQ99+CQ100+CQ51+CQ58</f>
        <v>1051.78574027081</v>
      </c>
      <c r="CR106" s="48" t="n">
        <f aca="false">CR82+CR105+CR92+CR99+CR100+CR51+CR58</f>
        <v>1066.64633946603</v>
      </c>
      <c r="CS106" s="48" t="n">
        <f aca="false">CS82+CS105+CS92+CS99+CS100+CS51+CS58</f>
        <v>1093.73339685605</v>
      </c>
      <c r="CT106" s="48" t="n">
        <f aca="false">CT82+CT105+CT92+CT99+CT100+CT51+CT58</f>
        <v>1099.69726591222</v>
      </c>
      <c r="CU106" s="48" t="n">
        <f aca="false">CU82+CU105+CU92+CU99+CU100+CU51+CU58</f>
        <v>1087.96250189823</v>
      </c>
      <c r="CV106" s="48" t="n">
        <f aca="false">CV82+CV105+CV92+CV99+CV100+CV51+CV58</f>
        <v>1100.05097414154</v>
      </c>
      <c r="CW106" s="48" t="n">
        <f aca="false">CW82+CW105+CW92+CW99+CW100+CW51+CW58</f>
        <v>1112.13944638485</v>
      </c>
      <c r="CX106" s="48" t="n">
        <f aca="false">CX82+CX105+CX92+CX99+CX100+CX51+CX58</f>
        <v>1102.67351832041</v>
      </c>
      <c r="CY106" s="48" t="n">
        <f aca="false">CY82+CY105+CY92+CY99+CY100+CY51+CY58</f>
        <v>1090.58155777033</v>
      </c>
      <c r="CZ106" s="48" t="n">
        <f aca="false">CZ82+CZ105+CZ92+CZ99+CZ100+CZ51+CZ58</f>
        <v>1102.69913063445</v>
      </c>
      <c r="DA106" s="48" t="n">
        <f aca="false">DA82+DA105+DA92+DA99+DA100+DA51+DA58</f>
        <v>1114.81670349856</v>
      </c>
      <c r="DB106" s="48" t="n">
        <f aca="false">DB82+DB105+DB92+DB99+DB100+DB51+DB58</f>
        <v>2503.24466583137</v>
      </c>
      <c r="DC106" s="48" t="n">
        <f aca="false">DC82+DC105+DC92+DC99+DC100+DC51+DC58</f>
        <v>2460.4018457948</v>
      </c>
      <c r="DD106" s="48" t="n">
        <f aca="false">DD82+DD105+DD92+DD99+DD100+DD51+DD58</f>
        <v>2487.7396440814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2491.17462930677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2464.91206834605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2465.61807007058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2510.83914170752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2510.63204110906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2519.94570031579</v>
      </c>
      <c r="EH106" s="48" t="n">
        <f aca="false">EH82+EH105+EH92+EH99+EH100+EH51+EH58</f>
        <v>2509.96849063659</v>
      </c>
      <c r="EI106" s="48" t="n">
        <f aca="false">EI82+EI105+EI92+EI99+EI100+EI51+EI58</f>
        <v>2464.11073922955</v>
      </c>
      <c r="EJ106" s="48" t="n">
        <f aca="false">EJ82+EJ105+EJ92+EJ99+EJ100+EJ51+EJ58</f>
        <v>2491.48974744321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484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1469.10018074212</v>
      </c>
      <c r="T107" s="18" t="n">
        <f aca="false">S111</f>
        <v>1654.67336688858</v>
      </c>
      <c r="U107" s="18" t="n">
        <f aca="false">T111</f>
        <v>1818.25220158421</v>
      </c>
      <c r="V107" s="18" t="n">
        <f aca="false">U111</f>
        <v>1969.32533492454</v>
      </c>
      <c r="W107" s="18" t="n">
        <f aca="false">V111</f>
        <v>2105.93801849568</v>
      </c>
      <c r="X107" s="18" t="n">
        <f aca="false">W111</f>
        <v>2226.47670012685</v>
      </c>
      <c r="Y107" s="18" t="n">
        <f aca="false">X111</f>
        <v>2334.36237014867</v>
      </c>
      <c r="Z107" s="18" t="n">
        <f aca="false">Y111</f>
        <v>2429.13032601656</v>
      </c>
      <c r="AA107" s="18" t="n">
        <f aca="false">Z111</f>
        <v>2316.55503785235</v>
      </c>
      <c r="AB107" s="18" t="n">
        <f aca="false">AA111</f>
        <v>2203.36297897246</v>
      </c>
      <c r="AC107" s="18" t="n">
        <f aca="false">AB111</f>
        <v>2081.7521845457</v>
      </c>
      <c r="AD107" s="18" t="n">
        <f aca="false">AC111</f>
        <v>1951.60231807541</v>
      </c>
      <c r="AE107" s="18" t="n">
        <f aca="false">AD111</f>
        <v>1822.3521308709</v>
      </c>
      <c r="AF107" s="18" t="n">
        <f aca="false">AE111</f>
        <v>1687.09432157791</v>
      </c>
      <c r="AG107" s="18" t="n">
        <f aca="false">AF111</f>
        <v>1548.47907293773</v>
      </c>
      <c r="AH107" s="18" t="n">
        <f aca="false">AG111</f>
        <v>1401.10145973089</v>
      </c>
      <c r="AI107" s="18" t="n">
        <f aca="false">AH111</f>
        <v>1254.46578812116</v>
      </c>
      <c r="AJ107" s="18" t="n">
        <f aca="false">AI111</f>
        <v>1107.15316305715</v>
      </c>
      <c r="AK107" s="18" t="n">
        <f aca="false">AJ111</f>
        <v>934.396162418536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485</v>
      </c>
      <c r="D108" s="11" t="s">
        <v>33</v>
      </c>
      <c r="I108" s="48" t="n">
        <f aca="false">SUM(J108:EO108)</f>
        <v>2429.13032601656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1236.58958588379</v>
      </c>
      <c r="S108" s="48" t="n">
        <f aca="false">MAX(0,-S106)</f>
        <v>185.573186146461</v>
      </c>
      <c r="T108" s="48" t="n">
        <f aca="false">MAX(0,-T106)</f>
        <v>163.578834695637</v>
      </c>
      <c r="U108" s="48" t="n">
        <f aca="false">MAX(0,-U106)</f>
        <v>151.073133340328</v>
      </c>
      <c r="V108" s="48" t="n">
        <f aca="false">MAX(0,-V106)</f>
        <v>136.612683571141</v>
      </c>
      <c r="W108" s="48" t="n">
        <f aca="false">MAX(0,-W106)</f>
        <v>120.538681631169</v>
      </c>
      <c r="X108" s="48" t="n">
        <f aca="false">MAX(0,-X106)</f>
        <v>107.885670021815</v>
      </c>
      <c r="Y108" s="48" t="n">
        <f aca="false">MAX(0,-Y106)</f>
        <v>94.7679558678927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486</v>
      </c>
      <c r="D109" s="11" t="s">
        <v>33</v>
      </c>
      <c r="I109" s="48" t="n">
        <f aca="false">SUM(J109:EO109)</f>
        <v>-1676.76707890242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-112.575288164207</v>
      </c>
      <c r="AA109" s="48" t="n">
        <f aca="false">-MIN(AA107,In_Loss_Cap*MAX(0,AA106))</f>
        <v>-113.192058879893</v>
      </c>
      <c r="AB109" s="48" t="n">
        <f aca="false">-MIN(AB107,In_Loss_Cap*MAX(0,AB106))</f>
        <v>-121.610794426759</v>
      </c>
      <c r="AC109" s="48" t="n">
        <f aca="false">-MIN(AC107,In_Loss_Cap*MAX(0,AC106))</f>
        <v>-130.149866470284</v>
      </c>
      <c r="AD109" s="48" t="n">
        <f aca="false">-MIN(AD107,In_Loss_Cap*MAX(0,AD106))</f>
        <v>-129.250187204517</v>
      </c>
      <c r="AE109" s="48" t="n">
        <f aca="false">-MIN(AE107,In_Loss_Cap*MAX(0,AE106))</f>
        <v>-135.257809292986</v>
      </c>
      <c r="AF109" s="48" t="n">
        <f aca="false">-MIN(AF107,In_Loss_Cap*MAX(0,AF106))</f>
        <v>-138.615248640178</v>
      </c>
      <c r="AG109" s="48" t="n">
        <f aca="false">-MIN(AG107,In_Loss_Cap*MAX(0,AG106))</f>
        <v>-147.377613206844</v>
      </c>
      <c r="AH109" s="48" t="n">
        <f aca="false">-MIN(AH107,In_Loss_Cap*MAX(0,AH106))</f>
        <v>-146.635671609732</v>
      </c>
      <c r="AI109" s="48" t="n">
        <f aca="false">-MIN(AI107,In_Loss_Cap*MAX(0,AI106))</f>
        <v>-147.312625064008</v>
      </c>
      <c r="AJ109" s="48" t="n">
        <f aca="false">-MIN(AJ107,In_Loss_Cap*MAX(0,AJ106))</f>
        <v>-172.757000638614</v>
      </c>
      <c r="AK109" s="48" t="n">
        <f aca="false">-MIN(AK107,In_Loss_Cap*MAX(0,AK106))</f>
        <v>-182.032915304395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487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-752.363247114141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-752.363247114141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488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1469.10018074212</v>
      </c>
      <c r="S111" s="48" t="n">
        <f aca="false">SUM(S107:S110)</f>
        <v>1654.67336688858</v>
      </c>
      <c r="T111" s="48" t="n">
        <f aca="false">SUM(T107:T110)</f>
        <v>1818.25220158421</v>
      </c>
      <c r="U111" s="48" t="n">
        <f aca="false">SUM(U107:U110)</f>
        <v>1969.32533492454</v>
      </c>
      <c r="V111" s="48" t="n">
        <f aca="false">SUM(V107:V110)</f>
        <v>2105.93801849568</v>
      </c>
      <c r="W111" s="48" t="n">
        <f aca="false">SUM(W107:W110)</f>
        <v>2226.47670012685</v>
      </c>
      <c r="X111" s="48" t="n">
        <f aca="false">SUM(X107:X110)</f>
        <v>2334.36237014867</v>
      </c>
      <c r="Y111" s="48" t="n">
        <f aca="false">SUM(Y107:Y110)</f>
        <v>2429.13032601656</v>
      </c>
      <c r="Z111" s="48" t="n">
        <f aca="false">SUM(Z107:Z110)</f>
        <v>2316.55503785235</v>
      </c>
      <c r="AA111" s="48" t="n">
        <f aca="false">SUM(AA107:AA110)</f>
        <v>2203.36297897246</v>
      </c>
      <c r="AB111" s="48" t="n">
        <f aca="false">SUM(AB107:AB110)</f>
        <v>2081.7521845457</v>
      </c>
      <c r="AC111" s="48" t="n">
        <f aca="false">SUM(AC107:AC110)</f>
        <v>1951.60231807541</v>
      </c>
      <c r="AD111" s="48" t="n">
        <f aca="false">SUM(AD107:AD110)</f>
        <v>1822.3521308709</v>
      </c>
      <c r="AE111" s="48" t="n">
        <f aca="false">SUM(AE107:AE110)</f>
        <v>1687.09432157791</v>
      </c>
      <c r="AF111" s="48" t="n">
        <f aca="false">SUM(AF107:AF110)</f>
        <v>1548.47907293773</v>
      </c>
      <c r="AG111" s="48" t="n">
        <f aca="false">SUM(AG107:AG110)</f>
        <v>1401.10145973089</v>
      </c>
      <c r="AH111" s="48" t="n">
        <f aca="false">SUM(AH107:AH110)</f>
        <v>1254.46578812116</v>
      </c>
      <c r="AI111" s="48" t="n">
        <f aca="false">SUM(AI107:AI110)</f>
        <v>1107.15316305715</v>
      </c>
      <c r="AJ111" s="48" t="n">
        <f aca="false">SUM(AJ107:AJ110)</f>
        <v>934.396162418536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489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-16.886293224631</v>
      </c>
      <c r="AA112" s="48" t="n">
        <f aca="false">-In_CIT*(MAX(0,AA106)+AA109)-In_RH_On*In_RH_Rate*MAX(0,AA106)</f>
        <v>-16.978808831984</v>
      </c>
      <c r="AB112" s="48" t="n">
        <f aca="false">-In_CIT*(MAX(0,AB106)+AB109)-In_RH_On*In_RH_Rate*MAX(0,AB106)</f>
        <v>-18.2416191640139</v>
      </c>
      <c r="AC112" s="48" t="n">
        <f aca="false">-In_CIT*(MAX(0,AC106)+AC109)-In_RH_On*In_RH_Rate*MAX(0,AC106)</f>
        <v>-19.5224799705427</v>
      </c>
      <c r="AD112" s="48" t="n">
        <f aca="false">-In_CIT*(MAX(0,AD106)+AD109)-In_RH_On*In_RH_Rate*MAX(0,AD106)</f>
        <v>-19.3875280806775</v>
      </c>
      <c r="AE112" s="48" t="n">
        <f aca="false">-In_CIT*(MAX(0,AE106)+AE109)-In_RH_On*In_RH_Rate*MAX(0,AE106)</f>
        <v>-20.2886713939478</v>
      </c>
      <c r="AF112" s="48" t="n">
        <f aca="false">-In_CIT*(MAX(0,AF106)+AF109)-In_RH_On*In_RH_Rate*MAX(0,AF106)</f>
        <v>-20.7922872960267</v>
      </c>
      <c r="AG112" s="48" t="n">
        <f aca="false">-In_CIT*(MAX(0,AG106)+AG109)-In_RH_On*In_RH_Rate*MAX(0,AG106)</f>
        <v>-22.1066419810266</v>
      </c>
      <c r="AH112" s="48" t="n">
        <f aca="false">-In_CIT*(MAX(0,AH106)+AH109)-In_RH_On*In_RH_Rate*MAX(0,AH106)</f>
        <v>-21.9953507414597</v>
      </c>
      <c r="AI112" s="48" t="n">
        <f aca="false">-In_CIT*(MAX(0,AI106)+AI109)-In_RH_On*In_RH_Rate*MAX(0,AI106)</f>
        <v>-22.0968937596013</v>
      </c>
      <c r="AJ112" s="48" t="n">
        <f aca="false">-In_CIT*(MAX(0,AJ106)+AJ109)-In_RH_On*In_RH_Rate*MAX(0,AJ106)</f>
        <v>-25.9135500957921</v>
      </c>
      <c r="AK112" s="48" t="n">
        <f aca="false">-In_CIT*(MAX(0,AK106)+AK109)-In_RH_On*In_RH_Rate*MAX(0,AK106)</f>
        <v>-27.3049372956593</v>
      </c>
      <c r="AL112" s="48" t="n">
        <f aca="false">-In_CIT*(MAX(0,AL106)+AL109)-In_RH_On*In_RH_Rate*MAX(0,AL106)</f>
        <v>-54.4680631833249</v>
      </c>
      <c r="AM112" s="48" t="n">
        <f aca="false">-In_CIT*(MAX(0,AM106)+AM109)-In_RH_On*In_RH_Rate*MAX(0,AM106)</f>
        <v>-54.578362515377</v>
      </c>
      <c r="AN112" s="48" t="n">
        <f aca="false">-In_CIT*(MAX(0,AN106)+AN109)-In_RH_On*In_RH_Rate*MAX(0,AN106)</f>
        <v>-57.3671588061698</v>
      </c>
      <c r="AO112" s="48" t="n">
        <f aca="false">-In_CIT*(MAX(0,AO106)+AO109)-In_RH_On*In_RH_Rate*MAX(0,AO106)</f>
        <v>-60.1932939769301</v>
      </c>
      <c r="AP112" s="48" t="n">
        <f aca="false">-In_CIT*(MAX(0,AP106)+AP109)-In_RH_On*In_RH_Rate*MAX(0,AP106)</f>
        <v>-60.0740965081316</v>
      </c>
      <c r="AQ112" s="48" t="n">
        <f aca="false">-In_CIT*(MAX(0,AQ106)+AQ109)-In_RH_On*In_RH_Rate*MAX(0,AQ106)</f>
        <v>-60.1960068331475</v>
      </c>
      <c r="AR112" s="48" t="n">
        <f aca="false">-In_CIT*(MAX(0,AR106)+AR109)-In_RH_On*In_RH_Rate*MAX(0,AR106)</f>
        <v>-63.0547832753783</v>
      </c>
      <c r="AS112" s="48" t="n">
        <f aca="false">-In_CIT*(MAX(0,AS106)+AS109)-In_RH_On*In_RH_Rate*MAX(0,AS106)</f>
        <v>-65.95163726333</v>
      </c>
      <c r="AT112" s="48" t="n">
        <f aca="false">-In_CIT*(MAX(0,AT106)+AT109)-In_RH_On*In_RH_Rate*MAX(0,AT106)</f>
        <v>-65.8844378858316</v>
      </c>
      <c r="AU112" s="48" t="n">
        <f aca="false">-In_CIT*(MAX(0,AU106)+AU109)-In_RH_On*In_RH_Rate*MAX(0,AU106)</f>
        <v>-67.7301064924391</v>
      </c>
      <c r="AV112" s="48" t="n">
        <f aca="false">-In_CIT*(MAX(0,AV106)+AV109)-In_RH_On*In_RH_Rate*MAX(0,AV106)</f>
        <v>-68.9758354874802</v>
      </c>
      <c r="AW112" s="48" t="n">
        <f aca="false">-In_CIT*(MAX(0,AW106)+AW109)-In_RH_On*In_RH_Rate*MAX(0,AW106)</f>
        <v>-71.9459246834938</v>
      </c>
      <c r="AX112" s="48" t="n">
        <f aca="false">-In_CIT*(MAX(0,AX106)+AX109)-In_RH_On*In_RH_Rate*MAX(0,AX106)</f>
        <v>-71.9336068263615</v>
      </c>
      <c r="AY112" s="48" t="n">
        <f aca="false">-In_CIT*(MAX(0,AY106)+AY109)-In_RH_On*In_RH_Rate*MAX(0,AY106)</f>
        <v>-72.085489453143</v>
      </c>
      <c r="AZ112" s="48" t="n">
        <f aca="false">-In_CIT*(MAX(0,AZ106)+AZ109)-In_RH_On*In_RH_Rate*MAX(0,AZ106)</f>
        <v>-75.0912326583209</v>
      </c>
      <c r="BA112" s="48" t="n">
        <f aca="false">-In_CIT*(MAX(0,BA106)+BA109)-In_RH_On*In_RH_Rate*MAX(0,BA106)</f>
        <v>-78.1366177672074</v>
      </c>
      <c r="BB112" s="48" t="n">
        <f aca="false">-In_CIT*(MAX(0,BB106)+BB109)-In_RH_On*In_RH_Rate*MAX(0,BB106)</f>
        <v>-78.18161753557</v>
      </c>
      <c r="BC112" s="48" t="n">
        <f aca="false">-In_CIT*(MAX(0,BC106)+BC109)-In_RH_On*In_RH_Rate*MAX(0,BC106)</f>
        <v>-78.3518012926789</v>
      </c>
      <c r="BD112" s="48" t="n">
        <f aca="false">-In_CIT*(MAX(0,BD106)+BD109)-In_RH_On*In_RH_Rate*MAX(0,BD106)</f>
        <v>-81.4344550222881</v>
      </c>
      <c r="BE112" s="48" t="n">
        <f aca="false">-In_CIT*(MAX(0,BE106)+BE109)-In_RH_On*In_RH_Rate*MAX(0,BE106)</f>
        <v>-84.5575756275407</v>
      </c>
      <c r="BF112" s="48" t="n">
        <f aca="false">-In_CIT*(MAX(0,BF106)+BF109)-In_RH_On*In_RH_Rate*MAX(0,BF106)</f>
        <v>-84.6627263349583</v>
      </c>
      <c r="BG112" s="48" t="n">
        <f aca="false">-In_CIT*(MAX(0,BG106)+BG109)-In_RH_On*In_RH_Rate*MAX(0,BG106)</f>
        <v>-84.8536638903764</v>
      </c>
      <c r="BH112" s="48" t="n">
        <f aca="false">-In_CIT*(MAX(0,BH106)+BH109)-In_RH_On*In_RH_Rate*MAX(0,BH106)</f>
        <v>-88.0157478192608</v>
      </c>
      <c r="BI112" s="48" t="n">
        <f aca="false">-In_CIT*(MAX(0,BI106)+BI109)-In_RH_On*In_RH_Rate*MAX(0,BI106)</f>
        <v>-91.2191549334207</v>
      </c>
      <c r="BJ112" s="48" t="n">
        <f aca="false">-In_CIT*(MAX(0,BJ106)+BJ109)-In_RH_On*In_RH_Rate*MAX(0,BJ106)</f>
        <v>-91.3874169520422</v>
      </c>
      <c r="BK112" s="48" t="n">
        <f aca="false">-In_CIT*(MAX(0,BK106)+BK109)-In_RH_On*In_RH_Rate*MAX(0,BK106)</f>
        <v>-93.3517023458549</v>
      </c>
      <c r="BL112" s="48" t="n">
        <f aca="false">-In_CIT*(MAX(0,BL106)+BL109)-In_RH_On*In_RH_Rate*MAX(0,BL106)</f>
        <v>-94.8708568143714</v>
      </c>
      <c r="BM112" s="48" t="n">
        <f aca="false">-In_CIT*(MAX(0,BM106)+BM109)-In_RH_On*In_RH_Rate*MAX(0,BM106)</f>
        <v>-98.1575060532142</v>
      </c>
      <c r="BN112" s="48" t="n">
        <f aca="false">-In_CIT*(MAX(0,BN106)+BN109)-In_RH_On*In_RH_Rate*MAX(0,BN106)</f>
        <v>-98.392263746269</v>
      </c>
      <c r="BO112" s="48" t="n">
        <f aca="false">-In_CIT*(MAX(0,BO106)+BO109)-In_RH_On*In_RH_Rate*MAX(0,BO106)</f>
        <v>-98.632855770362</v>
      </c>
      <c r="BP112" s="48" t="n">
        <f aca="false">-In_CIT*(MAX(0,BP106)+BP109)-In_RH_On*In_RH_Rate*MAX(0,BP106)</f>
        <v>-101.962123829949</v>
      </c>
      <c r="BQ112" s="48" t="n">
        <f aca="false">-In_CIT*(MAX(0,BQ106)+BQ109)-In_RH_On*In_RH_Rate*MAX(0,BQ106)</f>
        <v>-105.334530837058</v>
      </c>
      <c r="BR112" s="48" t="n">
        <f aca="false">-In_CIT*(MAX(0,BR106)+BR109)-In_RH_On*In_RH_Rate*MAX(0,BR106)</f>
        <v>-105.638738663274</v>
      </c>
      <c r="BS112" s="48" t="n">
        <f aca="false">-In_CIT*(MAX(0,BS106)+BS109)-In_RH_On*In_RH_Rate*MAX(0,BS106)</f>
        <v>-105.908212276601</v>
      </c>
      <c r="BT112" s="48" t="n">
        <f aca="false">-In_CIT*(MAX(0,BT106)+BT109)-In_RH_On*In_RH_Rate*MAX(0,BT106)</f>
        <v>-109.325197678237</v>
      </c>
      <c r="BU112" s="48" t="n">
        <f aca="false">-In_CIT*(MAX(0,BU106)+BU109)-In_RH_On*In_RH_Rate*MAX(0,BU106)</f>
        <v>-112.786281231187</v>
      </c>
      <c r="BV112" s="48" t="n">
        <f aca="false">-In_CIT*(MAX(0,BV106)+BV109)-In_RH_On*In_RH_Rate*MAX(0,BV106)</f>
        <v>-113.16331695488</v>
      </c>
      <c r="BW112" s="48" t="n">
        <f aca="false">-In_CIT*(MAX(0,BW106)+BW109)-In_RH_On*In_RH_Rate*MAX(0,BW106)</f>
        <v>-113.464649334113</v>
      </c>
      <c r="BX112" s="48" t="n">
        <f aca="false">-In_CIT*(MAX(0,BX106)+BX109)-In_RH_On*In_RH_Rate*MAX(0,BX106)</f>
        <v>-116.972367703491</v>
      </c>
      <c r="BY112" s="48" t="n">
        <f aca="false">-In_CIT*(MAX(0,BY106)+BY109)-In_RH_On*In_RH_Rate*MAX(0,BY106)</f>
        <v>-120.525180815106</v>
      </c>
      <c r="BZ112" s="48" t="n">
        <f aca="false">-In_CIT*(MAX(0,BZ106)+BZ109)-In_RH_On*In_RH_Rate*MAX(0,BZ106)</f>
        <v>-120.978573929514</v>
      </c>
      <c r="CA112" s="48" t="n">
        <f aca="false">-In_CIT*(MAX(0,CA106)+CA109)-In_RH_On*In_RH_Rate*MAX(0,CA106)</f>
        <v>-123.098004105147</v>
      </c>
      <c r="CB112" s="48" t="n">
        <f aca="false">-In_CIT*(MAX(0,CB106)+CB109)-In_RH_On*In_RH_Rate*MAX(0,CB106)</f>
        <v>-124.941706180995</v>
      </c>
      <c r="CC112" s="48" t="n">
        <f aca="false">-In_CIT*(MAX(0,CC106)+CC109)-In_RH_On*In_RH_Rate*MAX(0,CC106)</f>
        <v>-128.58973250453</v>
      </c>
      <c r="CD112" s="48" t="n">
        <f aca="false">-In_CIT*(MAX(0,CD106)+CD109)-In_RH_On*In_RH_Rate*MAX(0,CD106)</f>
        <v>-129.123464472379</v>
      </c>
      <c r="CE112" s="48" t="n">
        <f aca="false">-In_CIT*(MAX(0,CE106)+CE109)-In_RH_On*In_RH_Rate*MAX(0,CE106)</f>
        <v>-129.498335838174</v>
      </c>
      <c r="CF112" s="48" t="n">
        <f aca="false">-In_CIT*(MAX(0,CF106)+CF109)-In_RH_On*In_RH_Rate*MAX(0,CF106)</f>
        <v>-133.197429498161</v>
      </c>
      <c r="CG112" s="48" t="n">
        <f aca="false">-In_CIT*(MAX(0,CG106)+CG109)-In_RH_On*In_RH_Rate*MAX(0,CG106)</f>
        <v>-136.943733534847</v>
      </c>
      <c r="CH112" s="48" t="n">
        <f aca="false">-In_CIT*(MAX(0,CH106)+CH109)-In_RH_On*In_RH_Rate*MAX(0,CH106)</f>
        <v>-137.561378656614</v>
      </c>
      <c r="CI112" s="48" t="n">
        <f aca="false">-In_CIT*(MAX(0,CI106)+CI109)-In_RH_On*In_RH_Rate*MAX(0,CI106)</f>
        <v>-137.977961383218</v>
      </c>
      <c r="CJ112" s="48" t="n">
        <f aca="false">-In_CIT*(MAX(0,CJ106)+CJ109)-In_RH_On*In_RH_Rate*MAX(0,CJ106)</f>
        <v>-141.777709278762</v>
      </c>
      <c r="CK112" s="48" t="n">
        <f aca="false">-In_CIT*(MAX(0,CK106)+CK109)-In_RH_On*In_RH_Rate*MAX(0,CK106)</f>
        <v>-145.625786922548</v>
      </c>
      <c r="CL112" s="48" t="n">
        <f aca="false">-In_CIT*(MAX(0,CL106)+CL109)-In_RH_On*In_RH_Rate*MAX(0,CL106)</f>
        <v>-146.331373112562</v>
      </c>
      <c r="CM112" s="48" t="n">
        <f aca="false">-In_CIT*(MAX(0,CM106)+CM109)-In_RH_On*In_RH_Rate*MAX(0,CM106)</f>
        <v>-146.793273634272</v>
      </c>
      <c r="CN112" s="48" t="n">
        <f aca="false">-In_CIT*(MAX(0,CN106)+CN109)-In_RH_On*In_RH_Rate*MAX(0,CN106)</f>
        <v>-150.697288700495</v>
      </c>
      <c r="CO112" s="48" t="n">
        <f aca="false">-In_CIT*(MAX(0,CO106)+CO109)-In_RH_On*In_RH_Rate*MAX(0,CO106)</f>
        <v>-154.650797526829</v>
      </c>
      <c r="CP112" s="48" t="n">
        <f aca="false">-In_CIT*(MAX(0,CP106)+CP109)-In_RH_On*In_RH_Rate*MAX(0,CP106)</f>
        <v>-155.448533957699</v>
      </c>
      <c r="CQ112" s="48" t="n">
        <f aca="false">-In_CIT*(MAX(0,CQ106)+CQ109)-In_RH_On*In_RH_Rate*MAX(0,CQ106)</f>
        <v>-157.767861040622</v>
      </c>
      <c r="CR112" s="48" t="n">
        <f aca="false">-In_CIT*(MAX(0,CR106)+CR109)-In_RH_On*In_RH_Rate*MAX(0,CR106)</f>
        <v>-159.996950919905</v>
      </c>
      <c r="CS112" s="48" t="n">
        <f aca="false">-In_CIT*(MAX(0,CS106)+CS109)-In_RH_On*In_RH_Rate*MAX(0,CS106)</f>
        <v>-164.060009528408</v>
      </c>
      <c r="CT112" s="48" t="n">
        <f aca="false">-In_CIT*(MAX(0,CT106)+CT109)-In_RH_On*In_RH_Rate*MAX(0,CT106)</f>
        <v>-164.954589886834</v>
      </c>
      <c r="CU112" s="48" t="n">
        <f aca="false">-In_CIT*(MAX(0,CU106)+CU109)-In_RH_On*In_RH_Rate*MAX(0,CU106)</f>
        <v>-163.194375284734</v>
      </c>
      <c r="CV112" s="48" t="n">
        <f aca="false">-In_CIT*(MAX(0,CV106)+CV109)-In_RH_On*In_RH_Rate*MAX(0,CV106)</f>
        <v>-165.007646121231</v>
      </c>
      <c r="CW112" s="48" t="n">
        <f aca="false">-In_CIT*(MAX(0,CW106)+CW109)-In_RH_On*In_RH_Rate*MAX(0,CW106)</f>
        <v>-166.820916957728</v>
      </c>
      <c r="CX112" s="48" t="n">
        <f aca="false">-In_CIT*(MAX(0,CX106)+CX109)-In_RH_On*In_RH_Rate*MAX(0,CX106)</f>
        <v>-165.401027748061</v>
      </c>
      <c r="CY112" s="48" t="n">
        <f aca="false">-In_CIT*(MAX(0,CY106)+CY109)-In_RH_On*In_RH_Rate*MAX(0,CY106)</f>
        <v>-163.58723366555</v>
      </c>
      <c r="CZ112" s="48" t="n">
        <f aca="false">-In_CIT*(MAX(0,CZ106)+CZ109)-In_RH_On*In_RH_Rate*MAX(0,CZ106)</f>
        <v>-165.404869595167</v>
      </c>
      <c r="DA112" s="48" t="n">
        <f aca="false">-In_CIT*(MAX(0,DA106)+DA109)-In_RH_On*In_RH_Rate*MAX(0,DA106)</f>
        <v>-167.222505524784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-375.824783779586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-369.569862589466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-376.328687856251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-373.952073960705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-378.105320721435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-373.973220625401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-376.594806166359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-377.991855047369</v>
      </c>
      <c r="EH112" s="48" t="n">
        <f aca="false">-In_CIT*(MAX(0,EH106)+EH109)-In_RH_On*In_RH_Rate*MAX(0,EH106)</f>
        <v>-376.495273595488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-373.723462116482</v>
      </c>
      <c r="EK112" s="48" t="n">
        <f aca="false">-In_CIT*(MAX(0,EK106)+EK109)-In_RH_On*In_RH_Rate*MAX(0,EK106)</f>
        <v>-377.830313348531</v>
      </c>
      <c r="EL112" s="48" t="n">
        <f aca="false">-In_CIT*(MAX(0,EL106)+EL109)-In_RH_On*In_RH_Rate*MAX(0,EL106)</f>
        <v>-376.325151374578</v>
      </c>
      <c r="EM112" s="48" t="n">
        <f aca="false">-In_CIT*(MAX(0,EM106)+EM109)-In_RH_On*In_RH_Rate*MAX(0,EM106)</f>
        <v>-373.491708815651</v>
      </c>
      <c r="EN112" s="48" t="n">
        <f aca="false">-In_CIT*(MAX(0,EN106)+EN109)-In_RH_On*In_RH_Rate*MAX(0,EN106)</f>
        <v>-373.491708815651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490</v>
      </c>
      <c r="D113" s="11" t="s">
        <v>33</v>
      </c>
      <c r="I113" s="48" t="n">
        <f aca="false">SUM(J113:EO113)</f>
        <v>1.56550612473438E-008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8.10729261502274E-012</v>
      </c>
      <c r="AB113" s="48" t="n">
        <f aca="false">ABS(AB112-AB85)</f>
        <v>1.64988023243495E-011</v>
      </c>
      <c r="AC113" s="48" t="n">
        <f aca="false">ABS(AC112-AC85)</f>
        <v>2.5359270239278E-011</v>
      </c>
      <c r="AD113" s="48" t="n">
        <f aca="false">ABS(AD112-AD85)</f>
        <v>3.46602746503777E-011</v>
      </c>
      <c r="AE113" s="48" t="n">
        <f aca="false">ABS(AE112-AE85)</f>
        <v>4.43094450019999E-011</v>
      </c>
      <c r="AF113" s="48" t="n">
        <f aca="false">ABS(AF112-AF85)</f>
        <v>5.42534905889625E-011</v>
      </c>
      <c r="AG113" s="48" t="n">
        <f aca="false">ABS(AG112-AG85)</f>
        <v>6.45137276933383E-011</v>
      </c>
      <c r="AH113" s="48" t="n">
        <f aca="false">ABS(AH112-AH85)</f>
        <v>7.51612105887034E-011</v>
      </c>
      <c r="AI113" s="48" t="n">
        <f aca="false">ABS(AI112-AI85)</f>
        <v>8.60467253005481E-011</v>
      </c>
      <c r="AJ113" s="48" t="n">
        <f aca="false">ABS(AJ112-AJ85)</f>
        <v>9.70672431321873E-011</v>
      </c>
      <c r="AK113" s="48" t="n">
        <f aca="false">ABS(AK112-AK85)</f>
        <v>1.08506981177925E-010</v>
      </c>
      <c r="AL113" s="48" t="n">
        <f aca="false">ABS(AL112-AL85)</f>
        <v>2.40497399772721E-010</v>
      </c>
      <c r="AM113" s="48" t="n">
        <f aca="false">ABS(AM112-AM85)</f>
        <v>2.68414623860735E-010</v>
      </c>
      <c r="AN113" s="48" t="n">
        <f aca="false">ABS(AN112-AN85)</f>
        <v>2.95237612135679E-010</v>
      </c>
      <c r="AO113" s="48" t="n">
        <f aca="false">ABS(AO112-AO85)</f>
        <v>3.21108473144705E-010</v>
      </c>
      <c r="AP113" s="48" t="n">
        <f aca="false">ABS(AP112-AP85)</f>
        <v>3.45849571203871E-010</v>
      </c>
      <c r="AQ113" s="48" t="n">
        <f aca="false">ABS(AQ112-AQ85)</f>
        <v>3.69048791526438E-010</v>
      </c>
      <c r="AR113" s="48" t="n">
        <f aca="false">ABS(AR112-AR85)</f>
        <v>3.90315335607738E-010</v>
      </c>
      <c r="AS113" s="48" t="n">
        <f aca="false">ABS(AS112-AS85)</f>
        <v>4.09897893405287E-010</v>
      </c>
      <c r="AT113" s="48" t="n">
        <f aca="false">ABS(AT112-AT85)</f>
        <v>4.2768988350872E-010</v>
      </c>
      <c r="AU113" s="48" t="n">
        <f aca="false">ABS(AU112-AU85)</f>
        <v>4.43378667114303E-010</v>
      </c>
      <c r="AV113" s="48" t="n">
        <f aca="false">ABS(AV112-AV85)</f>
        <v>4.56850557384314E-010</v>
      </c>
      <c r="AW113" s="48" t="n">
        <f aca="false">ABS(AW112-AW85)</f>
        <v>4.68091343464039E-010</v>
      </c>
      <c r="AX113" s="48" t="n">
        <f aca="false">ABS(AX112-AX85)</f>
        <v>4.77214712191199E-010</v>
      </c>
      <c r="AY113" s="48" t="n">
        <f aca="false">ABS(AY112-AY85)</f>
        <v>4.8402171159978E-010</v>
      </c>
      <c r="AZ113" s="48" t="n">
        <f aca="false">ABS(AZ112-AZ85)</f>
        <v>4.88242335450195E-010</v>
      </c>
      <c r="BA113" s="48" t="n">
        <f aca="false">ABS(BA112-BA85)</f>
        <v>4.903029093839E-010</v>
      </c>
      <c r="BB113" s="48" t="n">
        <f aca="false">ABS(BB112-BB85)</f>
        <v>4.90274487674469E-010</v>
      </c>
      <c r="BC113" s="48" t="n">
        <f aca="false">ABS(BC112-BC85)</f>
        <v>4.87943907501176E-010</v>
      </c>
      <c r="BD113" s="48" t="n">
        <f aca="false">ABS(BD112-BD85)</f>
        <v>4.83154849462153E-010</v>
      </c>
      <c r="BE113" s="48" t="n">
        <f aca="false">ABS(BE112-BE85)</f>
        <v>4.76390482617717E-010</v>
      </c>
      <c r="BF113" s="48" t="n">
        <f aca="false">ABS(BF112-BF85)</f>
        <v>4.67736072096159E-010</v>
      </c>
      <c r="BG113" s="48" t="n">
        <f aca="false">ABS(BG112-BG85)</f>
        <v>4.57077931059757E-010</v>
      </c>
      <c r="BH113" s="48" t="n">
        <f aca="false">ABS(BH112-BH85)</f>
        <v>4.44288161816075E-010</v>
      </c>
      <c r="BI113" s="48" t="n">
        <f aca="false">ABS(BI112-BI85)</f>
        <v>4.29949409408437E-010</v>
      </c>
      <c r="BJ113" s="48" t="n">
        <f aca="false">ABS(BJ112-BJ85)</f>
        <v>4.14090095546271E-010</v>
      </c>
      <c r="BK113" s="48" t="n">
        <f aca="false">ABS(BK112-BK85)</f>
        <v>3.96752852793725E-010</v>
      </c>
      <c r="BL113" s="48" t="n">
        <f aca="false">ABS(BL112-BL85)</f>
        <v>3.77966102860228E-010</v>
      </c>
      <c r="BM113" s="48" t="n">
        <f aca="false">ABS(BM112-BM85)</f>
        <v>3.57985641130654E-010</v>
      </c>
      <c r="BN113" s="48" t="n">
        <f aca="false">ABS(BN112-BN85)</f>
        <v>3.37109895554022E-010</v>
      </c>
      <c r="BO113" s="48" t="n">
        <f aca="false">ABS(BO112-BO85)</f>
        <v>3.15296233566187E-010</v>
      </c>
      <c r="BP113" s="48" t="n">
        <f aca="false">ABS(BP112-BP85)</f>
        <v>2.92502022603003E-010</v>
      </c>
      <c r="BQ113" s="48" t="n">
        <f aca="false">ABS(BQ112-BQ85)</f>
        <v>2.69324118562508E-010</v>
      </c>
      <c r="BR113" s="48" t="n">
        <f aca="false">ABS(BR112-BR85)</f>
        <v>2.45918840846571E-010</v>
      </c>
      <c r="BS113" s="48" t="n">
        <f aca="false">ABS(BS112-BS85)</f>
        <v>2.22229346036329E-010</v>
      </c>
      <c r="BT113" s="48" t="n">
        <f aca="false">ABS(BT112-BT85)</f>
        <v>1.98255634131783E-010</v>
      </c>
      <c r="BU113" s="48" t="n">
        <f aca="false">ABS(BU112-BU85)</f>
        <v>1.74551928466826E-010</v>
      </c>
      <c r="BV113" s="48" t="n">
        <f aca="false">ABS(BV112-BV85)</f>
        <v>1.51317181007471E-010</v>
      </c>
      <c r="BW113" s="48" t="n">
        <f aca="false">ABS(BW112-BW85)</f>
        <v>1.28480337480141E-010</v>
      </c>
      <c r="BX113" s="48" t="n">
        <f aca="false">ABS(BX112-BX85)</f>
        <v>1.05984554465977E-010</v>
      </c>
      <c r="BY113" s="48" t="n">
        <f aca="false">ABS(BY112-BY85)</f>
        <v>8.44551095724455E-011</v>
      </c>
      <c r="BZ113" s="48" t="n">
        <f aca="false">ABS(BZ112-BZ85)</f>
        <v>6.39914787825546E-011</v>
      </c>
      <c r="CA113" s="48" t="n">
        <f aca="false">ABS(CA112-CA85)</f>
        <v>4.45794512415887E-011</v>
      </c>
      <c r="CB113" s="48" t="n">
        <f aca="false">ABS(CB112-CB85)</f>
        <v>2.62900812231237E-011</v>
      </c>
      <c r="CC113" s="48" t="n">
        <f aca="false">ABS(CC112-CC85)</f>
        <v>9.35074240260292E-012</v>
      </c>
      <c r="CD113" s="48" t="n">
        <f aca="false">ABS(CD112-CD85)</f>
        <v>5.99698068981525E-012</v>
      </c>
      <c r="CE113" s="48" t="n">
        <f aca="false">ABS(CE112-CE85)</f>
        <v>1.97530880541308E-011</v>
      </c>
      <c r="CF113" s="48" t="n">
        <f aca="false">ABS(CF112-CF85)</f>
        <v>3.21449533657869E-011</v>
      </c>
      <c r="CG113" s="48" t="n">
        <f aca="false">ABS(CG112-CG85)</f>
        <v>4.25472990173148E-011</v>
      </c>
      <c r="CH113" s="48" t="n">
        <f aca="false">ABS(CH112-CH85)</f>
        <v>5.09601250087144E-011</v>
      </c>
      <c r="CI113" s="48" t="n">
        <f aca="false">ABS(CI112-CI85)</f>
        <v>5.75255398871377E-011</v>
      </c>
      <c r="CJ113" s="48" t="n">
        <f aca="false">ABS(CJ112-CJ85)</f>
        <v>6.24140739091672E-011</v>
      </c>
      <c r="CK113" s="48" t="n">
        <f aca="false">ABS(CK112-CK85)</f>
        <v>6.50857145956252E-011</v>
      </c>
      <c r="CL113" s="48" t="n">
        <f aca="false">ABS(CL112-CL85)</f>
        <v>6.55973053653725E-011</v>
      </c>
      <c r="CM113" s="48" t="n">
        <f aca="false">ABS(CM112-CM85)</f>
        <v>6.41193764749914E-011</v>
      </c>
      <c r="CN113" s="48" t="n">
        <f aca="false">ABS(CN112-CN85)</f>
        <v>6.08793015999254E-011</v>
      </c>
      <c r="CO113" s="48" t="n">
        <f aca="false">ABS(CO112-CO85)</f>
        <v>5.5507598517579E-011</v>
      </c>
      <c r="CP113" s="48" t="n">
        <f aca="false">ABS(CP112-CP85)</f>
        <v>4.7975845518522E-011</v>
      </c>
      <c r="CQ113" s="48" t="n">
        <f aca="false">ABS(CQ112-CQ85)</f>
        <v>3.85966814064886E-011</v>
      </c>
      <c r="CR113" s="48" t="n">
        <f aca="false">ABS(CR112-CR85)</f>
        <v>2.74553713097703E-011</v>
      </c>
      <c r="CS113" s="48" t="n">
        <f aca="false">ABS(CS112-CS85)</f>
        <v>1.46087586472277E-011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491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91963.75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4205.75934932964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113429.424251311</v>
      </c>
    </row>
    <row r="124" customFormat="false" ht="15" hidden="false" customHeight="false" outlineLevel="0" collapsed="false">
      <c r="C124" s="0" t="s">
        <v>492</v>
      </c>
      <c r="D124" s="11" t="s">
        <v>33</v>
      </c>
      <c r="E124" s="48" t="n">
        <f aca="false">$E123-$E98</f>
        <v>54373.9265999892</v>
      </c>
      <c r="F124" s="48" t="n">
        <f aca="false">$E124+$E101</f>
        <v>55619.9291322218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0.520636493053868</v>
      </c>
    </row>
    <row r="126" customFormat="false" ht="15" hidden="false" customHeight="false" outlineLevel="0" collapsed="false">
      <c r="C126" s="0" t="s">
        <v>493</v>
      </c>
      <c r="D126" s="11" t="s">
        <v>33</v>
      </c>
      <c r="E126" s="48" t="n">
        <f aca="false">$E87*In_DSCR/In_DSCR_Max_Low</f>
        <v>101014.094929723</v>
      </c>
      <c r="F126" s="48" t="n">
        <f aca="false">$E87*In_DSCR/In_DSCR_Max_High</f>
        <v>92596.2536855795</v>
      </c>
    </row>
    <row r="127" customFormat="false" ht="15" hidden="false" customHeight="false" outlineLevel="0" collapsed="false">
      <c r="C127" s="0" t="s">
        <v>494</v>
      </c>
      <c r="D127" s="11" t="s">
        <v>27</v>
      </c>
      <c r="E127" s="49" t="n">
        <f aca="false">$E126/$E123</f>
        <v>0.890545778544366</v>
      </c>
      <c r="F127" s="49" t="n">
        <f aca="false">$F126/$E123</f>
        <v>0.816333630332335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495</v>
      </c>
      <c r="D130" s="11" t="s">
        <v>33</v>
      </c>
      <c r="I130" s="48" t="n">
        <f aca="false">SUM(J130:EO130)</f>
        <v>-54373.9265999892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-6452.06801054133</v>
      </c>
      <c r="S130" s="48" t="n">
        <f aca="false">(S62+S69+S95+S99+S100+S82)*(S$4&lt;=In_COD)</f>
        <v>-8957.34206285879</v>
      </c>
      <c r="T130" s="48" t="n">
        <f aca="false">(T62+T69+T95+T99+T100+T82)*(T$4&lt;=In_COD)</f>
        <v>-5322.36727647646</v>
      </c>
      <c r="U130" s="48" t="n">
        <f aca="false">(U62+U69+U95+U99+U100+U82)*(U$4&lt;=In_COD)</f>
        <v>-5366.55155799786</v>
      </c>
      <c r="V130" s="48" t="n">
        <f aca="false">(V62+V69+V95+V99+V100+V82)*(V$4&lt;=In_COD)</f>
        <v>-5352.09110822868</v>
      </c>
      <c r="W130" s="48" t="n">
        <f aca="false">(W62+W69+W95+W99+W100+W82)*(W$4&lt;=In_COD)</f>
        <v>-5222.63714053528</v>
      </c>
      <c r="X130" s="48" t="n">
        <f aca="false">(X62+X69+X95+X99+X100+X82)*(X$4&lt;=In_COD)</f>
        <v>-5266.67411180264</v>
      </c>
      <c r="Y130" s="48" t="n">
        <f aca="false">(Y62+Y69+Y95+Y99+Y100+Y82)*(Y$4&lt;=In_COD)</f>
        <v>-6435.24638052543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496</v>
      </c>
      <c r="D131" s="11" t="s">
        <v>33</v>
      </c>
      <c r="E131" s="48" t="n">
        <f aca="false">IF($E41=1,In_COD_Price,In_COD_Price_CN)*$F25*(1-$E29)</f>
        <v>134137.5</v>
      </c>
    </row>
    <row r="132" customFormat="false" ht="15" hidden="false" customHeight="false" outlineLevel="0" collapsed="false">
      <c r="C132" s="0" t="s">
        <v>497</v>
      </c>
      <c r="D132" s="11" t="s">
        <v>33</v>
      </c>
      <c r="E132" s="48" t="n">
        <f aca="false">$E131+$I61-$E98-In_Sale_Costs</f>
        <v>74582.0023486781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498</v>
      </c>
      <c r="D134" s="11" t="s">
        <v>33</v>
      </c>
      <c r="I134" s="57" t="n">
        <f aca="false">SUM(J134:EO134)</f>
        <v>20208.0757486889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-6452.06801054133</v>
      </c>
      <c r="S134" s="57" t="n">
        <f aca="false">S130+($E132+$E133)*S14</f>
        <v>-8957.34206285879</v>
      </c>
      <c r="T134" s="57" t="n">
        <f aca="false">T130+($E132+$E133)*T14</f>
        <v>-5322.36727647646</v>
      </c>
      <c r="U134" s="57" t="n">
        <f aca="false">U130+($E132+$E133)*U14</f>
        <v>-5366.55155799786</v>
      </c>
      <c r="V134" s="57" t="n">
        <f aca="false">V130+($E132+$E133)*V14</f>
        <v>-5352.09110822868</v>
      </c>
      <c r="W134" s="57" t="n">
        <f aca="false">W130+($E132+$E133)*W14</f>
        <v>-5222.63714053528</v>
      </c>
      <c r="X134" s="57" t="n">
        <f aca="false">X130+($E132+$E133)*X14</f>
        <v>-5266.67411180264</v>
      </c>
      <c r="Y134" s="57" t="n">
        <f aca="false">Y130+($E132+$E133)*Y14</f>
        <v>68146.7559681527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0.2632612602034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1.37165010901922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10990.2192290749</v>
      </c>
    </row>
    <row r="138" customFormat="false" ht="15" hidden="false" customHeight="false" outlineLevel="0" collapsed="false">
      <c r="A138" s="61"/>
      <c r="B138" s="61"/>
      <c r="C138" s="61" t="s">
        <v>499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500</v>
      </c>
      <c r="D139" s="11" t="s">
        <v>33</v>
      </c>
      <c r="I139" s="48" t="n">
        <f aca="false">SUM(J139:EO139)</f>
        <v>138459.731938147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-134137.5</v>
      </c>
      <c r="Z139" s="48" t="n">
        <f aca="false">(Z82+Z58+Z61+Z112)*(Z$4&gt;In_COD)-($E131+$I61)*Z14</f>
        <v>2344.40831738351</v>
      </c>
      <c r="AA139" s="48" t="n">
        <f aca="false">(AA82+AA58+AA61+AA112)*(AA$4&gt;In_COD)-($E131+$I61)*AA14</f>
        <v>2308.81150885312</v>
      </c>
      <c r="AB139" s="48" t="n">
        <f aca="false">(AB82+AB58+AB61+AB112)*(AB$4&gt;In_COD)-($E131+$I61)*AB14</f>
        <v>2333.39081316203</v>
      </c>
      <c r="AC139" s="48" t="n">
        <f aca="false">(AC82+AC58+AC61+AC112)*(AC$4&gt;In_COD)-($E131+$I61)*AC14</f>
        <v>2357.95206699645</v>
      </c>
      <c r="AD139" s="48" t="n">
        <f aca="false">(AD82+AD58+AD61+AD112)*(AD$4&gt;In_COD)-($E131+$I61)*AD14</f>
        <v>2349.61295731616</v>
      </c>
      <c r="AE139" s="48" t="n">
        <f aca="false">(AE82+AE58+AE61+AE112)*(AE$4&gt;In_COD)-($E131+$I61)*AE14</f>
        <v>2338.82920996354</v>
      </c>
      <c r="AF139" s="48" t="n">
        <f aca="false">(AF82+AF58+AF61+AF112)*(AF$4&gt;In_COD)-($E131+$I61)*AF14</f>
        <v>2338.32559406147</v>
      </c>
      <c r="AG139" s="48" t="n">
        <f aca="false">(AG82+AG58+AG61+AG112)*(AG$4&gt;In_COD)-($E131+$I61)*AG14</f>
        <v>2362.93561169908</v>
      </c>
      <c r="AH139" s="48" t="n">
        <f aca="false">(AH82+AH58+AH61+AH112)*(AH$4&gt;In_COD)-($E131+$I61)*AH14</f>
        <v>2354.51911128773</v>
      </c>
      <c r="AI139" s="48" t="n">
        <f aca="false">(AI82+AI58+AI61+AI112)*(AI$4&gt;In_COD)-($E131+$I61)*AI14</f>
        <v>2318.30520851514</v>
      </c>
      <c r="AJ139" s="48" t="n">
        <f aca="false">(AJ82+AJ58+AJ61+AJ112)*(AJ$4&gt;In_COD)-($E131+$I61)*AJ14</f>
        <v>2373.64850881668</v>
      </c>
      <c r="AK139" s="48" t="n">
        <f aca="false">(AK82+AK58+AK61+AK112)*(AK$4&gt;In_COD)-($E131+$I61)*AK14</f>
        <v>2398.62593545102</v>
      </c>
      <c r="AL139" s="48" t="n">
        <f aca="false">(AL82+AL58+AL61+AL112)*(AL$4&gt;In_COD)-($E131+$I61)*AL14</f>
        <v>2362.8811089252</v>
      </c>
      <c r="AM139" s="48" t="n">
        <f aca="false">(AM82+AM58+AM61+AM112)*(AM$4&gt;In_COD)-($E131+$I61)*AM14</f>
        <v>2325.62163944067</v>
      </c>
      <c r="AN139" s="48" t="n">
        <f aca="false">(AN82+AN58+AN61+AN112)*(AN$4&gt;In_COD)-($E131+$I61)*AN14</f>
        <v>2349.27950983828</v>
      </c>
      <c r="AO139" s="48" t="n">
        <f aca="false">(AO82+AO58+AO61+AO112)*(AO$4&gt;In_COD)-($E131+$I61)*AO14</f>
        <v>2372.90004135592</v>
      </c>
      <c r="AP139" s="48" t="n">
        <f aca="false">(AP82+AP58+AP61+AP112)*(AP$4&gt;In_COD)-($E131+$I61)*AP14</f>
        <v>2364.38345309831</v>
      </c>
      <c r="AQ139" s="48" t="n">
        <f aca="false">(AQ82+AQ58+AQ61+AQ112)*(AQ$4&gt;In_COD)-($E131+$I61)*AQ14</f>
        <v>2326.80148372089</v>
      </c>
      <c r="AR139" s="48" t="n">
        <f aca="false">(AR82+AR58+AR61+AR112)*(AR$4&gt;In_COD)-($E131+$I61)*AR14</f>
        <v>2350.46490161815</v>
      </c>
      <c r="AS139" s="48" t="n">
        <f aca="false">(AS82+AS58+AS61+AS112)*(AS$4&gt;In_COD)-($E131+$I61)*AS14</f>
        <v>2374.09024196968</v>
      </c>
      <c r="AT139" s="48" t="n">
        <f aca="false">(AT82+AT58+AT61+AT112)*(AT$4&gt;In_COD)-($E131+$I61)*AT14</f>
        <v>2365.46739734607</v>
      </c>
      <c r="AU139" s="48" t="n">
        <f aca="false">(AU82+AU58+AU61+AU112)*(AU$4&gt;In_COD)-($E131+$I61)*AU14</f>
        <v>2352.4432859618</v>
      </c>
      <c r="AV139" s="48" t="n">
        <f aca="false">(AV82+AV58+AV61+AV112)*(AV$4&gt;In_COD)-($E131+$I61)*AV14</f>
        <v>2351.19755696676</v>
      </c>
      <c r="AW139" s="48" t="n">
        <f aca="false">(AW82+AW58+AW61+AW112)*(AW$4&gt;In_COD)-($E131+$I61)*AW14</f>
        <v>2374.82277977574</v>
      </c>
      <c r="AX139" s="48" t="n">
        <f aca="false">(AX82+AX58+AX61+AX112)*(AX$4&gt;In_COD)-($E131+$I61)*AX14</f>
        <v>2366.09062519699</v>
      </c>
      <c r="AY139" s="48" t="n">
        <f aca="false">(AY82+AY58+AY61+AY112)*(AY$4&gt;In_COD)-($E131+$I61)*AY14</f>
        <v>2327.84844830153</v>
      </c>
      <c r="AZ139" s="48" t="n">
        <f aca="false">(AZ82+AZ58+AZ61+AZ112)*(AZ$4&gt;In_COD)-($E131+$I61)*AZ14</f>
        <v>2351.50863773808</v>
      </c>
      <c r="BA139" s="48" t="n">
        <f aca="false">(BA82+BA58+BA61+BA112)*(BA$4&gt;In_COD)-($E131+$I61)*BA14</f>
        <v>2375.12918527091</v>
      </c>
      <c r="BB139" s="48" t="n">
        <f aca="false">(BB82+BB58+BB61+BB112)*(BB$4&gt;In_COD)-($E131+$I61)*BB14</f>
        <v>2366.28511761287</v>
      </c>
      <c r="BC139" s="48" t="n">
        <f aca="false">(BC82+BC58+BC61+BC112)*(BC$4&gt;In_COD)-($E131+$I61)*BC14</f>
        <v>2327.70521874593</v>
      </c>
      <c r="BD139" s="48" t="n">
        <f aca="false">(BD82+BD58+BD61+BD112)*(BD$4&gt;In_COD)-($E131+$I61)*BD14</f>
        <v>2351.35653190564</v>
      </c>
      <c r="BE139" s="48" t="n">
        <f aca="false">(BE82+BE58+BE61+BE112)*(BE$4&gt;In_COD)-($E131+$I61)*BE14</f>
        <v>2374.9673781897</v>
      </c>
      <c r="BF139" s="48" t="n">
        <f aca="false">(BF82+BF58+BF61+BF112)*(BF$4&gt;In_COD)-($E131+$I61)*BF14</f>
        <v>2366.00840037826</v>
      </c>
      <c r="BG139" s="48" t="n">
        <f aca="false">(BG82+BG58+BG61+BG112)*(BG$4&gt;In_COD)-($E131+$I61)*BG14</f>
        <v>2327.08540722865</v>
      </c>
      <c r="BH139" s="48" t="n">
        <f aca="false">(BH82+BH58+BH61+BH112)*(BH$4&gt;In_COD)-($E131+$I61)*BH14</f>
        <v>2350.7226463122</v>
      </c>
      <c r="BI139" s="48" t="n">
        <f aca="false">(BI82+BI58+BI61+BI112)*(BI$4&gt;In_COD)-($E131+$I61)*BI14</f>
        <v>2374.31856221047</v>
      </c>
      <c r="BJ139" s="48" t="n">
        <f aca="false">(BJ82+BJ58+BJ61+BJ112)*(BJ$4&gt;In_COD)-($E131+$I61)*BJ14</f>
        <v>2365.24155349178</v>
      </c>
      <c r="BK139" s="48" t="n">
        <f aca="false">(BK82+BK58+BK61+BK112)*(BK$4&gt;In_COD)-($E131+$I61)*BK14</f>
        <v>2351.08182022562</v>
      </c>
      <c r="BL139" s="48" t="n">
        <f aca="false">(BL82+BL58+BL61+BL112)*(BL$4&gt;In_COD)-($E131+$I61)*BL14</f>
        <v>2349.5626657571</v>
      </c>
      <c r="BM139" s="48" t="n">
        <f aca="false">(BM82+BM58+BM61+BM112)*(BM$4&gt;In_COD)-($E131+$I61)*BM14</f>
        <v>2373.1379233597</v>
      </c>
      <c r="BN139" s="48" t="n">
        <f aca="false">(BN82+BN58+BN61+BN112)*(BN$4&gt;In_COD)-($E131+$I61)*BN14</f>
        <v>2363.93934249105</v>
      </c>
      <c r="BO139" s="48" t="n">
        <f aca="false">(BO82+BO58+BO61+BO112)*(BO$4&gt;In_COD)-($E131+$I61)*BO14</f>
        <v>2324.31309828673</v>
      </c>
      <c r="BP139" s="48" t="n">
        <f aca="false">(BP82+BP58+BP61+BP112)*(BP$4&gt;In_COD)-($E131+$I61)*BP14</f>
        <v>2347.90545193889</v>
      </c>
      <c r="BQ139" s="48" t="n">
        <f aca="false">(BQ82+BQ58+BQ61+BQ112)*(BQ$4&gt;In_COD)-($E131+$I61)*BQ14</f>
        <v>2371.45466664353</v>
      </c>
      <c r="BR139" s="48" t="n">
        <f aca="false">(BR82+BR58+BR61+BR112)*(BR$4&gt;In_COD)-($E131+$I61)*BR14</f>
        <v>2362.13140591533</v>
      </c>
      <c r="BS139" s="48" t="n">
        <f aca="false">(BS82+BS58+BS61+BS112)*(BS$4&gt;In_COD)-($E131+$I61)*BS14</f>
        <v>2322.14494386146</v>
      </c>
      <c r="BT139" s="48" t="n">
        <f aca="false">(BT82+BT58+BT61+BT112)*(BT$4&gt;In_COD)-($E131+$I61)*BT14</f>
        <v>2345.70632686136</v>
      </c>
      <c r="BU139" s="48" t="n">
        <f aca="false">(BU82+BU58+BU61+BU112)*(BU$4&gt;In_COD)-($E131+$I61)*BU14</f>
        <v>2369.22361170994</v>
      </c>
      <c r="BV139" s="48" t="n">
        <f aca="false">(BV82+BV58+BV61+BV112)*(BV$4&gt;In_COD)-($E131+$I61)*BV14</f>
        <v>2359.77214386515</v>
      </c>
      <c r="BW139" s="48" t="n">
        <f aca="false">(BW82+BW58+BW61+BW112)*(BW$4&gt;In_COD)-($E131+$I61)*BW14</f>
        <v>2319.41940679227</v>
      </c>
      <c r="BX139" s="48" t="n">
        <f aca="false">(BX82+BX58+BX61+BX112)*(BX$4&gt;In_COD)-($E131+$I61)*BX14</f>
        <v>2342.94373349096</v>
      </c>
      <c r="BY139" s="48" t="n">
        <f aca="false">(BY82+BY58+BY61+BY112)*(BY$4&gt;In_COD)-($E131+$I61)*BY14</f>
        <v>2366.42296544742</v>
      </c>
      <c r="BZ139" s="48" t="n">
        <f aca="false">(BZ82+BZ58+BZ61+BZ112)*(BZ$4&gt;In_COD)-($E131+$I61)*BZ14</f>
        <v>2356.83961539089</v>
      </c>
      <c r="CA139" s="48" t="n">
        <f aca="false">(CA82+CA58+CA61+CA112)*(CA$4&gt;In_COD)-($E131+$I61)*CA14</f>
        <v>2341.41378949069</v>
      </c>
      <c r="CB139" s="48" t="n">
        <f aca="false">(CB82+CB58+CB61+CB112)*(CB$4&gt;In_COD)-($E131+$I61)*CB14</f>
        <v>2339.57008741485</v>
      </c>
      <c r="CC139" s="48" t="n">
        <f aca="false">(CC82+CC58+CC61+CC112)*(CC$4&gt;In_COD)-($E131+$I61)*CC14</f>
        <v>2363.00460827368</v>
      </c>
      <c r="CD139" s="48" t="n">
        <f aca="false">(CD82+CD58+CD61+CD112)*(CD$4&gt;In_COD)-($E131+$I61)*CD14</f>
        <v>2353.28525296758</v>
      </c>
      <c r="CE139" s="48" t="n">
        <f aca="false">(CE82+CE58+CE61+CE112)*(CE$4&gt;In_COD)-($E131+$I61)*CE14</f>
        <v>2312.18073576832</v>
      </c>
      <c r="CF139" s="48" t="n">
        <f aca="false">(CF82+CF58+CF61+CF112)*(CF$4&gt;In_COD)-($E131+$I61)*CF14</f>
        <v>2335.61140957063</v>
      </c>
      <c r="CG139" s="48" t="n">
        <f aca="false">(CG82+CG58+CG61+CG112)*(CG$4&gt;In_COD)-($E131+$I61)*CG14</f>
        <v>2358.99487299624</v>
      </c>
      <c r="CH139" s="48" t="n">
        <f aca="false">(CH82+CH58+CH61+CH112)*(CH$4&gt;In_COD)-($E131+$I61)*CH14</f>
        <v>2349.13580073106</v>
      </c>
      <c r="CI139" s="48" t="n">
        <f aca="false">(CI82+CI58+CI61+CI112)*(CI$4&gt;In_COD)-($E131+$I61)*CI14</f>
        <v>2307.645660975</v>
      </c>
      <c r="CJ139" s="48" t="n">
        <f aca="false">(CJ82+CJ58+CJ61+CJ112)*(CJ$4&gt;In_COD)-($E131+$I61)*CJ14</f>
        <v>2331.01950888343</v>
      </c>
      <c r="CK139" s="48" t="n">
        <f aca="false">(CK82+CK58+CK61+CK112)*(CK$4&gt;In_COD)-($E131+$I61)*CK14</f>
        <v>2354.34502704363</v>
      </c>
      <c r="CL139" s="48" t="n">
        <f aca="false">(CL82+CL58+CL61+CL112)*(CL$4&gt;In_COD)-($E131+$I61)*CL14</f>
        <v>2344.3420768048</v>
      </c>
      <c r="CM139" s="48" t="n">
        <f aca="false">(CM82+CM58+CM61+CM112)*(CM$4&gt;In_COD)-($E131+$I61)*CM14</f>
        <v>2302.45945541085</v>
      </c>
      <c r="CN139" s="48" t="n">
        <f aca="false">(CN82+CN58+CN61+CN112)*(CN$4&gt;In_COD)-($E131+$I61)*CN14</f>
        <v>2325.76935955624</v>
      </c>
      <c r="CO139" s="48" t="n">
        <f aca="false">(CO82+CO58+CO61+CO112)*(CO$4&gt;In_COD)-($E131+$I61)*CO14</f>
        <v>2349.02976994152</v>
      </c>
      <c r="CP139" s="48" t="n">
        <f aca="false">(CP82+CP58+CP61+CP112)*(CP$4&gt;In_COD)-($E131+$I61)*CP14</f>
        <v>2338.87860391116</v>
      </c>
      <c r="CQ139" s="48" t="n">
        <f aca="false">(CQ82+CQ58+CQ61+CQ112)*(CQ$4&gt;In_COD)-($E131+$I61)*CQ14</f>
        <v>2322.0387159751</v>
      </c>
      <c r="CR139" s="48" t="n">
        <f aca="false">(CR82+CR58+CR61+CR112)*(CR$4&gt;In_COD)-($E131+$I61)*CR14</f>
        <v>2319.80962609582</v>
      </c>
      <c r="CS139" s="48" t="n">
        <f aca="false">(CS82+CS58+CS61+CS112)*(CS$4&gt;In_COD)-($E131+$I61)*CS14</f>
        <v>2342.99718921276</v>
      </c>
      <c r="CT139" s="48" t="n">
        <f aca="false">(CT82+CT58+CT61+CT112)*(CT$4&gt;In_COD)-($E131+$I61)*CT14</f>
        <v>2332.6929896636</v>
      </c>
      <c r="CU139" s="48" t="n">
        <f aca="false">(CU82+CU58+CU61+CU112)*(CU$4&gt;In_COD)-($E131+$I61)*CU14</f>
        <v>2292.32821604218</v>
      </c>
      <c r="CV139" s="48" t="n">
        <f aca="false">(CV82+CV58+CV61+CV112)*(CV$4&gt;In_COD)-($E131+$I61)*CV14</f>
        <v>2317.79852955376</v>
      </c>
      <c r="CW139" s="48" t="n">
        <f aca="false">(CW82+CW58+CW61+CW112)*(CW$4&gt;In_COD)-($E131+$I61)*CW14</f>
        <v>2343.26884306534</v>
      </c>
      <c r="CX139" s="48" t="n">
        <f aca="false">(CX82+CX58+CX61+CX112)*(CX$4&gt;In_COD)-($E131+$I61)*CX14</f>
        <v>2335.22280421056</v>
      </c>
      <c r="CY139" s="48" t="n">
        <f aca="false">(CY82+CY58+CY61+CY112)*(CY$4&gt;In_COD)-($E131+$I61)*CY14</f>
        <v>2294.55441353347</v>
      </c>
      <c r="CZ139" s="48" t="n">
        <f aca="false">(CZ82+CZ58+CZ61+CZ112)*(CZ$4&gt;In_COD)-($E131+$I61)*CZ14</f>
        <v>2320.04946257273</v>
      </c>
      <c r="DA139" s="48" t="n">
        <f aca="false">(DA82+DA58+DA61+DA112)*(DA$4&gt;In_COD)-($E131+$I61)*DA14</f>
        <v>2345.54451161199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2118.45498318409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0.0569296881085363</v>
      </c>
    </row>
    <row r="141" customFormat="false" ht="15" hidden="false" customHeight="false" outlineLevel="0" collapsed="false">
      <c r="C141" s="0" t="s">
        <v>501</v>
      </c>
      <c r="D141" s="11" t="s">
        <v>33</v>
      </c>
      <c r="I141" s="48" t="n">
        <f aca="false">SUM(J141:EO141)</f>
        <v>107646.730003989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-76328.0048809107</v>
      </c>
      <c r="Z141" s="48" t="n">
        <f aca="false">Z139+Z93+Z101+$E98*Z14</f>
        <v>1098.40578515091</v>
      </c>
      <c r="AA141" s="48" t="n">
        <f aca="false">AA139+AA93+AA101+$E98*AA14</f>
        <v>1081.7279137525</v>
      </c>
      <c r="AB141" s="48" t="n">
        <f aca="false">AB139+AB93+AB101+$E98*AB14</f>
        <v>1093.24384715357</v>
      </c>
      <c r="AC141" s="48" t="n">
        <f aca="false">AC139+AC93+AC101+$E98*AC14</f>
        <v>1104.75132351861</v>
      </c>
      <c r="AD141" s="48" t="n">
        <f aca="false">AD139+AD93+AD101+$E98*AD14</f>
        <v>1100.8442710449</v>
      </c>
      <c r="AE141" s="48" t="n">
        <f aca="false">AE139+AE93+AE101+$E98*AE14</f>
        <v>1095.79185317473</v>
      </c>
      <c r="AF141" s="48" t="n">
        <f aca="false">AF139+AF93+AF101+$E98*AF14</f>
        <v>1095.5558982789</v>
      </c>
      <c r="AG141" s="48" t="n">
        <f aca="false">AG139+AG93+AG101+$E98*AG14</f>
        <v>1107.0862215359</v>
      </c>
      <c r="AH141" s="48" t="n">
        <f aca="false">AH139+AH93+AH101+$E98*AH14</f>
        <v>1103.14290983802</v>
      </c>
      <c r="AI141" s="48" t="n">
        <f aca="false">AI139+AI93+AI101+$E98*AI14</f>
        <v>1086.17591649759</v>
      </c>
      <c r="AJ141" s="48" t="n">
        <f aca="false">AJ139+AJ93+AJ101+$E98*AJ14</f>
        <v>1112.10544454517</v>
      </c>
      <c r="AK141" s="48" t="n">
        <f aca="false">AK139+AK93+AK101+$E98*AK14</f>
        <v>1123.80790682954</v>
      </c>
      <c r="AL141" s="48" t="n">
        <f aca="false">AL139+AL93+AL101+$E98*AL14</f>
        <v>1107.06068581268</v>
      </c>
      <c r="AM141" s="48" t="n">
        <f aca="false">AM139+AM93+AM101+$E98*AM14</f>
        <v>1089.60382195071</v>
      </c>
      <c r="AN141" s="48" t="n">
        <f aca="false">AN139+AN93+AN101+$E98*AN14</f>
        <v>1100.68804372062</v>
      </c>
      <c r="AO141" s="48" t="n">
        <f aca="false">AO139+AO93+AO101+$E98*AO14</f>
        <v>1111.75477142116</v>
      </c>
      <c r="AP141" s="48" t="n">
        <f aca="false">AP139+AP93+AP101+$E98*AP14</f>
        <v>1107.76456641186</v>
      </c>
      <c r="AQ141" s="48" t="n">
        <f aca="false">AQ139+AQ93+AQ101+$E98*AQ14</f>
        <v>1090.15660440481</v>
      </c>
      <c r="AR141" s="48" t="n">
        <f aca="false">AR139+AR93+AR101+$E98*AR14</f>
        <v>1101.24342529778</v>
      </c>
      <c r="AS141" s="48" t="n">
        <f aca="false">AS139+AS93+AS101+$E98*AS14</f>
        <v>1112.31240604055</v>
      </c>
      <c r="AT141" s="48" t="n">
        <f aca="false">AT139+AT93+AT101+$E98*AT14</f>
        <v>1108.27241763546</v>
      </c>
      <c r="AU141" s="48" t="n">
        <f aca="false">AU139+AU93+AU101+$E98*AU14</f>
        <v>1102.17034096868</v>
      </c>
      <c r="AV141" s="48" t="n">
        <f aca="false">AV139+AV93+AV101+$E98*AV14</f>
        <v>1101.58669010688</v>
      </c>
      <c r="AW141" s="48" t="n">
        <f aca="false">AW139+AW93+AW101+$E98*AW14</f>
        <v>1112.65561577843</v>
      </c>
      <c r="AX141" s="48" t="n">
        <f aca="false">AX139+AX93+AX101+$E98*AX14</f>
        <v>1108.56441330529</v>
      </c>
      <c r="AY141" s="48" t="n">
        <f aca="false">AY139+AY93+AY101+$E98*AY14</f>
        <v>1090.64712985801</v>
      </c>
      <c r="AZ141" s="48" t="n">
        <f aca="false">AZ139+AZ93+AZ101+$E98*AZ14</f>
        <v>1101.7324381476</v>
      </c>
      <c r="BA141" s="48" t="n">
        <f aca="false">BA139+BA93+BA101+$E98*BA14</f>
        <v>1112.79917335158</v>
      </c>
      <c r="BB141" s="48" t="n">
        <f aca="false">BB139+BB93+BB101+$E98*BB14</f>
        <v>1108.65553719067</v>
      </c>
      <c r="BC141" s="48" t="n">
        <f aca="false">BC139+BC93+BC101+$E98*BC14</f>
        <v>1090.58002372666</v>
      </c>
      <c r="BD141" s="48" t="n">
        <f aca="false">BD139+BD93+BD101+$E98*BD14</f>
        <v>1101.66117328939</v>
      </c>
      <c r="BE141" s="48" t="n">
        <f aca="false">BE139+BE93+BE101+$E98*BE14</f>
        <v>1112.7233632494</v>
      </c>
      <c r="BF141" s="48" t="n">
        <f aca="false">BF139+BF93+BF101+$E98*BF14</f>
        <v>1108.52588920694</v>
      </c>
      <c r="BG141" s="48" t="n">
        <f aca="false">BG139+BG93+BG101+$E98*BG14</f>
        <v>1090.28962868273</v>
      </c>
      <c r="BH141" s="48" t="n">
        <f aca="false">BH139+BH93+BH101+$E98*BH14</f>
        <v>1101.36418423768</v>
      </c>
      <c r="BI141" s="48" t="n">
        <f aca="false">BI139+BI93+BI101+$E98*BI14</f>
        <v>1112.4193789904</v>
      </c>
      <c r="BJ141" s="48" t="n">
        <f aca="false">BJ139+BJ93+BJ101+$E98*BJ14</f>
        <v>1108.16660492602</v>
      </c>
      <c r="BK141" s="48" t="n">
        <f aca="false">BK139+BK93+BK101+$E98*BK14</f>
        <v>1101.53246495115</v>
      </c>
      <c r="BL141" s="48" t="n">
        <f aca="false">BL139+BL93+BL101+$E98*BL14</f>
        <v>1100.8207083666</v>
      </c>
      <c r="BM141" s="48" t="n">
        <f aca="false">BM139+BM93+BM101+$E98*BM14</f>
        <v>1111.8662242629</v>
      </c>
      <c r="BN141" s="48" t="n">
        <f aca="false">BN139+BN93+BN101+$E98*BN14</f>
        <v>1107.55649102812</v>
      </c>
      <c r="BO141" s="48" t="n">
        <f aca="false">BO139+BO93+BO101+$E98*BO14</f>
        <v>1088.99074223977</v>
      </c>
      <c r="BP141" s="48" t="n">
        <f aca="false">BP139+BP93+BP101+$E98*BP14</f>
        <v>1100.04426800347</v>
      </c>
      <c r="BQ141" s="48" t="n">
        <f aca="false">BQ139+BQ93+BQ101+$E98*BQ14</f>
        <v>1111.07758224123</v>
      </c>
      <c r="BR141" s="48" t="n">
        <f aca="false">BR139+BR93+BR101+$E98*BR14</f>
        <v>1106.70943380718</v>
      </c>
      <c r="BS141" s="48" t="n">
        <f aca="false">BS139+BS93+BS101+$E98*BS14</f>
        <v>1087.97491519878</v>
      </c>
      <c r="BT141" s="48" t="n">
        <f aca="false">BT139+BT93+BT101+$E98*BT14</f>
        <v>1099.01393054492</v>
      </c>
      <c r="BU141" s="48" t="n">
        <f aca="false">BU139+BU93+BU101+$E98*BU14</f>
        <v>1110.03228495748</v>
      </c>
      <c r="BV141" s="48" t="n">
        <f aca="false">BV139+BV93+BV101+$E98*BV14</f>
        <v>1105.60406872828</v>
      </c>
      <c r="BW141" s="48" t="n">
        <f aca="false">BW139+BW93+BW101+$E98*BW14</f>
        <v>1086.69794238548</v>
      </c>
      <c r="BX141" s="48" t="n">
        <f aca="false">BX139+BX93+BX101+$E98*BX14</f>
        <v>1097.71959605647</v>
      </c>
      <c r="BY141" s="48" t="n">
        <f aca="false">BY139+BY93+BY101+$E98*BY14</f>
        <v>1108.72012186958</v>
      </c>
      <c r="BZ141" s="48" t="n">
        <f aca="false">BZ139+BZ93+BZ101+$E98*BZ14</f>
        <v>1104.23011598401</v>
      </c>
      <c r="CA141" s="48" t="n">
        <f aca="false">CA139+CA93+CA101+$E98*CA14</f>
        <v>1097.00278434391</v>
      </c>
      <c r="CB141" s="48" t="n">
        <f aca="false">CB139+CB93+CB101+$E98*CB14</f>
        <v>1096.13897021597</v>
      </c>
      <c r="CC141" s="48" t="n">
        <f aca="false">CC139+CC93+CC101+$E98*CC14</f>
        <v>1107.11854791696</v>
      </c>
      <c r="CD141" s="48" t="n">
        <f aca="false">CD139+CD93+CD101+$E98*CD14</f>
        <v>1102.564820643</v>
      </c>
      <c r="CE141" s="48" t="n">
        <f aca="false">CE139+CE93+CE101+$E98*CE14</f>
        <v>1083.30646912089</v>
      </c>
      <c r="CF141" s="48" t="n">
        <f aca="false">CF139+CF93+CF101+$E98*CF14</f>
        <v>1094.28424439305</v>
      </c>
      <c r="CG141" s="48" t="n">
        <f aca="false">CG139+CG93+CG101+$E98*CG14</f>
        <v>1105.23990058702</v>
      </c>
      <c r="CH141" s="48" t="n">
        <f aca="false">CH139+CH93+CH101+$E98*CH14</f>
        <v>1100.62071290883</v>
      </c>
      <c r="CI141" s="48" t="n">
        <f aca="false">CI139+CI93+CI101+$E98*CI14</f>
        <v>1081.18168891422</v>
      </c>
      <c r="CJ141" s="48" t="n">
        <f aca="false">CJ139+CJ93+CJ101+$E98*CJ14</f>
        <v>1092.13284003132</v>
      </c>
      <c r="CK141" s="48" t="n">
        <f aca="false">CK139+CK93+CK101+$E98*CK14</f>
        <v>1103.06134762056</v>
      </c>
      <c r="CL141" s="48" t="n">
        <f aca="false">CL139+CL93+CL101+$E98*CL14</f>
        <v>1098.37475001321</v>
      </c>
      <c r="CM141" s="48" t="n">
        <f aca="false">CM139+CM93+CM101+$E98*CM14</f>
        <v>1078.75183991889</v>
      </c>
      <c r="CN141" s="48" t="n">
        <f aca="false">CN139+CN93+CN101+$E98*CN14</f>
        <v>1089.67303200593</v>
      </c>
      <c r="CO141" s="48" t="n">
        <f aca="false">CO139+CO93+CO101+$E98*CO14</f>
        <v>1100.57103520048</v>
      </c>
      <c r="CP141" s="48" t="n">
        <f aca="false">CP139+CP93+CP101+$E98*CP14</f>
        <v>1095.81499530287</v>
      </c>
      <c r="CQ141" s="48" t="n">
        <f aca="false">CQ139+CQ93+CQ101+$E98*CQ14</f>
        <v>1087.92514514619</v>
      </c>
      <c r="CR141" s="48" t="n">
        <f aca="false">CR139+CR93+CR101+$E98*CR14</f>
        <v>1086.88076853275</v>
      </c>
      <c r="CS141" s="48" t="n">
        <f aca="false">CS139+CS93+CS101+$E98*CS14</f>
        <v>2343.74717344589</v>
      </c>
      <c r="CT141" s="48" t="n">
        <f aca="false">CT139+CT93+CT101+$E98*CT14</f>
        <v>2332.6929896636</v>
      </c>
      <c r="CU141" s="48" t="n">
        <f aca="false">CU139+CU93+CU101+$E98*CU14</f>
        <v>2292.32821604218</v>
      </c>
      <c r="CV141" s="48" t="n">
        <f aca="false">CV139+CV93+CV101+$E98*CV14</f>
        <v>2317.79852955376</v>
      </c>
      <c r="CW141" s="48" t="n">
        <f aca="false">CW139+CW93+CW101+$E98*CW14</f>
        <v>2343.26884306534</v>
      </c>
      <c r="CX141" s="48" t="n">
        <f aca="false">CX139+CX93+CX101+$E98*CX14</f>
        <v>2335.22280421056</v>
      </c>
      <c r="CY141" s="48" t="n">
        <f aca="false">CY139+CY93+CY101+$E98*CY14</f>
        <v>2294.55441353347</v>
      </c>
      <c r="CZ141" s="48" t="n">
        <f aca="false">CZ139+CZ93+CZ101+$E98*CZ14</f>
        <v>2320.04946257273</v>
      </c>
      <c r="DA141" s="48" t="n">
        <f aca="false">DA139+DA93+DA101+$E98*DA14</f>
        <v>2345.54451161199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2118.45498318409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502</v>
      </c>
      <c r="D142" s="11" t="s">
        <v>27</v>
      </c>
      <c r="E142" s="33" t="n">
        <f aca="false">XIRR(INDEX($J141:$EO141,$E15):$EO141,INDEX($J$4:$EO$4,$E15):$EO$4)</f>
        <v>0.0587523414589974</v>
      </c>
    </row>
    <row r="144" customFormat="false" ht="15" hidden="false" customHeight="false" outlineLevel="0" collapsed="false">
      <c r="A144" s="9" t="s">
        <v>13</v>
      </c>
      <c r="B144" s="9"/>
      <c r="C144" s="9" t="s">
        <v>503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504</v>
      </c>
      <c r="D145" s="11" t="s">
        <v>33</v>
      </c>
      <c r="I145" s="48" t="n">
        <f aca="false">SUM(J145:EO145)</f>
        <v>163373.567036165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-11665.0361901012</v>
      </c>
      <c r="S145" s="48" t="n">
        <f aca="false">S62+S69+S82+S61+S112</f>
        <v>-19567.2881157404</v>
      </c>
      <c r="T145" s="48" t="n">
        <f aca="false">T62+T69+T82+T61+T112</f>
        <v>-11539.2701313338</v>
      </c>
      <c r="U145" s="48" t="n">
        <f aca="false">U62+U69+U82+U61+U112</f>
        <v>-11666.0752976122</v>
      </c>
      <c r="V145" s="48" t="n">
        <f aca="false">V62+V69+V82+V61+V112</f>
        <v>-11666.0752976122</v>
      </c>
      <c r="W145" s="48" t="n">
        <f aca="false">W62+W69+W82+W61+W112</f>
        <v>-11413.5068962282</v>
      </c>
      <c r="X145" s="48" t="n">
        <f aca="false">X62+X69+X82+X61+X112</f>
        <v>-11540.3236395196</v>
      </c>
      <c r="Y145" s="48" t="n">
        <f aca="false">Y62+Y69+Y82+Y61+Y112</f>
        <v>-14167.140382811</v>
      </c>
      <c r="Z145" s="48" t="n">
        <f aca="false">Z62+Z69+Z82+Z61+Z112</f>
        <v>2344.40831738351</v>
      </c>
      <c r="AA145" s="48" t="n">
        <f aca="false">AA62+AA69+AA82+AA61+AA112</f>
        <v>2308.81150885312</v>
      </c>
      <c r="AB145" s="48" t="n">
        <f aca="false">AB62+AB69+AB82+AB61+AB112</f>
        <v>2333.39081316203</v>
      </c>
      <c r="AC145" s="48" t="n">
        <f aca="false">AC62+AC69+AC82+AC61+AC112</f>
        <v>2357.95206699645</v>
      </c>
      <c r="AD145" s="48" t="n">
        <f aca="false">AD62+AD69+AD82+AD61+AD112</f>
        <v>2349.61295731616</v>
      </c>
      <c r="AE145" s="48" t="n">
        <f aca="false">AE62+AE69+AE82+AE61+AE112</f>
        <v>2338.82920996354</v>
      </c>
      <c r="AF145" s="48" t="n">
        <f aca="false">AF62+AF69+AF82+AF61+AF112</f>
        <v>2338.32559406147</v>
      </c>
      <c r="AG145" s="48" t="n">
        <f aca="false">AG62+AG69+AG82+AG61+AG112</f>
        <v>2362.93561169908</v>
      </c>
      <c r="AH145" s="48" t="n">
        <f aca="false">AH62+AH69+AH82+AH61+AH112</f>
        <v>2354.51911128773</v>
      </c>
      <c r="AI145" s="48" t="n">
        <f aca="false">AI62+AI69+AI82+AI61+AI112</f>
        <v>2318.30520851514</v>
      </c>
      <c r="AJ145" s="48" t="n">
        <f aca="false">AJ62+AJ69+AJ82+AJ61+AJ112</f>
        <v>2373.64850881668</v>
      </c>
      <c r="AK145" s="48" t="n">
        <f aca="false">AK62+AK69+AK82+AK61+AK112</f>
        <v>2398.62593545102</v>
      </c>
      <c r="AL145" s="48" t="n">
        <f aca="false">AL62+AL69+AL82+AL61+AL112</f>
        <v>2362.8811089252</v>
      </c>
      <c r="AM145" s="48" t="n">
        <f aca="false">AM62+AM69+AM82+AM61+AM112</f>
        <v>2325.62163944067</v>
      </c>
      <c r="AN145" s="48" t="n">
        <f aca="false">AN62+AN69+AN82+AN61+AN112</f>
        <v>2349.27950983828</v>
      </c>
      <c r="AO145" s="48" t="n">
        <f aca="false">AO62+AO69+AO82+AO61+AO112</f>
        <v>2372.90004135592</v>
      </c>
      <c r="AP145" s="48" t="n">
        <f aca="false">AP62+AP69+AP82+AP61+AP112</f>
        <v>2364.38345309831</v>
      </c>
      <c r="AQ145" s="48" t="n">
        <f aca="false">AQ62+AQ69+AQ82+AQ61+AQ112</f>
        <v>2326.80148372089</v>
      </c>
      <c r="AR145" s="48" t="n">
        <f aca="false">AR62+AR69+AR82+AR61+AR112</f>
        <v>2350.46490161815</v>
      </c>
      <c r="AS145" s="48" t="n">
        <f aca="false">AS62+AS69+AS82+AS61+AS112</f>
        <v>2374.09024196968</v>
      </c>
      <c r="AT145" s="48" t="n">
        <f aca="false">AT62+AT69+AT82+AT61+AT112</f>
        <v>2365.46739734607</v>
      </c>
      <c r="AU145" s="48" t="n">
        <f aca="false">AU62+AU69+AU82+AU61+AU112</f>
        <v>2352.4432859618</v>
      </c>
      <c r="AV145" s="48" t="n">
        <f aca="false">AV62+AV69+AV82+AV61+AV112</f>
        <v>2351.19755696676</v>
      </c>
      <c r="AW145" s="48" t="n">
        <f aca="false">AW62+AW69+AW82+AW61+AW112</f>
        <v>2374.82277977574</v>
      </c>
      <c r="AX145" s="48" t="n">
        <f aca="false">AX62+AX69+AX82+AX61+AX112</f>
        <v>2366.09062519699</v>
      </c>
      <c r="AY145" s="48" t="n">
        <f aca="false">AY62+AY69+AY82+AY61+AY112</f>
        <v>2327.84844830153</v>
      </c>
      <c r="AZ145" s="48" t="n">
        <f aca="false">AZ62+AZ69+AZ82+AZ61+AZ112</f>
        <v>2351.50863773808</v>
      </c>
      <c r="BA145" s="48" t="n">
        <f aca="false">BA62+BA69+BA82+BA61+BA112</f>
        <v>2375.12918527091</v>
      </c>
      <c r="BB145" s="48" t="n">
        <f aca="false">BB62+BB69+BB82+BB61+BB112</f>
        <v>2366.28511761287</v>
      </c>
      <c r="BC145" s="48" t="n">
        <f aca="false">BC62+BC69+BC82+BC61+BC112</f>
        <v>2327.70521874593</v>
      </c>
      <c r="BD145" s="48" t="n">
        <f aca="false">BD62+BD69+BD82+BD61+BD112</f>
        <v>2351.35653190564</v>
      </c>
      <c r="BE145" s="48" t="n">
        <f aca="false">BE62+BE69+BE82+BE61+BE112</f>
        <v>2374.9673781897</v>
      </c>
      <c r="BF145" s="48" t="n">
        <f aca="false">BF62+BF69+BF82+BF61+BF112</f>
        <v>2366.00840037826</v>
      </c>
      <c r="BG145" s="48" t="n">
        <f aca="false">BG62+BG69+BG82+BG61+BG112</f>
        <v>2327.08540722865</v>
      </c>
      <c r="BH145" s="48" t="n">
        <f aca="false">BH62+BH69+BH82+BH61+BH112</f>
        <v>2350.7226463122</v>
      </c>
      <c r="BI145" s="48" t="n">
        <f aca="false">BI62+BI69+BI82+BI61+BI112</f>
        <v>2374.31856221047</v>
      </c>
      <c r="BJ145" s="48" t="n">
        <f aca="false">BJ62+BJ69+BJ82+BJ61+BJ112</f>
        <v>2365.24155349178</v>
      </c>
      <c r="BK145" s="48" t="n">
        <f aca="false">BK62+BK69+BK82+BK61+BK112</f>
        <v>2351.08182022562</v>
      </c>
      <c r="BL145" s="48" t="n">
        <f aca="false">BL62+BL69+BL82+BL61+BL112</f>
        <v>2349.5626657571</v>
      </c>
      <c r="BM145" s="48" t="n">
        <f aca="false">BM62+BM69+BM82+BM61+BM112</f>
        <v>2373.1379233597</v>
      </c>
      <c r="BN145" s="48" t="n">
        <f aca="false">BN62+BN69+BN82+BN61+BN112</f>
        <v>2363.93934249105</v>
      </c>
      <c r="BO145" s="48" t="n">
        <f aca="false">BO62+BO69+BO82+BO61+BO112</f>
        <v>2324.31309828673</v>
      </c>
      <c r="BP145" s="48" t="n">
        <f aca="false">BP62+BP69+BP82+BP61+BP112</f>
        <v>2347.90545193889</v>
      </c>
      <c r="BQ145" s="48" t="n">
        <f aca="false">BQ62+BQ69+BQ82+BQ61+BQ112</f>
        <v>2371.45466664353</v>
      </c>
      <c r="BR145" s="48" t="n">
        <f aca="false">BR62+BR69+BR82+BR61+BR112</f>
        <v>2362.13140591533</v>
      </c>
      <c r="BS145" s="48" t="n">
        <f aca="false">BS62+BS69+BS82+BS61+BS112</f>
        <v>2322.14494386146</v>
      </c>
      <c r="BT145" s="48" t="n">
        <f aca="false">BT62+BT69+BT82+BT61+BT112</f>
        <v>2345.70632686136</v>
      </c>
      <c r="BU145" s="48" t="n">
        <f aca="false">BU62+BU69+BU82+BU61+BU112</f>
        <v>2369.22361170994</v>
      </c>
      <c r="BV145" s="48" t="n">
        <f aca="false">BV62+BV69+BV82+BV61+BV112</f>
        <v>2359.77214386515</v>
      </c>
      <c r="BW145" s="48" t="n">
        <f aca="false">BW62+BW69+BW82+BW61+BW112</f>
        <v>2319.41940679227</v>
      </c>
      <c r="BX145" s="48" t="n">
        <f aca="false">BX62+BX69+BX82+BX61+BX112</f>
        <v>2342.94373349096</v>
      </c>
      <c r="BY145" s="48" t="n">
        <f aca="false">BY62+BY69+BY82+BY61+BY112</f>
        <v>2366.42296544742</v>
      </c>
      <c r="BZ145" s="48" t="n">
        <f aca="false">BZ62+BZ69+BZ82+BZ61+BZ112</f>
        <v>2356.83961539089</v>
      </c>
      <c r="CA145" s="48" t="n">
        <f aca="false">CA62+CA69+CA82+CA61+CA112</f>
        <v>2341.41378949069</v>
      </c>
      <c r="CB145" s="48" t="n">
        <f aca="false">CB62+CB69+CB82+CB61+CB112</f>
        <v>2339.57008741485</v>
      </c>
      <c r="CC145" s="48" t="n">
        <f aca="false">CC62+CC69+CC82+CC61+CC112</f>
        <v>2363.00460827368</v>
      </c>
      <c r="CD145" s="48" t="n">
        <f aca="false">CD62+CD69+CD82+CD61+CD112</f>
        <v>2353.28525296758</v>
      </c>
      <c r="CE145" s="48" t="n">
        <f aca="false">CE62+CE69+CE82+CE61+CE112</f>
        <v>2312.18073576832</v>
      </c>
      <c r="CF145" s="48" t="n">
        <f aca="false">CF62+CF69+CF82+CF61+CF112</f>
        <v>2335.61140957063</v>
      </c>
      <c r="CG145" s="48" t="n">
        <f aca="false">CG62+CG69+CG82+CG61+CG112</f>
        <v>2358.99487299624</v>
      </c>
      <c r="CH145" s="48" t="n">
        <f aca="false">CH62+CH69+CH82+CH61+CH112</f>
        <v>2349.13580073106</v>
      </c>
      <c r="CI145" s="48" t="n">
        <f aca="false">CI62+CI69+CI82+CI61+CI112</f>
        <v>2307.645660975</v>
      </c>
      <c r="CJ145" s="48" t="n">
        <f aca="false">CJ62+CJ69+CJ82+CJ61+CJ112</f>
        <v>2331.01950888343</v>
      </c>
      <c r="CK145" s="48" t="n">
        <f aca="false">CK62+CK69+CK82+CK61+CK112</f>
        <v>2354.34502704363</v>
      </c>
      <c r="CL145" s="48" t="n">
        <f aca="false">CL62+CL69+CL82+CL61+CL112</f>
        <v>2344.3420768048</v>
      </c>
      <c r="CM145" s="48" t="n">
        <f aca="false">CM62+CM69+CM82+CM61+CM112</f>
        <v>2302.45945541085</v>
      </c>
      <c r="CN145" s="48" t="n">
        <f aca="false">CN62+CN69+CN82+CN61+CN112</f>
        <v>2325.76935955624</v>
      </c>
      <c r="CO145" s="48" t="n">
        <f aca="false">CO62+CO69+CO82+CO61+CO112</f>
        <v>2349.02976994152</v>
      </c>
      <c r="CP145" s="48" t="n">
        <f aca="false">CP62+CP69+CP82+CP61+CP112</f>
        <v>2338.87860391116</v>
      </c>
      <c r="CQ145" s="48" t="n">
        <f aca="false">CQ62+CQ69+CQ82+CQ61+CQ112</f>
        <v>2322.0387159751</v>
      </c>
      <c r="CR145" s="48" t="n">
        <f aca="false">CR62+CR69+CR82+CR61+CR112</f>
        <v>2319.80962609582</v>
      </c>
      <c r="CS145" s="48" t="n">
        <f aca="false">CS62+CS69+CS82+CS61+CS112</f>
        <v>2342.99718921276</v>
      </c>
      <c r="CT145" s="48" t="n">
        <f aca="false">CT62+CT69+CT82+CT61+CT112</f>
        <v>2332.6929896636</v>
      </c>
      <c r="CU145" s="48" t="n">
        <f aca="false">CU62+CU69+CU82+CU61+CU112</f>
        <v>2292.32821604218</v>
      </c>
      <c r="CV145" s="48" t="n">
        <f aca="false">CV62+CV69+CV82+CV61+CV112</f>
        <v>2317.79852955376</v>
      </c>
      <c r="CW145" s="48" t="n">
        <f aca="false">CW62+CW69+CW82+CW61+CW112</f>
        <v>2343.26884306534</v>
      </c>
      <c r="CX145" s="48" t="n">
        <f aca="false">CX62+CX69+CX82+CX61+CX112</f>
        <v>2335.22280421056</v>
      </c>
      <c r="CY145" s="48" t="n">
        <f aca="false">CY62+CY69+CY82+CY61+CY112</f>
        <v>2294.55441353347</v>
      </c>
      <c r="CZ145" s="48" t="n">
        <f aca="false">CZ62+CZ69+CZ82+CZ61+CZ112</f>
        <v>2320.04946257273</v>
      </c>
      <c r="DA145" s="48" t="n">
        <f aca="false">DA62+DA69+DA82+DA61+DA112</f>
        <v>2345.54451161199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2118.45498318409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0.0703014521926973</v>
      </c>
    </row>
    <row r="147" customFormat="false" ht="15" hidden="false" customHeight="false" outlineLevel="0" collapsed="false">
      <c r="C147" s="25" t="s">
        <v>505</v>
      </c>
      <c r="D147" s="11" t="s">
        <v>33</v>
      </c>
      <c r="I147" s="57" t="n">
        <f aca="false">SUM(J147:EO147)</f>
        <v>128354.805752678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-6452.06801054133</v>
      </c>
      <c r="S147" s="57" t="n">
        <f aca="false">S62+S69+S95+S99+S100+S82+S93+S101+S61+S112</f>
        <v>-8957.34206285879</v>
      </c>
      <c r="T147" s="57" t="n">
        <f aca="false">T62+T69+T95+T99+T100+T82+T93+T101+T61+T112</f>
        <v>-5322.36727647646</v>
      </c>
      <c r="U147" s="57" t="n">
        <f aca="false">U62+U69+U95+U99+U100+U82+U93+U101+U61+U112</f>
        <v>-5366.55155799786</v>
      </c>
      <c r="V147" s="57" t="n">
        <f aca="false">V62+V69+V95+V99+V100+V82+V93+V101+V61+V112</f>
        <v>-5352.09110822868</v>
      </c>
      <c r="W147" s="57" t="n">
        <f aca="false">W62+W69+W95+W99+W100+W82+W93+W101+W61+W112</f>
        <v>-5222.63714053528</v>
      </c>
      <c r="X147" s="57" t="n">
        <f aca="false">X62+X69+X95+X99+X100+X82+X93+X101+X61+X112</f>
        <v>-5266.67411180264</v>
      </c>
      <c r="Y147" s="57" t="n">
        <f aca="false">Y62+Y69+Y95+Y99+Y100+Y82+Y93+Y101+Y61+Y112</f>
        <v>-7681.24891275803</v>
      </c>
      <c r="Z147" s="57" t="n">
        <f aca="false">Z62+Z69+Z95+Z99+Z100+Z82+Z93+Z101+Z61+Z112</f>
        <v>1098.40578515091</v>
      </c>
      <c r="AA147" s="57" t="n">
        <f aca="false">AA62+AA69+AA95+AA99+AA100+AA82+AA93+AA101+AA61+AA112</f>
        <v>1081.7279137525</v>
      </c>
      <c r="AB147" s="57" t="n">
        <f aca="false">AB62+AB69+AB95+AB99+AB100+AB82+AB93+AB101+AB61+AB112</f>
        <v>1093.24384715357</v>
      </c>
      <c r="AC147" s="57" t="n">
        <f aca="false">AC62+AC69+AC95+AC99+AC100+AC82+AC93+AC101+AC61+AC112</f>
        <v>1104.75132351861</v>
      </c>
      <c r="AD147" s="57" t="n">
        <f aca="false">AD62+AD69+AD95+AD99+AD100+AD82+AD93+AD101+AD61+AD112</f>
        <v>1100.8442710449</v>
      </c>
      <c r="AE147" s="57" t="n">
        <f aca="false">AE62+AE69+AE95+AE99+AE100+AE82+AE93+AE101+AE61+AE112</f>
        <v>1095.79185317473</v>
      </c>
      <c r="AF147" s="57" t="n">
        <f aca="false">AF62+AF69+AF95+AF99+AF100+AF82+AF93+AF101+AF61+AF112</f>
        <v>1095.5558982789</v>
      </c>
      <c r="AG147" s="57" t="n">
        <f aca="false">AG62+AG69+AG95+AG99+AG100+AG82+AG93+AG101+AG61+AG112</f>
        <v>1107.0862215359</v>
      </c>
      <c r="AH147" s="57" t="n">
        <f aca="false">AH62+AH69+AH95+AH99+AH100+AH82+AH93+AH101+AH61+AH112</f>
        <v>1103.14290983802</v>
      </c>
      <c r="AI147" s="57" t="n">
        <f aca="false">AI62+AI69+AI95+AI99+AI100+AI82+AI93+AI101+AI61+AI112</f>
        <v>1086.17591649759</v>
      </c>
      <c r="AJ147" s="57" t="n">
        <f aca="false">AJ62+AJ69+AJ95+AJ99+AJ100+AJ82+AJ93+AJ101+AJ61+AJ112</f>
        <v>1112.10544454517</v>
      </c>
      <c r="AK147" s="57" t="n">
        <f aca="false">AK62+AK69+AK95+AK99+AK100+AK82+AK93+AK101+AK61+AK112</f>
        <v>1123.80790682954</v>
      </c>
      <c r="AL147" s="57" t="n">
        <f aca="false">AL62+AL69+AL95+AL99+AL100+AL82+AL93+AL101+AL61+AL112</f>
        <v>1107.06068581268</v>
      </c>
      <c r="AM147" s="57" t="n">
        <f aca="false">AM62+AM69+AM95+AM99+AM100+AM82+AM93+AM101+AM61+AM112</f>
        <v>1089.60382195071</v>
      </c>
      <c r="AN147" s="57" t="n">
        <f aca="false">AN62+AN69+AN95+AN99+AN100+AN82+AN93+AN101+AN61+AN112</f>
        <v>1100.68804372062</v>
      </c>
      <c r="AO147" s="57" t="n">
        <f aca="false">AO62+AO69+AO95+AO99+AO100+AO82+AO93+AO101+AO61+AO112</f>
        <v>1111.75477142116</v>
      </c>
      <c r="AP147" s="57" t="n">
        <f aca="false">AP62+AP69+AP95+AP99+AP100+AP82+AP93+AP101+AP61+AP112</f>
        <v>1107.76456641186</v>
      </c>
      <c r="AQ147" s="57" t="n">
        <f aca="false">AQ62+AQ69+AQ95+AQ99+AQ100+AQ82+AQ93+AQ101+AQ61+AQ112</f>
        <v>1090.15660440481</v>
      </c>
      <c r="AR147" s="57" t="n">
        <f aca="false">AR62+AR69+AR95+AR99+AR100+AR82+AR93+AR101+AR61+AR112</f>
        <v>1101.24342529778</v>
      </c>
      <c r="AS147" s="57" t="n">
        <f aca="false">AS62+AS69+AS95+AS99+AS100+AS82+AS93+AS101+AS61+AS112</f>
        <v>1112.31240604055</v>
      </c>
      <c r="AT147" s="57" t="n">
        <f aca="false">AT62+AT69+AT95+AT99+AT100+AT82+AT93+AT101+AT61+AT112</f>
        <v>1108.27241763546</v>
      </c>
      <c r="AU147" s="57" t="n">
        <f aca="false">AU62+AU69+AU95+AU99+AU100+AU82+AU93+AU101+AU61+AU112</f>
        <v>1102.17034096868</v>
      </c>
      <c r="AV147" s="57" t="n">
        <f aca="false">AV62+AV69+AV95+AV99+AV100+AV82+AV93+AV101+AV61+AV112</f>
        <v>1101.58669010688</v>
      </c>
      <c r="AW147" s="57" t="n">
        <f aca="false">AW62+AW69+AW95+AW99+AW100+AW82+AW93+AW101+AW61+AW112</f>
        <v>1112.65561577843</v>
      </c>
      <c r="AX147" s="57" t="n">
        <f aca="false">AX62+AX69+AX95+AX99+AX100+AX82+AX93+AX101+AX61+AX112</f>
        <v>1108.56441330529</v>
      </c>
      <c r="AY147" s="57" t="n">
        <f aca="false">AY62+AY69+AY95+AY99+AY100+AY82+AY93+AY101+AY61+AY112</f>
        <v>1090.64712985801</v>
      </c>
      <c r="AZ147" s="57" t="n">
        <f aca="false">AZ62+AZ69+AZ95+AZ99+AZ100+AZ82+AZ93+AZ101+AZ61+AZ112</f>
        <v>1101.7324381476</v>
      </c>
      <c r="BA147" s="57" t="n">
        <f aca="false">BA62+BA69+BA95+BA99+BA100+BA82+BA93+BA101+BA61+BA112</f>
        <v>1112.79917335158</v>
      </c>
      <c r="BB147" s="57" t="n">
        <f aca="false">BB62+BB69+BB95+BB99+BB100+BB82+BB93+BB101+BB61+BB112</f>
        <v>1108.65553719067</v>
      </c>
      <c r="BC147" s="57" t="n">
        <f aca="false">BC62+BC69+BC95+BC99+BC100+BC82+BC93+BC101+BC61+BC112</f>
        <v>1090.58002372666</v>
      </c>
      <c r="BD147" s="57" t="n">
        <f aca="false">BD62+BD69+BD95+BD99+BD100+BD82+BD93+BD101+BD61+BD112</f>
        <v>1101.66117328939</v>
      </c>
      <c r="BE147" s="57" t="n">
        <f aca="false">BE62+BE69+BE95+BE99+BE100+BE82+BE93+BE101+BE61+BE112</f>
        <v>1112.7233632494</v>
      </c>
      <c r="BF147" s="57" t="n">
        <f aca="false">BF62+BF69+BF95+BF99+BF100+BF82+BF93+BF101+BF61+BF112</f>
        <v>1108.52588920694</v>
      </c>
      <c r="BG147" s="57" t="n">
        <f aca="false">BG62+BG69+BG95+BG99+BG100+BG82+BG93+BG101+BG61+BG112</f>
        <v>1090.28962868273</v>
      </c>
      <c r="BH147" s="57" t="n">
        <f aca="false">BH62+BH69+BH95+BH99+BH100+BH82+BH93+BH101+BH61+BH112</f>
        <v>1101.36418423768</v>
      </c>
      <c r="BI147" s="57" t="n">
        <f aca="false">BI62+BI69+BI95+BI99+BI100+BI82+BI93+BI101+BI61+BI112</f>
        <v>1112.4193789904</v>
      </c>
      <c r="BJ147" s="57" t="n">
        <f aca="false">BJ62+BJ69+BJ95+BJ99+BJ100+BJ82+BJ93+BJ101+BJ61+BJ112</f>
        <v>1108.16660492602</v>
      </c>
      <c r="BK147" s="57" t="n">
        <f aca="false">BK62+BK69+BK95+BK99+BK100+BK82+BK93+BK101+BK61+BK112</f>
        <v>1101.53246495115</v>
      </c>
      <c r="BL147" s="57" t="n">
        <f aca="false">BL62+BL69+BL95+BL99+BL100+BL82+BL93+BL101+BL61+BL112</f>
        <v>1100.8207083666</v>
      </c>
      <c r="BM147" s="57" t="n">
        <f aca="false">BM62+BM69+BM95+BM99+BM100+BM82+BM93+BM101+BM61+BM112</f>
        <v>1111.8662242629</v>
      </c>
      <c r="BN147" s="57" t="n">
        <f aca="false">BN62+BN69+BN95+BN99+BN100+BN82+BN93+BN101+BN61+BN112</f>
        <v>1107.55649102812</v>
      </c>
      <c r="BO147" s="57" t="n">
        <f aca="false">BO62+BO69+BO95+BO99+BO100+BO82+BO93+BO101+BO61+BO112</f>
        <v>1088.99074223977</v>
      </c>
      <c r="BP147" s="57" t="n">
        <f aca="false">BP62+BP69+BP95+BP99+BP100+BP82+BP93+BP101+BP61+BP112</f>
        <v>1100.04426800347</v>
      </c>
      <c r="BQ147" s="57" t="n">
        <f aca="false">BQ62+BQ69+BQ95+BQ99+BQ100+BQ82+BQ93+BQ101+BQ61+BQ112</f>
        <v>1111.07758224123</v>
      </c>
      <c r="BR147" s="57" t="n">
        <f aca="false">BR62+BR69+BR95+BR99+BR100+BR82+BR93+BR101+BR61+BR112</f>
        <v>1106.70943380718</v>
      </c>
      <c r="BS147" s="57" t="n">
        <f aca="false">BS62+BS69+BS95+BS99+BS100+BS82+BS93+BS101+BS61+BS112</f>
        <v>1087.97491519878</v>
      </c>
      <c r="BT147" s="57" t="n">
        <f aca="false">BT62+BT69+BT95+BT99+BT100+BT82+BT93+BT101+BT61+BT112</f>
        <v>1099.01393054492</v>
      </c>
      <c r="BU147" s="57" t="n">
        <f aca="false">BU62+BU69+BU95+BU99+BU100+BU82+BU93+BU101+BU61+BU112</f>
        <v>1110.03228495748</v>
      </c>
      <c r="BV147" s="57" t="n">
        <f aca="false">BV62+BV69+BV95+BV99+BV100+BV82+BV93+BV101+BV61+BV112</f>
        <v>1105.60406872828</v>
      </c>
      <c r="BW147" s="57" t="n">
        <f aca="false">BW62+BW69+BW95+BW99+BW100+BW82+BW93+BW101+BW61+BW112</f>
        <v>1086.69794238548</v>
      </c>
      <c r="BX147" s="57" t="n">
        <f aca="false">BX62+BX69+BX95+BX99+BX100+BX82+BX93+BX101+BX61+BX112</f>
        <v>1097.71959605648</v>
      </c>
      <c r="BY147" s="57" t="n">
        <f aca="false">BY62+BY69+BY95+BY99+BY100+BY82+BY93+BY101+BY61+BY112</f>
        <v>1108.72012186958</v>
      </c>
      <c r="BZ147" s="57" t="n">
        <f aca="false">BZ62+BZ69+BZ95+BZ99+BZ100+BZ82+BZ93+BZ101+BZ61+BZ112</f>
        <v>1104.23011598401</v>
      </c>
      <c r="CA147" s="57" t="n">
        <f aca="false">CA62+CA69+CA95+CA99+CA100+CA82+CA93+CA101+CA61+CA112</f>
        <v>1097.00278434391</v>
      </c>
      <c r="CB147" s="57" t="n">
        <f aca="false">CB62+CB69+CB95+CB99+CB100+CB82+CB93+CB101+CB61+CB112</f>
        <v>1096.13897021597</v>
      </c>
      <c r="CC147" s="57" t="n">
        <f aca="false">CC62+CC69+CC95+CC99+CC100+CC82+CC93+CC101+CC61+CC112</f>
        <v>1107.11854791696</v>
      </c>
      <c r="CD147" s="57" t="n">
        <f aca="false">CD62+CD69+CD95+CD99+CD100+CD82+CD93+CD101+CD61+CD112</f>
        <v>1102.564820643</v>
      </c>
      <c r="CE147" s="57" t="n">
        <f aca="false">CE62+CE69+CE95+CE99+CE100+CE82+CE93+CE101+CE61+CE112</f>
        <v>1083.30646912089</v>
      </c>
      <c r="CF147" s="57" t="n">
        <f aca="false">CF62+CF69+CF95+CF99+CF100+CF82+CF93+CF101+CF61+CF112</f>
        <v>1094.28424439305</v>
      </c>
      <c r="CG147" s="57" t="n">
        <f aca="false">CG62+CG69+CG95+CG99+CG100+CG82+CG93+CG101+CG61+CG112</f>
        <v>1105.23990058702</v>
      </c>
      <c r="CH147" s="57" t="n">
        <f aca="false">CH62+CH69+CH95+CH99+CH100+CH82+CH93+CH101+CH61+CH112</f>
        <v>1100.62071290883</v>
      </c>
      <c r="CI147" s="57" t="n">
        <f aca="false">CI62+CI69+CI95+CI99+CI100+CI82+CI93+CI101+CI61+CI112</f>
        <v>1081.18168891422</v>
      </c>
      <c r="CJ147" s="57" t="n">
        <f aca="false">CJ62+CJ69+CJ95+CJ99+CJ100+CJ82+CJ93+CJ101+CJ61+CJ112</f>
        <v>1092.13284003132</v>
      </c>
      <c r="CK147" s="57" t="n">
        <f aca="false">CK62+CK69+CK95+CK99+CK100+CK82+CK93+CK101+CK61+CK112</f>
        <v>1103.06134762056</v>
      </c>
      <c r="CL147" s="57" t="n">
        <f aca="false">CL62+CL69+CL95+CL99+CL100+CL82+CL93+CL101+CL61+CL112</f>
        <v>1098.37475001321</v>
      </c>
      <c r="CM147" s="57" t="n">
        <f aca="false">CM62+CM69+CM95+CM99+CM100+CM82+CM93+CM101+CM61+CM112</f>
        <v>1078.75183991889</v>
      </c>
      <c r="CN147" s="57" t="n">
        <f aca="false">CN62+CN69+CN95+CN99+CN100+CN82+CN93+CN101+CN61+CN112</f>
        <v>1089.67303200593</v>
      </c>
      <c r="CO147" s="57" t="n">
        <f aca="false">CO62+CO69+CO95+CO99+CO100+CO82+CO93+CO101+CO61+CO112</f>
        <v>1100.57103520048</v>
      </c>
      <c r="CP147" s="57" t="n">
        <f aca="false">CP62+CP69+CP95+CP99+CP100+CP82+CP93+CP101+CP61+CP112</f>
        <v>1095.81499530287</v>
      </c>
      <c r="CQ147" s="57" t="n">
        <f aca="false">CQ62+CQ69+CQ95+CQ99+CQ100+CQ82+CQ93+CQ101+CQ61+CQ112</f>
        <v>1087.92514514619</v>
      </c>
      <c r="CR147" s="57" t="n">
        <f aca="false">CR62+CR69+CR95+CR99+CR100+CR82+CR93+CR101+CR61+CR112</f>
        <v>1086.88076853275</v>
      </c>
      <c r="CS147" s="57" t="n">
        <f aca="false">CS62+CS69+CS95+CS99+CS100+CS82+CS93+CS101+CS61+CS112</f>
        <v>2343.74717344589</v>
      </c>
      <c r="CT147" s="57" t="n">
        <f aca="false">CT62+CT69+CT95+CT99+CT100+CT82+CT93+CT101+CT61+CT112</f>
        <v>2332.6929896636</v>
      </c>
      <c r="CU147" s="57" t="n">
        <f aca="false">CU62+CU69+CU95+CU99+CU100+CU82+CU93+CU101+CU61+CU112</f>
        <v>2292.32821604218</v>
      </c>
      <c r="CV147" s="57" t="n">
        <f aca="false">CV62+CV69+CV95+CV99+CV100+CV82+CV93+CV101+CV61+CV112</f>
        <v>2317.79852955376</v>
      </c>
      <c r="CW147" s="57" t="n">
        <f aca="false">CW62+CW69+CW95+CW99+CW100+CW82+CW93+CW101+CW61+CW112</f>
        <v>2343.26884306534</v>
      </c>
      <c r="CX147" s="57" t="n">
        <f aca="false">CX62+CX69+CX95+CX99+CX100+CX82+CX93+CX101+CX61+CX112</f>
        <v>2335.22280421056</v>
      </c>
      <c r="CY147" s="57" t="n">
        <f aca="false">CY62+CY69+CY95+CY99+CY100+CY82+CY93+CY101+CY61+CY112</f>
        <v>2294.55441353347</v>
      </c>
      <c r="CZ147" s="57" t="n">
        <f aca="false">CZ62+CZ69+CZ95+CZ99+CZ100+CZ82+CZ93+CZ101+CZ61+CZ112</f>
        <v>2320.04946257273</v>
      </c>
      <c r="DA147" s="57" t="n">
        <f aca="false">DA62+DA69+DA95+DA99+DA100+DA82+DA93+DA101+DA61+DA112</f>
        <v>2345.54451161199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2118.45498318409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0.0778882731983792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3.30771250081149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-1154.79514410967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396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399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400</v>
      </c>
      <c r="D6" s="11" t="s">
        <v>401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402</v>
      </c>
      <c r="D7" s="11" t="s">
        <v>403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406</v>
      </c>
      <c r="D12" s="11" t="s">
        <v>401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407</v>
      </c>
      <c r="D13" s="11" t="s">
        <v>401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325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411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412</v>
      </c>
      <c r="D20" s="11" t="s">
        <v>401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414</v>
      </c>
      <c r="D22" s="11" t="s">
        <v>401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422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432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433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435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436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437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438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439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440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441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442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443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444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445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446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447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448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449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450</v>
      </c>
      <c r="D65" s="11" t="s">
        <v>19</v>
      </c>
      <c r="E65" s="48" t="n">
        <f aca="false">IF($E41=1,In_Turbine,In_Turbine_CN)</f>
        <v>500</v>
      </c>
    </row>
    <row r="66" customFormat="false" ht="15" hidden="false" customHeight="false" outlineLevel="0" collapsed="false">
      <c r="C66" s="0" t="s">
        <v>451</v>
      </c>
      <c r="D66" s="11" t="s">
        <v>33</v>
      </c>
      <c r="E66" s="48" t="n">
        <f aca="false">IF($E41=1,In_Substation,In_Substation_CN)</f>
        <v>10800</v>
      </c>
    </row>
    <row r="67" customFormat="false" ht="15" hidden="false" customHeight="false" outlineLevel="0" collapsed="false">
      <c r="C67" s="0" t="s">
        <v>452</v>
      </c>
      <c r="D67" s="11" t="s">
        <v>33</v>
      </c>
      <c r="E67" s="48" t="n">
        <f aca="false">(($E65+In_Other_Wind)*$F25+$E66)*(1+In_Capex_Contingency)+In_BESS_Capex*$E28*In_BESS_Built</f>
        <v>64716.25</v>
      </c>
      <c r="I67" s="48" t="n">
        <f aca="false">SUM(J67:EO67)</f>
        <v>-64716.25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-8156.02054794521</v>
      </c>
      <c r="S67" s="48" t="n">
        <f aca="false">-$E67*S12</f>
        <v>-7978.71575342466</v>
      </c>
      <c r="T67" s="48" t="n">
        <f aca="false">-$E67*T12</f>
        <v>-8067.36815068493</v>
      </c>
      <c r="U67" s="48" t="n">
        <f aca="false">-$E67*U12</f>
        <v>-8156.02054794521</v>
      </c>
      <c r="V67" s="48" t="n">
        <f aca="false">-$E67*V12</f>
        <v>-8156.02054794521</v>
      </c>
      <c r="W67" s="48" t="n">
        <f aca="false">-$E67*W12</f>
        <v>-7978.71575342466</v>
      </c>
      <c r="X67" s="48" t="n">
        <f aca="false">-$E67*X12</f>
        <v>-8067.36815068493</v>
      </c>
      <c r="Y67" s="48" t="n">
        <f aca="false">-$E67*Y12</f>
        <v>-8156.02054794521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453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454</v>
      </c>
      <c r="D69" s="11" t="s">
        <v>33</v>
      </c>
      <c r="E69" s="57" t="n">
        <f aca="false">SUMPRODUCT($J69:$EO69/$J22:$EO22)*$E22</f>
        <v>-78904.2480519649</v>
      </c>
      <c r="I69" s="57" t="n">
        <f aca="false">SUM(J69:EO69)</f>
        <v>-75371.0731506849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-8156.02054794521</v>
      </c>
      <c r="S69" s="57" t="n">
        <f aca="false">S67+S57+S68</f>
        <v>-16133.5389041096</v>
      </c>
      <c r="T69" s="57" t="n">
        <f aca="false">T67+T57+T68</f>
        <v>-8067.36815068493</v>
      </c>
      <c r="U69" s="57" t="n">
        <f aca="false">U67+U57+U68</f>
        <v>-8156.02054794521</v>
      </c>
      <c r="V69" s="57" t="n">
        <f aca="false">V67+V57+V68</f>
        <v>-8156.02054794521</v>
      </c>
      <c r="W69" s="57" t="n">
        <f aca="false">W67+W57+W68</f>
        <v>-7978.71575342466</v>
      </c>
      <c r="X69" s="57" t="n">
        <f aca="false">X67+X57+X68</f>
        <v>-8067.36815068493</v>
      </c>
      <c r="Y69" s="57" t="n">
        <f aca="false">Y67+Y57+Y68</f>
        <v>-10656.0205479452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455</v>
      </c>
      <c r="D72" s="11" t="s">
        <v>401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456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457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458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459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460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461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462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341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463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464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465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-57.9374552281603</v>
      </c>
      <c r="AA85" s="58" t="n">
        <v>-57.3413728005357</v>
      </c>
      <c r="AB85" s="58" t="n">
        <v>-58.7786499424884</v>
      </c>
      <c r="AC85" s="58" t="n">
        <v>-60.2295392404593</v>
      </c>
      <c r="AD85" s="58" t="n">
        <v>-59.9734776850922</v>
      </c>
      <c r="AE85" s="58" t="n">
        <v>-114.686810686578</v>
      </c>
      <c r="AF85" s="58" t="n">
        <v>-121.65584437691</v>
      </c>
      <c r="AG85" s="58" t="n">
        <v>-124.565346374805</v>
      </c>
      <c r="AH85" s="58" t="n">
        <v>-124.03945188484</v>
      </c>
      <c r="AI85" s="58" t="n">
        <v>-122.791188733058</v>
      </c>
      <c r="AJ85" s="58" t="n">
        <v>-130.699003240141</v>
      </c>
      <c r="AK85" s="58" t="n">
        <v>-133.736080825414</v>
      </c>
      <c r="AL85" s="58" t="n">
        <v>-133.264009897709</v>
      </c>
      <c r="AM85" s="58" t="n">
        <v>-131.922827649737</v>
      </c>
      <c r="AN85" s="58" t="n">
        <v>-134.986321172937</v>
      </c>
      <c r="AO85" s="58" t="n">
        <v>-138.077496021679</v>
      </c>
      <c r="AP85" s="58" t="n">
        <v>-137.64027983941</v>
      </c>
      <c r="AQ85" s="58" t="n">
        <v>-136.295901723743</v>
      </c>
      <c r="AR85" s="58" t="n">
        <v>-139.414472571597</v>
      </c>
      <c r="AS85" s="58" t="n">
        <v>-142.561287033905</v>
      </c>
      <c r="AT85" s="58" t="n">
        <v>-142.160811469419</v>
      </c>
      <c r="AU85" s="58" t="n">
        <v>-143.09807707241</v>
      </c>
      <c r="AV85" s="58" t="n">
        <v>-144.008344071491</v>
      </c>
      <c r="AW85" s="58" t="n">
        <v>-147.21262871991</v>
      </c>
      <c r="AX85" s="58" t="n">
        <v>-146.851084519522</v>
      </c>
      <c r="AY85" s="58" t="n">
        <v>-145.505156635975</v>
      </c>
      <c r="AZ85" s="58" t="n">
        <v>-148.738961506477</v>
      </c>
      <c r="BA85" s="58" t="n">
        <v>-152.002202423538</v>
      </c>
      <c r="BB85" s="58" t="n">
        <v>-151.681445422595</v>
      </c>
      <c r="BC85" s="58" t="n">
        <v>-150.33712113833</v>
      </c>
      <c r="BD85" s="58" t="n">
        <v>-153.631024508787</v>
      </c>
      <c r="BE85" s="58" t="n">
        <v>-156.954993583047</v>
      </c>
      <c r="BF85" s="58" t="n">
        <v>-156.677182772684</v>
      </c>
      <c r="BG85" s="58" t="n">
        <v>-155.336233237575</v>
      </c>
      <c r="BH85" s="58" t="n">
        <v>-158.692066558579</v>
      </c>
      <c r="BI85" s="58" t="n">
        <v>-162.078619751248</v>
      </c>
      <c r="BJ85" s="58" t="n">
        <v>-161.846013552583</v>
      </c>
      <c r="BK85" s="58" t="n">
        <v>-162.833619797071</v>
      </c>
      <c r="BL85" s="58" t="n">
        <v>-163.948508670433</v>
      </c>
      <c r="BM85" s="58" t="n">
        <v>-167.399807735495</v>
      </c>
      <c r="BN85" s="58" t="n">
        <v>-167.214988710277</v>
      </c>
      <c r="BO85" s="58" t="n">
        <v>-165.886706299979</v>
      </c>
      <c r="BP85" s="58" t="n">
        <v>-169.372471949545</v>
      </c>
      <c r="BQ85" s="58" t="n">
        <v>-172.890346552661</v>
      </c>
      <c r="BR85" s="58" t="n">
        <v>-172.755576426138</v>
      </c>
      <c r="BS85" s="58" t="n">
        <v>-171.436576633022</v>
      </c>
      <c r="BT85" s="58" t="n">
        <v>-174.990317518141</v>
      </c>
      <c r="BU85" s="58" t="n">
        <v>-178.576902171468</v>
      </c>
      <c r="BV85" s="58" t="n">
        <v>-178.494766653995</v>
      </c>
      <c r="BW85" s="58" t="n">
        <v>-177.187226150453</v>
      </c>
      <c r="BX85" s="58" t="n">
        <v>-180.811149454398</v>
      </c>
      <c r="BY85" s="58" t="n">
        <v>-184.468680703855</v>
      </c>
      <c r="BZ85" s="58" t="n">
        <v>-184.441884712068</v>
      </c>
      <c r="CA85" s="58" t="n">
        <v>-185.504505587088</v>
      </c>
      <c r="CB85" s="58" t="n">
        <v>-186.863176768402</v>
      </c>
      <c r="CC85" s="58" t="n">
        <v>-190.594217455057</v>
      </c>
      <c r="CD85" s="58" t="n">
        <v>-190.625812433584</v>
      </c>
      <c r="CE85" s="58" t="n">
        <v>-189.348405272732</v>
      </c>
      <c r="CF85" s="58" t="n">
        <v>-193.11997010984</v>
      </c>
      <c r="CG85" s="58" t="n">
        <v>-196.92676750123</v>
      </c>
      <c r="CH85" s="58" t="n">
        <v>-197.019502452113</v>
      </c>
      <c r="CI85" s="58" t="n">
        <v>-195.760799763079</v>
      </c>
      <c r="CJ85" s="58" t="n">
        <v>-199.609834925664</v>
      </c>
      <c r="CK85" s="58" t="n">
        <v>-203.494963449185</v>
      </c>
      <c r="CL85" s="58" t="n">
        <v>-203.651935662101</v>
      </c>
      <c r="CM85" s="58" t="n">
        <v>-202.414603329839</v>
      </c>
      <c r="CN85" s="58" t="n">
        <v>-206.343771814505</v>
      </c>
      <c r="CO85" s="58" t="n">
        <v>-210.309929670174</v>
      </c>
      <c r="CP85" s="58" t="n">
        <v>-210.534379405341</v>
      </c>
      <c r="CQ85" s="58" t="n">
        <v>-211.702843383591</v>
      </c>
      <c r="CR85" s="58" t="n">
        <v>-213.352085642376</v>
      </c>
      <c r="CS85" s="58" t="n">
        <v>-217.402321392103</v>
      </c>
      <c r="CT85" s="58" t="n">
        <v>-217.697861601253</v>
      </c>
      <c r="CU85" s="58" t="n">
        <v>-214.791054135796</v>
      </c>
      <c r="CV85" s="58" t="n">
        <v>-217.177621403972</v>
      </c>
      <c r="CW85" s="58" t="n">
        <v>-219.564188672147</v>
      </c>
      <c r="CX85" s="58" t="n">
        <v>-218.14429946248</v>
      </c>
      <c r="CY85" s="58" t="n">
        <v>-215.183912516612</v>
      </c>
      <c r="CZ85" s="58" t="n">
        <v>-217.574844877908</v>
      </c>
      <c r="DA85" s="58" t="n">
        <v>-219.965777239203</v>
      </c>
      <c r="DB85" s="58" t="n">
        <v>-375.486699874706</v>
      </c>
      <c r="DC85" s="58" t="n">
        <v>-369.060276869219</v>
      </c>
      <c r="DD85" s="58" t="n">
        <v>-373.160946612211</v>
      </c>
      <c r="DE85" s="58" t="n">
        <v>-377.261616355202</v>
      </c>
      <c r="DF85" s="58" t="n">
        <v>-375.824783779587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-373.952073960705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-378.105320721435</v>
      </c>
      <c r="DZ85" s="58" t="n">
        <v>-376.625871256129</v>
      </c>
      <c r="EA85" s="58" t="n">
        <v>-369.863624794353</v>
      </c>
      <c r="EB85" s="58" t="n">
        <v>-373.973220625402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-377.991855047369</v>
      </c>
      <c r="EH85" s="58" t="n">
        <v>-376.495273595488</v>
      </c>
      <c r="EI85" s="58" t="n">
        <v>-369.616610884433</v>
      </c>
      <c r="EJ85" s="58" t="n">
        <v>-373.723462116482</v>
      </c>
      <c r="EK85" s="58" t="n">
        <v>-377.830313348532</v>
      </c>
      <c r="EL85" s="58" t="n">
        <v>-376.325151374579</v>
      </c>
      <c r="EM85" s="58" t="n">
        <v>-373.491708815652</v>
      </c>
      <c r="EN85" s="58" t="n">
        <v>-373.491708815652</v>
      </c>
      <c r="EO85" s="58" t="n">
        <v>-377.596013308131</v>
      </c>
    </row>
    <row r="86" customFormat="false" ht="15" hidden="false" customHeight="false" outlineLevel="0" collapsed="false">
      <c r="C86" s="0" t="s">
        <v>466</v>
      </c>
      <c r="D86" s="11" t="s">
        <v>33</v>
      </c>
      <c r="I86" s="48" t="n">
        <f aca="false">SUM(J86:EO86)</f>
        <v>267239.41896663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2303.35715537998</v>
      </c>
      <c r="AA86" s="48" t="n">
        <f aca="false">(AA82+AA58+AA85)*(AA$4&gt;In_COD)</f>
        <v>2268.44894488457</v>
      </c>
      <c r="AB86" s="48" t="n">
        <f aca="false">(AB82+AB58+AB85)*(AB$4&gt;In_COD)</f>
        <v>2292.85378238356</v>
      </c>
      <c r="AC86" s="48" t="n">
        <f aca="false">(AC82+AC58+AC85)*(AC$4&gt;In_COD)</f>
        <v>2317.24500772654</v>
      </c>
      <c r="AD86" s="48" t="n">
        <f aca="false">(AD82+AD58+AD85)*(AD$4&gt;In_COD)</f>
        <v>2309.02700771175</v>
      </c>
      <c r="AE86" s="48" t="n">
        <f aca="false">(AE82+AE58+AE85)*(AE$4&gt;In_COD)</f>
        <v>2244.43107067092</v>
      </c>
      <c r="AF86" s="48" t="n">
        <f aca="false">(AF82+AF58+AF85)*(AF$4&gt;In_COD)</f>
        <v>2237.46203698058</v>
      </c>
      <c r="AG86" s="48" t="n">
        <f aca="false">(AG82+AG58+AG85)*(AG$4&gt;In_COD)</f>
        <v>2260.4769073053</v>
      </c>
      <c r="AH86" s="48" t="n">
        <f aca="false">(AH82+AH58+AH85)*(AH$4&gt;In_COD)</f>
        <v>2252.47501014435</v>
      </c>
      <c r="AI86" s="48" t="n">
        <f aca="false">(AI82+AI58+AI85)*(AI$4&gt;In_COD)</f>
        <v>2217.61091354168</v>
      </c>
      <c r="AJ86" s="48" t="n">
        <f aca="false">(AJ82+AJ58+AJ85)*(AJ$4&gt;In_COD)</f>
        <v>2268.86305567233</v>
      </c>
      <c r="AK86" s="48" t="n">
        <f aca="false">(AK82+AK58+AK85)*(AK$4&gt;In_COD)</f>
        <v>2292.19479192126</v>
      </c>
      <c r="AL86" s="48" t="n">
        <f aca="false">(AL82+AL58+AL85)*(AL$4&gt;In_COD)</f>
        <v>2284.08516221082</v>
      </c>
      <c r="AM86" s="48" t="n">
        <f aca="false">(AM82+AM58+AM85)*(AM$4&gt;In_COD)</f>
        <v>2248.27717430631</v>
      </c>
      <c r="AN86" s="48" t="n">
        <f aca="false">(AN82+AN58+AN85)*(AN$4&gt;In_COD)</f>
        <v>2271.66034747151</v>
      </c>
      <c r="AO86" s="48" t="n">
        <f aca="false">(AO82+AO58+AO85)*(AO$4&gt;In_COD)</f>
        <v>2295.01583931117</v>
      </c>
      <c r="AP86" s="48" t="n">
        <f aca="false">(AP82+AP58+AP85)*(AP$4&gt;In_COD)</f>
        <v>2286.81726976704</v>
      </c>
      <c r="AQ86" s="48" t="n">
        <f aca="false">(AQ82+AQ58+AQ85)*(AQ$4&gt;In_COD)</f>
        <v>2250.70158883029</v>
      </c>
      <c r="AR86" s="48" t="n">
        <f aca="false">(AR82+AR58+AR85)*(AR$4&gt;In_COD)</f>
        <v>2274.10521232193</v>
      </c>
      <c r="AS86" s="48" t="n">
        <f aca="false">(AS82+AS58+AS85)*(AS$4&gt;In_COD)</f>
        <v>2297.48059219911</v>
      </c>
      <c r="AT86" s="48" t="n">
        <f aca="false">(AT82+AT58+AT85)*(AT$4&gt;In_COD)</f>
        <v>2289.19102376248</v>
      </c>
      <c r="AU86" s="48" t="n">
        <f aca="false">(AU82+AU58+AU85)*(AU$4&gt;In_COD)</f>
        <v>2277.07531538183</v>
      </c>
      <c r="AV86" s="48" t="n">
        <f aca="false">(AV82+AV58+AV85)*(AV$4&gt;In_COD)</f>
        <v>2276.16504838275</v>
      </c>
      <c r="AW86" s="48" t="n">
        <f aca="false">(AW82+AW58+AW85)*(AW$4&gt;In_COD)</f>
        <v>2299.55607573932</v>
      </c>
      <c r="AX86" s="48" t="n">
        <f aca="false">(AX82+AX58+AX85)*(AX$4&gt;In_COD)</f>
        <v>2291.17314750383</v>
      </c>
      <c r="AY86" s="48" t="n">
        <f aca="false">(AY82+AY58+AY85)*(AY$4&gt;In_COD)</f>
        <v>2254.4287811187</v>
      </c>
      <c r="AZ86" s="48" t="n">
        <f aca="false">(AZ82+AZ58+AZ85)*(AZ$4&gt;In_COD)</f>
        <v>2277.86090888992</v>
      </c>
      <c r="BA86" s="48" t="n">
        <f aca="false">(BA82+BA58+BA85)*(BA$4&gt;In_COD)</f>
        <v>2301.26360061458</v>
      </c>
      <c r="BB86" s="48" t="n">
        <f aca="false">(BB82+BB58+BB85)*(BB$4&gt;In_COD)</f>
        <v>2292.78528972584</v>
      </c>
      <c r="BC86" s="48" t="n">
        <f aca="false">(BC82+BC58+BC85)*(BC$4&gt;In_COD)</f>
        <v>2255.71989890028</v>
      </c>
      <c r="BD86" s="48" t="n">
        <f aca="false">(BD82+BD58+BD85)*(BD$4&gt;In_COD)</f>
        <v>2279.15996241914</v>
      </c>
      <c r="BE86" s="48" t="n">
        <f aca="false">(BE82+BE58+BE85)*(BE$4&gt;In_COD)</f>
        <v>2302.5699602342</v>
      </c>
      <c r="BF86" s="48" t="n">
        <f aca="false">(BF82+BF58+BF85)*(BF$4&gt;In_COD)</f>
        <v>2293.99394394053</v>
      </c>
      <c r="BG86" s="48" t="n">
        <f aca="false">(BG82+BG58+BG85)*(BG$4&gt;In_COD)</f>
        <v>2256.60283788145</v>
      </c>
      <c r="BH86" s="48" t="n">
        <f aca="false">(BH82+BH58+BH85)*(BH$4&gt;In_COD)</f>
        <v>2280.04632757288</v>
      </c>
      <c r="BI86" s="48" t="n">
        <f aca="false">(BI82+BI58+BI85)*(BI$4&gt;In_COD)</f>
        <v>2303.45909739265</v>
      </c>
      <c r="BJ86" s="48" t="n">
        <f aca="false">(BJ82+BJ58+BJ85)*(BJ$4&gt;In_COD)</f>
        <v>2294.78295689124</v>
      </c>
      <c r="BK86" s="48" t="n">
        <f aca="false">(BK82+BK58+BK85)*(BK$4&gt;In_COD)</f>
        <v>2281.5999027744</v>
      </c>
      <c r="BL86" s="48" t="n">
        <f aca="false">(BL82+BL58+BL85)*(BL$4&gt;In_COD)</f>
        <v>2280.48501390104</v>
      </c>
      <c r="BM86" s="48" t="n">
        <f aca="false">(BM82+BM58+BM85)*(BM$4&gt;In_COD)</f>
        <v>2303.89562167742</v>
      </c>
      <c r="BN86" s="48" t="n">
        <f aca="false">(BN82+BN58+BN85)*(BN$4&gt;In_COD)</f>
        <v>2295.11661752705</v>
      </c>
      <c r="BO86" s="48" t="n">
        <f aca="false">(BO82+BO58+BO85)*(BO$4&gt;In_COD)</f>
        <v>2257.05924775712</v>
      </c>
      <c r="BP86" s="48" t="n">
        <f aca="false">(BP82+BP58+BP85)*(BP$4&gt;In_COD)</f>
        <v>2280.4951038193</v>
      </c>
      <c r="BQ86" s="48" t="n">
        <f aca="false">(BQ82+BQ58+BQ85)*(BQ$4&gt;In_COD)</f>
        <v>2303.89885092793</v>
      </c>
      <c r="BR86" s="48" t="n">
        <f aca="false">(BR82+BR58+BR85)*(BR$4&gt;In_COD)</f>
        <v>2295.01456815247</v>
      </c>
      <c r="BS86" s="48" t="n">
        <f aca="false">(BS82+BS58+BS85)*(BS$4&gt;In_COD)</f>
        <v>2256.61657950504</v>
      </c>
      <c r="BT86" s="48" t="n">
        <f aca="false">(BT82+BT58+BT85)*(BT$4&gt;In_COD)</f>
        <v>2280.04120702145</v>
      </c>
      <c r="BU86" s="48" t="n">
        <f aca="false">(BU82+BU58+BU85)*(BU$4&gt;In_COD)</f>
        <v>2303.43299076966</v>
      </c>
      <c r="BV86" s="48" t="n">
        <f aca="false">(BV82+BV58+BV85)*(BV$4&gt;In_COD)</f>
        <v>2294.44069416603</v>
      </c>
      <c r="BW86" s="48" t="n">
        <f aca="false">(BW82+BW58+BW85)*(BW$4&gt;In_COD)</f>
        <v>2255.69682997593</v>
      </c>
      <c r="BX86" s="48" t="n">
        <f aca="false">(BX82+BX58+BX85)*(BX$4&gt;In_COD)</f>
        <v>2279.10495174005</v>
      </c>
      <c r="BY86" s="48" t="n">
        <f aca="false">(BY82+BY58+BY85)*(BY$4&gt;In_COD)</f>
        <v>2302.47946555867</v>
      </c>
      <c r="BZ86" s="48" t="n">
        <f aca="false">(BZ82+BZ58+BZ85)*(BZ$4&gt;In_COD)</f>
        <v>2293.37630460833</v>
      </c>
      <c r="CA86" s="48" t="n">
        <f aca="false">(CA82+CA58+CA85)*(CA$4&gt;In_COD)</f>
        <v>2279.00728800875</v>
      </c>
      <c r="CB86" s="48" t="n">
        <f aca="false">(CB82+CB58+CB85)*(CB$4&gt;In_COD)</f>
        <v>2277.64861682744</v>
      </c>
      <c r="CC86" s="48" t="n">
        <f aca="false">(CC82+CC58+CC85)*(CC$4&gt;In_COD)</f>
        <v>2301.00012332316</v>
      </c>
      <c r="CD86" s="48" t="n">
        <f aca="false">(CD82+CD58+CD85)*(CD$4&gt;In_COD)</f>
        <v>2291.78290500637</v>
      </c>
      <c r="CE86" s="48" t="n">
        <f aca="false">(CE82+CE58+CE85)*(CE$4&gt;In_COD)</f>
        <v>2252.33066633376</v>
      </c>
      <c r="CF86" s="48" t="n">
        <f aca="false">(CF82+CF58+CF85)*(CF$4&gt;In_COD)</f>
        <v>2275.68886895895</v>
      </c>
      <c r="CG86" s="48" t="n">
        <f aca="false">(CG82+CG58+CG85)*(CG$4&gt;In_COD)</f>
        <v>2299.01183902985</v>
      </c>
      <c r="CH86" s="48" t="n">
        <f aca="false">(CH82+CH58+CH85)*(CH$4&gt;In_COD)</f>
        <v>2289.67767693556</v>
      </c>
      <c r="CI86" s="48" t="n">
        <f aca="false">(CI82+CI58+CI85)*(CI$4&gt;In_COD)</f>
        <v>2249.86282259513</v>
      </c>
      <c r="CJ86" s="48" t="n">
        <f aca="false">(CJ82+CJ58+CJ85)*(CJ$4&gt;In_COD)</f>
        <v>2273.18738323653</v>
      </c>
      <c r="CK86" s="48" t="n">
        <f aca="false">(CK82+CK58+CK85)*(CK$4&gt;In_COD)</f>
        <v>2296.47585051699</v>
      </c>
      <c r="CL86" s="48" t="n">
        <f aca="false">(CL82+CL58+CL85)*(CL$4&gt;In_COD)</f>
        <v>2287.02151425526</v>
      </c>
      <c r="CM86" s="48" t="n">
        <f aca="false">(CM82+CM58+CM85)*(CM$4&gt;In_COD)</f>
        <v>2246.83812571528</v>
      </c>
      <c r="CN86" s="48" t="n">
        <f aca="false">(CN82+CN58+CN85)*(CN$4&gt;In_COD)</f>
        <v>2270.12287644223</v>
      </c>
      <c r="CO86" s="48" t="n">
        <f aca="false">(CO82+CO58+CO85)*(CO$4&gt;In_COD)</f>
        <v>2293.37063779817</v>
      </c>
      <c r="CP86" s="48" t="n">
        <f aca="false">(CP82+CP58+CP85)*(CP$4&gt;In_COD)</f>
        <v>2283.79275846352</v>
      </c>
      <c r="CQ86" s="48" t="n">
        <f aca="false">(CQ82+CQ58+CQ85)*(CQ$4&gt;In_COD)</f>
        <v>2268.10373363213</v>
      </c>
      <c r="CR86" s="48" t="n">
        <f aca="false">(CR82+CR58+CR85)*(CR$4&gt;In_COD)</f>
        <v>2266.45449137335</v>
      </c>
      <c r="CS86" s="48" t="n">
        <f aca="false">(CS82+CS58+CS85)*(CS$4&gt;In_COD)</f>
        <v>2289.65487734907</v>
      </c>
      <c r="CT86" s="48" t="n">
        <f aca="false">(CT82+CT58+CT85)*(CT$4&gt;In_COD)</f>
        <v>2279.94971794918</v>
      </c>
      <c r="CU86" s="48" t="n">
        <f aca="false">(CU82+CU58+CU85)*(CU$4&gt;In_COD)</f>
        <v>2240.73153719111</v>
      </c>
      <c r="CV86" s="48" t="n">
        <f aca="false">(CV82+CV58+CV85)*(CV$4&gt;In_COD)</f>
        <v>2265.62855427102</v>
      </c>
      <c r="CW86" s="48" t="n">
        <f aca="false">(CW82+CW58+CW85)*(CW$4&gt;In_COD)</f>
        <v>2290.52557135092</v>
      </c>
      <c r="CX86" s="48" t="n">
        <f aca="false">(CX82+CX58+CX85)*(CX$4&gt;In_COD)</f>
        <v>2282.47953249614</v>
      </c>
      <c r="CY86" s="48" t="n">
        <f aca="false">(CY82+CY58+CY85)*(CY$4&gt;In_COD)</f>
        <v>2242.9577346824</v>
      </c>
      <c r="CZ86" s="48" t="n">
        <f aca="false">(CZ82+CZ58+CZ85)*(CZ$4&gt;In_COD)</f>
        <v>2267.87948728999</v>
      </c>
      <c r="DA86" s="48" t="n">
        <f aca="false">(DA82+DA58+DA85)*(DA$4&gt;In_COD)</f>
        <v>2292.80123989757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467</v>
      </c>
      <c r="D87" s="11" t="s">
        <v>33</v>
      </c>
      <c r="E87" s="48" t="n">
        <f aca="false">SUMPRODUCT($J87:$EO87/$J22:$EO22)*$E22</f>
        <v>89831.5464768429</v>
      </c>
      <c r="I87" s="48" t="n">
        <f aca="false">SUM(J87:EO87)</f>
        <v>136793.508377313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1919.46429614999</v>
      </c>
      <c r="AA87" s="48" t="n">
        <f aca="false">AA86/In_DSCR*AA18</f>
        <v>1890.37412073714</v>
      </c>
      <c r="AB87" s="48" t="n">
        <f aca="false">AB86/In_DSCR*AB18</f>
        <v>1910.71148531963</v>
      </c>
      <c r="AC87" s="48" t="n">
        <f aca="false">AC86/In_DSCR*AC18</f>
        <v>1931.03750643878</v>
      </c>
      <c r="AD87" s="48" t="n">
        <f aca="false">AD86/In_DSCR*AD18</f>
        <v>1924.18917309312</v>
      </c>
      <c r="AE87" s="48" t="n">
        <f aca="false">AE86/In_DSCR*AE18</f>
        <v>1870.3592255591</v>
      </c>
      <c r="AF87" s="48" t="n">
        <f aca="false">AF86/In_DSCR*AF18</f>
        <v>1864.55169748382</v>
      </c>
      <c r="AG87" s="48" t="n">
        <f aca="false">AG86/In_DSCR*AG18</f>
        <v>1883.73075608775</v>
      </c>
      <c r="AH87" s="48" t="n">
        <f aca="false">AH86/In_DSCR*AH18</f>
        <v>1877.06250845363</v>
      </c>
      <c r="AI87" s="48" t="n">
        <f aca="false">AI86/In_DSCR*AI18</f>
        <v>1848.00909461807</v>
      </c>
      <c r="AJ87" s="48" t="n">
        <f aca="false">AJ86/In_DSCR*AJ18</f>
        <v>1890.71921306028</v>
      </c>
      <c r="AK87" s="48" t="n">
        <f aca="false">AK86/In_DSCR*AK18</f>
        <v>1910.16232660105</v>
      </c>
      <c r="AL87" s="48" t="n">
        <f aca="false">AL86/In_DSCR*AL18</f>
        <v>1903.40430184235</v>
      </c>
      <c r="AM87" s="48" t="n">
        <f aca="false">AM86/In_DSCR*AM18</f>
        <v>1873.56431192192</v>
      </c>
      <c r="AN87" s="48" t="n">
        <f aca="false">AN86/In_DSCR*AN18</f>
        <v>1893.05028955959</v>
      </c>
      <c r="AO87" s="48" t="n">
        <f aca="false">AO86/In_DSCR*AO18</f>
        <v>1912.51319942597</v>
      </c>
      <c r="AP87" s="48" t="n">
        <f aca="false">AP86/In_DSCR*AP18</f>
        <v>1905.6810581392</v>
      </c>
      <c r="AQ87" s="48" t="n">
        <f aca="false">AQ86/In_DSCR*AQ18</f>
        <v>1875.58465735858</v>
      </c>
      <c r="AR87" s="48" t="n">
        <f aca="false">AR86/In_DSCR*AR18</f>
        <v>1895.08767693494</v>
      </c>
      <c r="AS87" s="48" t="n">
        <f aca="false">AS86/In_DSCR*AS18</f>
        <v>1914.56716016592</v>
      </c>
      <c r="AT87" s="48" t="n">
        <f aca="false">AT86/In_DSCR*AT18</f>
        <v>1907.65918646874</v>
      </c>
      <c r="AU87" s="48" t="n">
        <f aca="false">AU86/In_DSCR*AU18</f>
        <v>1897.56276281819</v>
      </c>
      <c r="AV87" s="48" t="n">
        <f aca="false">AV86/In_DSCR*AV18</f>
        <v>1896.80420698563</v>
      </c>
      <c r="AW87" s="48" t="n">
        <f aca="false">AW86/In_DSCR*AW18</f>
        <v>1916.29672978277</v>
      </c>
      <c r="AX87" s="48" t="n">
        <f aca="false">AX86/In_DSCR*AX18</f>
        <v>1909.3109562532</v>
      </c>
      <c r="AY87" s="48" t="n">
        <f aca="false">AY86/In_DSCR*AY18</f>
        <v>1878.69065093225</v>
      </c>
      <c r="AZ87" s="48" t="n">
        <f aca="false">AZ86/In_DSCR*AZ18</f>
        <v>1898.21742407493</v>
      </c>
      <c r="BA87" s="48" t="n">
        <f aca="false">BA86/In_DSCR*BA18</f>
        <v>1917.71966717881</v>
      </c>
      <c r="BB87" s="48" t="n">
        <f aca="false">BB86/In_DSCR*BB18</f>
        <v>1910.65440810487</v>
      </c>
      <c r="BC87" s="48" t="n">
        <f aca="false">BC86/In_DSCR*BC18</f>
        <v>1879.7665824169</v>
      </c>
      <c r="BD87" s="48" t="n">
        <f aca="false">BD86/In_DSCR*BD18</f>
        <v>1899.29996868262</v>
      </c>
      <c r="BE87" s="48" t="n">
        <f aca="false">BE86/In_DSCR*BE18</f>
        <v>1918.80830019516</v>
      </c>
      <c r="BF87" s="48" t="n">
        <f aca="false">BF86/In_DSCR*BF18</f>
        <v>1911.66161995044</v>
      </c>
      <c r="BG87" s="48" t="n">
        <f aca="false">BG86/In_DSCR*BG18</f>
        <v>1880.50236490121</v>
      </c>
      <c r="BH87" s="48" t="n">
        <f aca="false">BH86/In_DSCR*BH18</f>
        <v>1900.03860631073</v>
      </c>
      <c r="BI87" s="48" t="n">
        <f aca="false">BI86/In_DSCR*BI18</f>
        <v>1919.54924782721</v>
      </c>
      <c r="BJ87" s="48" t="n">
        <f aca="false">BJ86/In_DSCR*BJ18</f>
        <v>1912.3191307427</v>
      </c>
      <c r="BK87" s="48" t="n">
        <f aca="false">BK86/In_DSCR*BK18</f>
        <v>1901.333252312</v>
      </c>
      <c r="BL87" s="48" t="n">
        <f aca="false">BL86/In_DSCR*BL18</f>
        <v>1900.40417825087</v>
      </c>
      <c r="BM87" s="48" t="n">
        <f aca="false">BM86/In_DSCR*BM18</f>
        <v>1919.91301806452</v>
      </c>
      <c r="BN87" s="48" t="n">
        <f aca="false">BN86/In_DSCR*BN18</f>
        <v>1912.59718127254</v>
      </c>
      <c r="BO87" s="48" t="n">
        <f aca="false">BO86/In_DSCR*BO18</f>
        <v>1880.88270646426</v>
      </c>
      <c r="BP87" s="48" t="n">
        <f aca="false">BP86/In_DSCR*BP18</f>
        <v>1900.41258651608</v>
      </c>
      <c r="BQ87" s="48" t="n">
        <f aca="false">BQ86/In_DSCR*BQ18</f>
        <v>1919.91570910661</v>
      </c>
      <c r="BR87" s="48" t="n">
        <f aca="false">BR86/In_DSCR*BR18</f>
        <v>1912.51214012706</v>
      </c>
      <c r="BS87" s="48" t="n">
        <f aca="false">BS86/In_DSCR*BS18</f>
        <v>1880.5138162542</v>
      </c>
      <c r="BT87" s="48" t="n">
        <f aca="false">BT86/In_DSCR*BT18</f>
        <v>1900.03433918454</v>
      </c>
      <c r="BU87" s="48" t="n">
        <f aca="false">BU86/In_DSCR*BU18</f>
        <v>1919.52749230805</v>
      </c>
      <c r="BV87" s="48" t="n">
        <f aca="false">BV86/In_DSCR*BV18</f>
        <v>1912.03391180503</v>
      </c>
      <c r="BW87" s="48" t="n">
        <f aca="false">BW86/In_DSCR*BW18</f>
        <v>1879.74735831327</v>
      </c>
      <c r="BX87" s="48" t="n">
        <f aca="false">BX86/In_DSCR*BX18</f>
        <v>1899.25412645004</v>
      </c>
      <c r="BY87" s="48" t="n">
        <f aca="false">BY86/In_DSCR*BY18</f>
        <v>1918.73288796556</v>
      </c>
      <c r="BZ87" s="48" t="n">
        <f aca="false">BZ86/In_DSCR*BZ18</f>
        <v>1911.14692050694</v>
      </c>
      <c r="CA87" s="48" t="n">
        <f aca="false">CA86/In_DSCR*CA18</f>
        <v>1899.17274000729</v>
      </c>
      <c r="CB87" s="48" t="n">
        <f aca="false">CB86/In_DSCR*CB18</f>
        <v>1898.04051402287</v>
      </c>
      <c r="CC87" s="48" t="n">
        <f aca="false">CC86/In_DSCR*CC18</f>
        <v>1917.5001027693</v>
      </c>
      <c r="CD87" s="48" t="n">
        <f aca="false">CD86/In_DSCR*CD18</f>
        <v>1909.81908750531</v>
      </c>
      <c r="CE87" s="48" t="n">
        <f aca="false">CE86/In_DSCR*CE18</f>
        <v>1876.9422219448</v>
      </c>
      <c r="CF87" s="48" t="n">
        <f aca="false">CF86/In_DSCR*CF18</f>
        <v>1896.40739079912</v>
      </c>
      <c r="CG87" s="48" t="n">
        <f aca="false">CG86/In_DSCR*CG18</f>
        <v>1915.84319919154</v>
      </c>
      <c r="CH87" s="48" t="n">
        <f aca="false">CH86/In_DSCR*CH18</f>
        <v>1908.06473077963</v>
      </c>
      <c r="CI87" s="48" t="n">
        <f aca="false">CI86/In_DSCR*CI18</f>
        <v>1874.88568549595</v>
      </c>
      <c r="CJ87" s="48" t="n">
        <f aca="false">CJ86/In_DSCR*CJ18</f>
        <v>1894.32281936377</v>
      </c>
      <c r="CK87" s="48" t="n">
        <f aca="false">CK86/In_DSCR*CK18</f>
        <v>1913.72987543082</v>
      </c>
      <c r="CL87" s="48" t="n">
        <f aca="false">CL86/In_DSCR*CL18</f>
        <v>1905.85126187939</v>
      </c>
      <c r="CM87" s="48" t="n">
        <f aca="false">CM86/In_DSCR*CM18</f>
        <v>1872.36510476274</v>
      </c>
      <c r="CN87" s="48" t="n">
        <f aca="false">CN86/In_DSCR*CN18</f>
        <v>1891.76906370186</v>
      </c>
      <c r="CO87" s="48" t="n">
        <f aca="false">CO86/In_DSCR*CO18</f>
        <v>1911.14219816514</v>
      </c>
      <c r="CP87" s="48" t="n">
        <f aca="false">CP86/In_DSCR*CP18</f>
        <v>1903.16063205293</v>
      </c>
      <c r="CQ87" s="48" t="n">
        <f aca="false">CQ86/In_DSCR*CQ18</f>
        <v>1890.08644469344</v>
      </c>
      <c r="CR87" s="48" t="n">
        <f aca="false">CR86/In_DSCR*CR18</f>
        <v>1888.71207614445</v>
      </c>
      <c r="CS87" s="48" t="n">
        <f aca="false">CS86/In_DSCR*CS18</f>
        <v>1908.04573112422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468</v>
      </c>
      <c r="D88" s="11" t="s">
        <v>33</v>
      </c>
      <c r="E88" s="48" t="n">
        <f aca="false">IF(In_Debt_Mult&gt;0,In_Debt_Mult*$E82,$E87)</f>
        <v>89831.5464768429</v>
      </c>
    </row>
    <row r="89" customFormat="false" ht="15" hidden="false" customHeight="false" outlineLevel="0" collapsed="false">
      <c r="C89" s="25" t="s">
        <v>469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0.483096842151858</v>
      </c>
    </row>
    <row r="91" customFormat="false" ht="15" hidden="false" customHeight="false" outlineLevel="0" collapsed="false">
      <c r="A91" s="9" t="s">
        <v>13</v>
      </c>
      <c r="B91" s="9"/>
      <c r="C91" s="9" t="s">
        <v>351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470</v>
      </c>
      <c r="D92" s="11" t="s">
        <v>33</v>
      </c>
      <c r="I92" s="48" t="n">
        <f aca="false">SUM(J92:EO92)</f>
        <v>-22687.1754953734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-542.466705357259</v>
      </c>
      <c r="AA92" s="48" t="n">
        <f aca="false">-Z98*$F22*(AA$4&gt;In_COD)</f>
        <v>-537.656449923058</v>
      </c>
      <c r="AB92" s="48" t="n">
        <f aca="false">-AA98*$F22*(AB$4&gt;In_COD)</f>
        <v>-532.961733444425</v>
      </c>
      <c r="AC92" s="48" t="n">
        <f aca="false">-AB98*$F22*(AC$4&gt;In_COD)</f>
        <v>-528.085521552216</v>
      </c>
      <c r="AD92" s="48" t="n">
        <f aca="false">-AC98*$F22*(AD$4&gt;In_COD)</f>
        <v>-523.025614053651</v>
      </c>
      <c r="AE92" s="48" t="n">
        <f aca="false">-AD98*$F22*(AE$4&gt;In_COD)</f>
        <v>-517.943812814021</v>
      </c>
      <c r="AF92" s="48" t="n">
        <f aca="false">-AE98*$F22*(AF$4&gt;In_COD)</f>
        <v>-513.123552529731</v>
      </c>
      <c r="AG92" s="48" t="n">
        <f aca="false">-AF98*$F22*(AG$4&gt;In_COD)</f>
        <v>-508.278108972811</v>
      </c>
      <c r="AH92" s="48" t="n">
        <f aca="false">-AG98*$F22*(AH$4&gt;In_COD)</f>
        <v>-503.256280588342</v>
      </c>
      <c r="AI92" s="48" t="n">
        <f aca="false">-AH98*$F22*(AI$4&gt;In_COD)</f>
        <v>-498.211946966252</v>
      </c>
      <c r="AJ92" s="48" t="n">
        <f aca="false">-AI98*$F22*(AJ$4&gt;In_COD)</f>
        <v>-493.280004329856</v>
      </c>
      <c r="AK92" s="48" t="n">
        <f aca="false">-AJ98*$F22*(AK$4&gt;In_COD)</f>
        <v>-488.028498368663</v>
      </c>
      <c r="AL92" s="48" t="n">
        <f aca="false">-AK98*$F22*(AL$4&gt;In_COD)</f>
        <v>-482.593937248541</v>
      </c>
      <c r="AM92" s="48" t="n">
        <f aca="false">-AL98*$F22*(AM$4&gt;In_COD)</f>
        <v>-477.132253869669</v>
      </c>
      <c r="AN92" s="48" t="n">
        <f aca="false">-AM98*$F22*(AN$4&gt;In_COD)</f>
        <v>-471.782494509817</v>
      </c>
      <c r="AO92" s="48" t="n">
        <f aca="false">-AN98*$F22*(AO$4&gt;In_COD)</f>
        <v>-466.248192979678</v>
      </c>
      <c r="AP92" s="48" t="n">
        <f aca="false">-AO98*$F22*(AP$4&gt;In_COD)</f>
        <v>-460.527181801719</v>
      </c>
      <c r="AQ92" s="48" t="n">
        <f aca="false">-AP98*$F22*(AQ$4&gt;In_COD)</f>
        <v>-454.775915307544</v>
      </c>
      <c r="AR92" s="48" t="n">
        <f aca="false">-AQ98*$F22*(AR$4&gt;In_COD)</f>
        <v>-449.134501434409</v>
      </c>
      <c r="AS92" s="48" t="n">
        <f aca="false">-AR98*$F22*(AS$4&gt;In_COD)</f>
        <v>-443.304796798237</v>
      </c>
      <c r="AT92" s="48" t="n">
        <f aca="false">-AS98*$F22*(AT$4&gt;In_COD)</f>
        <v>-437.284589893667</v>
      </c>
      <c r="AU92" s="48" t="n">
        <f aca="false">-AT98*$F22*(AU$4&gt;In_COD)</f>
        <v>-431.230845656275</v>
      </c>
      <c r="AV92" s="48" t="n">
        <f aca="false">-AU98*$F22*(AV$4&gt;In_COD)</f>
        <v>-425.162398995698</v>
      </c>
      <c r="AW92" s="48" t="n">
        <f aca="false">-AV98*$F22*(AW$4&gt;In_COD)</f>
        <v>-419.022677450955</v>
      </c>
      <c r="AX92" s="48" t="n">
        <f aca="false">-AW98*$F22*(AX$4&gt;In_COD)</f>
        <v>-412.688499684292</v>
      </c>
      <c r="AY92" s="48" t="n">
        <f aca="false">-AX98*$F22*(AY$4&gt;In_COD)</f>
        <v>-406.317329759698</v>
      </c>
      <c r="AZ92" s="48" t="n">
        <f aca="false">-AY98*$F22*(AZ$4&gt;In_COD)</f>
        <v>-400.051427371124</v>
      </c>
      <c r="BA92" s="48" t="n">
        <f aca="false">-AZ98*$F22*(BA$4&gt;In_COD)</f>
        <v>-393.58928467216</v>
      </c>
      <c r="BB92" s="48" t="n">
        <f aca="false">-BA98*$F22*(BB$4&gt;In_COD)</f>
        <v>-386.92859678873</v>
      </c>
      <c r="BC92" s="48" t="n">
        <f aca="false">-BB98*$F22*(BC$4&gt;In_COD)</f>
        <v>-380.227315361102</v>
      </c>
      <c r="BD92" s="48" t="n">
        <f aca="false">-BC98*$F22*(BD$4&gt;In_COD)</f>
        <v>-373.628790553763</v>
      </c>
      <c r="BE92" s="48" t="n">
        <f aca="false">-BD98*$F22*(BE$4&gt;In_COD)</f>
        <v>-366.829827721064</v>
      </c>
      <c r="BF92" s="48" t="n">
        <f aca="false">-BE98*$F22*(BF$4&gt;In_COD)</f>
        <v>-359.828072686089</v>
      </c>
      <c r="BG92" s="48" t="n">
        <f aca="false">-BF98*$F22*(BG$4&gt;In_COD)</f>
        <v>-352.781952446403</v>
      </c>
      <c r="BH92" s="48" t="n">
        <f aca="false">-BG98*$F22*(BH$4&gt;In_COD)</f>
        <v>-345.835917425197</v>
      </c>
      <c r="BI92" s="48" t="n">
        <f aca="false">-BH98*$F22*(BI$4&gt;In_COD)</f>
        <v>-338.68508325957</v>
      </c>
      <c r="BJ92" s="48" t="n">
        <f aca="false">-BI98*$F22*(BJ$4&gt;In_COD)</f>
        <v>-331.327044550561</v>
      </c>
      <c r="BK92" s="48" t="n">
        <f aca="false">-BJ98*$F22*(BK$4&gt;In_COD)</f>
        <v>-323.920690941838</v>
      </c>
      <c r="BL92" s="48" t="n">
        <f aca="false">-BK98*$F22*(BL$4&gt;In_COD)</f>
        <v>-316.488098452733</v>
      </c>
      <c r="BM92" s="48" t="n">
        <f aca="false">-BL98*$F22*(BM$4&gt;In_COD)</f>
        <v>-308.968208966828</v>
      </c>
      <c r="BN92" s="48" t="n">
        <f aca="false">-BM98*$F22*(BN$4&gt;In_COD)</f>
        <v>-301.236512625998</v>
      </c>
      <c r="BO92" s="48" t="n">
        <f aca="false">-BN98*$F22*(BO$4&gt;In_COD)</f>
        <v>-293.452348301556</v>
      </c>
      <c r="BP92" s="48" t="n">
        <f aca="false">-BO98*$F22*(BP$4&gt;In_COD)</f>
        <v>-285.762396455939</v>
      </c>
      <c r="BQ92" s="48" t="n">
        <f aca="false">-BP98*$F22*(BQ$4&gt;In_COD)</f>
        <v>-277.858384919994</v>
      </c>
      <c r="BR92" s="48" t="n">
        <f aca="false">-BQ98*$F22*(BR$4&gt;In_COD)</f>
        <v>-269.737799528155</v>
      </c>
      <c r="BS92" s="48" t="n">
        <f aca="false">-BR98*$F22*(BS$4&gt;In_COD)</f>
        <v>-261.56041482885</v>
      </c>
      <c r="BT92" s="48" t="n">
        <f aca="false">-BS98*$F22*(BT$4&gt;In_COD)</f>
        <v>-253.474041436019</v>
      </c>
      <c r="BU92" s="48" t="n">
        <f aca="false">-BT98*$F22*(BU$4&gt;In_COD)</f>
        <v>-245.168709588468</v>
      </c>
      <c r="BV92" s="48" t="n">
        <f aca="false">-BU98*$F22*(BV$4&gt;In_COD)</f>
        <v>-236.641847583852</v>
      </c>
      <c r="BW92" s="48" t="n">
        <f aca="false">-BV98*$F22*(BW$4&gt;In_COD)</f>
        <v>-228.053651367647</v>
      </c>
      <c r="BX92" s="48" t="n">
        <f aca="false">-BW98*$F22*(BX$4&gt;In_COD)</f>
        <v>-219.553071849187</v>
      </c>
      <c r="BY92" s="48" t="n">
        <f aca="false">-BX98*$F22*(BY$4&gt;In_COD)</f>
        <v>-210.828439360653</v>
      </c>
      <c r="BZ92" s="48" t="n">
        <f aca="false">-BY98*$F22*(BZ$4&gt;In_COD)</f>
        <v>-201.877122363798</v>
      </c>
      <c r="CA92" s="48" t="n">
        <f aca="false">-BZ98*$F22*(CA$4&gt;In_COD)</f>
        <v>-192.859723366031</v>
      </c>
      <c r="CB92" s="48" t="n">
        <f aca="false">-CA98*$F22*(CB$4&gt;In_COD)</f>
        <v>-183.801915490626</v>
      </c>
      <c r="CC92" s="48" t="n">
        <f aca="false">-CB98*$F22*(CC$4&gt;In_COD)</f>
        <v>-174.63772220175</v>
      </c>
      <c r="CD92" s="48" t="n">
        <f aca="false">-CC98*$F22*(CD$4&gt;In_COD)</f>
        <v>-165.24146567335</v>
      </c>
      <c r="CE92" s="48" t="n">
        <f aca="false">-CD98*$F22*(CE$4&gt;In_COD)</f>
        <v>-155.774139366078</v>
      </c>
      <c r="CF92" s="48" t="n">
        <f aca="false">-CE98*$F22*(CF$4&gt;In_COD)</f>
        <v>-146.387005354116</v>
      </c>
      <c r="CG92" s="48" t="n">
        <f aca="false">-CF98*$F22*(CG$4&gt;In_COD)</f>
        <v>-136.764987646936</v>
      </c>
      <c r="CH92" s="48" t="n">
        <f aca="false">-CG98*$F22*(CH$4&gt;In_COD)</f>
        <v>-126.905327497678</v>
      </c>
      <c r="CI92" s="48" t="n">
        <f aca="false">-CH98*$F22*(CI$4&gt;In_COD)</f>
        <v>-116.969393515637</v>
      </c>
      <c r="CJ92" s="48" t="n">
        <f aca="false">-CI98*$F22*(CJ$4&gt;In_COD)</f>
        <v>-107.109619008848</v>
      </c>
      <c r="CK92" s="48" t="n">
        <f aca="false">-CJ98*$F22*(CK$4&gt;In_COD)</f>
        <v>-97.0092220958226</v>
      </c>
      <c r="CL92" s="48" t="n">
        <f aca="false">-CK98*$F22*(CL$4&gt;In_COD)</f>
        <v>-86.6653766276166</v>
      </c>
      <c r="CM92" s="48" t="n">
        <f aca="false">-CL98*$F22*(CM$4&gt;In_COD)</f>
        <v>-76.2398097576485</v>
      </c>
      <c r="CN92" s="48" t="n">
        <f aca="false">-CM98*$F22*(CN$4&gt;In_COD)</f>
        <v>-65.8861365112914</v>
      </c>
      <c r="CO92" s="48" t="n">
        <f aca="false">-CN98*$F22*(CO$4&gt;In_COD)</f>
        <v>-55.2858674582458</v>
      </c>
      <c r="CP92" s="48" t="n">
        <f aca="false">-CO98*$F22*(CP$4&gt;In_COD)</f>
        <v>-44.4361062910146</v>
      </c>
      <c r="CQ92" s="48" t="n">
        <f aca="false">-CP98*$F22*(CQ$4&gt;In_COD)</f>
        <v>-33.4989214764959</v>
      </c>
      <c r="CR92" s="48" t="n">
        <f aca="false">-CQ98*$F22*(CR$4&gt;In_COD)</f>
        <v>-22.5039730846342</v>
      </c>
      <c r="CS92" s="48" t="n">
        <f aca="false">-CR98*$F22*(CS$4&gt;In_COD)</f>
        <v>-11.3798872516988</v>
      </c>
      <c r="CT92" s="48" t="n">
        <f aca="false">-CS98*$F22*(CT$4&gt;In_COD)</f>
        <v>-1.97957206182764E-012</v>
      </c>
      <c r="CU92" s="48" t="n">
        <f aca="false">-CT98*$F22*(CU$4&gt;In_COD)</f>
        <v>-2.00431671260049E-012</v>
      </c>
      <c r="CV92" s="48" t="n">
        <f aca="false">-CU98*$F22*(CV$4&gt;In_COD)</f>
        <v>-2.02937067150799E-012</v>
      </c>
      <c r="CW92" s="48" t="n">
        <f aca="false">-CV98*$F22*(CW$4&gt;In_COD)</f>
        <v>-2.05473780490184E-012</v>
      </c>
      <c r="CX92" s="48" t="n">
        <f aca="false">-CW98*$F22*(CX$4&gt;In_COD)</f>
        <v>-2.08042202746311E-012</v>
      </c>
      <c r="CY92" s="48" t="n">
        <f aca="false">-CX98*$F22*(CY$4&gt;In_COD)</f>
        <v>-2.1064273028064E-012</v>
      </c>
      <c r="CZ92" s="48" t="n">
        <f aca="false">-CY98*$F22*(CZ$4&gt;In_COD)</f>
        <v>-2.13275764409148E-012</v>
      </c>
      <c r="DA92" s="48" t="n">
        <f aca="false">-CZ98*$F22*(DA$4&gt;In_COD)</f>
        <v>-2.15941711464263E-012</v>
      </c>
      <c r="DB92" s="48" t="n">
        <f aca="false">-DA98*$F22*(DB$4&gt;In_COD)</f>
        <v>-2.18640982857566E-012</v>
      </c>
      <c r="DC92" s="48" t="n">
        <f aca="false">-DB98*$F22*(DC$4&gt;In_COD)</f>
        <v>-2.21373995143286E-012</v>
      </c>
      <c r="DD92" s="48" t="n">
        <f aca="false">-DC98*$F22*(DD$4&gt;In_COD)</f>
        <v>-2.24141170082577E-012</v>
      </c>
      <c r="DE92" s="48" t="n">
        <f aca="false">-DD98*$F22*(DE$4&gt;In_COD)</f>
        <v>-2.26942934708609E-012</v>
      </c>
      <c r="DF92" s="48" t="n">
        <f aca="false">-DE98*$F22*(DF$4&gt;In_COD)</f>
        <v>-2.29779721392466E-012</v>
      </c>
      <c r="DG92" s="48" t="n">
        <f aca="false">-DF98*$F22*(DG$4&gt;In_COD)</f>
        <v>-2.32651967909872E-012</v>
      </c>
      <c r="DH92" s="48" t="n">
        <f aca="false">-DG98*$F22*(DH$4&gt;In_COD)</f>
        <v>-2.35560117508746E-012</v>
      </c>
      <c r="DI92" s="48" t="n">
        <f aca="false">-DH98*$F22*(DI$4&gt;In_COD)</f>
        <v>-2.38504618977605E-012</v>
      </c>
      <c r="DJ92" s="48" t="n">
        <f aca="false">-DI98*$F22*(DJ$4&gt;In_COD)</f>
        <v>-2.41485926714825E-012</v>
      </c>
      <c r="DK92" s="48" t="n">
        <f aca="false">-DJ98*$F22*(DK$4&gt;In_COD)</f>
        <v>-2.4450450079876E-012</v>
      </c>
      <c r="DL92" s="48" t="n">
        <f aca="false">-DK98*$F22*(DL$4&gt;In_COD)</f>
        <v>-2.47560807058745E-012</v>
      </c>
      <c r="DM92" s="48" t="n">
        <f aca="false">-DL98*$F22*(DM$4&gt;In_COD)</f>
        <v>-2.50655317146979E-012</v>
      </c>
      <c r="DN92" s="48" t="n">
        <f aca="false">-DM98*$F22*(DN$4&gt;In_COD)</f>
        <v>-2.53788508611316E-012</v>
      </c>
      <c r="DO92" s="48" t="n">
        <f aca="false">-DN98*$F22*(DO$4&gt;In_COD)</f>
        <v>-2.56960864968958E-012</v>
      </c>
      <c r="DP92" s="48" t="n">
        <f aca="false">-DO98*$F22*(DP$4&gt;In_COD)</f>
        <v>-2.6017287578107E-012</v>
      </c>
      <c r="DQ92" s="48" t="n">
        <f aca="false">-DP98*$F22*(DQ$4&gt;In_COD)</f>
        <v>-2.63425036728333E-012</v>
      </c>
      <c r="DR92" s="48" t="n">
        <f aca="false">-DQ98*$F22*(DR$4&gt;In_COD)</f>
        <v>-2.66717849687437E-012</v>
      </c>
      <c r="DS92" s="48" t="n">
        <f aca="false">-DR98*$F22*(DS$4&gt;In_COD)</f>
        <v>-2.7005182280853E-012</v>
      </c>
      <c r="DT92" s="48" t="n">
        <f aca="false">-DS98*$F22*(DT$4&gt;In_COD)</f>
        <v>-2.73427470593637E-012</v>
      </c>
      <c r="DU92" s="48" t="n">
        <f aca="false">-DT98*$F22*(DU$4&gt;In_COD)</f>
        <v>-2.76845313976057E-012</v>
      </c>
      <c r="DV92" s="48" t="n">
        <f aca="false">-DU98*$F22*(DV$4&gt;In_COD)</f>
        <v>-2.80305880400758E-012</v>
      </c>
      <c r="DW92" s="48" t="n">
        <f aca="false">-DV98*$F22*(DW$4&gt;In_COD)</f>
        <v>-2.83809703905768E-012</v>
      </c>
      <c r="DX92" s="48" t="n">
        <f aca="false">-DW98*$F22*(DX$4&gt;In_COD)</f>
        <v>-2.8735732520459E-012</v>
      </c>
      <c r="DY92" s="48" t="n">
        <f aca="false">-DX98*$F22*(DY$4&gt;In_COD)</f>
        <v>-2.90949291769647E-012</v>
      </c>
      <c r="DZ92" s="48" t="n">
        <f aca="false">-DY98*$F22*(DZ$4&gt;In_COD)</f>
        <v>-2.94586157916768E-012</v>
      </c>
      <c r="EA92" s="48" t="n">
        <f aca="false">-DZ98*$F22*(EA$4&gt;In_COD)</f>
        <v>-2.98268484890727E-012</v>
      </c>
      <c r="EB92" s="48" t="n">
        <f aca="false">-EA98*$F22*(EB$4&gt;In_COD)</f>
        <v>-3.01996840951861E-012</v>
      </c>
      <c r="EC92" s="48" t="n">
        <f aca="false">-EB98*$F22*(EC$4&gt;In_COD)</f>
        <v>-3.0577180146376E-012</v>
      </c>
      <c r="ED92" s="48" t="n">
        <f aca="false">-EC98*$F22*(ED$4&gt;In_COD)</f>
        <v>-3.09593948982057E-012</v>
      </c>
      <c r="EE92" s="48" t="n">
        <f aca="false">-ED98*$F22*(EE$4&gt;In_COD)</f>
        <v>-3.13463873344332E-012</v>
      </c>
      <c r="EF92" s="48" t="n">
        <f aca="false">-EE98*$F22*(EF$4&gt;In_COD)</f>
        <v>-3.17382171761137E-012</v>
      </c>
      <c r="EG92" s="48" t="n">
        <f aca="false">-EF98*$F22*(EG$4&gt;In_COD)</f>
        <v>-3.21349448908151E-012</v>
      </c>
      <c r="EH92" s="48" t="n">
        <f aca="false">-EG98*$F22*(EH$4&gt;In_COD)</f>
        <v>-3.25366317019503E-012</v>
      </c>
      <c r="EI92" s="48" t="n">
        <f aca="false">-EH98*$F22*(EI$4&gt;In_COD)</f>
        <v>-3.29433395982246E-012</v>
      </c>
      <c r="EJ92" s="48" t="n">
        <f aca="false">-EI98*$F22*(EJ$4&gt;In_COD)</f>
        <v>-3.33551313432024E-012</v>
      </c>
      <c r="EK92" s="48" t="n">
        <f aca="false">-EJ98*$F22*(EK$4&gt;In_COD)</f>
        <v>-3.37720704849925E-012</v>
      </c>
      <c r="EL92" s="48" t="n">
        <f aca="false">-EK98*$F22*(EL$4&gt;In_COD)</f>
        <v>-3.41942213660549E-012</v>
      </c>
      <c r="EM92" s="48" t="n">
        <f aca="false">-EL98*$F22*(EM$4&gt;In_COD)</f>
        <v>-3.46216491331306E-012</v>
      </c>
      <c r="EN92" s="48" t="n">
        <f aca="false">-EM98*$F22*(EN$4&gt;In_COD)</f>
        <v>-3.50544197472947E-012</v>
      </c>
      <c r="EO92" s="48" t="n">
        <f aca="false">-EN98*$F22*(EO$4&gt;In_COD)</f>
        <v>-3.54925999941359E-012</v>
      </c>
    </row>
    <row r="93" customFormat="false" ht="15" hidden="false" customHeight="false" outlineLevel="0" collapsed="false">
      <c r="C93" s="0" t="s">
        <v>471</v>
      </c>
      <c r="D93" s="11" t="s">
        <v>33</v>
      </c>
      <c r="I93" s="48" t="n">
        <f aca="false">SUM(J93:EO93)</f>
        <v>-66084.5119239538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-927.287140093298</v>
      </c>
      <c r="AA93" s="48" t="n">
        <f aca="false">-AA87*$F89</f>
        <v>-913.233768213708</v>
      </c>
      <c r="AB93" s="48" t="n">
        <f aca="false">-AB87*$F89</f>
        <v>-923.058684821201</v>
      </c>
      <c r="AC93" s="48" t="n">
        <f aca="false">-AC87*$F89</f>
        <v>-932.878121437373</v>
      </c>
      <c r="AD93" s="48" t="n">
        <f aca="false">-AD87*$F89</f>
        <v>-929.569713224082</v>
      </c>
      <c r="AE93" s="48" t="n">
        <f aca="false">-AE87*$F89</f>
        <v>-903.564635557194</v>
      </c>
      <c r="AF93" s="48" t="n">
        <f aca="false">-AF87*$F89</f>
        <v>-900.759037083319</v>
      </c>
      <c r="AG93" s="48" t="n">
        <f aca="false">-AG87*$F89</f>
        <v>-910.024379730323</v>
      </c>
      <c r="AH93" s="48" t="n">
        <f aca="false">-AH87*$F89</f>
        <v>-906.802970355592</v>
      </c>
      <c r="AI93" s="48" t="n">
        <f aca="false">-AI87*$F89</f>
        <v>-892.767357877903</v>
      </c>
      <c r="AJ93" s="48" t="n">
        <f aca="false">-AJ87*$F89</f>
        <v>-913.400481225265</v>
      </c>
      <c r="AK93" s="48" t="n">
        <f aca="false">-AK87*$F89</f>
        <v>-922.793387978414</v>
      </c>
      <c r="AL93" s="48" t="n">
        <f aca="false">-AL87*$F89</f>
        <v>-919.528607558301</v>
      </c>
      <c r="AM93" s="48" t="n">
        <f aca="false">-AM87*$F89</f>
        <v>-905.1130026579</v>
      </c>
      <c r="AN93" s="48" t="n">
        <f aca="false">-AN87*$F89</f>
        <v>-914.526616920899</v>
      </c>
      <c r="AO93" s="48" t="n">
        <f aca="false">-AO87*$F89</f>
        <v>-923.929087216434</v>
      </c>
      <c r="AP93" s="48" t="n">
        <f aca="false">-AP87*$F89</f>
        <v>-920.628501335657</v>
      </c>
      <c r="AQ93" s="48" t="n">
        <f aca="false">-AQ87*$F89</f>
        <v>-906.089025158404</v>
      </c>
      <c r="AR93" s="48" t="n">
        <f aca="false">-AR87*$F89</f>
        <v>-915.51087232817</v>
      </c>
      <c r="AS93" s="48" t="n">
        <f aca="false">-AS87*$F89</f>
        <v>-924.921349163809</v>
      </c>
      <c r="AT93" s="48" t="n">
        <f aca="false">-AT87*$F89</f>
        <v>-921.584128885029</v>
      </c>
      <c r="AU93" s="48" t="n">
        <f aca="false">-AU87*$F89</f>
        <v>-916.706578502424</v>
      </c>
      <c r="AV93" s="48" t="n">
        <f aca="false">-AV87*$F89</f>
        <v>-916.340122575115</v>
      </c>
      <c r="AW93" s="48" t="n">
        <f aca="false">-AW87*$F89</f>
        <v>-925.756898783989</v>
      </c>
      <c r="AX93" s="48" t="n">
        <f aca="false">-AX87*$F89</f>
        <v>-922.382093651863</v>
      </c>
      <c r="AY93" s="48" t="n">
        <f aca="false">-AY87*$F89</f>
        <v>-907.58952084559</v>
      </c>
      <c r="AZ93" s="48" t="n">
        <f aca="false">-AZ87*$F89</f>
        <v>-917.022843288234</v>
      </c>
      <c r="BA93" s="48" t="n">
        <f aca="false">-BA87*$F89</f>
        <v>-926.444315346598</v>
      </c>
      <c r="BB93" s="48" t="n">
        <f aca="false">-BB87*$F89</f>
        <v>-923.03111099899</v>
      </c>
      <c r="BC93" s="48" t="n">
        <f aca="false">-BC87*$F89</f>
        <v>-908.109299948194</v>
      </c>
      <c r="BD93" s="48" t="n">
        <f aca="false">-BD87*$F89</f>
        <v>-917.545817169695</v>
      </c>
      <c r="BE93" s="48" t="n">
        <f aca="false">-BE87*$F89</f>
        <v>-926.970230519058</v>
      </c>
      <c r="BF93" s="48" t="n">
        <f aca="false">-BF87*$F89</f>
        <v>-923.517691860965</v>
      </c>
      <c r="BG93" s="48" t="n">
        <f aca="false">-BG87*$F89</f>
        <v>-908.464754142876</v>
      </c>
      <c r="BH93" s="48" t="n">
        <f aca="false">-BH87*$F89</f>
        <v>-917.902650675333</v>
      </c>
      <c r="BI93" s="48" t="n">
        <f aca="false">-BI87*$F89</f>
        <v>-927.328179980298</v>
      </c>
      <c r="BJ93" s="48" t="n">
        <f aca="false">-BJ87*$F89</f>
        <v>-923.835333248385</v>
      </c>
      <c r="BK93" s="48" t="n">
        <f aca="false">-BK87*$F89</f>
        <v>-918.52809007025</v>
      </c>
      <c r="BL93" s="48" t="n">
        <f aca="false">-BL87*$F89</f>
        <v>-918.079257325191</v>
      </c>
      <c r="BM93" s="48" t="n">
        <f aca="false">-BM87*$F89</f>
        <v>-927.503916233213</v>
      </c>
      <c r="BN93" s="48" t="n">
        <f aca="false">-BN87*$F89</f>
        <v>-923.969658581308</v>
      </c>
      <c r="BO93" s="48" t="n">
        <f aca="false">-BO87*$F89</f>
        <v>-908.648495950927</v>
      </c>
      <c r="BP93" s="48" t="n">
        <f aca="false">-BP87*$F89</f>
        <v>-918.083319331564</v>
      </c>
      <c r="BQ93" s="48" t="n">
        <f aca="false">-BQ87*$F89</f>
        <v>-927.505216267147</v>
      </c>
      <c r="BR93" s="48" t="n">
        <f aca="false">-BR87*$F89</f>
        <v>-923.928575472474</v>
      </c>
      <c r="BS93" s="48" t="n">
        <f aca="false">-BS87*$F89</f>
        <v>-908.470286255342</v>
      </c>
      <c r="BT93" s="48" t="n">
        <f aca="false">-BT87*$F89</f>
        <v>-917.900589240146</v>
      </c>
      <c r="BU93" s="48" t="n">
        <f aca="false">-BU87*$F89</f>
        <v>-927.317669957694</v>
      </c>
      <c r="BV93" s="48" t="n">
        <f aca="false">-BV87*$F89</f>
        <v>-923.697544880272</v>
      </c>
      <c r="BW93" s="48" t="n">
        <f aca="false">-BW87*$F89</f>
        <v>-908.100012844439</v>
      </c>
      <c r="BX93" s="48" t="n">
        <f aca="false">-BX87*$F89</f>
        <v>-917.523670931903</v>
      </c>
      <c r="BY93" s="48" t="n">
        <f aca="false">-BY87*$F89</f>
        <v>-926.933799109075</v>
      </c>
      <c r="BZ93" s="48" t="n">
        <f aca="false">-BZ87*$F89</f>
        <v>-923.269042185153</v>
      </c>
      <c r="CA93" s="48" t="n">
        <f aca="false">-CA87*$F89</f>
        <v>-917.484353398415</v>
      </c>
      <c r="CB93" s="48" t="n">
        <f aca="false">-CB87*$F89</f>
        <v>-916.937378600736</v>
      </c>
      <c r="CC93" s="48" t="n">
        <f aca="false">-CC87*$F89</f>
        <v>-926.33824447371</v>
      </c>
      <c r="CD93" s="48" t="n">
        <f aca="false">-CD87*$F89</f>
        <v>-922.62757025516</v>
      </c>
      <c r="CE93" s="48" t="n">
        <f aca="false">-CE87*$F89</f>
        <v>-906.744860323026</v>
      </c>
      <c r="CF93" s="48" t="n">
        <f aca="false">-CF87*$F89</f>
        <v>-916.148421928502</v>
      </c>
      <c r="CG93" s="48" t="n">
        <f aca="false">-CG87*$F89</f>
        <v>-925.537799587549</v>
      </c>
      <c r="CH93" s="48" t="n">
        <f aca="false">-CH87*$F89</f>
        <v>-921.780046060977</v>
      </c>
      <c r="CI93" s="48" t="n">
        <f aca="false">-CI87*$F89</f>
        <v>-905.751354058813</v>
      </c>
      <c r="CJ93" s="48" t="n">
        <f aca="false">-CJ87*$F89</f>
        <v>-915.141372050844</v>
      </c>
      <c r="CK93" s="48" t="n">
        <f aca="false">-CK87*$F89</f>
        <v>-924.5168595523</v>
      </c>
      <c r="CL93" s="48" t="n">
        <f aca="false">-CL87*$F89</f>
        <v>-920.710726225065</v>
      </c>
      <c r="CM93" s="48" t="n">
        <f aca="false">-CM87*$F89</f>
        <v>-904.533669466211</v>
      </c>
      <c r="CN93" s="48" t="n">
        <f aca="false">-CN87*$F89</f>
        <v>-913.907660754945</v>
      </c>
      <c r="CO93" s="48" t="n">
        <f aca="false">-CO87*$F89</f>
        <v>-923.266760836742</v>
      </c>
      <c r="CP93" s="48" t="n">
        <f aca="false">-CP87*$F89</f>
        <v>-919.410891452505</v>
      </c>
      <c r="CQ93" s="48" t="n">
        <f aca="false">-CQ87*$F89</f>
        <v>-913.094792825435</v>
      </c>
      <c r="CR93" s="48" t="n">
        <f aca="false">-CR87*$F89</f>
        <v>-912.430839719466</v>
      </c>
      <c r="CS93" s="48" t="n">
        <f aca="false">-CS87*$F89</f>
        <v>-921.770867387445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472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4485.81130136986</v>
      </c>
      <c r="T94" s="18" t="n">
        <f aca="false">S98</f>
        <v>13415.3303398973</v>
      </c>
      <c r="U94" s="18" t="n">
        <f aca="false">T98</f>
        <v>18020.0744520227</v>
      </c>
      <c r="V94" s="18" t="n">
        <f aca="false">U98</f>
        <v>22731.1366840428</v>
      </c>
      <c r="W94" s="18" t="n">
        <f aca="false">V98</f>
        <v>27501.0871939632</v>
      </c>
      <c r="X94" s="18" t="n">
        <f aca="false">W98</f>
        <v>32233.1444482713</v>
      </c>
      <c r="Y94" s="18" t="n">
        <f aca="false">X98</f>
        <v>37073.1112367514</v>
      </c>
      <c r="Z94" s="18" t="n">
        <f aca="false">Y98</f>
        <v>43397.3364285807</v>
      </c>
      <c r="AA94" s="18" t="n">
        <f aca="false">Z98</f>
        <v>43012.5159938447</v>
      </c>
      <c r="AB94" s="18" t="n">
        <f aca="false">AA98</f>
        <v>42636.938675554</v>
      </c>
      <c r="AC94" s="18" t="n">
        <f aca="false">AB98</f>
        <v>42246.8417241772</v>
      </c>
      <c r="AD94" s="18" t="n">
        <f aca="false">AC98</f>
        <v>41842.0491242921</v>
      </c>
      <c r="AE94" s="18" t="n">
        <f aca="false">AD98</f>
        <v>41435.5050251216</v>
      </c>
      <c r="AF94" s="18" t="n">
        <f aca="false">AE98</f>
        <v>41049.8842023785</v>
      </c>
      <c r="AG94" s="18" t="n">
        <f aca="false">AF98</f>
        <v>40662.2487178249</v>
      </c>
      <c r="AH94" s="18" t="n">
        <f aca="false">AG98</f>
        <v>40260.5024470674</v>
      </c>
      <c r="AI94" s="18" t="n">
        <f aca="false">AH98</f>
        <v>39856.9557573001</v>
      </c>
      <c r="AJ94" s="18" t="n">
        <f aca="false">AI98</f>
        <v>39462.4003463885</v>
      </c>
      <c r="AK94" s="18" t="n">
        <f aca="false">AJ98</f>
        <v>39042.2798694931</v>
      </c>
      <c r="AL94" s="18" t="n">
        <f aca="false">AK98</f>
        <v>38607.5149798833</v>
      </c>
      <c r="AM94" s="18" t="n">
        <f aca="false">AL98</f>
        <v>38170.5803095736</v>
      </c>
      <c r="AN94" s="18" t="n">
        <f aca="false">AM98</f>
        <v>37742.5995607853</v>
      </c>
      <c r="AO94" s="18" t="n">
        <f aca="false">AN98</f>
        <v>37299.8554383742</v>
      </c>
      <c r="AP94" s="18" t="n">
        <f aca="false">AO98</f>
        <v>36842.1745441375</v>
      </c>
      <c r="AQ94" s="18" t="n">
        <f aca="false">AP98</f>
        <v>36382.0732246035</v>
      </c>
      <c r="AR94" s="18" t="n">
        <f aca="false">AQ98</f>
        <v>35930.7601147527</v>
      </c>
      <c r="AS94" s="18" t="n">
        <f aca="false">AR98</f>
        <v>35464.3837438589</v>
      </c>
      <c r="AT94" s="18" t="n">
        <f aca="false">AS98</f>
        <v>34982.7671914933</v>
      </c>
      <c r="AU94" s="18" t="n">
        <f aca="false">AT98</f>
        <v>34498.467652502</v>
      </c>
      <c r="AV94" s="18" t="n">
        <f aca="false">AU98</f>
        <v>34012.9919196558</v>
      </c>
      <c r="AW94" s="18" t="n">
        <f aca="false">AV98</f>
        <v>33521.8141960764</v>
      </c>
      <c r="AX94" s="18" t="n">
        <f aca="false">AW98</f>
        <v>33015.0799747434</v>
      </c>
      <c r="AY94" s="18" t="n">
        <f aca="false">AX98</f>
        <v>32505.3863807758</v>
      </c>
      <c r="AZ94" s="18" t="n">
        <f aca="false">AY98</f>
        <v>32004.1141896899</v>
      </c>
      <c r="BA94" s="18" t="n">
        <f aca="false">AZ98</f>
        <v>31487.1427737728</v>
      </c>
      <c r="BB94" s="18" t="n">
        <f aca="false">BA98</f>
        <v>30954.2877430984</v>
      </c>
      <c r="BC94" s="18" t="n">
        <f aca="false">BB98</f>
        <v>30418.1852288881</v>
      </c>
      <c r="BD94" s="18" t="n">
        <f aca="false">BC98</f>
        <v>29890.303244301</v>
      </c>
      <c r="BE94" s="18" t="n">
        <f aca="false">BD98</f>
        <v>29346.3862176851</v>
      </c>
      <c r="BF94" s="18" t="n">
        <f aca="false">BE98</f>
        <v>28786.2458148871</v>
      </c>
      <c r="BG94" s="18" t="n">
        <f aca="false">BF98</f>
        <v>28222.5561957122</v>
      </c>
      <c r="BH94" s="18" t="n">
        <f aca="false">BG98</f>
        <v>27666.8733940158</v>
      </c>
      <c r="BI94" s="18" t="n">
        <f aca="false">BH98</f>
        <v>27094.8066607656</v>
      </c>
      <c r="BJ94" s="18" t="n">
        <f aca="false">BI98</f>
        <v>26506.1635640449</v>
      </c>
      <c r="BK94" s="18" t="n">
        <f aca="false">BJ98</f>
        <v>25913.6552753471</v>
      </c>
      <c r="BL94" s="18" t="n">
        <f aca="false">BK98</f>
        <v>25319.0478762187</v>
      </c>
      <c r="BM94" s="18" t="n">
        <f aca="false">BL98</f>
        <v>24717.4567173462</v>
      </c>
      <c r="BN94" s="18" t="n">
        <f aca="false">BM98</f>
        <v>24098.9210100798</v>
      </c>
      <c r="BO94" s="18" t="n">
        <f aca="false">BN98</f>
        <v>23476.1878641245</v>
      </c>
      <c r="BP94" s="18" t="n">
        <f aca="false">BO98</f>
        <v>22860.9917164751</v>
      </c>
      <c r="BQ94" s="18" t="n">
        <f aca="false">BP98</f>
        <v>22228.6707935995</v>
      </c>
      <c r="BR94" s="18" t="n">
        <f aca="false">BQ98</f>
        <v>21579.0239622524</v>
      </c>
      <c r="BS94" s="18" t="n">
        <f aca="false">BR98</f>
        <v>20924.833186308</v>
      </c>
      <c r="BT94" s="18" t="n">
        <f aca="false">BS98</f>
        <v>20277.9233148815</v>
      </c>
      <c r="BU94" s="18" t="n">
        <f aca="false">BT98</f>
        <v>19613.4967670774</v>
      </c>
      <c r="BV94" s="18" t="n">
        <f aca="false">BU98</f>
        <v>18931.3478067082</v>
      </c>
      <c r="BW94" s="18" t="n">
        <f aca="false">BV98</f>
        <v>18244.2921094118</v>
      </c>
      <c r="BX94" s="18" t="n">
        <f aca="false">BW98</f>
        <v>17564.245747935</v>
      </c>
      <c r="BY94" s="18" t="n">
        <f aca="false">BX98</f>
        <v>16866.2751488523</v>
      </c>
      <c r="BZ94" s="18" t="n">
        <f aca="false">BY98</f>
        <v>16150.1697891038</v>
      </c>
      <c r="CA94" s="18" t="n">
        <f aca="false">BZ98</f>
        <v>15428.7778692825</v>
      </c>
      <c r="CB94" s="18" t="n">
        <f aca="false">CA98</f>
        <v>14704.1532392501</v>
      </c>
      <c r="CC94" s="18" t="n">
        <f aca="false">CB98</f>
        <v>13971.01777614</v>
      </c>
      <c r="CD94" s="18" t="n">
        <f aca="false">CC98</f>
        <v>13219.317253868</v>
      </c>
      <c r="CE94" s="18" t="n">
        <f aca="false">CD98</f>
        <v>12461.9311492862</v>
      </c>
      <c r="CF94" s="18" t="n">
        <f aca="false">CE98</f>
        <v>11710.9604283293</v>
      </c>
      <c r="CG94" s="18" t="n">
        <f aca="false">CF98</f>
        <v>10941.1990117549</v>
      </c>
      <c r="CH94" s="18" t="n">
        <f aca="false">CG98</f>
        <v>10152.4261998143</v>
      </c>
      <c r="CI94" s="18" t="n">
        <f aca="false">CH98</f>
        <v>9357.55148125098</v>
      </c>
      <c r="CJ94" s="18" t="n">
        <f aca="false">CI98</f>
        <v>8568.7695207078</v>
      </c>
      <c r="CK94" s="18" t="n">
        <f aca="false">CJ98</f>
        <v>7760.7377676658</v>
      </c>
      <c r="CL94" s="18" t="n">
        <f aca="false">CK98</f>
        <v>6933.23013020933</v>
      </c>
      <c r="CM94" s="18" t="n">
        <f aca="false">CL98</f>
        <v>6099.18478061188</v>
      </c>
      <c r="CN94" s="18" t="n">
        <f aca="false">CM98</f>
        <v>5270.89092090331</v>
      </c>
      <c r="CO94" s="18" t="n">
        <f aca="false">CN98</f>
        <v>4422.86939665966</v>
      </c>
      <c r="CP94" s="18" t="n">
        <f aca="false">CO98</f>
        <v>3554.88850328117</v>
      </c>
      <c r="CQ94" s="18" t="n">
        <f aca="false">CP98</f>
        <v>2679.91371811967</v>
      </c>
      <c r="CR94" s="18" t="n">
        <f aca="false">CQ98</f>
        <v>1800.31784677074</v>
      </c>
      <c r="CS94" s="18" t="n">
        <f aca="false">CR98</f>
        <v>910.390980135904</v>
      </c>
      <c r="CT94" s="18" t="n">
        <f aca="false">CS98</f>
        <v>1.58365764946211E-010</v>
      </c>
      <c r="CU94" s="18" t="n">
        <f aca="false">CT98</f>
        <v>1.60345337008039E-010</v>
      </c>
      <c r="CV94" s="18" t="n">
        <f aca="false">CU98</f>
        <v>1.62349653720639E-010</v>
      </c>
      <c r="CW94" s="18" t="n">
        <f aca="false">CV98</f>
        <v>1.64379024392147E-010</v>
      </c>
      <c r="CX94" s="18" t="n">
        <f aca="false">CW98</f>
        <v>1.66433762197049E-010</v>
      </c>
      <c r="CY94" s="18" t="n">
        <f aca="false">CX98</f>
        <v>1.68514184224512E-010</v>
      </c>
      <c r="CZ94" s="18" t="n">
        <f aca="false">CY98</f>
        <v>1.70620611527319E-010</v>
      </c>
      <c r="DA94" s="18" t="n">
        <f aca="false">CZ98</f>
        <v>1.7275336917141E-010</v>
      </c>
      <c r="DB94" s="18" t="n">
        <f aca="false">DA98</f>
        <v>1.74912786286053E-010</v>
      </c>
      <c r="DC94" s="18" t="n">
        <f aca="false">DB98</f>
        <v>1.77099196114628E-010</v>
      </c>
      <c r="DD94" s="18" t="n">
        <f aca="false">DC98</f>
        <v>1.79312936066061E-010</v>
      </c>
      <c r="DE94" s="18" t="n">
        <f aca="false">DD98</f>
        <v>1.81554347766887E-010</v>
      </c>
      <c r="DF94" s="18" t="n">
        <f aca="false">DE98</f>
        <v>1.83823777113973E-010</v>
      </c>
      <c r="DG94" s="18" t="n">
        <f aca="false">DF98</f>
        <v>1.86121574327898E-010</v>
      </c>
      <c r="DH94" s="18" t="n">
        <f aca="false">DG98</f>
        <v>1.88448094006996E-010</v>
      </c>
      <c r="DI94" s="18" t="n">
        <f aca="false">DH98</f>
        <v>1.90803695182084E-010</v>
      </c>
      <c r="DJ94" s="18" t="n">
        <f aca="false">DI98</f>
        <v>1.9318874137186E-010</v>
      </c>
      <c r="DK94" s="18" t="n">
        <f aca="false">DJ98</f>
        <v>1.95603600639008E-010</v>
      </c>
      <c r="DL94" s="18" t="n">
        <f aca="false">DK98</f>
        <v>1.98048645646996E-010</v>
      </c>
      <c r="DM94" s="18" t="n">
        <f aca="false">DL98</f>
        <v>2.00524253717583E-010</v>
      </c>
      <c r="DN94" s="18" t="n">
        <f aca="false">DM98</f>
        <v>2.03030806889053E-010</v>
      </c>
      <c r="DO94" s="18" t="n">
        <f aca="false">DN98</f>
        <v>2.05568691975166E-010</v>
      </c>
      <c r="DP94" s="18" t="n">
        <f aca="false">DO98</f>
        <v>2.08138300624856E-010</v>
      </c>
      <c r="DQ94" s="18" t="n">
        <f aca="false">DP98</f>
        <v>2.10740029382667E-010</v>
      </c>
      <c r="DR94" s="18" t="n">
        <f aca="false">DQ98</f>
        <v>2.1337427974995E-010</v>
      </c>
      <c r="DS94" s="18" t="n">
        <f aca="false">DR98</f>
        <v>2.16041458246824E-010</v>
      </c>
      <c r="DT94" s="18" t="n">
        <f aca="false">DS98</f>
        <v>2.1874197647491E-010</v>
      </c>
      <c r="DU94" s="18" t="n">
        <f aca="false">DT98</f>
        <v>2.21476251180846E-010</v>
      </c>
      <c r="DV94" s="18" t="n">
        <f aca="false">DU98</f>
        <v>2.24244704320607E-010</v>
      </c>
      <c r="DW94" s="18" t="n">
        <f aca="false">DV98</f>
        <v>2.27047763124614E-010</v>
      </c>
      <c r="DX94" s="18" t="n">
        <f aca="false">DW98</f>
        <v>2.29885860163672E-010</v>
      </c>
      <c r="DY94" s="18" t="n">
        <f aca="false">DX98</f>
        <v>2.32759433415718E-010</v>
      </c>
      <c r="DZ94" s="18" t="n">
        <f aca="false">DY98</f>
        <v>2.35668926333414E-010</v>
      </c>
      <c r="EA94" s="18" t="n">
        <f aca="false">DZ98</f>
        <v>2.38614787912582E-010</v>
      </c>
      <c r="EB94" s="18" t="n">
        <f aca="false">EA98</f>
        <v>2.41597472761489E-010</v>
      </c>
      <c r="EC94" s="18" t="n">
        <f aca="false">EB98</f>
        <v>2.44617441171008E-010</v>
      </c>
      <c r="ED94" s="18" t="n">
        <f aca="false">EC98</f>
        <v>2.47675159185645E-010</v>
      </c>
      <c r="EE94" s="18" t="n">
        <f aca="false">ED98</f>
        <v>2.50771098675466E-010</v>
      </c>
      <c r="EF94" s="18" t="n">
        <f aca="false">EE98</f>
        <v>2.53905737408909E-010</v>
      </c>
      <c r="EG94" s="18" t="n">
        <f aca="false">EF98</f>
        <v>2.57079559126521E-010</v>
      </c>
      <c r="EH94" s="18" t="n">
        <f aca="false">EG98</f>
        <v>2.60293053615602E-010</v>
      </c>
      <c r="EI94" s="18" t="n">
        <f aca="false">EH98</f>
        <v>2.63546716785797E-010</v>
      </c>
      <c r="EJ94" s="18" t="n">
        <f aca="false">EI98</f>
        <v>2.66841050745619E-010</v>
      </c>
      <c r="EK94" s="18" t="n">
        <f aca="false">EJ98</f>
        <v>2.7017656387994E-010</v>
      </c>
      <c r="EL94" s="18" t="n">
        <f aca="false">EK98</f>
        <v>2.73553770928439E-010</v>
      </c>
      <c r="EM94" s="18" t="n">
        <f aca="false">EL98</f>
        <v>2.76973193065044E-010</v>
      </c>
      <c r="EN94" s="18" t="n">
        <f aca="false">EM98</f>
        <v>2.80435357978358E-010</v>
      </c>
      <c r="EO94" s="18" t="n">
        <f aca="false">EN98</f>
        <v>2.83940799953087E-010</v>
      </c>
    </row>
    <row r="95" customFormat="false" ht="15" hidden="false" customHeight="false" outlineLevel="0" collapsed="false">
      <c r="C95" s="0" t="s">
        <v>473</v>
      </c>
      <c r="D95" s="11" t="s">
        <v>33</v>
      </c>
      <c r="I95" s="48" t="n">
        <f aca="false">SUM(J95:EO95)</f>
        <v>41454.0902328767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4485.81130136986</v>
      </c>
      <c r="S95" s="48" t="n">
        <f aca="false">-$E89*S69</f>
        <v>8873.44639726028</v>
      </c>
      <c r="T95" s="48" t="n">
        <f aca="false">-$E89*T69</f>
        <v>4437.05248287671</v>
      </c>
      <c r="U95" s="48" t="n">
        <f aca="false">-$E89*U69</f>
        <v>4485.81130136986</v>
      </c>
      <c r="V95" s="48" t="n">
        <f aca="false">-$E89*V69</f>
        <v>4485.81130136986</v>
      </c>
      <c r="W95" s="48" t="n">
        <f aca="false">-$E89*W69</f>
        <v>4388.29366438356</v>
      </c>
      <c r="X95" s="48" t="n">
        <f aca="false">-$E89*X69</f>
        <v>4437.05248287671</v>
      </c>
      <c r="Y95" s="48" t="n">
        <f aca="false">-$E89*Y69</f>
        <v>5860.81130136986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474</v>
      </c>
      <c r="D96" s="11" t="s">
        <v>33</v>
      </c>
      <c r="I96" s="48" t="n">
        <f aca="false">SUM(J96:EO96)</f>
        <v>1943.24619570398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56.0726412671233</v>
      </c>
      <c r="T96" s="48" t="n">
        <f aca="false">T94*$F22*(T$4&lt;=In_COD)</f>
        <v>167.691629248716</v>
      </c>
      <c r="U96" s="48" t="n">
        <f aca="false">U94*$F22*(U$4&lt;=In_COD)</f>
        <v>225.250930650284</v>
      </c>
      <c r="V96" s="48" t="n">
        <f aca="false">V94*$F22*(V$4&lt;=In_COD)</f>
        <v>284.139208550536</v>
      </c>
      <c r="W96" s="48" t="n">
        <f aca="false">W94*$F22*(W$4&lt;=In_COD)</f>
        <v>343.763589924541</v>
      </c>
      <c r="X96" s="48" t="n">
        <f aca="false">X94*$F22*(X$4&lt;=In_COD)</f>
        <v>402.914305603392</v>
      </c>
      <c r="Y96" s="48" t="n">
        <f aca="false">Y94*$F22*(Y$4&lt;=In_COD)</f>
        <v>463.413890459393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475</v>
      </c>
      <c r="D97" s="11" t="s">
        <v>33</v>
      </c>
      <c r="I97" s="48" t="n">
        <f aca="false">SUM(J97:EO97)</f>
        <v>-43397.3364285804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-384.820434736039</v>
      </c>
      <c r="AA97" s="48" t="n">
        <f aca="false">AA93-AA92</f>
        <v>-375.577318290649</v>
      </c>
      <c r="AB97" s="48" t="n">
        <f aca="false">AB93-AB92</f>
        <v>-390.096951376776</v>
      </c>
      <c r="AC97" s="48" t="n">
        <f aca="false">AC93-AC92</f>
        <v>-404.792599885157</v>
      </c>
      <c r="AD97" s="48" t="n">
        <f aca="false">AD93-AD92</f>
        <v>-406.544099170431</v>
      </c>
      <c r="AE97" s="48" t="n">
        <f aca="false">AE93-AE92</f>
        <v>-385.620822743173</v>
      </c>
      <c r="AF97" s="48" t="n">
        <f aca="false">AF93-AF92</f>
        <v>-387.635484553588</v>
      </c>
      <c r="AG97" s="48" t="n">
        <f aca="false">AG93-AG92</f>
        <v>-401.746270757512</v>
      </c>
      <c r="AH97" s="48" t="n">
        <f aca="false">AH93-AH92</f>
        <v>-403.54668976725</v>
      </c>
      <c r="AI97" s="48" t="n">
        <f aca="false">AI93-AI92</f>
        <v>-394.555410911652</v>
      </c>
      <c r="AJ97" s="48" t="n">
        <f aca="false">AJ93-AJ92</f>
        <v>-420.120476895409</v>
      </c>
      <c r="AK97" s="48" t="n">
        <f aca="false">AK93-AK92</f>
        <v>-434.764889609751</v>
      </c>
      <c r="AL97" s="48" t="n">
        <f aca="false">AL93-AL92</f>
        <v>-436.93467030976</v>
      </c>
      <c r="AM97" s="48" t="n">
        <f aca="false">AM93-AM92</f>
        <v>-427.98074878823</v>
      </c>
      <c r="AN97" s="48" t="n">
        <f aca="false">AN93-AN92</f>
        <v>-442.744122411082</v>
      </c>
      <c r="AO97" s="48" t="n">
        <f aca="false">AO93-AO92</f>
        <v>-457.680894236756</v>
      </c>
      <c r="AP97" s="48" t="n">
        <f aca="false">AP93-AP92</f>
        <v>-460.101319533939</v>
      </c>
      <c r="AQ97" s="48" t="n">
        <f aca="false">AQ93-AQ92</f>
        <v>-451.313109850859</v>
      </c>
      <c r="AR97" s="48" t="n">
        <f aca="false">AR93-AR92</f>
        <v>-466.376370893762</v>
      </c>
      <c r="AS97" s="48" t="n">
        <f aca="false">AS93-AS92</f>
        <v>-481.616552365572</v>
      </c>
      <c r="AT97" s="48" t="n">
        <f aca="false">AT93-AT92</f>
        <v>-484.299538991362</v>
      </c>
      <c r="AU97" s="48" t="n">
        <f aca="false">AU93-AU92</f>
        <v>-485.475732846149</v>
      </c>
      <c r="AV97" s="48" t="n">
        <f aca="false">AV93-AV92</f>
        <v>-491.177723579417</v>
      </c>
      <c r="AW97" s="48" t="n">
        <f aca="false">AW93-AW92</f>
        <v>-506.734221333033</v>
      </c>
      <c r="AX97" s="48" t="n">
        <f aca="false">AX93-AX92</f>
        <v>-509.693593967571</v>
      </c>
      <c r="AY97" s="48" t="n">
        <f aca="false">AY93-AY92</f>
        <v>-501.272191085892</v>
      </c>
      <c r="AZ97" s="48" t="n">
        <f aca="false">AZ93-AZ92</f>
        <v>-516.97141591711</v>
      </c>
      <c r="BA97" s="48" t="n">
        <f aca="false">BA93-BA92</f>
        <v>-532.855030674437</v>
      </c>
      <c r="BB97" s="48" t="n">
        <f aca="false">BB93-BB92</f>
        <v>-536.102514210261</v>
      </c>
      <c r="BC97" s="48" t="n">
        <f aca="false">BC93-BC92</f>
        <v>-527.881984587093</v>
      </c>
      <c r="BD97" s="48" t="n">
        <f aca="false">BD93-BD92</f>
        <v>-543.917026615932</v>
      </c>
      <c r="BE97" s="48" t="n">
        <f aca="false">BE93-BE92</f>
        <v>-560.140402797994</v>
      </c>
      <c r="BF97" s="48" t="n">
        <f aca="false">BF93-BF92</f>
        <v>-563.689619174876</v>
      </c>
      <c r="BG97" s="48" t="n">
        <f aca="false">BG93-BG92</f>
        <v>-555.682801696473</v>
      </c>
      <c r="BH97" s="48" t="n">
        <f aca="false">BH93-BH92</f>
        <v>-572.066733250136</v>
      </c>
      <c r="BI97" s="48" t="n">
        <f aca="false">BI93-BI92</f>
        <v>-588.643096720728</v>
      </c>
      <c r="BJ97" s="48" t="n">
        <f aca="false">BJ93-BJ92</f>
        <v>-592.508288697823</v>
      </c>
      <c r="BK97" s="48" t="n">
        <f aca="false">BK93-BK92</f>
        <v>-594.607399128412</v>
      </c>
      <c r="BL97" s="48" t="n">
        <f aca="false">BL93-BL92</f>
        <v>-601.591158872457</v>
      </c>
      <c r="BM97" s="48" t="n">
        <f aca="false">BM93-BM92</f>
        <v>-618.535707266385</v>
      </c>
      <c r="BN97" s="48" t="n">
        <f aca="false">BN93-BN92</f>
        <v>-622.73314595531</v>
      </c>
      <c r="BO97" s="48" t="n">
        <f aca="false">BO93-BO92</f>
        <v>-615.19614764937</v>
      </c>
      <c r="BP97" s="48" t="n">
        <f aca="false">BP93-BP92</f>
        <v>-632.320922875625</v>
      </c>
      <c r="BQ97" s="48" t="n">
        <f aca="false">BQ93-BQ92</f>
        <v>-649.646831347153</v>
      </c>
      <c r="BR97" s="48" t="n">
        <f aca="false">BR93-BR92</f>
        <v>-654.190775944319</v>
      </c>
      <c r="BS97" s="48" t="n">
        <f aca="false">BS93-BS92</f>
        <v>-646.909871426492</v>
      </c>
      <c r="BT97" s="48" t="n">
        <f aca="false">BT93-BT92</f>
        <v>-664.426547804127</v>
      </c>
      <c r="BU97" s="48" t="n">
        <f aca="false">BU93-BU92</f>
        <v>-682.148960369226</v>
      </c>
      <c r="BV97" s="48" t="n">
        <f aca="false">BV93-BV92</f>
        <v>-687.05569729642</v>
      </c>
      <c r="BW97" s="48" t="n">
        <f aca="false">BW93-BW92</f>
        <v>-680.046361476792</v>
      </c>
      <c r="BX97" s="48" t="n">
        <f aca="false">BX93-BX92</f>
        <v>-697.970599082715</v>
      </c>
      <c r="BY97" s="48" t="n">
        <f aca="false">BY93-BY92</f>
        <v>-716.105359748422</v>
      </c>
      <c r="BZ97" s="48" t="n">
        <f aca="false">BZ93-BZ92</f>
        <v>-721.391919821355</v>
      </c>
      <c r="CA97" s="48" t="n">
        <f aca="false">CA93-CA92</f>
        <v>-724.624630032384</v>
      </c>
      <c r="CB97" s="48" t="n">
        <f aca="false">CB93-CB92</f>
        <v>-733.135463110109</v>
      </c>
      <c r="CC97" s="48" t="n">
        <f aca="false">CC93-CC92</f>
        <v>-751.700522271961</v>
      </c>
      <c r="CD97" s="48" t="n">
        <f aca="false">CD93-CD92</f>
        <v>-757.386104581809</v>
      </c>
      <c r="CE97" s="48" t="n">
        <f aca="false">CE93-CE92</f>
        <v>-750.970720956948</v>
      </c>
      <c r="CF97" s="48" t="n">
        <f aca="false">CF93-CF92</f>
        <v>-769.761416574386</v>
      </c>
      <c r="CG97" s="48" t="n">
        <f aca="false">CG93-CG92</f>
        <v>-788.772811940612</v>
      </c>
      <c r="CH97" s="48" t="n">
        <f aca="false">CH93-CH92</f>
        <v>-794.874718563298</v>
      </c>
      <c r="CI97" s="48" t="n">
        <f aca="false">CI93-CI92</f>
        <v>-788.781960543176</v>
      </c>
      <c r="CJ97" s="48" t="n">
        <f aca="false">CJ93-CJ92</f>
        <v>-808.031753041997</v>
      </c>
      <c r="CK97" s="48" t="n">
        <f aca="false">CK93-CK92</f>
        <v>-827.507637456477</v>
      </c>
      <c r="CL97" s="48" t="n">
        <f aca="false">CL93-CL92</f>
        <v>-834.045349597448</v>
      </c>
      <c r="CM97" s="48" t="n">
        <f aca="false">CM93-CM92</f>
        <v>-828.293859708562</v>
      </c>
      <c r="CN97" s="48" t="n">
        <f aca="false">CN93-CN92</f>
        <v>-848.021524243654</v>
      </c>
      <c r="CO97" s="48" t="n">
        <f aca="false">CO93-CO92</f>
        <v>-867.980893378496</v>
      </c>
      <c r="CP97" s="48" t="n">
        <f aca="false">CP93-CP92</f>
        <v>-874.97478516149</v>
      </c>
      <c r="CQ97" s="48" t="n">
        <f aca="false">CQ93-CQ92</f>
        <v>-879.595871348939</v>
      </c>
      <c r="CR97" s="48" t="n">
        <f aca="false">CR93-CR92</f>
        <v>-889.926866634832</v>
      </c>
      <c r="CS97" s="48" t="n">
        <f aca="false">CS93-CS92</f>
        <v>-910.390980135746</v>
      </c>
      <c r="CT97" s="48" t="n">
        <f aca="false">CT93-CT92</f>
        <v>1.97957206182764E-012</v>
      </c>
      <c r="CU97" s="48" t="n">
        <f aca="false">CU93-CU92</f>
        <v>2.00431671260049E-012</v>
      </c>
      <c r="CV97" s="48" t="n">
        <f aca="false">CV93-CV92</f>
        <v>2.02937067150799E-012</v>
      </c>
      <c r="CW97" s="48" t="n">
        <f aca="false">CW93-CW92</f>
        <v>2.05473780490184E-012</v>
      </c>
      <c r="CX97" s="48" t="n">
        <f aca="false">CX93-CX92</f>
        <v>2.08042202746311E-012</v>
      </c>
      <c r="CY97" s="48" t="n">
        <f aca="false">CY93-CY92</f>
        <v>2.1064273028064E-012</v>
      </c>
      <c r="CZ97" s="48" t="n">
        <f aca="false">CZ93-CZ92</f>
        <v>2.13275764409148E-012</v>
      </c>
      <c r="DA97" s="48" t="n">
        <f aca="false">DA93-DA92</f>
        <v>2.15941711464263E-012</v>
      </c>
      <c r="DB97" s="48" t="n">
        <f aca="false">DB93-DB92</f>
        <v>2.18640982857566E-012</v>
      </c>
      <c r="DC97" s="48" t="n">
        <f aca="false">DC93-DC92</f>
        <v>2.21373995143286E-012</v>
      </c>
      <c r="DD97" s="48" t="n">
        <f aca="false">DD93-DD92</f>
        <v>2.24141170082577E-012</v>
      </c>
      <c r="DE97" s="48" t="n">
        <f aca="false">DE93-DE92</f>
        <v>2.26942934708609E-012</v>
      </c>
      <c r="DF97" s="48" t="n">
        <f aca="false">DF93-DF92</f>
        <v>2.29779721392466E-012</v>
      </c>
      <c r="DG97" s="48" t="n">
        <f aca="false">DG93-DG92</f>
        <v>2.32651967909872E-012</v>
      </c>
      <c r="DH97" s="48" t="n">
        <f aca="false">DH93-DH92</f>
        <v>2.35560117508746E-012</v>
      </c>
      <c r="DI97" s="48" t="n">
        <f aca="false">DI93-DI92</f>
        <v>2.38504618977605E-012</v>
      </c>
      <c r="DJ97" s="48" t="n">
        <f aca="false">DJ93-DJ92</f>
        <v>2.41485926714825E-012</v>
      </c>
      <c r="DK97" s="48" t="n">
        <f aca="false">DK93-DK92</f>
        <v>2.4450450079876E-012</v>
      </c>
      <c r="DL97" s="48" t="n">
        <f aca="false">DL93-DL92</f>
        <v>2.47560807058745E-012</v>
      </c>
      <c r="DM97" s="48" t="n">
        <f aca="false">DM93-DM92</f>
        <v>2.50655317146979E-012</v>
      </c>
      <c r="DN97" s="48" t="n">
        <f aca="false">DN93-DN92</f>
        <v>2.53788508611316E-012</v>
      </c>
      <c r="DO97" s="48" t="n">
        <f aca="false">DO93-DO92</f>
        <v>2.56960864968958E-012</v>
      </c>
      <c r="DP97" s="48" t="n">
        <f aca="false">DP93-DP92</f>
        <v>2.6017287578107E-012</v>
      </c>
      <c r="DQ97" s="48" t="n">
        <f aca="false">DQ93-DQ92</f>
        <v>2.63425036728333E-012</v>
      </c>
      <c r="DR97" s="48" t="n">
        <f aca="false">DR93-DR92</f>
        <v>2.66717849687437E-012</v>
      </c>
      <c r="DS97" s="48" t="n">
        <f aca="false">DS93-DS92</f>
        <v>2.7005182280853E-012</v>
      </c>
      <c r="DT97" s="48" t="n">
        <f aca="false">DT93-DT92</f>
        <v>2.73427470593637E-012</v>
      </c>
      <c r="DU97" s="48" t="n">
        <f aca="false">DU93-DU92</f>
        <v>2.76845313976057E-012</v>
      </c>
      <c r="DV97" s="48" t="n">
        <f aca="false">DV93-DV92</f>
        <v>2.80305880400758E-012</v>
      </c>
      <c r="DW97" s="48" t="n">
        <f aca="false">DW93-DW92</f>
        <v>2.83809703905768E-012</v>
      </c>
      <c r="DX97" s="48" t="n">
        <f aca="false">DX93-DX92</f>
        <v>2.8735732520459E-012</v>
      </c>
      <c r="DY97" s="48" t="n">
        <f aca="false">DY93-DY92</f>
        <v>2.90949291769647E-012</v>
      </c>
      <c r="DZ97" s="48" t="n">
        <f aca="false">DZ93-DZ92</f>
        <v>2.94586157916768E-012</v>
      </c>
      <c r="EA97" s="48" t="n">
        <f aca="false">EA93-EA92</f>
        <v>2.98268484890727E-012</v>
      </c>
      <c r="EB97" s="48" t="n">
        <f aca="false">EB93-EB92</f>
        <v>3.01996840951861E-012</v>
      </c>
      <c r="EC97" s="48" t="n">
        <f aca="false">EC93-EC92</f>
        <v>3.0577180146376E-012</v>
      </c>
      <c r="ED97" s="48" t="n">
        <f aca="false">ED93-ED92</f>
        <v>3.09593948982057E-012</v>
      </c>
      <c r="EE97" s="48" t="n">
        <f aca="false">EE93-EE92</f>
        <v>3.13463873344332E-012</v>
      </c>
      <c r="EF97" s="48" t="n">
        <f aca="false">EF93-EF92</f>
        <v>3.17382171761137E-012</v>
      </c>
      <c r="EG97" s="48" t="n">
        <f aca="false">EG93-EG92</f>
        <v>3.21349448908151E-012</v>
      </c>
      <c r="EH97" s="48" t="n">
        <f aca="false">EH93-EH92</f>
        <v>3.25366317019503E-012</v>
      </c>
      <c r="EI97" s="48" t="n">
        <f aca="false">EI93-EI92</f>
        <v>3.29433395982246E-012</v>
      </c>
      <c r="EJ97" s="48" t="n">
        <f aca="false">EJ93-EJ92</f>
        <v>3.33551313432024E-012</v>
      </c>
      <c r="EK97" s="48" t="n">
        <f aca="false">EK93-EK92</f>
        <v>3.37720704849925E-012</v>
      </c>
      <c r="EL97" s="48" t="n">
        <f aca="false">EL93-EL92</f>
        <v>3.41942213660549E-012</v>
      </c>
      <c r="EM97" s="48" t="n">
        <f aca="false">EM93-EM92</f>
        <v>3.46216491331306E-012</v>
      </c>
      <c r="EN97" s="48" t="n">
        <f aca="false">EN93-EN92</f>
        <v>3.50544197472947E-012</v>
      </c>
      <c r="EO97" s="48" t="n">
        <f aca="false">EO93-EO92</f>
        <v>3.54925999941359E-012</v>
      </c>
    </row>
    <row r="98" customFormat="false" ht="15" hidden="false" customHeight="false" outlineLevel="0" collapsed="false">
      <c r="C98" s="25" t="s">
        <v>476</v>
      </c>
      <c r="D98" s="11" t="s">
        <v>33</v>
      </c>
      <c r="E98" s="57" t="n">
        <f aca="false">SUMIF($J$4:$EO$4,In_COD,$J98:$EO98)</f>
        <v>43397.3364285807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4485.81130136986</v>
      </c>
      <c r="S98" s="57" t="n">
        <f aca="false">SUM(S94:S97)</f>
        <v>13415.3303398973</v>
      </c>
      <c r="T98" s="57" t="n">
        <f aca="false">SUM(T94:T97)</f>
        <v>18020.0744520227</v>
      </c>
      <c r="U98" s="57" t="n">
        <f aca="false">SUM(U94:U97)</f>
        <v>22731.1366840428</v>
      </c>
      <c r="V98" s="57" t="n">
        <f aca="false">SUM(V94:V97)</f>
        <v>27501.0871939632</v>
      </c>
      <c r="W98" s="57" t="n">
        <f aca="false">SUM(W94:W97)</f>
        <v>32233.1444482713</v>
      </c>
      <c r="X98" s="57" t="n">
        <f aca="false">SUM(X94:X97)</f>
        <v>37073.1112367514</v>
      </c>
      <c r="Y98" s="57" t="n">
        <f aca="false">SUM(Y94:Y97)</f>
        <v>43397.3364285807</v>
      </c>
      <c r="Z98" s="57" t="n">
        <f aca="false">SUM(Z94:Z97)</f>
        <v>43012.5159938447</v>
      </c>
      <c r="AA98" s="57" t="n">
        <f aca="false">SUM(AA94:AA97)</f>
        <v>42636.938675554</v>
      </c>
      <c r="AB98" s="57" t="n">
        <f aca="false">SUM(AB94:AB97)</f>
        <v>42246.8417241772</v>
      </c>
      <c r="AC98" s="57" t="n">
        <f aca="false">SUM(AC94:AC97)</f>
        <v>41842.0491242921</v>
      </c>
      <c r="AD98" s="57" t="n">
        <f aca="false">SUM(AD94:AD97)</f>
        <v>41435.5050251216</v>
      </c>
      <c r="AE98" s="57" t="n">
        <f aca="false">SUM(AE94:AE97)</f>
        <v>41049.8842023785</v>
      </c>
      <c r="AF98" s="57" t="n">
        <f aca="false">SUM(AF94:AF97)</f>
        <v>40662.2487178249</v>
      </c>
      <c r="AG98" s="57" t="n">
        <f aca="false">SUM(AG94:AG97)</f>
        <v>40260.5024470674</v>
      </c>
      <c r="AH98" s="57" t="n">
        <f aca="false">SUM(AH94:AH97)</f>
        <v>39856.9557573001</v>
      </c>
      <c r="AI98" s="57" t="n">
        <f aca="false">SUM(AI94:AI97)</f>
        <v>39462.4003463885</v>
      </c>
      <c r="AJ98" s="57" t="n">
        <f aca="false">SUM(AJ94:AJ97)</f>
        <v>39042.2798694931</v>
      </c>
      <c r="AK98" s="57" t="n">
        <f aca="false">SUM(AK94:AK97)</f>
        <v>38607.5149798833</v>
      </c>
      <c r="AL98" s="57" t="n">
        <f aca="false">SUM(AL94:AL97)</f>
        <v>38170.5803095736</v>
      </c>
      <c r="AM98" s="57" t="n">
        <f aca="false">SUM(AM94:AM97)</f>
        <v>37742.5995607853</v>
      </c>
      <c r="AN98" s="57" t="n">
        <f aca="false">SUM(AN94:AN97)</f>
        <v>37299.8554383742</v>
      </c>
      <c r="AO98" s="57" t="n">
        <f aca="false">SUM(AO94:AO97)</f>
        <v>36842.1745441375</v>
      </c>
      <c r="AP98" s="57" t="n">
        <f aca="false">SUM(AP94:AP97)</f>
        <v>36382.0732246035</v>
      </c>
      <c r="AQ98" s="57" t="n">
        <f aca="false">SUM(AQ94:AQ97)</f>
        <v>35930.7601147527</v>
      </c>
      <c r="AR98" s="57" t="n">
        <f aca="false">SUM(AR94:AR97)</f>
        <v>35464.3837438589</v>
      </c>
      <c r="AS98" s="57" t="n">
        <f aca="false">SUM(AS94:AS97)</f>
        <v>34982.7671914933</v>
      </c>
      <c r="AT98" s="57" t="n">
        <f aca="false">SUM(AT94:AT97)</f>
        <v>34498.467652502</v>
      </c>
      <c r="AU98" s="57" t="n">
        <f aca="false">SUM(AU94:AU97)</f>
        <v>34012.9919196558</v>
      </c>
      <c r="AV98" s="57" t="n">
        <f aca="false">SUM(AV94:AV97)</f>
        <v>33521.8141960764</v>
      </c>
      <c r="AW98" s="57" t="n">
        <f aca="false">SUM(AW94:AW97)</f>
        <v>33015.0799747434</v>
      </c>
      <c r="AX98" s="57" t="n">
        <f aca="false">SUM(AX94:AX97)</f>
        <v>32505.3863807758</v>
      </c>
      <c r="AY98" s="57" t="n">
        <f aca="false">SUM(AY94:AY97)</f>
        <v>32004.1141896899</v>
      </c>
      <c r="AZ98" s="57" t="n">
        <f aca="false">SUM(AZ94:AZ97)</f>
        <v>31487.1427737728</v>
      </c>
      <c r="BA98" s="57" t="n">
        <f aca="false">SUM(BA94:BA97)</f>
        <v>30954.2877430984</v>
      </c>
      <c r="BB98" s="57" t="n">
        <f aca="false">SUM(BB94:BB97)</f>
        <v>30418.1852288881</v>
      </c>
      <c r="BC98" s="57" t="n">
        <f aca="false">SUM(BC94:BC97)</f>
        <v>29890.303244301</v>
      </c>
      <c r="BD98" s="57" t="n">
        <f aca="false">SUM(BD94:BD97)</f>
        <v>29346.3862176851</v>
      </c>
      <c r="BE98" s="57" t="n">
        <f aca="false">SUM(BE94:BE97)</f>
        <v>28786.2458148871</v>
      </c>
      <c r="BF98" s="57" t="n">
        <f aca="false">SUM(BF94:BF97)</f>
        <v>28222.5561957122</v>
      </c>
      <c r="BG98" s="57" t="n">
        <f aca="false">SUM(BG94:BG97)</f>
        <v>27666.8733940158</v>
      </c>
      <c r="BH98" s="57" t="n">
        <f aca="false">SUM(BH94:BH97)</f>
        <v>27094.8066607656</v>
      </c>
      <c r="BI98" s="57" t="n">
        <f aca="false">SUM(BI94:BI97)</f>
        <v>26506.1635640449</v>
      </c>
      <c r="BJ98" s="57" t="n">
        <f aca="false">SUM(BJ94:BJ97)</f>
        <v>25913.6552753471</v>
      </c>
      <c r="BK98" s="57" t="n">
        <f aca="false">SUM(BK94:BK97)</f>
        <v>25319.0478762187</v>
      </c>
      <c r="BL98" s="57" t="n">
        <f aca="false">SUM(BL94:BL97)</f>
        <v>24717.4567173462</v>
      </c>
      <c r="BM98" s="57" t="n">
        <f aca="false">SUM(BM94:BM97)</f>
        <v>24098.9210100798</v>
      </c>
      <c r="BN98" s="57" t="n">
        <f aca="false">SUM(BN94:BN97)</f>
        <v>23476.1878641245</v>
      </c>
      <c r="BO98" s="57" t="n">
        <f aca="false">SUM(BO94:BO97)</f>
        <v>22860.9917164751</v>
      </c>
      <c r="BP98" s="57" t="n">
        <f aca="false">SUM(BP94:BP97)</f>
        <v>22228.6707935995</v>
      </c>
      <c r="BQ98" s="57" t="n">
        <f aca="false">SUM(BQ94:BQ97)</f>
        <v>21579.0239622524</v>
      </c>
      <c r="BR98" s="57" t="n">
        <f aca="false">SUM(BR94:BR97)</f>
        <v>20924.833186308</v>
      </c>
      <c r="BS98" s="57" t="n">
        <f aca="false">SUM(BS94:BS97)</f>
        <v>20277.9233148815</v>
      </c>
      <c r="BT98" s="57" t="n">
        <f aca="false">SUM(BT94:BT97)</f>
        <v>19613.4967670774</v>
      </c>
      <c r="BU98" s="57" t="n">
        <f aca="false">SUM(BU94:BU97)</f>
        <v>18931.3478067082</v>
      </c>
      <c r="BV98" s="57" t="n">
        <f aca="false">SUM(BV94:BV97)</f>
        <v>18244.2921094118</v>
      </c>
      <c r="BW98" s="57" t="n">
        <f aca="false">SUM(BW94:BW97)</f>
        <v>17564.245747935</v>
      </c>
      <c r="BX98" s="57" t="n">
        <f aca="false">SUM(BX94:BX97)</f>
        <v>16866.2751488523</v>
      </c>
      <c r="BY98" s="57" t="n">
        <f aca="false">SUM(BY94:BY97)</f>
        <v>16150.1697891038</v>
      </c>
      <c r="BZ98" s="57" t="n">
        <f aca="false">SUM(BZ94:BZ97)</f>
        <v>15428.7778692825</v>
      </c>
      <c r="CA98" s="57" t="n">
        <f aca="false">SUM(CA94:CA97)</f>
        <v>14704.1532392501</v>
      </c>
      <c r="CB98" s="57" t="n">
        <f aca="false">SUM(CB94:CB97)</f>
        <v>13971.01777614</v>
      </c>
      <c r="CC98" s="57" t="n">
        <f aca="false">SUM(CC94:CC97)</f>
        <v>13219.317253868</v>
      </c>
      <c r="CD98" s="57" t="n">
        <f aca="false">SUM(CD94:CD97)</f>
        <v>12461.9311492862</v>
      </c>
      <c r="CE98" s="57" t="n">
        <f aca="false">SUM(CE94:CE97)</f>
        <v>11710.9604283293</v>
      </c>
      <c r="CF98" s="57" t="n">
        <f aca="false">SUM(CF94:CF97)</f>
        <v>10941.1990117549</v>
      </c>
      <c r="CG98" s="57" t="n">
        <f aca="false">SUM(CG94:CG97)</f>
        <v>10152.4261998143</v>
      </c>
      <c r="CH98" s="57" t="n">
        <f aca="false">SUM(CH94:CH97)</f>
        <v>9357.55148125098</v>
      </c>
      <c r="CI98" s="57" t="n">
        <f aca="false">SUM(CI94:CI97)</f>
        <v>8568.7695207078</v>
      </c>
      <c r="CJ98" s="57" t="n">
        <f aca="false">SUM(CJ94:CJ97)</f>
        <v>7760.7377676658</v>
      </c>
      <c r="CK98" s="57" t="n">
        <f aca="false">SUM(CK94:CK97)</f>
        <v>6933.23013020933</v>
      </c>
      <c r="CL98" s="57" t="n">
        <f aca="false">SUM(CL94:CL97)</f>
        <v>6099.18478061188</v>
      </c>
      <c r="CM98" s="57" t="n">
        <f aca="false">SUM(CM94:CM97)</f>
        <v>5270.89092090331</v>
      </c>
      <c r="CN98" s="57" t="n">
        <f aca="false">SUM(CN94:CN97)</f>
        <v>4422.86939665966</v>
      </c>
      <c r="CO98" s="57" t="n">
        <f aca="false">SUM(CO94:CO97)</f>
        <v>3554.88850328117</v>
      </c>
      <c r="CP98" s="57" t="n">
        <f aca="false">SUM(CP94:CP97)</f>
        <v>2679.91371811967</v>
      </c>
      <c r="CQ98" s="57" t="n">
        <f aca="false">SUM(CQ94:CQ97)</f>
        <v>1800.31784677074</v>
      </c>
      <c r="CR98" s="57" t="n">
        <f aca="false">SUM(CR94:CR97)</f>
        <v>910.390980135904</v>
      </c>
      <c r="CS98" s="57" t="n">
        <f aca="false">SUM(CS94:CS97)</f>
        <v>1.58365764946211E-010</v>
      </c>
      <c r="CT98" s="57" t="n">
        <f aca="false">SUM(CT94:CT97)</f>
        <v>1.60345337008039E-010</v>
      </c>
      <c r="CU98" s="57" t="n">
        <f aca="false">SUM(CU94:CU97)</f>
        <v>1.62349653720639E-010</v>
      </c>
      <c r="CV98" s="57" t="n">
        <f aca="false">SUM(CV94:CV97)</f>
        <v>1.64379024392147E-010</v>
      </c>
      <c r="CW98" s="57" t="n">
        <f aca="false">SUM(CW94:CW97)</f>
        <v>1.66433762197049E-010</v>
      </c>
      <c r="CX98" s="57" t="n">
        <f aca="false">SUM(CX94:CX97)</f>
        <v>1.68514184224512E-010</v>
      </c>
      <c r="CY98" s="57" t="n">
        <f aca="false">SUM(CY94:CY97)</f>
        <v>1.70620611527319E-010</v>
      </c>
      <c r="CZ98" s="57" t="n">
        <f aca="false">SUM(CZ94:CZ97)</f>
        <v>1.7275336917141E-010</v>
      </c>
      <c r="DA98" s="57" t="n">
        <f aca="false">SUM(DA94:DA97)</f>
        <v>1.74912786286053E-010</v>
      </c>
      <c r="DB98" s="57" t="n">
        <f aca="false">SUM(DB94:DB97)</f>
        <v>1.77099196114628E-010</v>
      </c>
      <c r="DC98" s="57" t="n">
        <f aca="false">SUM(DC94:DC97)</f>
        <v>1.79312936066061E-010</v>
      </c>
      <c r="DD98" s="57" t="n">
        <f aca="false">SUM(DD94:DD97)</f>
        <v>1.81554347766887E-010</v>
      </c>
      <c r="DE98" s="57" t="n">
        <f aca="false">SUM(DE94:DE97)</f>
        <v>1.83823777113973E-010</v>
      </c>
      <c r="DF98" s="57" t="n">
        <f aca="false">SUM(DF94:DF97)</f>
        <v>1.86121574327898E-010</v>
      </c>
      <c r="DG98" s="57" t="n">
        <f aca="false">SUM(DG94:DG97)</f>
        <v>1.88448094006996E-010</v>
      </c>
      <c r="DH98" s="57" t="n">
        <f aca="false">SUM(DH94:DH97)</f>
        <v>1.90803695182084E-010</v>
      </c>
      <c r="DI98" s="57" t="n">
        <f aca="false">SUM(DI94:DI97)</f>
        <v>1.9318874137186E-010</v>
      </c>
      <c r="DJ98" s="57" t="n">
        <f aca="false">SUM(DJ94:DJ97)</f>
        <v>1.95603600639008E-010</v>
      </c>
      <c r="DK98" s="57" t="n">
        <f aca="false">SUM(DK94:DK97)</f>
        <v>1.98048645646996E-010</v>
      </c>
      <c r="DL98" s="57" t="n">
        <f aca="false">SUM(DL94:DL97)</f>
        <v>2.00524253717583E-010</v>
      </c>
      <c r="DM98" s="57" t="n">
        <f aca="false">SUM(DM94:DM97)</f>
        <v>2.03030806889053E-010</v>
      </c>
      <c r="DN98" s="57" t="n">
        <f aca="false">SUM(DN94:DN97)</f>
        <v>2.05568691975166E-010</v>
      </c>
      <c r="DO98" s="57" t="n">
        <f aca="false">SUM(DO94:DO97)</f>
        <v>2.08138300624856E-010</v>
      </c>
      <c r="DP98" s="57" t="n">
        <f aca="false">SUM(DP94:DP97)</f>
        <v>2.10740029382667E-010</v>
      </c>
      <c r="DQ98" s="57" t="n">
        <f aca="false">SUM(DQ94:DQ97)</f>
        <v>2.1337427974995E-010</v>
      </c>
      <c r="DR98" s="57" t="n">
        <f aca="false">SUM(DR94:DR97)</f>
        <v>2.16041458246824E-010</v>
      </c>
      <c r="DS98" s="57" t="n">
        <f aca="false">SUM(DS94:DS97)</f>
        <v>2.1874197647491E-010</v>
      </c>
      <c r="DT98" s="57" t="n">
        <f aca="false">SUM(DT94:DT97)</f>
        <v>2.21476251180846E-010</v>
      </c>
      <c r="DU98" s="57" t="n">
        <f aca="false">SUM(DU94:DU97)</f>
        <v>2.24244704320607E-010</v>
      </c>
      <c r="DV98" s="57" t="n">
        <f aca="false">SUM(DV94:DV97)</f>
        <v>2.27047763124614E-010</v>
      </c>
      <c r="DW98" s="57" t="n">
        <f aca="false">SUM(DW94:DW97)</f>
        <v>2.29885860163672E-010</v>
      </c>
      <c r="DX98" s="57" t="n">
        <f aca="false">SUM(DX94:DX97)</f>
        <v>2.32759433415718E-010</v>
      </c>
      <c r="DY98" s="57" t="n">
        <f aca="false">SUM(DY94:DY97)</f>
        <v>2.35668926333414E-010</v>
      </c>
      <c r="DZ98" s="57" t="n">
        <f aca="false">SUM(DZ94:DZ97)</f>
        <v>2.38614787912582E-010</v>
      </c>
      <c r="EA98" s="57" t="n">
        <f aca="false">SUM(EA94:EA97)</f>
        <v>2.41597472761489E-010</v>
      </c>
      <c r="EB98" s="57" t="n">
        <f aca="false">SUM(EB94:EB97)</f>
        <v>2.44617441171008E-010</v>
      </c>
      <c r="EC98" s="57" t="n">
        <f aca="false">SUM(EC94:EC97)</f>
        <v>2.47675159185645E-010</v>
      </c>
      <c r="ED98" s="57" t="n">
        <f aca="false">SUM(ED94:ED97)</f>
        <v>2.50771098675466E-010</v>
      </c>
      <c r="EE98" s="57" t="n">
        <f aca="false">SUM(EE94:EE97)</f>
        <v>2.53905737408909E-010</v>
      </c>
      <c r="EF98" s="57" t="n">
        <f aca="false">SUM(EF94:EF97)</f>
        <v>2.57079559126521E-010</v>
      </c>
      <c r="EG98" s="57" t="n">
        <f aca="false">SUM(EG94:EG97)</f>
        <v>2.60293053615602E-010</v>
      </c>
      <c r="EH98" s="57" t="n">
        <f aca="false">SUM(EH94:EH97)</f>
        <v>2.63546716785797E-010</v>
      </c>
      <c r="EI98" s="57" t="n">
        <f aca="false">SUM(EI94:EI97)</f>
        <v>2.66841050745619E-010</v>
      </c>
      <c r="EJ98" s="57" t="n">
        <f aca="false">SUM(EJ94:EJ97)</f>
        <v>2.7017656387994E-010</v>
      </c>
      <c r="EK98" s="57" t="n">
        <f aca="false">SUM(EK94:EK97)</f>
        <v>2.73553770928439E-010</v>
      </c>
      <c r="EL98" s="57" t="n">
        <f aca="false">SUM(EL94:EL97)</f>
        <v>2.76973193065044E-010</v>
      </c>
      <c r="EM98" s="57" t="n">
        <f aca="false">SUM(EM94:EM97)</f>
        <v>2.80435357978358E-010</v>
      </c>
      <c r="EN98" s="57" t="n">
        <f aca="false">SUM(EN94:EN97)</f>
        <v>2.83940799953087E-010</v>
      </c>
      <c r="EO98" s="57" t="n">
        <f aca="false">SUM(EO94:EO97)</f>
        <v>2.87490059952501E-010</v>
      </c>
    </row>
    <row r="99" customFormat="false" ht="15" hidden="false" customHeight="false" outlineLevel="0" collapsed="false">
      <c r="C99" s="0" t="s">
        <v>477</v>
      </c>
      <c r="D99" s="11" t="s">
        <v>33</v>
      </c>
      <c r="I99" s="48" t="n">
        <f aca="false">SUM(J99:EO99)</f>
        <v>-759.453387500162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-759.453387500162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478</v>
      </c>
      <c r="D100" s="11" t="s">
        <v>33</v>
      </c>
      <c r="I100" s="48" t="n">
        <f aca="false">SUM(J100:EO100)</f>
        <v>-405.26981433054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-94.0383197611559</v>
      </c>
      <c r="S100" s="48" t="n">
        <f aca="false">-In_Commitment_Fee*($I95-SUM($J95:S95)+S95)*S$6*(S12&gt;0)</f>
        <v>-82.0391943411522</v>
      </c>
      <c r="T100" s="48" t="n">
        <f aca="false">-In_Commitment_Fee*($I95-SUM($J95:T95)+T95)*T$6*(T12&gt;0)</f>
        <v>-63.0401858782135</v>
      </c>
      <c r="U100" s="48" t="n">
        <f aca="false">-In_Commitment_Fee*($I95-SUM($J95:U95)+U95)*U$6*(U12&gt;0)</f>
        <v>-53.6675120069431</v>
      </c>
      <c r="V100" s="48" t="n">
        <f aca="false">-In_Commitment_Fee*($I95-SUM($J95:V95)+V95)*V$6*(V12&gt;0)</f>
        <v>-43.4914797945205</v>
      </c>
      <c r="W100" s="48" t="n">
        <f aca="false">-In_Commitment_Fee*($I95-SUM($J95:W95)+W95)*W$6*(W12&gt;0)</f>
        <v>-32.5911987216175</v>
      </c>
      <c r="X100" s="48" t="n">
        <f aca="false">-In_Commitment_Fee*($I95-SUM($J95:X95)+X95)*X$6*(X12&gt;0)</f>
        <v>-23.1067135323231</v>
      </c>
      <c r="Y100" s="48" t="n">
        <f aca="false">-In_Commitment_Fee*($I95-SUM($J95:Y95)+Y95)*Y$6*(Y12&gt;0)</f>
        <v>-13.2952102946144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479</v>
      </c>
      <c r="D101" s="11" t="s">
        <v>33</v>
      </c>
      <c r="E101" s="48" t="n">
        <f aca="false">-SUMIFS($J93:$EO93,$J$4:$EO$4,"&gt;"&amp;In_COD,$J$4:$EO$4,"&lt;="&amp;EDATE(In_COD,In_DSRA_Months))</f>
        <v>927.287140093298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-927.287140093298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927.287140093298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480</v>
      </c>
      <c r="D102" s="11" t="s">
        <v>13</v>
      </c>
      <c r="E102" s="53" t="n">
        <f aca="false">MIN($J102:$EO102)</f>
        <v>2.48397400954815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2.48397400954815</v>
      </c>
      <c r="AA102" s="53" t="n">
        <f aca="false">IF(AA93&lt;0,AA86/-AA93,"")</f>
        <v>2.48397400954815</v>
      </c>
      <c r="AB102" s="53" t="n">
        <f aca="false">IF(AB93&lt;0,AB86/-AB93,"")</f>
        <v>2.48397400954815</v>
      </c>
      <c r="AC102" s="53" t="n">
        <f aca="false">IF(AC93&lt;0,AC86/-AC93,"")</f>
        <v>2.48397400954815</v>
      </c>
      <c r="AD102" s="53" t="n">
        <f aca="false">IF(AD93&lt;0,AD86/-AD93,"")</f>
        <v>2.48397400954815</v>
      </c>
      <c r="AE102" s="53" t="n">
        <f aca="false">IF(AE93&lt;0,AE86/-AE93,"")</f>
        <v>2.48397400954815</v>
      </c>
      <c r="AF102" s="53" t="n">
        <f aca="false">IF(AF93&lt;0,AF86/-AF93,"")</f>
        <v>2.48397400954815</v>
      </c>
      <c r="AG102" s="53" t="n">
        <f aca="false">IF(AG93&lt;0,AG86/-AG93,"")</f>
        <v>2.48397400954815</v>
      </c>
      <c r="AH102" s="53" t="n">
        <f aca="false">IF(AH93&lt;0,AH86/-AH93,"")</f>
        <v>2.48397400954815</v>
      </c>
      <c r="AI102" s="53" t="n">
        <f aca="false">IF(AI93&lt;0,AI86/-AI93,"")</f>
        <v>2.48397400954815</v>
      </c>
      <c r="AJ102" s="53" t="n">
        <f aca="false">IF(AJ93&lt;0,AJ86/-AJ93,"")</f>
        <v>2.48397400954815</v>
      </c>
      <c r="AK102" s="53" t="n">
        <f aca="false">IF(AK93&lt;0,AK86/-AK93,"")</f>
        <v>2.48397400954815</v>
      </c>
      <c r="AL102" s="53" t="n">
        <f aca="false">IF(AL93&lt;0,AL86/-AL93,"")</f>
        <v>2.48397400954815</v>
      </c>
      <c r="AM102" s="53" t="n">
        <f aca="false">IF(AM93&lt;0,AM86/-AM93,"")</f>
        <v>2.48397400954815</v>
      </c>
      <c r="AN102" s="53" t="n">
        <f aca="false">IF(AN93&lt;0,AN86/-AN93,"")</f>
        <v>2.48397400954815</v>
      </c>
      <c r="AO102" s="53" t="n">
        <f aca="false">IF(AO93&lt;0,AO86/-AO93,"")</f>
        <v>2.48397400954815</v>
      </c>
      <c r="AP102" s="53" t="n">
        <f aca="false">IF(AP93&lt;0,AP86/-AP93,"")</f>
        <v>2.48397400954815</v>
      </c>
      <c r="AQ102" s="53" t="n">
        <f aca="false">IF(AQ93&lt;0,AQ86/-AQ93,"")</f>
        <v>2.48397400954815</v>
      </c>
      <c r="AR102" s="53" t="n">
        <f aca="false">IF(AR93&lt;0,AR86/-AR93,"")</f>
        <v>2.48397400954815</v>
      </c>
      <c r="AS102" s="53" t="n">
        <f aca="false">IF(AS93&lt;0,AS86/-AS93,"")</f>
        <v>2.48397400954815</v>
      </c>
      <c r="AT102" s="53" t="n">
        <f aca="false">IF(AT93&lt;0,AT86/-AT93,"")</f>
        <v>2.48397400954815</v>
      </c>
      <c r="AU102" s="53" t="n">
        <f aca="false">IF(AU93&lt;0,AU86/-AU93,"")</f>
        <v>2.48397400954815</v>
      </c>
      <c r="AV102" s="53" t="n">
        <f aca="false">IF(AV93&lt;0,AV86/-AV93,"")</f>
        <v>2.48397400954815</v>
      </c>
      <c r="AW102" s="53" t="n">
        <f aca="false">IF(AW93&lt;0,AW86/-AW93,"")</f>
        <v>2.48397400954815</v>
      </c>
      <c r="AX102" s="53" t="n">
        <f aca="false">IF(AX93&lt;0,AX86/-AX93,"")</f>
        <v>2.48397400954815</v>
      </c>
      <c r="AY102" s="53" t="n">
        <f aca="false">IF(AY93&lt;0,AY86/-AY93,"")</f>
        <v>2.48397400954815</v>
      </c>
      <c r="AZ102" s="53" t="n">
        <f aca="false">IF(AZ93&lt;0,AZ86/-AZ93,"")</f>
        <v>2.48397400954815</v>
      </c>
      <c r="BA102" s="53" t="n">
        <f aca="false">IF(BA93&lt;0,BA86/-BA93,"")</f>
        <v>2.48397400954815</v>
      </c>
      <c r="BB102" s="53" t="n">
        <f aca="false">IF(BB93&lt;0,BB86/-BB93,"")</f>
        <v>2.48397400954815</v>
      </c>
      <c r="BC102" s="53" t="n">
        <f aca="false">IF(BC93&lt;0,BC86/-BC93,"")</f>
        <v>2.48397400954815</v>
      </c>
      <c r="BD102" s="53" t="n">
        <f aca="false">IF(BD93&lt;0,BD86/-BD93,"")</f>
        <v>2.48397400954815</v>
      </c>
      <c r="BE102" s="53" t="n">
        <f aca="false">IF(BE93&lt;0,BE86/-BE93,"")</f>
        <v>2.48397400954815</v>
      </c>
      <c r="BF102" s="53" t="n">
        <f aca="false">IF(BF93&lt;0,BF86/-BF93,"")</f>
        <v>2.48397400954815</v>
      </c>
      <c r="BG102" s="53" t="n">
        <f aca="false">IF(BG93&lt;0,BG86/-BG93,"")</f>
        <v>2.48397400954815</v>
      </c>
      <c r="BH102" s="53" t="n">
        <f aca="false">IF(BH93&lt;0,BH86/-BH93,"")</f>
        <v>2.48397400954815</v>
      </c>
      <c r="BI102" s="53" t="n">
        <f aca="false">IF(BI93&lt;0,BI86/-BI93,"")</f>
        <v>2.48397400954815</v>
      </c>
      <c r="BJ102" s="53" t="n">
        <f aca="false">IF(BJ93&lt;0,BJ86/-BJ93,"")</f>
        <v>2.48397400954815</v>
      </c>
      <c r="BK102" s="53" t="n">
        <f aca="false">IF(BK93&lt;0,BK86/-BK93,"")</f>
        <v>2.48397400954815</v>
      </c>
      <c r="BL102" s="53" t="n">
        <f aca="false">IF(BL93&lt;0,BL86/-BL93,"")</f>
        <v>2.48397400954815</v>
      </c>
      <c r="BM102" s="53" t="n">
        <f aca="false">IF(BM93&lt;0,BM86/-BM93,"")</f>
        <v>2.48397400954815</v>
      </c>
      <c r="BN102" s="53" t="n">
        <f aca="false">IF(BN93&lt;0,BN86/-BN93,"")</f>
        <v>2.48397400954815</v>
      </c>
      <c r="BO102" s="53" t="n">
        <f aca="false">IF(BO93&lt;0,BO86/-BO93,"")</f>
        <v>2.48397400954815</v>
      </c>
      <c r="BP102" s="53" t="n">
        <f aca="false">IF(BP93&lt;0,BP86/-BP93,"")</f>
        <v>2.48397400954815</v>
      </c>
      <c r="BQ102" s="53" t="n">
        <f aca="false">IF(BQ93&lt;0,BQ86/-BQ93,"")</f>
        <v>2.48397400954815</v>
      </c>
      <c r="BR102" s="53" t="n">
        <f aca="false">IF(BR93&lt;0,BR86/-BR93,"")</f>
        <v>2.48397400954815</v>
      </c>
      <c r="BS102" s="53" t="n">
        <f aca="false">IF(BS93&lt;0,BS86/-BS93,"")</f>
        <v>2.48397400954815</v>
      </c>
      <c r="BT102" s="53" t="n">
        <f aca="false">IF(BT93&lt;0,BT86/-BT93,"")</f>
        <v>2.48397400954815</v>
      </c>
      <c r="BU102" s="53" t="n">
        <f aca="false">IF(BU93&lt;0,BU86/-BU93,"")</f>
        <v>2.48397400954815</v>
      </c>
      <c r="BV102" s="53" t="n">
        <f aca="false">IF(BV93&lt;0,BV86/-BV93,"")</f>
        <v>2.48397400954815</v>
      </c>
      <c r="BW102" s="53" t="n">
        <f aca="false">IF(BW93&lt;0,BW86/-BW93,"")</f>
        <v>2.48397400954815</v>
      </c>
      <c r="BX102" s="53" t="n">
        <f aca="false">IF(BX93&lt;0,BX86/-BX93,"")</f>
        <v>2.48397400954815</v>
      </c>
      <c r="BY102" s="53" t="n">
        <f aca="false">IF(BY93&lt;0,BY86/-BY93,"")</f>
        <v>2.48397400954815</v>
      </c>
      <c r="BZ102" s="53" t="n">
        <f aca="false">IF(BZ93&lt;0,BZ86/-BZ93,"")</f>
        <v>2.48397400954815</v>
      </c>
      <c r="CA102" s="53" t="n">
        <f aca="false">IF(CA93&lt;0,CA86/-CA93,"")</f>
        <v>2.48397400954815</v>
      </c>
      <c r="CB102" s="53" t="n">
        <f aca="false">IF(CB93&lt;0,CB86/-CB93,"")</f>
        <v>2.48397400954815</v>
      </c>
      <c r="CC102" s="53" t="n">
        <f aca="false">IF(CC93&lt;0,CC86/-CC93,"")</f>
        <v>2.48397400954815</v>
      </c>
      <c r="CD102" s="53" t="n">
        <f aca="false">IF(CD93&lt;0,CD86/-CD93,"")</f>
        <v>2.48397400954815</v>
      </c>
      <c r="CE102" s="53" t="n">
        <f aca="false">IF(CE93&lt;0,CE86/-CE93,"")</f>
        <v>2.48397400954815</v>
      </c>
      <c r="CF102" s="53" t="n">
        <f aca="false">IF(CF93&lt;0,CF86/-CF93,"")</f>
        <v>2.48397400954815</v>
      </c>
      <c r="CG102" s="53" t="n">
        <f aca="false">IF(CG93&lt;0,CG86/-CG93,"")</f>
        <v>2.48397400954815</v>
      </c>
      <c r="CH102" s="53" t="n">
        <f aca="false">IF(CH93&lt;0,CH86/-CH93,"")</f>
        <v>2.48397400954815</v>
      </c>
      <c r="CI102" s="53" t="n">
        <f aca="false">IF(CI93&lt;0,CI86/-CI93,"")</f>
        <v>2.48397400954815</v>
      </c>
      <c r="CJ102" s="53" t="n">
        <f aca="false">IF(CJ93&lt;0,CJ86/-CJ93,"")</f>
        <v>2.48397400954815</v>
      </c>
      <c r="CK102" s="53" t="n">
        <f aca="false">IF(CK93&lt;0,CK86/-CK93,"")</f>
        <v>2.48397400954815</v>
      </c>
      <c r="CL102" s="53" t="n">
        <f aca="false">IF(CL93&lt;0,CL86/-CL93,"")</f>
        <v>2.48397400954815</v>
      </c>
      <c r="CM102" s="53" t="n">
        <f aca="false">IF(CM93&lt;0,CM86/-CM93,"")</f>
        <v>2.48397400954815</v>
      </c>
      <c r="CN102" s="53" t="n">
        <f aca="false">IF(CN93&lt;0,CN86/-CN93,"")</f>
        <v>2.48397400954815</v>
      </c>
      <c r="CO102" s="53" t="n">
        <f aca="false">IF(CO93&lt;0,CO86/-CO93,"")</f>
        <v>2.48397400954815</v>
      </c>
      <c r="CP102" s="53" t="n">
        <f aca="false">IF(CP93&lt;0,CP86/-CP93,"")</f>
        <v>2.48397400954815</v>
      </c>
      <c r="CQ102" s="53" t="n">
        <f aca="false">IF(CQ93&lt;0,CQ86/-CQ93,"")</f>
        <v>2.48397400954815</v>
      </c>
      <c r="CR102" s="53" t="n">
        <f aca="false">IF(CR93&lt;0,CR86/-CR93,"")</f>
        <v>2.48397400954815</v>
      </c>
      <c r="CS102" s="53" t="n">
        <f aca="false">IF(CS93&lt;0,CS86/-CS93,"")</f>
        <v>2.48397400954815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481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482</v>
      </c>
      <c r="D105" s="11" t="s">
        <v>33</v>
      </c>
      <c r="E105" s="48" t="n">
        <f aca="false">$I96-($I67+$I57+$I68+$I54+$I47+$I48+$I49)</f>
        <v>83080.7577025533</v>
      </c>
      <c r="I105" s="48" t="n">
        <f aca="false">SUM(J105:EO105)</f>
        <v>-83080.7577025533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-1046.32850220875</v>
      </c>
      <c r="AA105" s="48" t="n">
        <f aca="false">-$E105*AA20</f>
        <v>-1023.5822304216</v>
      </c>
      <c r="AB105" s="48" t="n">
        <f aca="false">-$E105*AB20</f>
        <v>-1034.95536631517</v>
      </c>
      <c r="AC105" s="48" t="n">
        <f aca="false">-$E105*AC20</f>
        <v>-1046.32850220875</v>
      </c>
      <c r="AD105" s="48" t="n">
        <f aca="false">-$E105*AD20</f>
        <v>-1046.32850220875</v>
      </c>
      <c r="AE105" s="48" t="n">
        <f aca="false">-$E105*AE20</f>
        <v>-1034.95536631517</v>
      </c>
      <c r="AF105" s="48" t="n">
        <f aca="false">-$E105*AF20</f>
        <v>-1034.95536631517</v>
      </c>
      <c r="AG105" s="48" t="n">
        <f aca="false">-$E105*AG20</f>
        <v>-1046.32850220875</v>
      </c>
      <c r="AH105" s="48" t="n">
        <f aca="false">-$E105*AH20</f>
        <v>-1046.32850220875</v>
      </c>
      <c r="AI105" s="48" t="n">
        <f aca="false">-$E105*AI20</f>
        <v>-1023.5822304216</v>
      </c>
      <c r="AJ105" s="48" t="n">
        <f aca="false">-$E105*AJ20</f>
        <v>-1034.95536631517</v>
      </c>
      <c r="AK105" s="48" t="n">
        <f aca="false">-$E105*AK20</f>
        <v>-1046.32850220875</v>
      </c>
      <c r="AL105" s="48" t="n">
        <f aca="false">-$E105*AL20</f>
        <v>-1046.32850220875</v>
      </c>
      <c r="AM105" s="48" t="n">
        <f aca="false">-$E105*AM20</f>
        <v>-1023.5822304216</v>
      </c>
      <c r="AN105" s="48" t="n">
        <f aca="false">-$E105*AN20</f>
        <v>-1034.95536631517</v>
      </c>
      <c r="AO105" s="48" t="n">
        <f aca="false">-$E105*AO20</f>
        <v>-1046.32850220875</v>
      </c>
      <c r="AP105" s="48" t="n">
        <f aca="false">-$E105*AP20</f>
        <v>-1046.32850220875</v>
      </c>
      <c r="AQ105" s="48" t="n">
        <f aca="false">-$E105*AQ20</f>
        <v>-1023.5822304216</v>
      </c>
      <c r="AR105" s="48" t="n">
        <f aca="false">-$E105*AR20</f>
        <v>-1034.95536631517</v>
      </c>
      <c r="AS105" s="48" t="n">
        <f aca="false">-$E105*AS20</f>
        <v>-1046.32850220875</v>
      </c>
      <c r="AT105" s="48" t="n">
        <f aca="false">-$E105*AT20</f>
        <v>-1046.32850220875</v>
      </c>
      <c r="AU105" s="48" t="n">
        <f aca="false">-$E105*AU20</f>
        <v>-1034.95536631517</v>
      </c>
      <c r="AV105" s="48" t="n">
        <f aca="false">-$E105*AV20</f>
        <v>-1034.95536631517</v>
      </c>
      <c r="AW105" s="48" t="n">
        <f aca="false">-$E105*AW20</f>
        <v>-1046.32850220875</v>
      </c>
      <c r="AX105" s="48" t="n">
        <f aca="false">-$E105*AX20</f>
        <v>-1046.32850220875</v>
      </c>
      <c r="AY105" s="48" t="n">
        <f aca="false">-$E105*AY20</f>
        <v>-1023.5822304216</v>
      </c>
      <c r="AZ105" s="48" t="n">
        <f aca="false">-$E105*AZ20</f>
        <v>-1034.95536631517</v>
      </c>
      <c r="BA105" s="48" t="n">
        <f aca="false">-$E105*BA20</f>
        <v>-1046.32850220875</v>
      </c>
      <c r="BB105" s="48" t="n">
        <f aca="false">-$E105*BB20</f>
        <v>-1046.32850220875</v>
      </c>
      <c r="BC105" s="48" t="n">
        <f aca="false">-$E105*BC20</f>
        <v>-1023.5822304216</v>
      </c>
      <c r="BD105" s="48" t="n">
        <f aca="false">-$E105*BD20</f>
        <v>-1034.95536631517</v>
      </c>
      <c r="BE105" s="48" t="n">
        <f aca="false">-$E105*BE20</f>
        <v>-1046.32850220875</v>
      </c>
      <c r="BF105" s="48" t="n">
        <f aca="false">-$E105*BF20</f>
        <v>-1046.32850220875</v>
      </c>
      <c r="BG105" s="48" t="n">
        <f aca="false">-$E105*BG20</f>
        <v>-1023.5822304216</v>
      </c>
      <c r="BH105" s="48" t="n">
        <f aca="false">-$E105*BH20</f>
        <v>-1034.95536631517</v>
      </c>
      <c r="BI105" s="48" t="n">
        <f aca="false">-$E105*BI20</f>
        <v>-1046.32850220875</v>
      </c>
      <c r="BJ105" s="48" t="n">
        <f aca="false">-$E105*BJ20</f>
        <v>-1046.32850220875</v>
      </c>
      <c r="BK105" s="48" t="n">
        <f aca="false">-$E105*BK20</f>
        <v>-1034.95536631517</v>
      </c>
      <c r="BL105" s="48" t="n">
        <f aca="false">-$E105*BL20</f>
        <v>-1034.95536631517</v>
      </c>
      <c r="BM105" s="48" t="n">
        <f aca="false">-$E105*BM20</f>
        <v>-1046.32850220875</v>
      </c>
      <c r="BN105" s="48" t="n">
        <f aca="false">-$E105*BN20</f>
        <v>-1046.32850220875</v>
      </c>
      <c r="BO105" s="48" t="n">
        <f aca="false">-$E105*BO20</f>
        <v>-1023.5822304216</v>
      </c>
      <c r="BP105" s="48" t="n">
        <f aca="false">-$E105*BP20</f>
        <v>-1034.95536631517</v>
      </c>
      <c r="BQ105" s="48" t="n">
        <f aca="false">-$E105*BQ20</f>
        <v>-1046.32850220875</v>
      </c>
      <c r="BR105" s="48" t="n">
        <f aca="false">-$E105*BR20</f>
        <v>-1046.32850220875</v>
      </c>
      <c r="BS105" s="48" t="n">
        <f aca="false">-$E105*BS20</f>
        <v>-1023.5822304216</v>
      </c>
      <c r="BT105" s="48" t="n">
        <f aca="false">-$E105*BT20</f>
        <v>-1034.95536631517</v>
      </c>
      <c r="BU105" s="48" t="n">
        <f aca="false">-$E105*BU20</f>
        <v>-1046.32850220875</v>
      </c>
      <c r="BV105" s="48" t="n">
        <f aca="false">-$E105*BV20</f>
        <v>-1046.32850220875</v>
      </c>
      <c r="BW105" s="48" t="n">
        <f aca="false">-$E105*BW20</f>
        <v>-1023.5822304216</v>
      </c>
      <c r="BX105" s="48" t="n">
        <f aca="false">-$E105*BX20</f>
        <v>-1034.95536631517</v>
      </c>
      <c r="BY105" s="48" t="n">
        <f aca="false">-$E105*BY20</f>
        <v>-1046.32850220875</v>
      </c>
      <c r="BZ105" s="48" t="n">
        <f aca="false">-$E105*BZ20</f>
        <v>-1046.32850220875</v>
      </c>
      <c r="CA105" s="48" t="n">
        <f aca="false">-$E105*CA20</f>
        <v>-1034.95536631517</v>
      </c>
      <c r="CB105" s="48" t="n">
        <f aca="false">-$E105*CB20</f>
        <v>-1034.95536631517</v>
      </c>
      <c r="CC105" s="48" t="n">
        <f aca="false">-$E105*CC20</f>
        <v>-1046.32850220875</v>
      </c>
      <c r="CD105" s="48" t="n">
        <f aca="false">-$E105*CD20</f>
        <v>-1046.32850220875</v>
      </c>
      <c r="CE105" s="48" t="n">
        <f aca="false">-$E105*CE20</f>
        <v>-1023.5822304216</v>
      </c>
      <c r="CF105" s="48" t="n">
        <f aca="false">-$E105*CF20</f>
        <v>-1034.95536631517</v>
      </c>
      <c r="CG105" s="48" t="n">
        <f aca="false">-$E105*CG20</f>
        <v>-1046.32850220875</v>
      </c>
      <c r="CH105" s="48" t="n">
        <f aca="false">-$E105*CH20</f>
        <v>-1046.32850220875</v>
      </c>
      <c r="CI105" s="48" t="n">
        <f aca="false">-$E105*CI20</f>
        <v>-1023.5822304216</v>
      </c>
      <c r="CJ105" s="48" t="n">
        <f aca="false">-$E105*CJ20</f>
        <v>-1034.95536631517</v>
      </c>
      <c r="CK105" s="48" t="n">
        <f aca="false">-$E105*CK20</f>
        <v>-1046.32850220875</v>
      </c>
      <c r="CL105" s="48" t="n">
        <f aca="false">-$E105*CL20</f>
        <v>-1046.32850220875</v>
      </c>
      <c r="CM105" s="48" t="n">
        <f aca="false">-$E105*CM20</f>
        <v>-1023.5822304216</v>
      </c>
      <c r="CN105" s="48" t="n">
        <f aca="false">-$E105*CN20</f>
        <v>-1034.95536631517</v>
      </c>
      <c r="CO105" s="48" t="n">
        <f aca="false">-$E105*CO20</f>
        <v>-1046.32850220875</v>
      </c>
      <c r="CP105" s="48" t="n">
        <f aca="false">-$E105*CP20</f>
        <v>-1046.32850220875</v>
      </c>
      <c r="CQ105" s="48" t="n">
        <f aca="false">-$E105*CQ20</f>
        <v>-1034.95536631517</v>
      </c>
      <c r="CR105" s="48" t="n">
        <f aca="false">-$E105*CR20</f>
        <v>-1034.95536631517</v>
      </c>
      <c r="CS105" s="48" t="n">
        <f aca="false">-$E105*CS20</f>
        <v>-1046.32850220875</v>
      </c>
      <c r="CT105" s="48" t="n">
        <f aca="false">-$E105*CT20</f>
        <v>-1046.32850220875</v>
      </c>
      <c r="CU105" s="48" t="n">
        <f aca="false">-$E105*CU20</f>
        <v>-1023.5822304216</v>
      </c>
      <c r="CV105" s="48" t="n">
        <f aca="false">-$E105*CV20</f>
        <v>-1034.95536631517</v>
      </c>
      <c r="CW105" s="48" t="n">
        <f aca="false">-$E105*CW20</f>
        <v>-1046.32850220875</v>
      </c>
      <c r="CX105" s="48" t="n">
        <f aca="false">-$E105*CX20</f>
        <v>-1046.32850220875</v>
      </c>
      <c r="CY105" s="48" t="n">
        <f aca="false">-$E105*CY20</f>
        <v>-1023.5822304216</v>
      </c>
      <c r="CZ105" s="48" t="n">
        <f aca="false">-$E105*CZ20</f>
        <v>-1034.95536631517</v>
      </c>
      <c r="DA105" s="48" t="n">
        <f aca="false">-$E105*DA20</f>
        <v>-1046.32850220875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483</v>
      </c>
      <c r="D106" s="11" t="s">
        <v>33</v>
      </c>
      <c r="I106" s="48" t="n">
        <f aca="false">SUM(J106:EO106)</f>
        <v>187609.540202044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-928.575842568013</v>
      </c>
      <c r="S106" s="48" t="n">
        <f aca="false">S82+S105+S92+S99+S100+S51+S58</f>
        <v>-156.507584054135</v>
      </c>
      <c r="T106" s="48" t="n">
        <f aca="false">T82+T105+T92+T99+T100+T51+T58</f>
        <v>-138.336002143563</v>
      </c>
      <c r="U106" s="48" t="n">
        <f aca="false">U82+U105+U92+U99+U100+U51+U58</f>
        <v>-129.790754824659</v>
      </c>
      <c r="V106" s="48" t="n">
        <f aca="false">V82+V105+V92+V99+V100+V51+V58</f>
        <v>-119.614722612237</v>
      </c>
      <c r="W106" s="48" t="n">
        <f aca="false">W82+W105+W92+W99+W100+W51+W58</f>
        <v>-108.101519607337</v>
      </c>
      <c r="X106" s="48" t="n">
        <f aca="false">X82+X105+X92+X99+X100+X51+X58</f>
        <v>-99.4560379834396</v>
      </c>
      <c r="Y106" s="48" t="n">
        <f aca="false">Y82+Y105+Y92+Y99+Y100+Y51+Y58</f>
        <v>-90.4835383111278</v>
      </c>
      <c r="Z106" s="48" t="n">
        <f aca="false">Z82+Z105+Z92+Z99+Z100+Z51+Z58</f>
        <v>772.499403042138</v>
      </c>
      <c r="AA106" s="48" t="n">
        <f aca="false">AA82+AA105+AA92+AA99+AA100+AA51+AA58</f>
        <v>764.551637340443</v>
      </c>
      <c r="AB106" s="48" t="n">
        <f aca="false">AB82+AB105+AB92+AB99+AB100+AB51+AB58</f>
        <v>783.715332566449</v>
      </c>
      <c r="AC106" s="48" t="n">
        <f aca="false">AC82+AC105+AC92+AC99+AC100+AC51+AC58</f>
        <v>803.060523206031</v>
      </c>
      <c r="AD106" s="48" t="n">
        <f aca="false">AD82+AD105+AD92+AD99+AD100+AD51+AD58</f>
        <v>799.64636913444</v>
      </c>
      <c r="AE106" s="48" t="n">
        <f aca="false">AE82+AE105+AE92+AE99+AE100+AE51+AE58</f>
        <v>806.218702228297</v>
      </c>
      <c r="AF106" s="48" t="n">
        <f aca="false">AF82+AF105+AF92+AF99+AF100+AF51+AF58</f>
        <v>811.038962512587</v>
      </c>
      <c r="AG106" s="48" t="n">
        <f aca="false">AG82+AG105+AG92+AG99+AG100+AG51+AG58</f>
        <v>830.435642498543</v>
      </c>
      <c r="AH106" s="48" t="n">
        <f aca="false">AH82+AH105+AH92+AH99+AH100+AH51+AH58</f>
        <v>826.9296792321</v>
      </c>
      <c r="AI106" s="48" t="n">
        <f aca="false">AI82+AI105+AI92+AI99+AI100+AI51+AI58</f>
        <v>818.607924886888</v>
      </c>
      <c r="AJ106" s="48" t="n">
        <f aca="false">AJ82+AJ105+AJ92+AJ99+AJ100+AJ51+AJ58</f>
        <v>871.326688267441</v>
      </c>
      <c r="AK106" s="48" t="n">
        <f aca="false">AK82+AK105+AK92+AK99+AK100+AK51+AK58</f>
        <v>891.573872169264</v>
      </c>
      <c r="AL106" s="48" t="n">
        <f aca="false">AL82+AL105+AL92+AL99+AL100+AL51+AL58</f>
        <v>888.426732651239</v>
      </c>
      <c r="AM106" s="48" t="n">
        <f aca="false">AM82+AM105+AM92+AM99+AM100+AM51+AM58</f>
        <v>879.485517664774</v>
      </c>
      <c r="AN106" s="48" t="n">
        <f aca="false">AN82+AN105+AN92+AN99+AN100+AN51+AN58</f>
        <v>899.908807819455</v>
      </c>
      <c r="AO106" s="48" t="n">
        <f aca="false">AO82+AO105+AO92+AO99+AO100+AO51+AO58</f>
        <v>920.516640144421</v>
      </c>
      <c r="AP106" s="48" t="n">
        <f aca="false">AP82+AP105+AP92+AP99+AP100+AP51+AP58</f>
        <v>917.601865595978</v>
      </c>
      <c r="AQ106" s="48" t="n">
        <f aca="false">AQ82+AQ105+AQ92+AQ99+AQ100+AQ51+AQ58</f>
        <v>908.63934482489</v>
      </c>
      <c r="AR106" s="48" t="n">
        <f aca="false">AR82+AR105+AR92+AR99+AR100+AR51+AR58</f>
        <v>929.429817143942</v>
      </c>
      <c r="AS106" s="48" t="n">
        <f aca="false">AS82+AS105+AS92+AS99+AS100+AS51+AS58</f>
        <v>950.408580226029</v>
      </c>
      <c r="AT106" s="48" t="n">
        <f aca="false">AT82+AT105+AT92+AT99+AT100+AT51+AT58</f>
        <v>947.738743129487</v>
      </c>
      <c r="AU106" s="48" t="n">
        <f aca="false">AU82+AU105+AU92+AU99+AU100+AU51+AU58</f>
        <v>953.987180482792</v>
      </c>
      <c r="AV106" s="48" t="n">
        <f aca="false">AV82+AV105+AV92+AV99+AV100+AV51+AV58</f>
        <v>960.055627143369</v>
      </c>
      <c r="AW106" s="48" t="n">
        <f aca="false">AW82+AW105+AW92+AW99+AW100+AW51+AW58</f>
        <v>981.41752479953</v>
      </c>
      <c r="AX106" s="48" t="n">
        <f aca="false">AX82+AX105+AX92+AX99+AX100+AX51+AX58</f>
        <v>979.007230130316</v>
      </c>
      <c r="AY106" s="48" t="n">
        <f aca="false">AY82+AY105+AY92+AY99+AY100+AY51+AY58</f>
        <v>970.034377573379</v>
      </c>
      <c r="AZ106" s="48" t="n">
        <f aca="false">AZ82+AZ105+AZ92+AZ99+AZ100+AZ51+AZ58</f>
        <v>991.593076710098</v>
      </c>
      <c r="BA106" s="48" t="n">
        <f aca="false">BA82+BA105+BA92+BA99+BA100+BA51+BA58</f>
        <v>1013.34801615721</v>
      </c>
      <c r="BB106" s="48" t="n">
        <f aca="false">BB82+BB105+BB92+BB99+BB100+BB51+BB58</f>
        <v>1011.20963615096</v>
      </c>
      <c r="BC106" s="48" t="n">
        <f aca="false">BC82+BC105+BC92+BC99+BC100+BC51+BC58</f>
        <v>1002.24747425591</v>
      </c>
      <c r="BD106" s="48" t="n">
        <f aca="false">BD82+BD105+BD92+BD99+BD100+BD51+BD58</f>
        <v>1024.20683005899</v>
      </c>
      <c r="BE106" s="48" t="n">
        <f aca="false">BE82+BE105+BE92+BE99+BE100+BE51+BE58</f>
        <v>1046.36662388743</v>
      </c>
      <c r="BF106" s="48" t="n">
        <f aca="false">BF82+BF105+BF92+BF99+BF100+BF51+BF58</f>
        <v>1044.51455181838</v>
      </c>
      <c r="BG106" s="48" t="n">
        <f aca="false">BG82+BG105+BG92+BG99+BG100+BG51+BG58</f>
        <v>1035.57488825102</v>
      </c>
      <c r="BH106" s="48" t="n">
        <f aca="false">BH82+BH105+BH92+BH99+BH100+BH51+BH58</f>
        <v>1057.94711039109</v>
      </c>
      <c r="BI106" s="48" t="n">
        <f aca="false">BI82+BI105+BI92+BI99+BI100+BI51+BI58</f>
        <v>1080.52413167558</v>
      </c>
      <c r="BJ106" s="48" t="n">
        <f aca="false">BJ82+BJ105+BJ92+BJ99+BJ100+BJ51+BJ58</f>
        <v>1078.97342368451</v>
      </c>
      <c r="BK106" s="48" t="n">
        <f aca="false">BK82+BK105+BK92+BK99+BK100+BK51+BK58</f>
        <v>1085.55746531446</v>
      </c>
      <c r="BL106" s="48" t="n">
        <f aca="false">BL82+BL105+BL92+BL99+BL100+BL51+BL58</f>
        <v>1092.99005780357</v>
      </c>
      <c r="BM106" s="48" t="n">
        <f aca="false">BM82+BM105+BM92+BM99+BM100+BM51+BM58</f>
        <v>1115.99871823734</v>
      </c>
      <c r="BN106" s="48" t="n">
        <f aca="false">BN82+BN105+BN92+BN99+BN100+BN51+BN58</f>
        <v>1114.76659140258</v>
      </c>
      <c r="BO106" s="48" t="n">
        <f aca="false">BO82+BO105+BO92+BO99+BO100+BO51+BO58</f>
        <v>1105.91137533394</v>
      </c>
      <c r="BP106" s="48" t="n">
        <f aca="false">BP82+BP105+BP92+BP99+BP100+BP51+BP58</f>
        <v>1129.14981299773</v>
      </c>
      <c r="BQ106" s="48" t="n">
        <f aca="false">BQ82+BQ105+BQ92+BQ99+BQ100+BQ51+BQ58</f>
        <v>1152.60231035185</v>
      </c>
      <c r="BR106" s="48" t="n">
        <f aca="false">BR82+BR105+BR92+BR99+BR100+BR51+BR58</f>
        <v>1151.70384284171</v>
      </c>
      <c r="BS106" s="48" t="n">
        <f aca="false">BS82+BS105+BS92+BS99+BS100+BS51+BS58</f>
        <v>1142.91051088761</v>
      </c>
      <c r="BT106" s="48" t="n">
        <f aca="false">BT82+BT105+BT92+BT99+BT100+BT51+BT58</f>
        <v>1166.6021167884</v>
      </c>
      <c r="BU106" s="48" t="n">
        <f aca="false">BU82+BU105+BU92+BU99+BU100+BU51+BU58</f>
        <v>1190.51268114391</v>
      </c>
      <c r="BV106" s="48" t="n">
        <f aca="false">BV82+BV105+BV92+BV99+BV100+BV51+BV58</f>
        <v>1189.96511102742</v>
      </c>
      <c r="BW106" s="48" t="n">
        <f aca="false">BW82+BW105+BW92+BW99+BW100+BW51+BW58</f>
        <v>1181.24817433713</v>
      </c>
      <c r="BX106" s="48" t="n">
        <f aca="false">BX82+BX105+BX92+BX99+BX100+BX51+BX58</f>
        <v>1205.40766303009</v>
      </c>
      <c r="BY106" s="48" t="n">
        <f aca="false">BY82+BY105+BY92+BY99+BY100+BY51+BY58</f>
        <v>1229.79120469312</v>
      </c>
      <c r="BZ106" s="48" t="n">
        <f aca="false">BZ82+BZ105+BZ92+BZ99+BZ100+BZ51+BZ58</f>
        <v>1229.61256474785</v>
      </c>
      <c r="CA106" s="48" t="n">
        <f aca="false">CA82+CA105+CA92+CA99+CA100+CA51+CA58</f>
        <v>1236.69670391463</v>
      </c>
      <c r="CB106" s="48" t="n">
        <f aca="false">CB82+CB105+CB92+CB99+CB100+CB51+CB58</f>
        <v>1245.75451179004</v>
      </c>
      <c r="CC106" s="48" t="n">
        <f aca="false">CC82+CC105+CC92+CC99+CC100+CC51+CC58</f>
        <v>1270.62811636771</v>
      </c>
      <c r="CD106" s="48" t="n">
        <f aca="false">CD82+CD105+CD92+CD99+CD100+CD51+CD58</f>
        <v>1270.83874955786</v>
      </c>
      <c r="CE106" s="48" t="n">
        <f aca="false">CE82+CE105+CE92+CE99+CE100+CE51+CE58</f>
        <v>1262.32270181882</v>
      </c>
      <c r="CF106" s="48" t="n">
        <f aca="false">CF82+CF105+CF92+CF99+CF100+CF51+CF58</f>
        <v>1287.4664673995</v>
      </c>
      <c r="CG106" s="48" t="n">
        <f aca="false">CG82+CG105+CG92+CG99+CG100+CG51+CG58</f>
        <v>1312.8451166754</v>
      </c>
      <c r="CH106" s="48" t="n">
        <f aca="false">CH82+CH105+CH92+CH99+CH100+CH51+CH58</f>
        <v>1313.46334968125</v>
      </c>
      <c r="CI106" s="48" t="n">
        <f aca="false">CI82+CI105+CI92+CI99+CI100+CI51+CI58</f>
        <v>1305.07199842097</v>
      </c>
      <c r="CJ106" s="48" t="n">
        <f aca="false">CJ82+CJ105+CJ92+CJ99+CJ100+CJ51+CJ58</f>
        <v>1330.73223283817</v>
      </c>
      <c r="CK106" s="48" t="n">
        <f aca="false">CK82+CK105+CK92+CK99+CK100+CK51+CK58</f>
        <v>1356.6330896616</v>
      </c>
      <c r="CL106" s="48" t="n">
        <f aca="false">CL82+CL105+CL92+CL99+CL100+CL51+CL58</f>
        <v>1357.679571081</v>
      </c>
      <c r="CM106" s="48" t="n">
        <f aca="false">CM82+CM105+CM92+CM99+CM100+CM51+CM58</f>
        <v>1349.43068886587</v>
      </c>
      <c r="CN106" s="48" t="n">
        <f aca="false">CN82+CN105+CN92+CN99+CN100+CN51+CN58</f>
        <v>1375.62514543027</v>
      </c>
      <c r="CO106" s="48" t="n">
        <f aca="false">CO82+CO105+CO92+CO99+CO100+CO51+CO58</f>
        <v>1402.06619780135</v>
      </c>
      <c r="CP106" s="48" t="n">
        <f aca="false">CP82+CP105+CP92+CP99+CP100+CP51+CP58</f>
        <v>1403.56252936909</v>
      </c>
      <c r="CQ106" s="48" t="n">
        <f aca="false">CQ82+CQ105+CQ92+CQ99+CQ100+CQ51+CQ58</f>
        <v>1411.35228922405</v>
      </c>
      <c r="CR106" s="48" t="n">
        <f aca="false">CR82+CR105+CR92+CR99+CR100+CR51+CR58</f>
        <v>1422.34723761591</v>
      </c>
      <c r="CS106" s="48" t="n">
        <f aca="false">CS82+CS105+CS92+CS99+CS100+CS51+CS58</f>
        <v>1449.34880928072</v>
      </c>
      <c r="CT106" s="48" t="n">
        <f aca="false">CT82+CT105+CT92+CT99+CT100+CT51+CT58</f>
        <v>1451.31907734168</v>
      </c>
      <c r="CU106" s="48" t="n">
        <f aca="false">CU82+CU105+CU92+CU99+CU100+CU51+CU58</f>
        <v>1431.94036090531</v>
      </c>
      <c r="CV106" s="48" t="n">
        <f aca="false">CV82+CV105+CV92+CV99+CV100+CV51+CV58</f>
        <v>1447.85080935981</v>
      </c>
      <c r="CW106" s="48" t="n">
        <f aca="false">CW82+CW105+CW92+CW99+CW100+CW51+CW58</f>
        <v>1463.76125781431</v>
      </c>
      <c r="CX106" s="48" t="n">
        <f aca="false">CX82+CX105+CX92+CX99+CX100+CX51+CX58</f>
        <v>1454.29532974987</v>
      </c>
      <c r="CY106" s="48" t="n">
        <f aca="false">CY82+CY105+CY92+CY99+CY100+CY51+CY58</f>
        <v>1434.55941677741</v>
      </c>
      <c r="CZ106" s="48" t="n">
        <f aca="false">CZ82+CZ105+CZ92+CZ99+CZ100+CZ51+CZ58</f>
        <v>1450.49896585272</v>
      </c>
      <c r="DA106" s="48" t="n">
        <f aca="false">DA82+DA105+DA92+DA99+DA100+DA51+DA58</f>
        <v>1466.43851492802</v>
      </c>
      <c r="DB106" s="48" t="n">
        <f aca="false">DB82+DB105+DB92+DB99+DB100+DB51+DB58</f>
        <v>2503.24466583138</v>
      </c>
      <c r="DC106" s="48" t="n">
        <f aca="false">DC82+DC105+DC92+DC99+DC100+DC51+DC58</f>
        <v>2460.4018457948</v>
      </c>
      <c r="DD106" s="48" t="n">
        <f aca="false">DD82+DD105+DD92+DD99+DD100+DD51+DD58</f>
        <v>2487.73964408141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2491.17462930678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2464.91206834606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2465.61807007059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2510.83914170753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2510.63204110907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2519.9457003158</v>
      </c>
      <c r="EH106" s="48" t="n">
        <f aca="false">EH82+EH105+EH92+EH99+EH100+EH51+EH58</f>
        <v>2509.96849063659</v>
      </c>
      <c r="EI106" s="48" t="n">
        <f aca="false">EI82+EI105+EI92+EI99+EI100+EI51+EI58</f>
        <v>2464.11073922956</v>
      </c>
      <c r="EJ106" s="48" t="n">
        <f aca="false">EJ82+EJ105+EJ92+EJ99+EJ100+EJ51+EJ58</f>
        <v>2491.48974744322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484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1161.08643742634</v>
      </c>
      <c r="T107" s="18" t="n">
        <f aca="false">S111</f>
        <v>1317.59402148047</v>
      </c>
      <c r="U107" s="18" t="n">
        <f aca="false">T111</f>
        <v>1455.93002362403</v>
      </c>
      <c r="V107" s="18" t="n">
        <f aca="false">U111</f>
        <v>1585.72077844869</v>
      </c>
      <c r="W107" s="18" t="n">
        <f aca="false">V111</f>
        <v>1705.33550106093</v>
      </c>
      <c r="X107" s="18" t="n">
        <f aca="false">W111</f>
        <v>1813.43702066827</v>
      </c>
      <c r="Y107" s="18" t="n">
        <f aca="false">X111</f>
        <v>1912.89305865171</v>
      </c>
      <c r="Z107" s="18" t="n">
        <f aca="false">Y111</f>
        <v>2003.37659696283</v>
      </c>
      <c r="AA107" s="18" t="n">
        <f aca="false">Z111</f>
        <v>1617.12689544177</v>
      </c>
      <c r="AB107" s="18" t="n">
        <f aca="false">AA111</f>
        <v>1234.85107677154</v>
      </c>
      <c r="AC107" s="18" t="n">
        <f aca="false">AB111</f>
        <v>842.99341048832</v>
      </c>
      <c r="AD107" s="18" t="n">
        <f aca="false">AC111</f>
        <v>441.463148885304</v>
      </c>
      <c r="AE107" s="18" t="n">
        <f aca="false">AD111</f>
        <v>41.6399643180844</v>
      </c>
      <c r="AF107" s="18" t="n">
        <f aca="false">AE111</f>
        <v>0</v>
      </c>
      <c r="AG107" s="18" t="n">
        <f aca="false">AF111</f>
        <v>0</v>
      </c>
      <c r="AH107" s="18" t="n">
        <f aca="false">AG111</f>
        <v>0</v>
      </c>
      <c r="AI107" s="18" t="n">
        <f aca="false">AH111</f>
        <v>0</v>
      </c>
      <c r="AJ107" s="18" t="n">
        <f aca="false">AI111</f>
        <v>0</v>
      </c>
      <c r="AK107" s="18" t="n">
        <f aca="false">AJ111</f>
        <v>0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485</v>
      </c>
      <c r="D108" s="11" t="s">
        <v>33</v>
      </c>
      <c r="I108" s="48" t="n">
        <f aca="false">SUM(J108:EO108)</f>
        <v>2003.37659696283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928.575842568013</v>
      </c>
      <c r="S108" s="48" t="n">
        <f aca="false">MAX(0,-S106)</f>
        <v>156.507584054135</v>
      </c>
      <c r="T108" s="48" t="n">
        <f aca="false">MAX(0,-T106)</f>
        <v>138.336002143563</v>
      </c>
      <c r="U108" s="48" t="n">
        <f aca="false">MAX(0,-U106)</f>
        <v>129.790754824659</v>
      </c>
      <c r="V108" s="48" t="n">
        <f aca="false">MAX(0,-V106)</f>
        <v>119.614722612237</v>
      </c>
      <c r="W108" s="48" t="n">
        <f aca="false">MAX(0,-W106)</f>
        <v>108.101519607337</v>
      </c>
      <c r="X108" s="48" t="n">
        <f aca="false">MAX(0,-X106)</f>
        <v>99.4560379834396</v>
      </c>
      <c r="Y108" s="48" t="n">
        <f aca="false">MAX(0,-Y106)</f>
        <v>90.4835383111278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486</v>
      </c>
      <c r="D109" s="11" t="s">
        <v>33</v>
      </c>
      <c r="I109" s="48" t="n">
        <f aca="false">SUM(J109:EO109)</f>
        <v>-2003.37659696283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-386.249701521069</v>
      </c>
      <c r="AA109" s="48" t="n">
        <f aca="false">-MIN(AA107,In_Loss_Cap*MAX(0,AA106))</f>
        <v>-382.275818670222</v>
      </c>
      <c r="AB109" s="48" t="n">
        <f aca="false">-MIN(AB107,In_Loss_Cap*MAX(0,AB106))</f>
        <v>-391.857666283224</v>
      </c>
      <c r="AC109" s="48" t="n">
        <f aca="false">-MIN(AC107,In_Loss_Cap*MAX(0,AC106))</f>
        <v>-401.530261603016</v>
      </c>
      <c r="AD109" s="48" t="n">
        <f aca="false">-MIN(AD107,In_Loss_Cap*MAX(0,AD106))</f>
        <v>-399.82318456722</v>
      </c>
      <c r="AE109" s="48" t="n">
        <f aca="false">-MIN(AE107,In_Loss_Cap*MAX(0,AE106))</f>
        <v>-41.6399643180844</v>
      </c>
      <c r="AF109" s="48" t="n">
        <f aca="false">-MIN(AF107,In_Loss_Cap*MAX(0,AF106))</f>
        <v>-0</v>
      </c>
      <c r="AG109" s="48" t="n">
        <f aca="false">-MIN(AG107,In_Loss_Cap*MAX(0,AG106))</f>
        <v>-0</v>
      </c>
      <c r="AH109" s="48" t="n">
        <f aca="false">-MIN(AH107,In_Loss_Cap*MAX(0,AH106))</f>
        <v>-0</v>
      </c>
      <c r="AI109" s="48" t="n">
        <f aca="false">-MIN(AI107,In_Loss_Cap*MAX(0,AI106))</f>
        <v>-0</v>
      </c>
      <c r="AJ109" s="48" t="n">
        <f aca="false">-MIN(AJ107,In_Loss_Cap*MAX(0,AJ106))</f>
        <v>-0</v>
      </c>
      <c r="AK109" s="48" t="n">
        <f aca="false">-MIN(AK107,In_Loss_Cap*MAX(0,AK106))</f>
        <v>-0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487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0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-0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488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1161.08643742634</v>
      </c>
      <c r="S111" s="48" t="n">
        <f aca="false">SUM(S107:S110)</f>
        <v>1317.59402148047</v>
      </c>
      <c r="T111" s="48" t="n">
        <f aca="false">SUM(T107:T110)</f>
        <v>1455.93002362403</v>
      </c>
      <c r="U111" s="48" t="n">
        <f aca="false">SUM(U107:U110)</f>
        <v>1585.72077844869</v>
      </c>
      <c r="V111" s="48" t="n">
        <f aca="false">SUM(V107:V110)</f>
        <v>1705.33550106093</v>
      </c>
      <c r="W111" s="48" t="n">
        <f aca="false">SUM(W107:W110)</f>
        <v>1813.43702066827</v>
      </c>
      <c r="X111" s="48" t="n">
        <f aca="false">SUM(X107:X110)</f>
        <v>1912.89305865171</v>
      </c>
      <c r="Y111" s="48" t="n">
        <f aca="false">SUM(Y107:Y110)</f>
        <v>2003.37659696283</v>
      </c>
      <c r="Z111" s="48" t="n">
        <f aca="false">SUM(Z107:Z110)</f>
        <v>1617.12689544177</v>
      </c>
      <c r="AA111" s="48" t="n">
        <f aca="false">SUM(AA107:AA110)</f>
        <v>1234.85107677154</v>
      </c>
      <c r="AB111" s="48" t="n">
        <f aca="false">SUM(AB107:AB110)</f>
        <v>842.99341048832</v>
      </c>
      <c r="AC111" s="48" t="n">
        <f aca="false">SUM(AC107:AC110)</f>
        <v>441.463148885304</v>
      </c>
      <c r="AD111" s="48" t="n">
        <f aca="false">SUM(AD107:AD110)</f>
        <v>41.6399643180844</v>
      </c>
      <c r="AE111" s="48" t="n">
        <f aca="false">SUM(AE107:AE110)</f>
        <v>0</v>
      </c>
      <c r="AF111" s="48" t="n">
        <f aca="false">SUM(AF107:AF110)</f>
        <v>0</v>
      </c>
      <c r="AG111" s="48" t="n">
        <f aca="false">SUM(AG107:AG110)</f>
        <v>0</v>
      </c>
      <c r="AH111" s="48" t="n">
        <f aca="false">SUM(AH107:AH110)</f>
        <v>0</v>
      </c>
      <c r="AI111" s="48" t="n">
        <f aca="false">SUM(AI107:AI110)</f>
        <v>0</v>
      </c>
      <c r="AJ111" s="48" t="n">
        <f aca="false">SUM(AJ107:AJ110)</f>
        <v>0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489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-57.9374552281603</v>
      </c>
      <c r="AA112" s="48" t="n">
        <f aca="false">-In_CIT*(MAX(0,AA106)+AA109)-In_RH_On*In_RH_Rate*MAX(0,AA106)</f>
        <v>-57.3413728005333</v>
      </c>
      <c r="AB112" s="48" t="n">
        <f aca="false">-In_CIT*(MAX(0,AB106)+AB109)-In_RH_On*In_RH_Rate*MAX(0,AB106)</f>
        <v>-58.7786499424836</v>
      </c>
      <c r="AC112" s="48" t="n">
        <f aca="false">-In_CIT*(MAX(0,AC106)+AC109)-In_RH_On*In_RH_Rate*MAX(0,AC106)</f>
        <v>-60.2295392404523</v>
      </c>
      <c r="AD112" s="48" t="n">
        <f aca="false">-In_CIT*(MAX(0,AD106)+AD109)-In_RH_On*In_RH_Rate*MAX(0,AD106)</f>
        <v>-59.973477685083</v>
      </c>
      <c r="AE112" s="48" t="n">
        <f aca="false">-In_CIT*(MAX(0,AE106)+AE109)-In_RH_On*In_RH_Rate*MAX(0,AE106)</f>
        <v>-114.686810686532</v>
      </c>
      <c r="AF112" s="48" t="n">
        <f aca="false">-In_CIT*(MAX(0,AF106)+AF109)-In_RH_On*In_RH_Rate*MAX(0,AF106)</f>
        <v>-121.655844376888</v>
      </c>
      <c r="AG112" s="48" t="n">
        <f aca="false">-In_CIT*(MAX(0,AG106)+AG109)-In_RH_On*In_RH_Rate*MAX(0,AG106)</f>
        <v>-124.565346374781</v>
      </c>
      <c r="AH112" s="48" t="n">
        <f aca="false">-In_CIT*(MAX(0,AH106)+AH109)-In_RH_On*In_RH_Rate*MAX(0,AH106)</f>
        <v>-124.039451884815</v>
      </c>
      <c r="AI112" s="48" t="n">
        <f aca="false">-In_CIT*(MAX(0,AI106)+AI109)-In_RH_On*In_RH_Rate*MAX(0,AI106)</f>
        <v>-122.791188733033</v>
      </c>
      <c r="AJ112" s="48" t="n">
        <f aca="false">-In_CIT*(MAX(0,AJ106)+AJ109)-In_RH_On*In_RH_Rate*MAX(0,AJ106)</f>
        <v>-130.699003240116</v>
      </c>
      <c r="AK112" s="48" t="n">
        <f aca="false">-In_CIT*(MAX(0,AK106)+AK109)-In_RH_On*In_RH_Rate*MAX(0,AK106)</f>
        <v>-133.73608082539</v>
      </c>
      <c r="AL112" s="48" t="n">
        <f aca="false">-In_CIT*(MAX(0,AL106)+AL109)-In_RH_On*In_RH_Rate*MAX(0,AL106)</f>
        <v>-133.264009897686</v>
      </c>
      <c r="AM112" s="48" t="n">
        <f aca="false">-In_CIT*(MAX(0,AM106)+AM109)-In_RH_On*In_RH_Rate*MAX(0,AM106)</f>
        <v>-131.922827649716</v>
      </c>
      <c r="AN112" s="48" t="n">
        <f aca="false">-In_CIT*(MAX(0,AN106)+AN109)-In_RH_On*In_RH_Rate*MAX(0,AN106)</f>
        <v>-134.986321172918</v>
      </c>
      <c r="AO112" s="48" t="n">
        <f aca="false">-In_CIT*(MAX(0,AO106)+AO109)-In_RH_On*In_RH_Rate*MAX(0,AO106)</f>
        <v>-138.077496021663</v>
      </c>
      <c r="AP112" s="48" t="n">
        <f aca="false">-In_CIT*(MAX(0,AP106)+AP109)-In_RH_On*In_RH_Rate*MAX(0,AP106)</f>
        <v>-137.640279839397</v>
      </c>
      <c r="AQ112" s="48" t="n">
        <f aca="false">-In_CIT*(MAX(0,AQ106)+AQ109)-In_RH_On*In_RH_Rate*MAX(0,AQ106)</f>
        <v>-136.295901723734</v>
      </c>
      <c r="AR112" s="48" t="n">
        <f aca="false">-In_CIT*(MAX(0,AR106)+AR109)-In_RH_On*In_RH_Rate*MAX(0,AR106)</f>
        <v>-139.414472571591</v>
      </c>
      <c r="AS112" s="48" t="n">
        <f aca="false">-In_CIT*(MAX(0,AS106)+AS109)-In_RH_On*In_RH_Rate*MAX(0,AS106)</f>
        <v>-142.561287033904</v>
      </c>
      <c r="AT112" s="48" t="n">
        <f aca="false">-In_CIT*(MAX(0,AT106)+AT109)-In_RH_On*In_RH_Rate*MAX(0,AT106)</f>
        <v>-142.160811469423</v>
      </c>
      <c r="AU112" s="48" t="n">
        <f aca="false">-In_CIT*(MAX(0,AU106)+AU109)-In_RH_On*In_RH_Rate*MAX(0,AU106)</f>
        <v>-143.098077072419</v>
      </c>
      <c r="AV112" s="48" t="n">
        <f aca="false">-In_CIT*(MAX(0,AV106)+AV109)-In_RH_On*In_RH_Rate*MAX(0,AV106)</f>
        <v>-144.008344071505</v>
      </c>
      <c r="AW112" s="48" t="n">
        <f aca="false">-In_CIT*(MAX(0,AW106)+AW109)-In_RH_On*In_RH_Rate*MAX(0,AW106)</f>
        <v>-147.212628719929</v>
      </c>
      <c r="AX112" s="48" t="n">
        <f aca="false">-In_CIT*(MAX(0,AX106)+AX109)-In_RH_On*In_RH_Rate*MAX(0,AX106)</f>
        <v>-146.851084519547</v>
      </c>
      <c r="AY112" s="48" t="n">
        <f aca="false">-In_CIT*(MAX(0,AY106)+AY109)-In_RH_On*In_RH_Rate*MAX(0,AY106)</f>
        <v>-145.505156636007</v>
      </c>
      <c r="AZ112" s="48" t="n">
        <f aca="false">-In_CIT*(MAX(0,AZ106)+AZ109)-In_RH_On*In_RH_Rate*MAX(0,AZ106)</f>
        <v>-148.738961506515</v>
      </c>
      <c r="BA112" s="48" t="n">
        <f aca="false">-In_CIT*(MAX(0,BA106)+BA109)-In_RH_On*In_RH_Rate*MAX(0,BA106)</f>
        <v>-152.002202423581</v>
      </c>
      <c r="BB112" s="48" t="n">
        <f aca="false">-In_CIT*(MAX(0,BB106)+BB109)-In_RH_On*In_RH_Rate*MAX(0,BB106)</f>
        <v>-151.681445422644</v>
      </c>
      <c r="BC112" s="48" t="n">
        <f aca="false">-In_CIT*(MAX(0,BC106)+BC109)-In_RH_On*In_RH_Rate*MAX(0,BC106)</f>
        <v>-150.337121138386</v>
      </c>
      <c r="BD112" s="48" t="n">
        <f aca="false">-In_CIT*(MAX(0,BD106)+BD109)-In_RH_On*In_RH_Rate*MAX(0,BD106)</f>
        <v>-153.631024508848</v>
      </c>
      <c r="BE112" s="48" t="n">
        <f aca="false">-In_CIT*(MAX(0,BE106)+BE109)-In_RH_On*In_RH_Rate*MAX(0,BE106)</f>
        <v>-156.954993583115</v>
      </c>
      <c r="BF112" s="48" t="n">
        <f aca="false">-In_CIT*(MAX(0,BF106)+BF109)-In_RH_On*In_RH_Rate*MAX(0,BF106)</f>
        <v>-156.677182772757</v>
      </c>
      <c r="BG112" s="48" t="n">
        <f aca="false">-In_CIT*(MAX(0,BG106)+BG109)-In_RH_On*In_RH_Rate*MAX(0,BG106)</f>
        <v>-155.336233237654</v>
      </c>
      <c r="BH112" s="48" t="n">
        <f aca="false">-In_CIT*(MAX(0,BH106)+BH109)-In_RH_On*In_RH_Rate*MAX(0,BH106)</f>
        <v>-158.692066558663</v>
      </c>
      <c r="BI112" s="48" t="n">
        <f aca="false">-In_CIT*(MAX(0,BI106)+BI109)-In_RH_On*In_RH_Rate*MAX(0,BI106)</f>
        <v>-162.078619751337</v>
      </c>
      <c r="BJ112" s="48" t="n">
        <f aca="false">-In_CIT*(MAX(0,BJ106)+BJ109)-In_RH_On*In_RH_Rate*MAX(0,BJ106)</f>
        <v>-161.846013552677</v>
      </c>
      <c r="BK112" s="48" t="n">
        <f aca="false">-In_CIT*(MAX(0,BK106)+BK109)-In_RH_On*In_RH_Rate*MAX(0,BK106)</f>
        <v>-162.833619797169</v>
      </c>
      <c r="BL112" s="48" t="n">
        <f aca="false">-In_CIT*(MAX(0,BL106)+BL109)-In_RH_On*In_RH_Rate*MAX(0,BL106)</f>
        <v>-163.948508670535</v>
      </c>
      <c r="BM112" s="48" t="n">
        <f aca="false">-In_CIT*(MAX(0,BM106)+BM109)-In_RH_On*In_RH_Rate*MAX(0,BM106)</f>
        <v>-167.399807735601</v>
      </c>
      <c r="BN112" s="48" t="n">
        <f aca="false">-In_CIT*(MAX(0,BN106)+BN109)-In_RH_On*In_RH_Rate*MAX(0,BN106)</f>
        <v>-167.214988710387</v>
      </c>
      <c r="BO112" s="48" t="n">
        <f aca="false">-In_CIT*(MAX(0,BO106)+BO109)-In_RH_On*In_RH_Rate*MAX(0,BO106)</f>
        <v>-165.886706300091</v>
      </c>
      <c r="BP112" s="48" t="n">
        <f aca="false">-In_CIT*(MAX(0,BP106)+BP109)-In_RH_On*In_RH_Rate*MAX(0,BP106)</f>
        <v>-169.372471949659</v>
      </c>
      <c r="BQ112" s="48" t="n">
        <f aca="false">-In_CIT*(MAX(0,BQ106)+BQ109)-In_RH_On*In_RH_Rate*MAX(0,BQ106)</f>
        <v>-172.890346552777</v>
      </c>
      <c r="BR112" s="48" t="n">
        <f aca="false">-In_CIT*(MAX(0,BR106)+BR109)-In_RH_On*In_RH_Rate*MAX(0,BR106)</f>
        <v>-172.755576426256</v>
      </c>
      <c r="BS112" s="48" t="n">
        <f aca="false">-In_CIT*(MAX(0,BS106)+BS109)-In_RH_On*In_RH_Rate*MAX(0,BS106)</f>
        <v>-171.436576633141</v>
      </c>
      <c r="BT112" s="48" t="n">
        <f aca="false">-In_CIT*(MAX(0,BT106)+BT109)-In_RH_On*In_RH_Rate*MAX(0,BT106)</f>
        <v>-174.99031751826</v>
      </c>
      <c r="BU112" s="48" t="n">
        <f aca="false">-In_CIT*(MAX(0,BU106)+BU109)-In_RH_On*In_RH_Rate*MAX(0,BU106)</f>
        <v>-178.576902171587</v>
      </c>
      <c r="BV112" s="48" t="n">
        <f aca="false">-In_CIT*(MAX(0,BV106)+BV109)-In_RH_On*In_RH_Rate*MAX(0,BV106)</f>
        <v>-178.494766654114</v>
      </c>
      <c r="BW112" s="48" t="n">
        <f aca="false">-In_CIT*(MAX(0,BW106)+BW109)-In_RH_On*In_RH_Rate*MAX(0,BW106)</f>
        <v>-177.18722615057</v>
      </c>
      <c r="BX112" s="48" t="n">
        <f aca="false">-In_CIT*(MAX(0,BX106)+BX109)-In_RH_On*In_RH_Rate*MAX(0,BX106)</f>
        <v>-180.811149454513</v>
      </c>
      <c r="BY112" s="48" t="n">
        <f aca="false">-In_CIT*(MAX(0,BY106)+BY109)-In_RH_On*In_RH_Rate*MAX(0,BY106)</f>
        <v>-184.468680703968</v>
      </c>
      <c r="BZ112" s="48" t="n">
        <f aca="false">-In_CIT*(MAX(0,BZ106)+BZ109)-In_RH_On*In_RH_Rate*MAX(0,BZ106)</f>
        <v>-184.441884712178</v>
      </c>
      <c r="CA112" s="48" t="n">
        <f aca="false">-In_CIT*(MAX(0,CA106)+CA109)-In_RH_On*In_RH_Rate*MAX(0,CA106)</f>
        <v>-185.504505587195</v>
      </c>
      <c r="CB112" s="48" t="n">
        <f aca="false">-In_CIT*(MAX(0,CB106)+CB109)-In_RH_On*In_RH_Rate*MAX(0,CB106)</f>
        <v>-186.863176768506</v>
      </c>
      <c r="CC112" s="48" t="n">
        <f aca="false">-In_CIT*(MAX(0,CC106)+CC109)-In_RH_On*In_RH_Rate*MAX(0,CC106)</f>
        <v>-190.594217455157</v>
      </c>
      <c r="CD112" s="48" t="n">
        <f aca="false">-In_CIT*(MAX(0,CD106)+CD109)-In_RH_On*In_RH_Rate*MAX(0,CD106)</f>
        <v>-190.625812433679</v>
      </c>
      <c r="CE112" s="48" t="n">
        <f aca="false">-In_CIT*(MAX(0,CE106)+CE109)-In_RH_On*In_RH_Rate*MAX(0,CE106)</f>
        <v>-189.348405272822</v>
      </c>
      <c r="CF112" s="48" t="n">
        <f aca="false">-In_CIT*(MAX(0,CF106)+CF109)-In_RH_On*In_RH_Rate*MAX(0,CF106)</f>
        <v>-193.119970109925</v>
      </c>
      <c r="CG112" s="48" t="n">
        <f aca="false">-In_CIT*(MAX(0,CG106)+CG109)-In_RH_On*In_RH_Rate*MAX(0,CG106)</f>
        <v>-196.92676750131</v>
      </c>
      <c r="CH112" s="48" t="n">
        <f aca="false">-In_CIT*(MAX(0,CH106)+CH109)-In_RH_On*In_RH_Rate*MAX(0,CH106)</f>
        <v>-197.019502452187</v>
      </c>
      <c r="CI112" s="48" t="n">
        <f aca="false">-In_CIT*(MAX(0,CI106)+CI109)-In_RH_On*In_RH_Rate*MAX(0,CI106)</f>
        <v>-195.760799763146</v>
      </c>
      <c r="CJ112" s="48" t="n">
        <f aca="false">-In_CIT*(MAX(0,CJ106)+CJ109)-In_RH_On*In_RH_Rate*MAX(0,CJ106)</f>
        <v>-199.609834925726</v>
      </c>
      <c r="CK112" s="48" t="n">
        <f aca="false">-In_CIT*(MAX(0,CK106)+CK109)-In_RH_On*In_RH_Rate*MAX(0,CK106)</f>
        <v>-203.494963449241</v>
      </c>
      <c r="CL112" s="48" t="n">
        <f aca="false">-In_CIT*(MAX(0,CL106)+CL109)-In_RH_On*In_RH_Rate*MAX(0,CL106)</f>
        <v>-203.65193566215</v>
      </c>
      <c r="CM112" s="48" t="n">
        <f aca="false">-In_CIT*(MAX(0,CM106)+CM109)-In_RH_On*In_RH_Rate*MAX(0,CM106)</f>
        <v>-202.414603329881</v>
      </c>
      <c r="CN112" s="48" t="n">
        <f aca="false">-In_CIT*(MAX(0,CN106)+CN109)-In_RH_On*In_RH_Rate*MAX(0,CN106)</f>
        <v>-206.34377181454</v>
      </c>
      <c r="CO112" s="48" t="n">
        <f aca="false">-In_CIT*(MAX(0,CO106)+CO109)-In_RH_On*In_RH_Rate*MAX(0,CO106)</f>
        <v>-210.309929670203</v>
      </c>
      <c r="CP112" s="48" t="n">
        <f aca="false">-In_CIT*(MAX(0,CP106)+CP109)-In_RH_On*In_RH_Rate*MAX(0,CP106)</f>
        <v>-210.534379405364</v>
      </c>
      <c r="CQ112" s="48" t="n">
        <f aca="false">-In_CIT*(MAX(0,CQ106)+CQ109)-In_RH_On*In_RH_Rate*MAX(0,CQ106)</f>
        <v>-211.702843383608</v>
      </c>
      <c r="CR112" s="48" t="n">
        <f aca="false">-In_CIT*(MAX(0,CR106)+CR109)-In_RH_On*In_RH_Rate*MAX(0,CR106)</f>
        <v>-213.352085642387</v>
      </c>
      <c r="CS112" s="48" t="n">
        <f aca="false">-In_CIT*(MAX(0,CS106)+CS109)-In_RH_On*In_RH_Rate*MAX(0,CS106)</f>
        <v>-217.402321392108</v>
      </c>
      <c r="CT112" s="48" t="n">
        <f aca="false">-In_CIT*(MAX(0,CT106)+CT109)-In_RH_On*In_RH_Rate*MAX(0,CT106)</f>
        <v>-217.697861601253</v>
      </c>
      <c r="CU112" s="48" t="n">
        <f aca="false">-In_CIT*(MAX(0,CU106)+CU109)-In_RH_On*In_RH_Rate*MAX(0,CU106)</f>
        <v>-214.791054135796</v>
      </c>
      <c r="CV112" s="48" t="n">
        <f aca="false">-In_CIT*(MAX(0,CV106)+CV109)-In_RH_On*In_RH_Rate*MAX(0,CV106)</f>
        <v>-217.177621403972</v>
      </c>
      <c r="CW112" s="48" t="n">
        <f aca="false">-In_CIT*(MAX(0,CW106)+CW109)-In_RH_On*In_RH_Rate*MAX(0,CW106)</f>
        <v>-219.564188672147</v>
      </c>
      <c r="CX112" s="48" t="n">
        <f aca="false">-In_CIT*(MAX(0,CX106)+CX109)-In_RH_On*In_RH_Rate*MAX(0,CX106)</f>
        <v>-218.144299462481</v>
      </c>
      <c r="CY112" s="48" t="n">
        <f aca="false">-In_CIT*(MAX(0,CY106)+CY109)-In_RH_On*In_RH_Rate*MAX(0,CY106)</f>
        <v>-215.183912516612</v>
      </c>
      <c r="CZ112" s="48" t="n">
        <f aca="false">-In_CIT*(MAX(0,CZ106)+CZ109)-In_RH_On*In_RH_Rate*MAX(0,CZ106)</f>
        <v>-217.574844877908</v>
      </c>
      <c r="DA112" s="48" t="n">
        <f aca="false">-In_CIT*(MAX(0,DA106)+DA109)-In_RH_On*In_RH_Rate*MAX(0,DA106)</f>
        <v>-219.965777239203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-375.824783779587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-369.569862589467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-376.328687856252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-373.952073960706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-378.105320721436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-373.973220625402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-376.59480616636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-377.99185504737</v>
      </c>
      <c r="EH112" s="48" t="n">
        <f aca="false">-In_CIT*(MAX(0,EH106)+EH109)-In_RH_On*In_RH_Rate*MAX(0,EH106)</f>
        <v>-376.495273595489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-373.723462116483</v>
      </c>
      <c r="EK112" s="48" t="n">
        <f aca="false">-In_CIT*(MAX(0,EK106)+EK109)-In_RH_On*In_RH_Rate*MAX(0,EK106)</f>
        <v>-377.830313348532</v>
      </c>
      <c r="EL112" s="48" t="n">
        <f aca="false">-In_CIT*(MAX(0,EL106)+EL109)-In_RH_On*In_RH_Rate*MAX(0,EL106)</f>
        <v>-376.325151374579</v>
      </c>
      <c r="EM112" s="48" t="n">
        <f aca="false">-In_CIT*(MAX(0,EM106)+EM109)-In_RH_On*In_RH_Rate*MAX(0,EM106)</f>
        <v>-373.491708815652</v>
      </c>
      <c r="EN112" s="48" t="n">
        <f aca="false">-In_CIT*(MAX(0,EN106)+EN109)-In_RH_On*In_RH_Rate*MAX(0,EN106)</f>
        <v>-373.491708815652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490</v>
      </c>
      <c r="D113" s="11" t="s">
        <v>33</v>
      </c>
      <c r="I113" s="48" t="n">
        <f aca="false">SUM(J113:EO113)</f>
        <v>4.09665545930693E-009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2.45137243837235E-012</v>
      </c>
      <c r="AB113" s="48" t="n">
        <f aca="false">ABS(AB112-AB85)</f>
        <v>4.77484718430787E-012</v>
      </c>
      <c r="AC113" s="48" t="n">
        <f aca="false">ABS(AC112-AC85)</f>
        <v>7.01305680195219E-012</v>
      </c>
      <c r="AD113" s="48" t="n">
        <f aca="false">ABS(AD112-AD85)</f>
        <v>9.1873175733781E-012</v>
      </c>
      <c r="AE113" s="48" t="n">
        <f aca="false">ABS(AE112-AE85)</f>
        <v>4.58726390206721E-011</v>
      </c>
      <c r="AF113" s="48" t="n">
        <f aca="false">ABS(AF112-AF85)</f>
        <v>2.21831442104303E-011</v>
      </c>
      <c r="AG113" s="48" t="n">
        <f aca="false">ABS(AG112-AG85)</f>
        <v>2.37321273743873E-011</v>
      </c>
      <c r="AH113" s="48" t="n">
        <f aca="false">ABS(AH112-AH85)</f>
        <v>2.47410980591667E-011</v>
      </c>
      <c r="AI113" s="48" t="n">
        <f aca="false">ABS(AI112-AI85)</f>
        <v>2.51532128459075E-011</v>
      </c>
      <c r="AJ113" s="48" t="n">
        <f aca="false">ABS(AJ112-AJ85)</f>
        <v>2.49258391704643E-011</v>
      </c>
      <c r="AK113" s="48" t="n">
        <f aca="false">ABS(AK112-AK85)</f>
        <v>2.42152964347042E-011</v>
      </c>
      <c r="AL113" s="48" t="n">
        <f aca="false">ABS(AL112-AL85)</f>
        <v>2.30215846386272E-011</v>
      </c>
      <c r="AM113" s="48" t="n">
        <f aca="false">ABS(AM112-AM85)</f>
        <v>2.12594386539422E-011</v>
      </c>
      <c r="AN113" s="48" t="n">
        <f aca="false">ABS(AN112-AN85)</f>
        <v>1.89572801900795E-011</v>
      </c>
      <c r="AO113" s="48" t="n">
        <f aca="false">ABS(AO112-AO85)</f>
        <v>1.61719526658999E-011</v>
      </c>
      <c r="AP113" s="48" t="n">
        <f aca="false">ABS(AP112-AP85)</f>
        <v>1.29887212096946E-011</v>
      </c>
      <c r="AQ113" s="48" t="n">
        <f aca="false">ABS(AQ112-AQ85)</f>
        <v>9.35074240260292E-012</v>
      </c>
      <c r="AR113" s="48" t="n">
        <f aca="false">ABS(AR112-AR85)</f>
        <v>5.22959453519434E-012</v>
      </c>
      <c r="AS113" s="48" t="n">
        <f aca="false">ABS(AS112-AS85)</f>
        <v>7.95807864051312E-013</v>
      </c>
      <c r="AT113" s="48" t="n">
        <f aca="false">ABS(AT112-AT85)</f>
        <v>3.92219590139575E-012</v>
      </c>
      <c r="AU113" s="48" t="n">
        <f aca="false">ABS(AU112-AU85)</f>
        <v>8.98126018000767E-012</v>
      </c>
      <c r="AV113" s="48" t="n">
        <f aca="false">ABS(AV112-AV85)</f>
        <v>1.43245415529236E-011</v>
      </c>
      <c r="AW113" s="48" t="n">
        <f aca="false">ABS(AW112-AW85)</f>
        <v>1.98667748918524E-011</v>
      </c>
      <c r="AX113" s="48" t="n">
        <f aca="false">ABS(AX112-AX85)</f>
        <v>2.55511167779332E-011</v>
      </c>
      <c r="AY113" s="48" t="n">
        <f aca="false">ABS(AY112-AY85)</f>
        <v>3.1377567211166E-011</v>
      </c>
      <c r="AZ113" s="48" t="n">
        <f aca="false">ABS(AZ112-AZ85)</f>
        <v>3.74313913198421E-011</v>
      </c>
      <c r="BA113" s="48" t="n">
        <f aca="false">ABS(BA112-BA85)</f>
        <v>4.34852154285181E-011</v>
      </c>
      <c r="BB113" s="48" t="n">
        <f aca="false">ABS(BB112-BB85)</f>
        <v>4.95106178277638E-011</v>
      </c>
      <c r="BC113" s="48" t="n">
        <f aca="false">ABS(BC112-BC85)</f>
        <v>5.54791768081486E-011</v>
      </c>
      <c r="BD113" s="48" t="n">
        <f aca="false">ABS(BD112-BD85)</f>
        <v>6.14761574979639E-011</v>
      </c>
      <c r="BE113" s="48" t="n">
        <f aca="false">ABS(BE112-BE85)</f>
        <v>6.73594513500575E-011</v>
      </c>
      <c r="BF113" s="48" t="n">
        <f aca="false">ABS(BF112-BF85)</f>
        <v>7.30722149455687E-011</v>
      </c>
      <c r="BG113" s="48" t="n">
        <f aca="false">ABS(BG112-BG85)</f>
        <v>7.85860265750671E-011</v>
      </c>
      <c r="BH113" s="48" t="n">
        <f aca="false">ABS(BH112-BH85)</f>
        <v>8.3929307947983E-011</v>
      </c>
      <c r="BI113" s="48" t="n">
        <f aca="false">ABS(BI112-BI85)</f>
        <v>8.8988372226595E-011</v>
      </c>
      <c r="BJ113" s="48" t="n">
        <f aca="false">ABS(BJ112-BJ85)</f>
        <v>9.37347977014724E-011</v>
      </c>
      <c r="BK113" s="48" t="n">
        <f aca="false">ABS(BK112-BK85)</f>
        <v>9.8140162663185E-011</v>
      </c>
      <c r="BL113" s="48" t="n">
        <f aca="false">ABS(BL112-BL85)</f>
        <v>1.02204467111733E-010</v>
      </c>
      <c r="BM113" s="48" t="n">
        <f aca="false">ABS(BM112-BM85)</f>
        <v>1.05927711047116E-010</v>
      </c>
      <c r="BN113" s="48" t="n">
        <f aca="false">ABS(BN112-BN85)</f>
        <v>1.09167785922182E-010</v>
      </c>
      <c r="BO113" s="48" t="n">
        <f aca="false">ABS(BO112-BO85)</f>
        <v>1.12009956865222E-010</v>
      </c>
      <c r="BP113" s="48" t="n">
        <f aca="false">ABS(BP112-BP85)</f>
        <v>1.14482645585667E-010</v>
      </c>
      <c r="BQ113" s="48" t="n">
        <f aca="false">ABS(BQ112-BQ85)</f>
        <v>1.16358478408074E-010</v>
      </c>
      <c r="BR113" s="48" t="n">
        <f aca="false">ABS(BR112-BR85)</f>
        <v>1.17779563879594E-010</v>
      </c>
      <c r="BS113" s="48" t="n">
        <f aca="false">ABS(BS112-BS85)</f>
        <v>1.18660636871937E-010</v>
      </c>
      <c r="BT113" s="48" t="n">
        <f aca="false">ABS(BT112-BT85)</f>
        <v>1.19115384222823E-010</v>
      </c>
      <c r="BU113" s="48" t="n">
        <f aca="false">ABS(BU112-BU85)</f>
        <v>1.19030119094532E-010</v>
      </c>
      <c r="BV113" s="48" t="n">
        <f aca="false">ABS(BV112-BV85)</f>
        <v>1.18319576358772E-010</v>
      </c>
      <c r="BW113" s="48" t="n">
        <f aca="false">ABS(BW112-BW85)</f>
        <v>1.17154286272125E-010</v>
      </c>
      <c r="BX113" s="48" t="n">
        <f aca="false">ABS(BX112-BX85)</f>
        <v>1.15505827125162E-010</v>
      </c>
      <c r="BY113" s="48" t="n">
        <f aca="false">ABS(BY112-BY85)</f>
        <v>1.13374198917882E-010</v>
      </c>
      <c r="BZ113" s="48" t="n">
        <f aca="false">ABS(BZ112-BZ85)</f>
        <v>1.10617293103132E-010</v>
      </c>
      <c r="CA113" s="48" t="n">
        <f aca="false">ABS(CA112-CA85)</f>
        <v>1.07434061646927E-010</v>
      </c>
      <c r="CB113" s="48" t="n">
        <f aca="false">ABS(CB112-CB85)</f>
        <v>1.03767661130405E-010</v>
      </c>
      <c r="CC113" s="48" t="n">
        <f aca="false">ABS(CC112-CC85)</f>
        <v>9.97033566818573E-011</v>
      </c>
      <c r="CD113" s="48" t="n">
        <f aca="false">ABS(CD112-CD85)</f>
        <v>9.51558831729926E-011</v>
      </c>
      <c r="CE113" s="48" t="n">
        <f aca="false">ABS(CE112-CE85)</f>
        <v>9.02389274415327E-011</v>
      </c>
      <c r="CF113" s="48" t="n">
        <f aca="false">ABS(CF112-CF85)</f>
        <v>8.50945980346296E-011</v>
      </c>
      <c r="CG113" s="48" t="n">
        <f aca="false">ABS(CG112-CG85)</f>
        <v>7.95523646957008E-011</v>
      </c>
      <c r="CH113" s="48" t="n">
        <f aca="false">ABS(CH112-CH85)</f>
        <v>7.36974925530376E-011</v>
      </c>
      <c r="CI113" s="48" t="n">
        <f aca="false">ABS(CI112-CI85)</f>
        <v>6.75868250255007E-011</v>
      </c>
      <c r="CJ113" s="48" t="n">
        <f aca="false">ABS(CJ112-CJ85)</f>
        <v>6.13908923696727E-011</v>
      </c>
      <c r="CK113" s="48" t="n">
        <f aca="false">ABS(CK112-CK85)</f>
        <v>5.5081272876123E-011</v>
      </c>
      <c r="CL113" s="48" t="n">
        <f aca="false">ABS(CL112-CL85)</f>
        <v>4.85158579976996E-011</v>
      </c>
      <c r="CM113" s="48" t="n">
        <f aca="false">ABS(CM112-CM85)</f>
        <v>4.19788648287067E-011</v>
      </c>
      <c r="CN113" s="48" t="n">
        <f aca="false">ABS(CN112-CN85)</f>
        <v>3.56124019162962E-011</v>
      </c>
      <c r="CO113" s="48" t="n">
        <f aca="false">ABS(CO112-CO85)</f>
        <v>2.91890955850249E-011</v>
      </c>
      <c r="CP113" s="48" t="n">
        <f aca="false">ABS(CP112-CP85)</f>
        <v>2.28510543820448E-011</v>
      </c>
      <c r="CQ113" s="48" t="n">
        <f aca="false">ABS(CQ112-CQ85)</f>
        <v>1.67119651450776E-011</v>
      </c>
      <c r="CR113" s="48" t="n">
        <f aca="false">ABS(CR112-CR85)</f>
        <v>1.08570930024143E-011</v>
      </c>
      <c r="CS113" s="48" t="n">
        <f aca="false">ABS(CS112-CS85)</f>
        <v>5.28643795405515E-012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491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64716.25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3107.96939753469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85084.1342995161</v>
      </c>
    </row>
    <row r="124" customFormat="false" ht="15" hidden="false" customHeight="false" outlineLevel="0" collapsed="false">
      <c r="C124" s="0" t="s">
        <v>492</v>
      </c>
      <c r="D124" s="11" t="s">
        <v>33</v>
      </c>
      <c r="E124" s="48" t="n">
        <f aca="false">$E123-$E98</f>
        <v>41686.7978709354</v>
      </c>
      <c r="F124" s="48" t="n">
        <f aca="false">$E124+$E101</f>
        <v>42614.0850110287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0.510052041850856</v>
      </c>
    </row>
    <row r="126" customFormat="false" ht="15" hidden="false" customHeight="false" outlineLevel="0" collapsed="false">
      <c r="C126" s="0" t="s">
        <v>493</v>
      </c>
      <c r="D126" s="11" t="s">
        <v>33</v>
      </c>
      <c r="E126" s="48" t="n">
        <f aca="false">$E87*In_DSCR/In_DSCR_Max_Low</f>
        <v>97998.0507020105</v>
      </c>
      <c r="F126" s="48" t="n">
        <f aca="false">$E87*In_DSCR/In_DSCR_Max_High</f>
        <v>89831.5464768429</v>
      </c>
    </row>
    <row r="127" customFormat="false" ht="15" hidden="false" customHeight="false" outlineLevel="0" collapsed="false">
      <c r="C127" s="0" t="s">
        <v>494</v>
      </c>
      <c r="D127" s="11" t="s">
        <v>27</v>
      </c>
      <c r="E127" s="49" t="n">
        <f aca="false">$E126/$E123</f>
        <v>1.1517781958859</v>
      </c>
      <c r="F127" s="49" t="n">
        <f aca="false">$F126/$E123</f>
        <v>1.05579667956208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495</v>
      </c>
      <c r="D130" s="11" t="s">
        <v>33</v>
      </c>
      <c r="I130" s="48" t="n">
        <f aca="false">SUM(J130:EO130)</f>
        <v>-41686.7978709354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-4598.78508914336</v>
      </c>
      <c r="S130" s="48" t="n">
        <f aca="false">(S62+S69+S95+S99+S100+S82)*(S$4&lt;=In_COD)</f>
        <v>-7416.60009090345</v>
      </c>
      <c r="T130" s="48" t="n">
        <f aca="false">(T62+T69+T95+T99+T100+T82)*(T$4&lt;=In_COD)</f>
        <v>-3768.65166995178</v>
      </c>
      <c r="U130" s="48" t="n">
        <f aca="false">(U62+U69+U95+U99+U100+U82)*(U$4&lt;=In_COD)</f>
        <v>-3800.0000014</v>
      </c>
      <c r="V130" s="48" t="n">
        <f aca="false">(V62+V69+V95+V99+V100+V82)*(V$4&lt;=In_COD)</f>
        <v>-3789.82396918758</v>
      </c>
      <c r="W130" s="48" t="n">
        <f aca="false">(W62+W69+W95+W99+W100+W82)*(W$4&lt;=In_COD)</f>
        <v>-3698.52360864843</v>
      </c>
      <c r="X130" s="48" t="n">
        <f aca="false">(X62+X69+X95+X99+X100+X82)*(X$4&lt;=In_COD)</f>
        <v>-3729.77170579166</v>
      </c>
      <c r="Y130" s="48" t="n">
        <f aca="false">(Y62+Y69+Y95+Y99+Y100+Y82)*(Y$4&lt;=In_COD)</f>
        <v>-4885.69278488647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496</v>
      </c>
      <c r="D131" s="11" t="s">
        <v>33</v>
      </c>
      <c r="E131" s="48" t="n">
        <f aca="false">IF($E41=1,In_COD_Price,In_COD_Price_CN)*$F25*(1-$E29)</f>
        <v>114975</v>
      </c>
    </row>
    <row r="132" customFormat="false" ht="15" hidden="false" customHeight="false" outlineLevel="0" collapsed="false">
      <c r="C132" s="0" t="s">
        <v>497</v>
      </c>
      <c r="D132" s="11" t="s">
        <v>33</v>
      </c>
      <c r="E132" s="48" t="n">
        <f aca="false">$E131+$I61-$E98-In_Sale_Costs</f>
        <v>71077.6635714193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498</v>
      </c>
      <c r="D134" s="11" t="s">
        <v>33</v>
      </c>
      <c r="I134" s="57" t="n">
        <f aca="false">SUM(J134:EO134)</f>
        <v>29390.8657004839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-4598.78508914336</v>
      </c>
      <c r="S134" s="57" t="n">
        <f aca="false">S130+($E132+$E133)*S14</f>
        <v>-7416.60009090345</v>
      </c>
      <c r="T134" s="57" t="n">
        <f aca="false">T130+($E132+$E133)*T14</f>
        <v>-3768.65166995178</v>
      </c>
      <c r="U134" s="57" t="n">
        <f aca="false">U130+($E132+$E133)*U14</f>
        <v>-3800.0000014</v>
      </c>
      <c r="V134" s="57" t="n">
        <f aca="false">V130+($E132+$E133)*V14</f>
        <v>-3789.82396918758</v>
      </c>
      <c r="W134" s="57" t="n">
        <f aca="false">W130+($E132+$E133)*W14</f>
        <v>-3698.52360864843</v>
      </c>
      <c r="X134" s="57" t="n">
        <f aca="false">X130+($E132+$E133)*X14</f>
        <v>-3729.77170579166</v>
      </c>
      <c r="Y134" s="57" t="n">
        <f aca="false">Y130+($E132+$E133)*Y14</f>
        <v>66191.9707865328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0.410318082809979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1.70504013744302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18560.4545699145</v>
      </c>
    </row>
    <row r="138" customFormat="false" ht="15" hidden="false" customHeight="false" outlineLevel="0" collapsed="false">
      <c r="A138" s="61"/>
      <c r="B138" s="61"/>
      <c r="C138" s="61" t="s">
        <v>499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500</v>
      </c>
      <c r="D139" s="11" t="s">
        <v>33</v>
      </c>
      <c r="I139" s="48" t="n">
        <f aca="false">SUM(J139:EO139)</f>
        <v>152264.418966627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-114975</v>
      </c>
      <c r="Z139" s="48" t="n">
        <f aca="false">(Z82+Z58+Z61+Z112)*(Z$4&gt;In_COD)-($E131+$I61)*Z14</f>
        <v>2303.35715537998</v>
      </c>
      <c r="AA139" s="48" t="n">
        <f aca="false">(AA82+AA58+AA61+AA112)*(AA$4&gt;In_COD)-($E131+$I61)*AA14</f>
        <v>2268.44894488457</v>
      </c>
      <c r="AB139" s="48" t="n">
        <f aca="false">(AB82+AB58+AB61+AB112)*(AB$4&gt;In_COD)-($E131+$I61)*AB14</f>
        <v>2292.85378238356</v>
      </c>
      <c r="AC139" s="48" t="n">
        <f aca="false">(AC82+AC58+AC61+AC112)*(AC$4&gt;In_COD)-($E131+$I61)*AC14</f>
        <v>2317.24500772654</v>
      </c>
      <c r="AD139" s="48" t="n">
        <f aca="false">(AD82+AD58+AD61+AD112)*(AD$4&gt;In_COD)-($E131+$I61)*AD14</f>
        <v>2309.02700771176</v>
      </c>
      <c r="AE139" s="48" t="n">
        <f aca="false">(AE82+AE58+AE61+AE112)*(AE$4&gt;In_COD)-($E131+$I61)*AE14</f>
        <v>2244.43107067096</v>
      </c>
      <c r="AF139" s="48" t="n">
        <f aca="false">(AF82+AF58+AF61+AF112)*(AF$4&gt;In_COD)-($E131+$I61)*AF14</f>
        <v>2237.4620369806</v>
      </c>
      <c r="AG139" s="48" t="n">
        <f aca="false">(AG82+AG58+AG61+AG112)*(AG$4&gt;In_COD)-($E131+$I61)*AG14</f>
        <v>2260.47690730532</v>
      </c>
      <c r="AH139" s="48" t="n">
        <f aca="false">(AH82+AH58+AH61+AH112)*(AH$4&gt;In_COD)-($E131+$I61)*AH14</f>
        <v>2252.47501014438</v>
      </c>
      <c r="AI139" s="48" t="n">
        <f aca="false">(AI82+AI58+AI61+AI112)*(AI$4&gt;In_COD)-($E131+$I61)*AI14</f>
        <v>2217.61091354171</v>
      </c>
      <c r="AJ139" s="48" t="n">
        <f aca="false">(AJ82+AJ58+AJ61+AJ112)*(AJ$4&gt;In_COD)-($E131+$I61)*AJ14</f>
        <v>2268.86305567236</v>
      </c>
      <c r="AK139" s="48" t="n">
        <f aca="false">(AK82+AK58+AK61+AK112)*(AK$4&gt;In_COD)-($E131+$I61)*AK14</f>
        <v>2292.19479192129</v>
      </c>
      <c r="AL139" s="48" t="n">
        <f aca="false">(AL82+AL58+AL61+AL112)*(AL$4&gt;In_COD)-($E131+$I61)*AL14</f>
        <v>2284.08516221084</v>
      </c>
      <c r="AM139" s="48" t="n">
        <f aca="false">(AM82+AM58+AM61+AM112)*(AM$4&gt;In_COD)-($E131+$I61)*AM14</f>
        <v>2248.27717430633</v>
      </c>
      <c r="AN139" s="48" t="n">
        <f aca="false">(AN82+AN58+AN61+AN112)*(AN$4&gt;In_COD)-($E131+$I61)*AN14</f>
        <v>2271.66034747153</v>
      </c>
      <c r="AO139" s="48" t="n">
        <f aca="false">(AO82+AO58+AO61+AO112)*(AO$4&gt;In_COD)-($E131+$I61)*AO14</f>
        <v>2295.01583931118</v>
      </c>
      <c r="AP139" s="48" t="n">
        <f aca="false">(AP82+AP58+AP61+AP112)*(AP$4&gt;In_COD)-($E131+$I61)*AP14</f>
        <v>2286.81726976705</v>
      </c>
      <c r="AQ139" s="48" t="n">
        <f aca="false">(AQ82+AQ58+AQ61+AQ112)*(AQ$4&gt;In_COD)-($E131+$I61)*AQ14</f>
        <v>2250.7015888303</v>
      </c>
      <c r="AR139" s="48" t="n">
        <f aca="false">(AR82+AR58+AR61+AR112)*(AR$4&gt;In_COD)-($E131+$I61)*AR14</f>
        <v>2274.10521232193</v>
      </c>
      <c r="AS139" s="48" t="n">
        <f aca="false">(AS82+AS58+AS61+AS112)*(AS$4&gt;In_COD)-($E131+$I61)*AS14</f>
        <v>2297.48059219911</v>
      </c>
      <c r="AT139" s="48" t="n">
        <f aca="false">(AT82+AT58+AT61+AT112)*(AT$4&gt;In_COD)-($E131+$I61)*AT14</f>
        <v>2289.19102376248</v>
      </c>
      <c r="AU139" s="48" t="n">
        <f aca="false">(AU82+AU58+AU61+AU112)*(AU$4&gt;In_COD)-($E131+$I61)*AU14</f>
        <v>2277.07531538182</v>
      </c>
      <c r="AV139" s="48" t="n">
        <f aca="false">(AV82+AV58+AV61+AV112)*(AV$4&gt;In_COD)-($E131+$I61)*AV14</f>
        <v>2276.16504838274</v>
      </c>
      <c r="AW139" s="48" t="n">
        <f aca="false">(AW82+AW58+AW61+AW112)*(AW$4&gt;In_COD)-($E131+$I61)*AW14</f>
        <v>2299.5560757393</v>
      </c>
      <c r="AX139" s="48" t="n">
        <f aca="false">(AX82+AX58+AX61+AX112)*(AX$4&gt;In_COD)-($E131+$I61)*AX14</f>
        <v>2291.17314750381</v>
      </c>
      <c r="AY139" s="48" t="n">
        <f aca="false">(AY82+AY58+AY61+AY112)*(AY$4&gt;In_COD)-($E131+$I61)*AY14</f>
        <v>2254.42878111867</v>
      </c>
      <c r="AZ139" s="48" t="n">
        <f aca="false">(AZ82+AZ58+AZ61+AZ112)*(AZ$4&gt;In_COD)-($E131+$I61)*AZ14</f>
        <v>2277.86090888988</v>
      </c>
      <c r="BA139" s="48" t="n">
        <f aca="false">(BA82+BA58+BA61+BA112)*(BA$4&gt;In_COD)-($E131+$I61)*BA14</f>
        <v>2301.26360061453</v>
      </c>
      <c r="BB139" s="48" t="n">
        <f aca="false">(BB82+BB58+BB61+BB112)*(BB$4&gt;In_COD)-($E131+$I61)*BB14</f>
        <v>2292.78528972579</v>
      </c>
      <c r="BC139" s="48" t="n">
        <f aca="false">(BC82+BC58+BC61+BC112)*(BC$4&gt;In_COD)-($E131+$I61)*BC14</f>
        <v>2255.71989890022</v>
      </c>
      <c r="BD139" s="48" t="n">
        <f aca="false">(BD82+BD58+BD61+BD112)*(BD$4&gt;In_COD)-($E131+$I61)*BD14</f>
        <v>2279.15996241908</v>
      </c>
      <c r="BE139" s="48" t="n">
        <f aca="false">(BE82+BE58+BE61+BE112)*(BE$4&gt;In_COD)-($E131+$I61)*BE14</f>
        <v>2302.56996023413</v>
      </c>
      <c r="BF139" s="48" t="n">
        <f aca="false">(BF82+BF58+BF61+BF112)*(BF$4&gt;In_COD)-($E131+$I61)*BF14</f>
        <v>2293.99394394046</v>
      </c>
      <c r="BG139" s="48" t="n">
        <f aca="false">(BG82+BG58+BG61+BG112)*(BG$4&gt;In_COD)-($E131+$I61)*BG14</f>
        <v>2256.60283788137</v>
      </c>
      <c r="BH139" s="48" t="n">
        <f aca="false">(BH82+BH58+BH61+BH112)*(BH$4&gt;In_COD)-($E131+$I61)*BH14</f>
        <v>2280.0463275728</v>
      </c>
      <c r="BI139" s="48" t="n">
        <f aca="false">(BI82+BI58+BI61+BI112)*(BI$4&gt;In_COD)-($E131+$I61)*BI14</f>
        <v>2303.45909739256</v>
      </c>
      <c r="BJ139" s="48" t="n">
        <f aca="false">(BJ82+BJ58+BJ61+BJ112)*(BJ$4&gt;In_COD)-($E131+$I61)*BJ14</f>
        <v>2294.78295689115</v>
      </c>
      <c r="BK139" s="48" t="n">
        <f aca="false">(BK82+BK58+BK61+BK112)*(BK$4&gt;In_COD)-($E131+$I61)*BK14</f>
        <v>2281.5999027743</v>
      </c>
      <c r="BL139" s="48" t="n">
        <f aca="false">(BL82+BL58+BL61+BL112)*(BL$4&gt;In_COD)-($E131+$I61)*BL14</f>
        <v>2280.48501390094</v>
      </c>
      <c r="BM139" s="48" t="n">
        <f aca="false">(BM82+BM58+BM61+BM112)*(BM$4&gt;In_COD)-($E131+$I61)*BM14</f>
        <v>2303.89562167732</v>
      </c>
      <c r="BN139" s="48" t="n">
        <f aca="false">(BN82+BN58+BN61+BN112)*(BN$4&gt;In_COD)-($E131+$I61)*BN14</f>
        <v>2295.11661752694</v>
      </c>
      <c r="BO139" s="48" t="n">
        <f aca="false">(BO82+BO58+BO61+BO112)*(BO$4&gt;In_COD)-($E131+$I61)*BO14</f>
        <v>2257.05924775701</v>
      </c>
      <c r="BP139" s="48" t="n">
        <f aca="false">(BP82+BP58+BP61+BP112)*(BP$4&gt;In_COD)-($E131+$I61)*BP14</f>
        <v>2280.49510381918</v>
      </c>
      <c r="BQ139" s="48" t="n">
        <f aca="false">(BQ82+BQ58+BQ61+BQ112)*(BQ$4&gt;In_COD)-($E131+$I61)*BQ14</f>
        <v>2303.89885092781</v>
      </c>
      <c r="BR139" s="48" t="n">
        <f aca="false">(BR82+BR58+BR61+BR112)*(BR$4&gt;In_COD)-($E131+$I61)*BR14</f>
        <v>2295.01456815235</v>
      </c>
      <c r="BS139" s="48" t="n">
        <f aca="false">(BS82+BS58+BS61+BS112)*(BS$4&gt;In_COD)-($E131+$I61)*BS14</f>
        <v>2256.61657950492</v>
      </c>
      <c r="BT139" s="48" t="n">
        <f aca="false">(BT82+BT58+BT61+BT112)*(BT$4&gt;In_COD)-($E131+$I61)*BT14</f>
        <v>2280.04120702133</v>
      </c>
      <c r="BU139" s="48" t="n">
        <f aca="false">(BU82+BU58+BU61+BU112)*(BU$4&gt;In_COD)-($E131+$I61)*BU14</f>
        <v>2303.43299076954</v>
      </c>
      <c r="BV139" s="48" t="n">
        <f aca="false">(BV82+BV58+BV61+BV112)*(BV$4&gt;In_COD)-($E131+$I61)*BV14</f>
        <v>2294.44069416591</v>
      </c>
      <c r="BW139" s="48" t="n">
        <f aca="false">(BW82+BW58+BW61+BW112)*(BW$4&gt;In_COD)-($E131+$I61)*BW14</f>
        <v>2255.69682997581</v>
      </c>
      <c r="BX139" s="48" t="n">
        <f aca="false">(BX82+BX58+BX61+BX112)*(BX$4&gt;In_COD)-($E131+$I61)*BX14</f>
        <v>2279.10495173994</v>
      </c>
      <c r="BY139" s="48" t="n">
        <f aca="false">(BY82+BY58+BY61+BY112)*(BY$4&gt;In_COD)-($E131+$I61)*BY14</f>
        <v>2302.47946555855</v>
      </c>
      <c r="BZ139" s="48" t="n">
        <f aca="false">(BZ82+BZ58+BZ61+BZ112)*(BZ$4&gt;In_COD)-($E131+$I61)*BZ14</f>
        <v>2293.37630460822</v>
      </c>
      <c r="CA139" s="48" t="n">
        <f aca="false">(CA82+CA58+CA61+CA112)*(CA$4&gt;In_COD)-($E131+$I61)*CA14</f>
        <v>2279.00728800864</v>
      </c>
      <c r="CB139" s="48" t="n">
        <f aca="false">(CB82+CB58+CB61+CB112)*(CB$4&gt;In_COD)-($E131+$I61)*CB14</f>
        <v>2277.64861682733</v>
      </c>
      <c r="CC139" s="48" t="n">
        <f aca="false">(CC82+CC58+CC61+CC112)*(CC$4&gt;In_COD)-($E131+$I61)*CC14</f>
        <v>2301.00012332306</v>
      </c>
      <c r="CD139" s="48" t="n">
        <f aca="false">(CD82+CD58+CD61+CD112)*(CD$4&gt;In_COD)-($E131+$I61)*CD14</f>
        <v>2291.78290500628</v>
      </c>
      <c r="CE139" s="48" t="n">
        <f aca="false">(CE82+CE58+CE61+CE112)*(CE$4&gt;In_COD)-($E131+$I61)*CE14</f>
        <v>2252.33066633367</v>
      </c>
      <c r="CF139" s="48" t="n">
        <f aca="false">(CF82+CF58+CF61+CF112)*(CF$4&gt;In_COD)-($E131+$I61)*CF14</f>
        <v>2275.68886895886</v>
      </c>
      <c r="CG139" s="48" t="n">
        <f aca="false">(CG82+CG58+CG61+CG112)*(CG$4&gt;In_COD)-($E131+$I61)*CG14</f>
        <v>2299.01183902977</v>
      </c>
      <c r="CH139" s="48" t="n">
        <f aca="false">(CH82+CH58+CH61+CH112)*(CH$4&gt;In_COD)-($E131+$I61)*CH14</f>
        <v>2289.67767693549</v>
      </c>
      <c r="CI139" s="48" t="n">
        <f aca="false">(CI82+CI58+CI61+CI112)*(CI$4&gt;In_COD)-($E131+$I61)*CI14</f>
        <v>2249.86282259507</v>
      </c>
      <c r="CJ139" s="48" t="n">
        <f aca="false">(CJ82+CJ58+CJ61+CJ112)*(CJ$4&gt;In_COD)-($E131+$I61)*CJ14</f>
        <v>2273.18738323647</v>
      </c>
      <c r="CK139" s="48" t="n">
        <f aca="false">(CK82+CK58+CK61+CK112)*(CK$4&gt;In_COD)-($E131+$I61)*CK14</f>
        <v>2296.47585051693</v>
      </c>
      <c r="CL139" s="48" t="n">
        <f aca="false">(CL82+CL58+CL61+CL112)*(CL$4&gt;In_COD)-($E131+$I61)*CL14</f>
        <v>2287.02151425521</v>
      </c>
      <c r="CM139" s="48" t="n">
        <f aca="false">(CM82+CM58+CM61+CM112)*(CM$4&gt;In_COD)-($E131+$I61)*CM14</f>
        <v>2246.83812571524</v>
      </c>
      <c r="CN139" s="48" t="n">
        <f aca="false">(CN82+CN58+CN61+CN112)*(CN$4&gt;In_COD)-($E131+$I61)*CN14</f>
        <v>2270.12287644219</v>
      </c>
      <c r="CO139" s="48" t="n">
        <f aca="false">(CO82+CO58+CO61+CO112)*(CO$4&gt;In_COD)-($E131+$I61)*CO14</f>
        <v>2293.37063779814</v>
      </c>
      <c r="CP139" s="48" t="n">
        <f aca="false">(CP82+CP58+CP61+CP112)*(CP$4&gt;In_COD)-($E131+$I61)*CP14</f>
        <v>2283.79275846349</v>
      </c>
      <c r="CQ139" s="48" t="n">
        <f aca="false">(CQ82+CQ58+CQ61+CQ112)*(CQ$4&gt;In_COD)-($E131+$I61)*CQ14</f>
        <v>2268.10373363211</v>
      </c>
      <c r="CR139" s="48" t="n">
        <f aca="false">(CR82+CR58+CR61+CR112)*(CR$4&gt;In_COD)-($E131+$I61)*CR14</f>
        <v>2266.45449137334</v>
      </c>
      <c r="CS139" s="48" t="n">
        <f aca="false">(CS82+CS58+CS61+CS112)*(CS$4&gt;In_COD)-($E131+$I61)*CS14</f>
        <v>2289.65487734906</v>
      </c>
      <c r="CT139" s="48" t="n">
        <f aca="false">(CT82+CT58+CT61+CT112)*(CT$4&gt;In_COD)-($E131+$I61)*CT14</f>
        <v>2279.94971794918</v>
      </c>
      <c r="CU139" s="48" t="n">
        <f aca="false">(CU82+CU58+CU61+CU112)*(CU$4&gt;In_COD)-($E131+$I61)*CU14</f>
        <v>2240.73153719111</v>
      </c>
      <c r="CV139" s="48" t="n">
        <f aca="false">(CV82+CV58+CV61+CV112)*(CV$4&gt;In_COD)-($E131+$I61)*CV14</f>
        <v>2265.62855427102</v>
      </c>
      <c r="CW139" s="48" t="n">
        <f aca="false">(CW82+CW58+CW61+CW112)*(CW$4&gt;In_COD)-($E131+$I61)*CW14</f>
        <v>2290.52557135092</v>
      </c>
      <c r="CX139" s="48" t="n">
        <f aca="false">(CX82+CX58+CX61+CX112)*(CX$4&gt;In_COD)-($E131+$I61)*CX14</f>
        <v>2282.47953249614</v>
      </c>
      <c r="CY139" s="48" t="n">
        <f aca="false">(CY82+CY58+CY61+CY112)*(CY$4&gt;In_COD)-($E131+$I61)*CY14</f>
        <v>2242.9577346824</v>
      </c>
      <c r="CZ139" s="48" t="n">
        <f aca="false">(CZ82+CZ58+CZ61+CZ112)*(CZ$4&gt;In_COD)-($E131+$I61)*CZ14</f>
        <v>2267.87948728999</v>
      </c>
      <c r="DA139" s="48" t="n">
        <f aca="false">(DA82+DA58+DA61+DA112)*(DA$4&gt;In_COD)-($E131+$I61)*DA14</f>
        <v>2292.80123989757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2118.45498318408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0.0698570950743651</v>
      </c>
    </row>
    <row r="141" customFormat="false" ht="15" hidden="false" customHeight="false" outlineLevel="0" collapsed="false">
      <c r="C141" s="0" t="s">
        <v>501</v>
      </c>
      <c r="D141" s="11" t="s">
        <v>33</v>
      </c>
      <c r="I141" s="48" t="n">
        <f aca="false">SUM(J141:EO141)</f>
        <v>129577.243471254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-72504.9507115126</v>
      </c>
      <c r="Z141" s="48" t="n">
        <f aca="false">Z139+Z93+Z101+$E98*Z14</f>
        <v>1376.07001528669</v>
      </c>
      <c r="AA141" s="48" t="n">
        <f aca="false">AA139+AA93+AA101+$E98*AA14</f>
        <v>1355.21517667086</v>
      </c>
      <c r="AB141" s="48" t="n">
        <f aca="false">AB139+AB93+AB101+$E98*AB14</f>
        <v>1369.79509756236</v>
      </c>
      <c r="AC141" s="48" t="n">
        <f aca="false">AC139+AC93+AC101+$E98*AC14</f>
        <v>1384.36688628917</v>
      </c>
      <c r="AD141" s="48" t="n">
        <f aca="false">AD139+AD93+AD101+$E98*AD14</f>
        <v>1379.45729448767</v>
      </c>
      <c r="AE141" s="48" t="n">
        <f aca="false">AE139+AE93+AE101+$E98*AE14</f>
        <v>1340.86643511377</v>
      </c>
      <c r="AF141" s="48" t="n">
        <f aca="false">AF139+AF93+AF101+$E98*AF14</f>
        <v>1336.70299989728</v>
      </c>
      <c r="AG141" s="48" t="n">
        <f aca="false">AG139+AG93+AG101+$E98*AG14</f>
        <v>1350.452527575</v>
      </c>
      <c r="AH141" s="48" t="n">
        <f aca="false">AH139+AH93+AH101+$E98*AH14</f>
        <v>1345.67203978878</v>
      </c>
      <c r="AI141" s="48" t="n">
        <f aca="false">AI139+AI93+AI101+$E98*AI14</f>
        <v>1324.8435556638</v>
      </c>
      <c r="AJ141" s="48" t="n">
        <f aca="false">AJ139+AJ93+AJ101+$E98*AJ14</f>
        <v>1355.46257444709</v>
      </c>
      <c r="AK141" s="48" t="n">
        <f aca="false">AK139+AK93+AK101+$E98*AK14</f>
        <v>1369.40140394287</v>
      </c>
      <c r="AL141" s="48" t="n">
        <f aca="false">AL139+AL93+AL101+$E98*AL14</f>
        <v>1364.55655465254</v>
      </c>
      <c r="AM141" s="48" t="n">
        <f aca="false">AM139+AM93+AM101+$E98*AM14</f>
        <v>1343.16417164843</v>
      </c>
      <c r="AN141" s="48" t="n">
        <f aca="false">AN139+AN93+AN101+$E98*AN14</f>
        <v>1357.13373055063</v>
      </c>
      <c r="AO141" s="48" t="n">
        <f aca="false">AO139+AO93+AO101+$E98*AO14</f>
        <v>1371.08675209475</v>
      </c>
      <c r="AP141" s="48" t="n">
        <f aca="false">AP139+AP93+AP101+$E98*AP14</f>
        <v>1366.18876843139</v>
      </c>
      <c r="AQ141" s="48" t="n">
        <f aca="false">AQ139+AQ93+AQ101+$E98*AQ14</f>
        <v>1344.6125636719</v>
      </c>
      <c r="AR141" s="48" t="n">
        <f aca="false">AR139+AR93+AR101+$E98*AR14</f>
        <v>1358.59433999376</v>
      </c>
      <c r="AS141" s="48" t="n">
        <f aca="false">AS139+AS93+AS101+$E98*AS14</f>
        <v>1372.5592430353</v>
      </c>
      <c r="AT141" s="48" t="n">
        <f aca="false">AT139+AT93+AT101+$E98*AT14</f>
        <v>1367.60689487745</v>
      </c>
      <c r="AU141" s="48" t="n">
        <f aca="false">AU139+AU93+AU101+$E98*AU14</f>
        <v>1360.3687368794</v>
      </c>
      <c r="AV141" s="48" t="n">
        <f aca="false">AV139+AV93+AV101+$E98*AV14</f>
        <v>1359.82492580762</v>
      </c>
      <c r="AW141" s="48" t="n">
        <f aca="false">AW139+AW93+AW101+$E98*AW14</f>
        <v>1373.79917695532</v>
      </c>
      <c r="AX141" s="48" t="n">
        <f aca="false">AX139+AX93+AX101+$E98*AX14</f>
        <v>1368.79105385195</v>
      </c>
      <c r="AY141" s="48" t="n">
        <f aca="false">AY139+AY93+AY101+$E98*AY14</f>
        <v>1346.83926027308</v>
      </c>
      <c r="AZ141" s="48" t="n">
        <f aca="false">AZ139+AZ93+AZ101+$E98*AZ14</f>
        <v>1360.83806560165</v>
      </c>
      <c r="BA141" s="48" t="n">
        <f aca="false">BA139+BA93+BA101+$E98*BA14</f>
        <v>1374.81928526794</v>
      </c>
      <c r="BB141" s="48" t="n">
        <f aca="false">BB139+BB93+BB101+$E98*BB14</f>
        <v>1369.7541787268</v>
      </c>
      <c r="BC141" s="48" t="n">
        <f aca="false">BC139+BC93+BC101+$E98*BC14</f>
        <v>1347.61059895203</v>
      </c>
      <c r="BD141" s="48" t="n">
        <f aca="false">BD139+BD93+BD101+$E98*BD14</f>
        <v>1361.61414524938</v>
      </c>
      <c r="BE141" s="48" t="n">
        <f aca="false">BE139+BE93+BE101+$E98*BE14</f>
        <v>1375.59972971507</v>
      </c>
      <c r="BF141" s="48" t="n">
        <f aca="false">BF139+BF93+BF101+$E98*BF14</f>
        <v>1370.47625207949</v>
      </c>
      <c r="BG141" s="48" t="n">
        <f aca="false">BG139+BG93+BG101+$E98*BG14</f>
        <v>1348.1380837385</v>
      </c>
      <c r="BH141" s="48" t="n">
        <f aca="false">BH139+BH93+BH101+$E98*BH14</f>
        <v>1362.14367689746</v>
      </c>
      <c r="BI141" s="48" t="n">
        <f aca="false">BI139+BI93+BI101+$E98*BI14</f>
        <v>1376.13091741226</v>
      </c>
      <c r="BJ141" s="48" t="n">
        <f aca="false">BJ139+BJ93+BJ101+$E98*BJ14</f>
        <v>1370.94762364276</v>
      </c>
      <c r="BK141" s="48" t="n">
        <f aca="false">BK139+BK93+BK101+$E98*BK14</f>
        <v>1363.07181270405</v>
      </c>
      <c r="BL141" s="48" t="n">
        <f aca="false">BL139+BL93+BL101+$E98*BL14</f>
        <v>1362.40575657575</v>
      </c>
      <c r="BM141" s="48" t="n">
        <f aca="false">BM139+BM93+BM101+$E98*BM14</f>
        <v>1376.3917054441</v>
      </c>
      <c r="BN141" s="48" t="n">
        <f aca="false">BN139+BN93+BN101+$E98*BN14</f>
        <v>1371.14695894563</v>
      </c>
      <c r="BO141" s="48" t="n">
        <f aca="false">BO139+BO93+BO101+$E98*BO14</f>
        <v>1348.41075180608</v>
      </c>
      <c r="BP141" s="48" t="n">
        <f aca="false">BP139+BP93+BP101+$E98*BP14</f>
        <v>1362.41178448762</v>
      </c>
      <c r="BQ141" s="48" t="n">
        <f aca="false">BQ139+BQ93+BQ101+$E98*BQ14</f>
        <v>1376.39363466066</v>
      </c>
      <c r="BR141" s="48" t="n">
        <f aca="false">BR139+BR93+BR101+$E98*BR14</f>
        <v>1371.08599267988</v>
      </c>
      <c r="BS141" s="48" t="n">
        <f aca="false">BS139+BS93+BS101+$E98*BS14</f>
        <v>1348.14629324958</v>
      </c>
      <c r="BT141" s="48" t="n">
        <f aca="false">BT139+BT93+BT101+$E98*BT14</f>
        <v>1362.14061778119</v>
      </c>
      <c r="BU141" s="48" t="n">
        <f aca="false">BU139+BU93+BU101+$E98*BU14</f>
        <v>1376.11532081185</v>
      </c>
      <c r="BV141" s="48" t="n">
        <f aca="false">BV139+BV93+BV101+$E98*BV14</f>
        <v>1370.74314928564</v>
      </c>
      <c r="BW141" s="48" t="n">
        <f aca="false">BW139+BW93+BW101+$E98*BW14</f>
        <v>1347.59681713137</v>
      </c>
      <c r="BX141" s="48" t="n">
        <f aca="false">BX139+BX93+BX101+$E98*BX14</f>
        <v>1361.58128080804</v>
      </c>
      <c r="BY141" s="48" t="n">
        <f aca="false">BY139+BY93+BY101+$E98*BY14</f>
        <v>1375.54566644948</v>
      </c>
      <c r="BZ141" s="48" t="n">
        <f aca="false">BZ139+BZ93+BZ101+$E98*BZ14</f>
        <v>1370.10726242307</v>
      </c>
      <c r="CA141" s="48" t="n">
        <f aca="false">CA139+CA93+CA101+$E98*CA14</f>
        <v>1361.52293461023</v>
      </c>
      <c r="CB141" s="48" t="n">
        <f aca="false">CB139+CB93+CB101+$E98*CB14</f>
        <v>1360.7112382266</v>
      </c>
      <c r="CC141" s="48" t="n">
        <f aca="false">CC139+CC93+CC101+$E98*CC14</f>
        <v>1374.66187884934</v>
      </c>
      <c r="CD141" s="48" t="n">
        <f aca="false">CD139+CD93+CD101+$E98*CD14</f>
        <v>1369.15533475112</v>
      </c>
      <c r="CE141" s="48" t="n">
        <f aca="false">CE139+CE93+CE101+$E98*CE14</f>
        <v>1345.58580601065</v>
      </c>
      <c r="CF141" s="48" t="n">
        <f aca="false">CF139+CF93+CF101+$E98*CF14</f>
        <v>1359.54044703036</v>
      </c>
      <c r="CG141" s="48" t="n">
        <f aca="false">CG139+CG93+CG101+$E98*CG14</f>
        <v>1373.47403944223</v>
      </c>
      <c r="CH141" s="48" t="n">
        <f aca="false">CH139+CH93+CH101+$E98*CH14</f>
        <v>1367.89763087451</v>
      </c>
      <c r="CI141" s="48" t="n">
        <f aca="false">CI139+CI93+CI101+$E98*CI14</f>
        <v>1344.11146853625</v>
      </c>
      <c r="CJ141" s="48" t="n">
        <f aca="false">CJ139+CJ93+CJ101+$E98*CJ14</f>
        <v>1358.04601118562</v>
      </c>
      <c r="CK141" s="48" t="n">
        <f aca="false">CK139+CK93+CK101+$E98*CK14</f>
        <v>1371.95899096463</v>
      </c>
      <c r="CL141" s="48" t="n">
        <f aca="false">CL139+CL93+CL101+$E98*CL14</f>
        <v>1366.31078803015</v>
      </c>
      <c r="CM141" s="48" t="n">
        <f aca="false">CM139+CM93+CM101+$E98*CM14</f>
        <v>1342.30445624903</v>
      </c>
      <c r="CN141" s="48" t="n">
        <f aca="false">CN139+CN93+CN101+$E98*CN14</f>
        <v>1356.21521568725</v>
      </c>
      <c r="CO141" s="48" t="n">
        <f aca="false">CO139+CO93+CO101+$E98*CO14</f>
        <v>1370.1038769614</v>
      </c>
      <c r="CP141" s="48" t="n">
        <f aca="false">CP139+CP93+CP101+$E98*CP14</f>
        <v>1364.38186701099</v>
      </c>
      <c r="CQ141" s="48" t="n">
        <f aca="false">CQ139+CQ93+CQ101+$E98*CQ14</f>
        <v>1355.00894080668</v>
      </c>
      <c r="CR141" s="48" t="n">
        <f aca="false">CR139+CR93+CR101+$E98*CR14</f>
        <v>1354.02365165387</v>
      </c>
      <c r="CS141" s="48" t="n">
        <f aca="false">CS139+CS93+CS101+$E98*CS14</f>
        <v>2295.17115005491</v>
      </c>
      <c r="CT141" s="48" t="n">
        <f aca="false">CT139+CT93+CT101+$E98*CT14</f>
        <v>2279.94971794918</v>
      </c>
      <c r="CU141" s="48" t="n">
        <f aca="false">CU139+CU93+CU101+$E98*CU14</f>
        <v>2240.73153719111</v>
      </c>
      <c r="CV141" s="48" t="n">
        <f aca="false">CV139+CV93+CV101+$E98*CV14</f>
        <v>2265.62855427102</v>
      </c>
      <c r="CW141" s="48" t="n">
        <f aca="false">CW139+CW93+CW101+$E98*CW14</f>
        <v>2290.52557135092</v>
      </c>
      <c r="CX141" s="48" t="n">
        <f aca="false">CX139+CX93+CX101+$E98*CX14</f>
        <v>2282.47953249614</v>
      </c>
      <c r="CY141" s="48" t="n">
        <f aca="false">CY139+CY93+CY101+$E98*CY14</f>
        <v>2242.9577346824</v>
      </c>
      <c r="CZ141" s="48" t="n">
        <f aca="false">CZ139+CZ93+CZ101+$E98*CZ14</f>
        <v>2267.87948728999</v>
      </c>
      <c r="DA141" s="48" t="n">
        <f aca="false">DA139+DA93+DA101+$E98*DA14</f>
        <v>2292.80123989757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2118.45498318408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502</v>
      </c>
      <c r="D142" s="11" t="s">
        <v>27</v>
      </c>
      <c r="E142" s="33" t="n">
        <f aca="false">XIRR(INDEX($J141:$EO141,$E15):$EO141,INDEX($J$4:$EO$4,$E15):$EO$4)</f>
        <v>0.0759030321814568</v>
      </c>
    </row>
    <row r="144" customFormat="false" ht="15" hidden="false" customHeight="false" outlineLevel="0" collapsed="false">
      <c r="A144" s="9" t="s">
        <v>13</v>
      </c>
      <c r="B144" s="9"/>
      <c r="C144" s="9" t="s">
        <v>503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504</v>
      </c>
      <c r="D145" s="11" t="s">
        <v>33</v>
      </c>
      <c r="I145" s="48" t="n">
        <f aca="false">SUM(J145:EO145)</f>
        <v>185263.254064645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-8231.1046832519</v>
      </c>
      <c r="S145" s="48" t="n">
        <f aca="false">S62+S69+S82+S61+S112</f>
        <v>-16208.0072938226</v>
      </c>
      <c r="T145" s="48" t="n">
        <f aca="false">T62+T69+T82+T61+T112</f>
        <v>-8142.66396695028</v>
      </c>
      <c r="U145" s="48" t="n">
        <f aca="false">U62+U69+U82+U61+U112</f>
        <v>-8232.14379076292</v>
      </c>
      <c r="V145" s="48" t="n">
        <f aca="false">V62+V69+V82+V61+V112</f>
        <v>-8232.14379076292</v>
      </c>
      <c r="W145" s="48" t="n">
        <f aca="false">W62+W69+W82+W61+W112</f>
        <v>-8054.22607431038</v>
      </c>
      <c r="X145" s="48" t="n">
        <f aca="false">X62+X69+X82+X61+X112</f>
        <v>-8143.71747513605</v>
      </c>
      <c r="Y145" s="48" t="n">
        <f aca="false">Y62+Y69+Y82+Y61+Y112</f>
        <v>-10733.2088759617</v>
      </c>
      <c r="Z145" s="48" t="n">
        <f aca="false">Z62+Z69+Z82+Z61+Z112</f>
        <v>2303.35715537998</v>
      </c>
      <c r="AA145" s="48" t="n">
        <f aca="false">AA62+AA69+AA82+AA61+AA112</f>
        <v>2268.44894488457</v>
      </c>
      <c r="AB145" s="48" t="n">
        <f aca="false">AB62+AB69+AB82+AB61+AB112</f>
        <v>2292.85378238356</v>
      </c>
      <c r="AC145" s="48" t="n">
        <f aca="false">AC62+AC69+AC82+AC61+AC112</f>
        <v>2317.24500772654</v>
      </c>
      <c r="AD145" s="48" t="n">
        <f aca="false">AD62+AD69+AD82+AD61+AD112</f>
        <v>2309.02700771176</v>
      </c>
      <c r="AE145" s="48" t="n">
        <f aca="false">AE62+AE69+AE82+AE61+AE112</f>
        <v>2244.43107067096</v>
      </c>
      <c r="AF145" s="48" t="n">
        <f aca="false">AF62+AF69+AF82+AF61+AF112</f>
        <v>2237.4620369806</v>
      </c>
      <c r="AG145" s="48" t="n">
        <f aca="false">AG62+AG69+AG82+AG61+AG112</f>
        <v>2260.47690730532</v>
      </c>
      <c r="AH145" s="48" t="n">
        <f aca="false">AH62+AH69+AH82+AH61+AH112</f>
        <v>2252.47501014438</v>
      </c>
      <c r="AI145" s="48" t="n">
        <f aca="false">AI62+AI69+AI82+AI61+AI112</f>
        <v>2217.61091354171</v>
      </c>
      <c r="AJ145" s="48" t="n">
        <f aca="false">AJ62+AJ69+AJ82+AJ61+AJ112</f>
        <v>2268.86305567236</v>
      </c>
      <c r="AK145" s="48" t="n">
        <f aca="false">AK62+AK69+AK82+AK61+AK112</f>
        <v>2292.19479192129</v>
      </c>
      <c r="AL145" s="48" t="n">
        <f aca="false">AL62+AL69+AL82+AL61+AL112</f>
        <v>2284.08516221084</v>
      </c>
      <c r="AM145" s="48" t="n">
        <f aca="false">AM62+AM69+AM82+AM61+AM112</f>
        <v>2248.27717430633</v>
      </c>
      <c r="AN145" s="48" t="n">
        <f aca="false">AN62+AN69+AN82+AN61+AN112</f>
        <v>2271.66034747153</v>
      </c>
      <c r="AO145" s="48" t="n">
        <f aca="false">AO62+AO69+AO82+AO61+AO112</f>
        <v>2295.01583931118</v>
      </c>
      <c r="AP145" s="48" t="n">
        <f aca="false">AP62+AP69+AP82+AP61+AP112</f>
        <v>2286.81726976705</v>
      </c>
      <c r="AQ145" s="48" t="n">
        <f aca="false">AQ62+AQ69+AQ82+AQ61+AQ112</f>
        <v>2250.7015888303</v>
      </c>
      <c r="AR145" s="48" t="n">
        <f aca="false">AR62+AR69+AR82+AR61+AR112</f>
        <v>2274.10521232193</v>
      </c>
      <c r="AS145" s="48" t="n">
        <f aca="false">AS62+AS69+AS82+AS61+AS112</f>
        <v>2297.48059219911</v>
      </c>
      <c r="AT145" s="48" t="n">
        <f aca="false">AT62+AT69+AT82+AT61+AT112</f>
        <v>2289.19102376248</v>
      </c>
      <c r="AU145" s="48" t="n">
        <f aca="false">AU62+AU69+AU82+AU61+AU112</f>
        <v>2277.07531538182</v>
      </c>
      <c r="AV145" s="48" t="n">
        <f aca="false">AV62+AV69+AV82+AV61+AV112</f>
        <v>2276.16504838274</v>
      </c>
      <c r="AW145" s="48" t="n">
        <f aca="false">AW62+AW69+AW82+AW61+AW112</f>
        <v>2299.5560757393</v>
      </c>
      <c r="AX145" s="48" t="n">
        <f aca="false">AX62+AX69+AX82+AX61+AX112</f>
        <v>2291.17314750381</v>
      </c>
      <c r="AY145" s="48" t="n">
        <f aca="false">AY62+AY69+AY82+AY61+AY112</f>
        <v>2254.42878111867</v>
      </c>
      <c r="AZ145" s="48" t="n">
        <f aca="false">AZ62+AZ69+AZ82+AZ61+AZ112</f>
        <v>2277.86090888988</v>
      </c>
      <c r="BA145" s="48" t="n">
        <f aca="false">BA62+BA69+BA82+BA61+BA112</f>
        <v>2301.26360061453</v>
      </c>
      <c r="BB145" s="48" t="n">
        <f aca="false">BB62+BB69+BB82+BB61+BB112</f>
        <v>2292.78528972579</v>
      </c>
      <c r="BC145" s="48" t="n">
        <f aca="false">BC62+BC69+BC82+BC61+BC112</f>
        <v>2255.71989890022</v>
      </c>
      <c r="BD145" s="48" t="n">
        <f aca="false">BD62+BD69+BD82+BD61+BD112</f>
        <v>2279.15996241908</v>
      </c>
      <c r="BE145" s="48" t="n">
        <f aca="false">BE62+BE69+BE82+BE61+BE112</f>
        <v>2302.56996023413</v>
      </c>
      <c r="BF145" s="48" t="n">
        <f aca="false">BF62+BF69+BF82+BF61+BF112</f>
        <v>2293.99394394046</v>
      </c>
      <c r="BG145" s="48" t="n">
        <f aca="false">BG62+BG69+BG82+BG61+BG112</f>
        <v>2256.60283788137</v>
      </c>
      <c r="BH145" s="48" t="n">
        <f aca="false">BH62+BH69+BH82+BH61+BH112</f>
        <v>2280.0463275728</v>
      </c>
      <c r="BI145" s="48" t="n">
        <f aca="false">BI62+BI69+BI82+BI61+BI112</f>
        <v>2303.45909739256</v>
      </c>
      <c r="BJ145" s="48" t="n">
        <f aca="false">BJ62+BJ69+BJ82+BJ61+BJ112</f>
        <v>2294.78295689115</v>
      </c>
      <c r="BK145" s="48" t="n">
        <f aca="false">BK62+BK69+BK82+BK61+BK112</f>
        <v>2281.5999027743</v>
      </c>
      <c r="BL145" s="48" t="n">
        <f aca="false">BL62+BL69+BL82+BL61+BL112</f>
        <v>2280.48501390094</v>
      </c>
      <c r="BM145" s="48" t="n">
        <f aca="false">BM62+BM69+BM82+BM61+BM112</f>
        <v>2303.89562167732</v>
      </c>
      <c r="BN145" s="48" t="n">
        <f aca="false">BN62+BN69+BN82+BN61+BN112</f>
        <v>2295.11661752694</v>
      </c>
      <c r="BO145" s="48" t="n">
        <f aca="false">BO62+BO69+BO82+BO61+BO112</f>
        <v>2257.05924775701</v>
      </c>
      <c r="BP145" s="48" t="n">
        <f aca="false">BP62+BP69+BP82+BP61+BP112</f>
        <v>2280.49510381918</v>
      </c>
      <c r="BQ145" s="48" t="n">
        <f aca="false">BQ62+BQ69+BQ82+BQ61+BQ112</f>
        <v>2303.89885092781</v>
      </c>
      <c r="BR145" s="48" t="n">
        <f aca="false">BR62+BR69+BR82+BR61+BR112</f>
        <v>2295.01456815235</v>
      </c>
      <c r="BS145" s="48" t="n">
        <f aca="false">BS62+BS69+BS82+BS61+BS112</f>
        <v>2256.61657950492</v>
      </c>
      <c r="BT145" s="48" t="n">
        <f aca="false">BT62+BT69+BT82+BT61+BT112</f>
        <v>2280.04120702133</v>
      </c>
      <c r="BU145" s="48" t="n">
        <f aca="false">BU62+BU69+BU82+BU61+BU112</f>
        <v>2303.43299076954</v>
      </c>
      <c r="BV145" s="48" t="n">
        <f aca="false">BV62+BV69+BV82+BV61+BV112</f>
        <v>2294.44069416591</v>
      </c>
      <c r="BW145" s="48" t="n">
        <f aca="false">BW62+BW69+BW82+BW61+BW112</f>
        <v>2255.69682997581</v>
      </c>
      <c r="BX145" s="48" t="n">
        <f aca="false">BX62+BX69+BX82+BX61+BX112</f>
        <v>2279.10495173994</v>
      </c>
      <c r="BY145" s="48" t="n">
        <f aca="false">BY62+BY69+BY82+BY61+BY112</f>
        <v>2302.47946555855</v>
      </c>
      <c r="BZ145" s="48" t="n">
        <f aca="false">BZ62+BZ69+BZ82+BZ61+BZ112</f>
        <v>2293.37630460822</v>
      </c>
      <c r="CA145" s="48" t="n">
        <f aca="false">CA62+CA69+CA82+CA61+CA112</f>
        <v>2279.00728800864</v>
      </c>
      <c r="CB145" s="48" t="n">
        <f aca="false">CB62+CB69+CB82+CB61+CB112</f>
        <v>2277.64861682733</v>
      </c>
      <c r="CC145" s="48" t="n">
        <f aca="false">CC62+CC69+CC82+CC61+CC112</f>
        <v>2301.00012332306</v>
      </c>
      <c r="CD145" s="48" t="n">
        <f aca="false">CD62+CD69+CD82+CD61+CD112</f>
        <v>2291.78290500628</v>
      </c>
      <c r="CE145" s="48" t="n">
        <f aca="false">CE62+CE69+CE82+CE61+CE112</f>
        <v>2252.33066633367</v>
      </c>
      <c r="CF145" s="48" t="n">
        <f aca="false">CF62+CF69+CF82+CF61+CF112</f>
        <v>2275.68886895886</v>
      </c>
      <c r="CG145" s="48" t="n">
        <f aca="false">CG62+CG69+CG82+CG61+CG112</f>
        <v>2299.01183902977</v>
      </c>
      <c r="CH145" s="48" t="n">
        <f aca="false">CH62+CH69+CH82+CH61+CH112</f>
        <v>2289.67767693549</v>
      </c>
      <c r="CI145" s="48" t="n">
        <f aca="false">CI62+CI69+CI82+CI61+CI112</f>
        <v>2249.86282259507</v>
      </c>
      <c r="CJ145" s="48" t="n">
        <f aca="false">CJ62+CJ69+CJ82+CJ61+CJ112</f>
        <v>2273.18738323647</v>
      </c>
      <c r="CK145" s="48" t="n">
        <f aca="false">CK62+CK69+CK82+CK61+CK112</f>
        <v>2296.47585051693</v>
      </c>
      <c r="CL145" s="48" t="n">
        <f aca="false">CL62+CL69+CL82+CL61+CL112</f>
        <v>2287.02151425521</v>
      </c>
      <c r="CM145" s="48" t="n">
        <f aca="false">CM62+CM69+CM82+CM61+CM112</f>
        <v>2246.83812571524</v>
      </c>
      <c r="CN145" s="48" t="n">
        <f aca="false">CN62+CN69+CN82+CN61+CN112</f>
        <v>2270.12287644219</v>
      </c>
      <c r="CO145" s="48" t="n">
        <f aca="false">CO62+CO69+CO82+CO61+CO112</f>
        <v>2293.37063779814</v>
      </c>
      <c r="CP145" s="48" t="n">
        <f aca="false">CP62+CP69+CP82+CP61+CP112</f>
        <v>2283.79275846349</v>
      </c>
      <c r="CQ145" s="48" t="n">
        <f aca="false">CQ62+CQ69+CQ82+CQ61+CQ112</f>
        <v>2268.10373363211</v>
      </c>
      <c r="CR145" s="48" t="n">
        <f aca="false">CR62+CR69+CR82+CR61+CR112</f>
        <v>2266.45449137334</v>
      </c>
      <c r="CS145" s="48" t="n">
        <f aca="false">CS62+CS69+CS82+CS61+CS112</f>
        <v>2289.65487734906</v>
      </c>
      <c r="CT145" s="48" t="n">
        <f aca="false">CT62+CT69+CT82+CT61+CT112</f>
        <v>2279.94971794918</v>
      </c>
      <c r="CU145" s="48" t="n">
        <f aca="false">CU62+CU69+CU82+CU61+CU112</f>
        <v>2240.73153719111</v>
      </c>
      <c r="CV145" s="48" t="n">
        <f aca="false">CV62+CV69+CV82+CV61+CV112</f>
        <v>2265.62855427102</v>
      </c>
      <c r="CW145" s="48" t="n">
        <f aca="false">CW62+CW69+CW82+CW61+CW112</f>
        <v>2290.52557135092</v>
      </c>
      <c r="CX145" s="48" t="n">
        <f aca="false">CX62+CX69+CX82+CX61+CX112</f>
        <v>2282.47953249614</v>
      </c>
      <c r="CY145" s="48" t="n">
        <f aca="false">CY62+CY69+CY82+CY61+CY112</f>
        <v>2242.9577346824</v>
      </c>
      <c r="CZ145" s="48" t="n">
        <f aca="false">CZ62+CZ69+CZ82+CZ61+CZ112</f>
        <v>2267.87948728999</v>
      </c>
      <c r="DA145" s="48" t="n">
        <f aca="false">DA62+DA69+DA82+DA61+DA112</f>
        <v>2292.80123989757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2118.45498318408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0.0962713849592859</v>
      </c>
    </row>
    <row r="147" customFormat="false" ht="15" hidden="false" customHeight="false" outlineLevel="0" collapsed="false">
      <c r="C147" s="25" t="s">
        <v>505</v>
      </c>
      <c r="D147" s="11" t="s">
        <v>33</v>
      </c>
      <c r="I147" s="57" t="n">
        <f aca="false">SUM(J147:EO147)</f>
        <v>159468.109171738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-4598.78508914336</v>
      </c>
      <c r="S147" s="57" t="n">
        <f aca="false">S62+S69+S95+S99+S100+S82+S93+S101+S61+S112</f>
        <v>-7416.60009090345</v>
      </c>
      <c r="T147" s="57" t="n">
        <f aca="false">T62+T69+T95+T99+T100+T82+T93+T101+T61+T112</f>
        <v>-3768.65166995178</v>
      </c>
      <c r="U147" s="57" t="n">
        <f aca="false">U62+U69+U95+U99+U100+U82+U93+U101+U61+U112</f>
        <v>-3800.0000014</v>
      </c>
      <c r="V147" s="57" t="n">
        <f aca="false">V62+V69+V95+V99+V100+V82+V93+V101+V61+V112</f>
        <v>-3789.82396918758</v>
      </c>
      <c r="W147" s="57" t="n">
        <f aca="false">W62+W69+W95+W99+W100+W82+W93+W101+W61+W112</f>
        <v>-3698.52360864843</v>
      </c>
      <c r="X147" s="57" t="n">
        <f aca="false">X62+X69+X95+X99+X100+X82+X93+X101+X61+X112</f>
        <v>-3729.77170579166</v>
      </c>
      <c r="Y147" s="57" t="n">
        <f aca="false">Y62+Y69+Y95+Y99+Y100+Y82+Y93+Y101+Y61+Y112</f>
        <v>-5812.97992497977</v>
      </c>
      <c r="Z147" s="57" t="n">
        <f aca="false">Z62+Z69+Z95+Z99+Z100+Z82+Z93+Z101+Z61+Z112</f>
        <v>1376.07001528669</v>
      </c>
      <c r="AA147" s="57" t="n">
        <f aca="false">AA62+AA69+AA95+AA99+AA100+AA82+AA93+AA101+AA61+AA112</f>
        <v>1355.21517667086</v>
      </c>
      <c r="AB147" s="57" t="n">
        <f aca="false">AB62+AB69+AB95+AB99+AB100+AB82+AB93+AB101+AB61+AB112</f>
        <v>1369.79509756236</v>
      </c>
      <c r="AC147" s="57" t="n">
        <f aca="false">AC62+AC69+AC95+AC99+AC100+AC82+AC93+AC101+AC61+AC112</f>
        <v>1384.36688628917</v>
      </c>
      <c r="AD147" s="57" t="n">
        <f aca="false">AD62+AD69+AD95+AD99+AD100+AD82+AD93+AD101+AD61+AD112</f>
        <v>1379.45729448767</v>
      </c>
      <c r="AE147" s="57" t="n">
        <f aca="false">AE62+AE69+AE95+AE99+AE100+AE82+AE93+AE101+AE61+AE112</f>
        <v>1340.86643511377</v>
      </c>
      <c r="AF147" s="57" t="n">
        <f aca="false">AF62+AF69+AF95+AF99+AF100+AF82+AF93+AF101+AF61+AF112</f>
        <v>1336.70299989728</v>
      </c>
      <c r="AG147" s="57" t="n">
        <f aca="false">AG62+AG69+AG95+AG99+AG100+AG82+AG93+AG101+AG61+AG112</f>
        <v>1350.452527575</v>
      </c>
      <c r="AH147" s="57" t="n">
        <f aca="false">AH62+AH69+AH95+AH99+AH100+AH82+AH93+AH101+AH61+AH112</f>
        <v>1345.67203978878</v>
      </c>
      <c r="AI147" s="57" t="n">
        <f aca="false">AI62+AI69+AI95+AI99+AI100+AI82+AI93+AI101+AI61+AI112</f>
        <v>1324.8435556638</v>
      </c>
      <c r="AJ147" s="57" t="n">
        <f aca="false">AJ62+AJ69+AJ95+AJ99+AJ100+AJ82+AJ93+AJ101+AJ61+AJ112</f>
        <v>1355.46257444709</v>
      </c>
      <c r="AK147" s="57" t="n">
        <f aca="false">AK62+AK69+AK95+AK99+AK100+AK82+AK93+AK101+AK61+AK112</f>
        <v>1369.40140394287</v>
      </c>
      <c r="AL147" s="57" t="n">
        <f aca="false">AL62+AL69+AL95+AL99+AL100+AL82+AL93+AL101+AL61+AL112</f>
        <v>1364.55655465254</v>
      </c>
      <c r="AM147" s="57" t="n">
        <f aca="false">AM62+AM69+AM95+AM99+AM100+AM82+AM93+AM101+AM61+AM112</f>
        <v>1343.16417164843</v>
      </c>
      <c r="AN147" s="57" t="n">
        <f aca="false">AN62+AN69+AN95+AN99+AN100+AN82+AN93+AN101+AN61+AN112</f>
        <v>1357.13373055063</v>
      </c>
      <c r="AO147" s="57" t="n">
        <f aca="false">AO62+AO69+AO95+AO99+AO100+AO82+AO93+AO101+AO61+AO112</f>
        <v>1371.08675209475</v>
      </c>
      <c r="AP147" s="57" t="n">
        <f aca="false">AP62+AP69+AP95+AP99+AP100+AP82+AP93+AP101+AP61+AP112</f>
        <v>1366.18876843139</v>
      </c>
      <c r="AQ147" s="57" t="n">
        <f aca="false">AQ62+AQ69+AQ95+AQ99+AQ100+AQ82+AQ93+AQ101+AQ61+AQ112</f>
        <v>1344.6125636719</v>
      </c>
      <c r="AR147" s="57" t="n">
        <f aca="false">AR62+AR69+AR95+AR99+AR100+AR82+AR93+AR101+AR61+AR112</f>
        <v>1358.59433999376</v>
      </c>
      <c r="AS147" s="57" t="n">
        <f aca="false">AS62+AS69+AS95+AS99+AS100+AS82+AS93+AS101+AS61+AS112</f>
        <v>1372.5592430353</v>
      </c>
      <c r="AT147" s="57" t="n">
        <f aca="false">AT62+AT69+AT95+AT99+AT100+AT82+AT93+AT101+AT61+AT112</f>
        <v>1367.60689487745</v>
      </c>
      <c r="AU147" s="57" t="n">
        <f aca="false">AU62+AU69+AU95+AU99+AU100+AU82+AU93+AU101+AU61+AU112</f>
        <v>1360.3687368794</v>
      </c>
      <c r="AV147" s="57" t="n">
        <f aca="false">AV62+AV69+AV95+AV99+AV100+AV82+AV93+AV101+AV61+AV112</f>
        <v>1359.82492580762</v>
      </c>
      <c r="AW147" s="57" t="n">
        <f aca="false">AW62+AW69+AW95+AW99+AW100+AW82+AW93+AW101+AW61+AW112</f>
        <v>1373.79917695532</v>
      </c>
      <c r="AX147" s="57" t="n">
        <f aca="false">AX62+AX69+AX95+AX99+AX100+AX82+AX93+AX101+AX61+AX112</f>
        <v>1368.79105385195</v>
      </c>
      <c r="AY147" s="57" t="n">
        <f aca="false">AY62+AY69+AY95+AY99+AY100+AY82+AY93+AY101+AY61+AY112</f>
        <v>1346.83926027308</v>
      </c>
      <c r="AZ147" s="57" t="n">
        <f aca="false">AZ62+AZ69+AZ95+AZ99+AZ100+AZ82+AZ93+AZ101+AZ61+AZ112</f>
        <v>1360.83806560165</v>
      </c>
      <c r="BA147" s="57" t="n">
        <f aca="false">BA62+BA69+BA95+BA99+BA100+BA82+BA93+BA101+BA61+BA112</f>
        <v>1374.81928526794</v>
      </c>
      <c r="BB147" s="57" t="n">
        <f aca="false">BB62+BB69+BB95+BB99+BB100+BB82+BB93+BB101+BB61+BB112</f>
        <v>1369.7541787268</v>
      </c>
      <c r="BC147" s="57" t="n">
        <f aca="false">BC62+BC69+BC95+BC99+BC100+BC82+BC93+BC101+BC61+BC112</f>
        <v>1347.61059895203</v>
      </c>
      <c r="BD147" s="57" t="n">
        <f aca="false">BD62+BD69+BD95+BD99+BD100+BD82+BD93+BD101+BD61+BD112</f>
        <v>1361.61414524938</v>
      </c>
      <c r="BE147" s="57" t="n">
        <f aca="false">BE62+BE69+BE95+BE99+BE100+BE82+BE93+BE101+BE61+BE112</f>
        <v>1375.59972971507</v>
      </c>
      <c r="BF147" s="57" t="n">
        <f aca="false">BF62+BF69+BF95+BF99+BF100+BF82+BF93+BF101+BF61+BF112</f>
        <v>1370.47625207949</v>
      </c>
      <c r="BG147" s="57" t="n">
        <f aca="false">BG62+BG69+BG95+BG99+BG100+BG82+BG93+BG101+BG61+BG112</f>
        <v>1348.1380837385</v>
      </c>
      <c r="BH147" s="57" t="n">
        <f aca="false">BH62+BH69+BH95+BH99+BH100+BH82+BH93+BH101+BH61+BH112</f>
        <v>1362.14367689746</v>
      </c>
      <c r="BI147" s="57" t="n">
        <f aca="false">BI62+BI69+BI95+BI99+BI100+BI82+BI93+BI101+BI61+BI112</f>
        <v>1376.13091741226</v>
      </c>
      <c r="BJ147" s="57" t="n">
        <f aca="false">BJ62+BJ69+BJ95+BJ99+BJ100+BJ82+BJ93+BJ101+BJ61+BJ112</f>
        <v>1370.94762364276</v>
      </c>
      <c r="BK147" s="57" t="n">
        <f aca="false">BK62+BK69+BK95+BK99+BK100+BK82+BK93+BK101+BK61+BK112</f>
        <v>1363.07181270405</v>
      </c>
      <c r="BL147" s="57" t="n">
        <f aca="false">BL62+BL69+BL95+BL99+BL100+BL82+BL93+BL101+BL61+BL112</f>
        <v>1362.40575657575</v>
      </c>
      <c r="BM147" s="57" t="n">
        <f aca="false">BM62+BM69+BM95+BM99+BM100+BM82+BM93+BM101+BM61+BM112</f>
        <v>1376.3917054441</v>
      </c>
      <c r="BN147" s="57" t="n">
        <f aca="false">BN62+BN69+BN95+BN99+BN100+BN82+BN93+BN101+BN61+BN112</f>
        <v>1371.14695894563</v>
      </c>
      <c r="BO147" s="57" t="n">
        <f aca="false">BO62+BO69+BO95+BO99+BO100+BO82+BO93+BO101+BO61+BO112</f>
        <v>1348.41075180608</v>
      </c>
      <c r="BP147" s="57" t="n">
        <f aca="false">BP62+BP69+BP95+BP99+BP100+BP82+BP93+BP101+BP61+BP112</f>
        <v>1362.41178448762</v>
      </c>
      <c r="BQ147" s="57" t="n">
        <f aca="false">BQ62+BQ69+BQ95+BQ99+BQ100+BQ82+BQ93+BQ101+BQ61+BQ112</f>
        <v>1376.39363466066</v>
      </c>
      <c r="BR147" s="57" t="n">
        <f aca="false">BR62+BR69+BR95+BR99+BR100+BR82+BR93+BR101+BR61+BR112</f>
        <v>1371.08599267988</v>
      </c>
      <c r="BS147" s="57" t="n">
        <f aca="false">BS62+BS69+BS95+BS99+BS100+BS82+BS93+BS101+BS61+BS112</f>
        <v>1348.14629324958</v>
      </c>
      <c r="BT147" s="57" t="n">
        <f aca="false">BT62+BT69+BT95+BT99+BT100+BT82+BT93+BT101+BT61+BT112</f>
        <v>1362.14061778119</v>
      </c>
      <c r="BU147" s="57" t="n">
        <f aca="false">BU62+BU69+BU95+BU99+BU100+BU82+BU93+BU101+BU61+BU112</f>
        <v>1376.11532081185</v>
      </c>
      <c r="BV147" s="57" t="n">
        <f aca="false">BV62+BV69+BV95+BV99+BV100+BV82+BV93+BV101+BV61+BV112</f>
        <v>1370.74314928564</v>
      </c>
      <c r="BW147" s="57" t="n">
        <f aca="false">BW62+BW69+BW95+BW99+BW100+BW82+BW93+BW101+BW61+BW112</f>
        <v>1347.59681713137</v>
      </c>
      <c r="BX147" s="57" t="n">
        <f aca="false">BX62+BX69+BX95+BX99+BX100+BX82+BX93+BX101+BX61+BX112</f>
        <v>1361.58128080804</v>
      </c>
      <c r="BY147" s="57" t="n">
        <f aca="false">BY62+BY69+BY95+BY99+BY100+BY82+BY93+BY101+BY61+BY112</f>
        <v>1375.54566644948</v>
      </c>
      <c r="BZ147" s="57" t="n">
        <f aca="false">BZ62+BZ69+BZ95+BZ99+BZ100+BZ82+BZ93+BZ101+BZ61+BZ112</f>
        <v>1370.10726242307</v>
      </c>
      <c r="CA147" s="57" t="n">
        <f aca="false">CA62+CA69+CA95+CA99+CA100+CA82+CA93+CA101+CA61+CA112</f>
        <v>1361.52293461023</v>
      </c>
      <c r="CB147" s="57" t="n">
        <f aca="false">CB62+CB69+CB95+CB99+CB100+CB82+CB93+CB101+CB61+CB112</f>
        <v>1360.7112382266</v>
      </c>
      <c r="CC147" s="57" t="n">
        <f aca="false">CC62+CC69+CC95+CC99+CC100+CC82+CC93+CC101+CC61+CC112</f>
        <v>1374.66187884935</v>
      </c>
      <c r="CD147" s="57" t="n">
        <f aca="false">CD62+CD69+CD95+CD99+CD100+CD82+CD93+CD101+CD61+CD112</f>
        <v>1369.15533475112</v>
      </c>
      <c r="CE147" s="57" t="n">
        <f aca="false">CE62+CE69+CE95+CE99+CE100+CE82+CE93+CE101+CE61+CE112</f>
        <v>1345.58580601065</v>
      </c>
      <c r="CF147" s="57" t="n">
        <f aca="false">CF62+CF69+CF95+CF99+CF100+CF82+CF93+CF101+CF61+CF112</f>
        <v>1359.54044703036</v>
      </c>
      <c r="CG147" s="57" t="n">
        <f aca="false">CG62+CG69+CG95+CG99+CG100+CG82+CG93+CG101+CG61+CG112</f>
        <v>1373.47403944223</v>
      </c>
      <c r="CH147" s="57" t="n">
        <f aca="false">CH62+CH69+CH95+CH99+CH100+CH82+CH93+CH101+CH61+CH112</f>
        <v>1367.89763087451</v>
      </c>
      <c r="CI147" s="57" t="n">
        <f aca="false">CI62+CI69+CI95+CI99+CI100+CI82+CI93+CI101+CI61+CI112</f>
        <v>1344.11146853625</v>
      </c>
      <c r="CJ147" s="57" t="n">
        <f aca="false">CJ62+CJ69+CJ95+CJ99+CJ100+CJ82+CJ93+CJ101+CJ61+CJ112</f>
        <v>1358.04601118562</v>
      </c>
      <c r="CK147" s="57" t="n">
        <f aca="false">CK62+CK69+CK95+CK99+CK100+CK82+CK93+CK101+CK61+CK112</f>
        <v>1371.95899096463</v>
      </c>
      <c r="CL147" s="57" t="n">
        <f aca="false">CL62+CL69+CL95+CL99+CL100+CL82+CL93+CL101+CL61+CL112</f>
        <v>1366.31078803015</v>
      </c>
      <c r="CM147" s="57" t="n">
        <f aca="false">CM62+CM69+CM95+CM99+CM100+CM82+CM93+CM101+CM61+CM112</f>
        <v>1342.30445624903</v>
      </c>
      <c r="CN147" s="57" t="n">
        <f aca="false">CN62+CN69+CN95+CN99+CN100+CN82+CN93+CN101+CN61+CN112</f>
        <v>1356.21521568725</v>
      </c>
      <c r="CO147" s="57" t="n">
        <f aca="false">CO62+CO69+CO95+CO99+CO100+CO82+CO93+CO101+CO61+CO112</f>
        <v>1370.1038769614</v>
      </c>
      <c r="CP147" s="57" t="n">
        <f aca="false">CP62+CP69+CP95+CP99+CP100+CP82+CP93+CP101+CP61+CP112</f>
        <v>1364.38186701099</v>
      </c>
      <c r="CQ147" s="57" t="n">
        <f aca="false">CQ62+CQ69+CQ95+CQ99+CQ100+CQ82+CQ93+CQ101+CQ61+CQ112</f>
        <v>1355.00894080668</v>
      </c>
      <c r="CR147" s="57" t="n">
        <f aca="false">CR62+CR69+CR95+CR99+CR100+CR82+CR93+CR101+CR61+CR112</f>
        <v>1354.02365165387</v>
      </c>
      <c r="CS147" s="57" t="n">
        <f aca="false">CS62+CS69+CS95+CS99+CS100+CS82+CS93+CS101+CS61+CS112</f>
        <v>2295.17115005491</v>
      </c>
      <c r="CT147" s="57" t="n">
        <f aca="false">CT62+CT69+CT95+CT99+CT100+CT82+CT93+CT101+CT61+CT112</f>
        <v>2279.94971794918</v>
      </c>
      <c r="CU147" s="57" t="n">
        <f aca="false">CU62+CU69+CU95+CU99+CU100+CU82+CU93+CU101+CU61+CU112</f>
        <v>2240.73153719111</v>
      </c>
      <c r="CV147" s="57" t="n">
        <f aca="false">CV62+CV69+CV95+CV99+CV100+CV82+CV93+CV101+CV61+CV112</f>
        <v>2265.62855427102</v>
      </c>
      <c r="CW147" s="57" t="n">
        <f aca="false">CW62+CW69+CW95+CW99+CW100+CW82+CW93+CW101+CW61+CW112</f>
        <v>2290.52557135092</v>
      </c>
      <c r="CX147" s="57" t="n">
        <f aca="false">CX62+CX69+CX95+CX99+CX100+CX82+CX93+CX101+CX61+CX112</f>
        <v>2282.47953249614</v>
      </c>
      <c r="CY147" s="57" t="n">
        <f aca="false">CY62+CY69+CY95+CY99+CY100+CY82+CY93+CY101+CY61+CY112</f>
        <v>2242.9577346824</v>
      </c>
      <c r="CZ147" s="57" t="n">
        <f aca="false">CZ62+CZ69+CZ95+CZ99+CZ100+CZ82+CZ93+CZ101+CZ61+CZ112</f>
        <v>2267.87948728999</v>
      </c>
      <c r="DA147" s="57" t="n">
        <f aca="false">DA62+DA69+DA95+DA99+DA100+DA82+DA93+DA101+DA61+DA112</f>
        <v>2292.80123989757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2118.45498318408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0.117451501890167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4.74214556361979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16680.6940920772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398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506</v>
      </c>
      <c r="F9" s="8" t="s">
        <v>507</v>
      </c>
    </row>
    <row r="11" customFormat="false" ht="15" hidden="false" customHeight="false" outlineLevel="0" collapsed="false">
      <c r="A11" s="9" t="s">
        <v>13</v>
      </c>
      <c r="B11" s="9"/>
      <c r="C11" s="9" t="s">
        <v>508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509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510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511</v>
      </c>
      <c r="D14" s="11" t="s">
        <v>43</v>
      </c>
      <c r="E14" s="27" t="str">
        <f aca="false">IF(F14=0,"OK","CHECK")</f>
        <v>OK</v>
      </c>
      <c r="F14" s="50" t="n">
        <f aca="false">N(Calc_1!$E44+Calc_1!$F44&gt;0)</f>
        <v>0</v>
      </c>
    </row>
    <row r="15" customFormat="false" ht="15" hidden="false" customHeight="false" outlineLevel="0" collapsed="false">
      <c r="C15" s="0" t="s">
        <v>512</v>
      </c>
      <c r="D15" s="11" t="s">
        <v>43</v>
      </c>
      <c r="E15" s="27" t="str">
        <f aca="false">IF(F15=0,"OK","CHECK")</f>
        <v>OK</v>
      </c>
      <c r="F15" s="50" t="n">
        <f aca="false">N(Calc_2!$E44+Calc_2!$F44&gt;0)</f>
        <v>0</v>
      </c>
    </row>
    <row r="16" customFormat="false" ht="15" hidden="false" customHeight="false" outlineLevel="0" collapsed="false">
      <c r="C16" s="0" t="s">
        <v>513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514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515</v>
      </c>
      <c r="D18" s="11" t="s">
        <v>43</v>
      </c>
      <c r="E18" s="27" t="str">
        <f aca="false">IF(F18=0,"OK","CHECK")</f>
        <v>OK</v>
      </c>
      <c r="F18" s="50" t="n">
        <f aca="false">N(Calc_1!$F89&gt;1+Tolerance)</f>
        <v>0</v>
      </c>
    </row>
    <row r="19" customFormat="false" ht="15" hidden="false" customHeight="false" outlineLevel="0" collapsed="false">
      <c r="C19" s="0" t="s">
        <v>516</v>
      </c>
      <c r="D19" s="11" t="s">
        <v>43</v>
      </c>
      <c r="E19" s="27" t="str">
        <f aca="false">IF(F19=0,"OK","CHECK")</f>
        <v>OK</v>
      </c>
      <c r="F19" s="50" t="n">
        <f aca="false">N(Calc_2!$F89&gt;1+Tolerance)</f>
        <v>0</v>
      </c>
    </row>
    <row r="20" customFormat="false" ht="15" hidden="false" customHeight="false" outlineLevel="0" collapsed="false">
      <c r="C20" s="0" t="s">
        <v>517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N((Calc_1!J$4&gt;=Calc_1!$F18)*ABS(Calc_1!J98)&gt;Tolerance)</f>
        <v>0</v>
      </c>
      <c r="K20" s="50" t="n">
        <f aca="false">N((Calc_1!K$4&gt;=Calc_1!$F18)*ABS(Calc_1!K98)&gt;Tolerance)</f>
        <v>0</v>
      </c>
      <c r="L20" s="50" t="n">
        <f aca="false">N((Calc_1!L$4&gt;=Calc_1!$F18)*ABS(Calc_1!L98)&gt;Tolerance)</f>
        <v>0</v>
      </c>
      <c r="M20" s="50" t="n">
        <f aca="false">N((Calc_1!M$4&gt;=Calc_1!$F18)*ABS(Calc_1!M98)&gt;Tolerance)</f>
        <v>0</v>
      </c>
      <c r="N20" s="50" t="n">
        <f aca="false">N((Calc_1!N$4&gt;=Calc_1!$F18)*ABS(Calc_1!N98)&gt;Tolerance)</f>
        <v>0</v>
      </c>
      <c r="O20" s="50" t="n">
        <f aca="false">N((Calc_1!O$4&gt;=Calc_1!$F18)*ABS(Calc_1!O98)&gt;Tolerance)</f>
        <v>0</v>
      </c>
      <c r="P20" s="50" t="n">
        <f aca="false">N((Calc_1!P$4&gt;=Calc_1!$F18)*ABS(Calc_1!P98)&gt;Tolerance)</f>
        <v>0</v>
      </c>
      <c r="Q20" s="50" t="n">
        <f aca="false">N((Calc_1!Q$4&gt;=Calc_1!$F18)*ABS(Calc_1!Q98)&gt;Tolerance)</f>
        <v>0</v>
      </c>
      <c r="R20" s="50" t="n">
        <f aca="false">N((Calc_1!R$4&gt;=Calc_1!$F18)*ABS(Calc_1!R98)&gt;Tolerance)</f>
        <v>0</v>
      </c>
      <c r="S20" s="50" t="n">
        <f aca="false">N((Calc_1!S$4&gt;=Calc_1!$F18)*ABS(Calc_1!S98)&gt;Tolerance)</f>
        <v>0</v>
      </c>
      <c r="T20" s="50" t="n">
        <f aca="false">N((Calc_1!T$4&gt;=Calc_1!$F18)*ABS(Calc_1!T98)&gt;Tolerance)</f>
        <v>0</v>
      </c>
      <c r="U20" s="50" t="n">
        <f aca="false">N((Calc_1!U$4&gt;=Calc_1!$F18)*ABS(Calc_1!U98)&gt;Tolerance)</f>
        <v>0</v>
      </c>
      <c r="V20" s="50" t="n">
        <f aca="false">N((Calc_1!V$4&gt;=Calc_1!$F18)*ABS(Calc_1!V98)&gt;Tolerance)</f>
        <v>0</v>
      </c>
      <c r="W20" s="50" t="n">
        <f aca="false">N((Calc_1!W$4&gt;=Calc_1!$F18)*ABS(Calc_1!W98)&gt;Tolerance)</f>
        <v>0</v>
      </c>
      <c r="X20" s="50" t="n">
        <f aca="false">N((Calc_1!X$4&gt;=Calc_1!$F18)*ABS(Calc_1!X98)&gt;Tolerance)</f>
        <v>0</v>
      </c>
      <c r="Y20" s="50" t="n">
        <f aca="false">N((Calc_1!Y$4&gt;=Calc_1!$F18)*ABS(Calc_1!Y98)&gt;Tolerance)</f>
        <v>0</v>
      </c>
      <c r="Z20" s="50" t="n">
        <f aca="false">N((Calc_1!Z$4&gt;=Calc_1!$F18)*ABS(Calc_1!Z98)&gt;Tolerance)</f>
        <v>0</v>
      </c>
      <c r="AA20" s="50" t="n">
        <f aca="false">N((Calc_1!AA$4&gt;=Calc_1!$F18)*ABS(Calc_1!AA98)&gt;Tolerance)</f>
        <v>0</v>
      </c>
      <c r="AB20" s="50" t="n">
        <f aca="false">N((Calc_1!AB$4&gt;=Calc_1!$F18)*ABS(Calc_1!AB98)&gt;Tolerance)</f>
        <v>0</v>
      </c>
      <c r="AC20" s="50" t="n">
        <f aca="false">N((Calc_1!AC$4&gt;=Calc_1!$F18)*ABS(Calc_1!AC98)&gt;Tolerance)</f>
        <v>0</v>
      </c>
      <c r="AD20" s="50" t="n">
        <f aca="false">N((Calc_1!AD$4&gt;=Calc_1!$F18)*ABS(Calc_1!AD98)&gt;Tolerance)</f>
        <v>0</v>
      </c>
      <c r="AE20" s="50" t="n">
        <f aca="false">N((Calc_1!AE$4&gt;=Calc_1!$F18)*ABS(Calc_1!AE98)&gt;Tolerance)</f>
        <v>0</v>
      </c>
      <c r="AF20" s="50" t="n">
        <f aca="false">N((Calc_1!AF$4&gt;=Calc_1!$F18)*ABS(Calc_1!AF98)&gt;Tolerance)</f>
        <v>0</v>
      </c>
      <c r="AG20" s="50" t="n">
        <f aca="false">N((Calc_1!AG$4&gt;=Calc_1!$F18)*ABS(Calc_1!AG98)&gt;Tolerance)</f>
        <v>0</v>
      </c>
      <c r="AH20" s="50" t="n">
        <f aca="false">N((Calc_1!AH$4&gt;=Calc_1!$F18)*ABS(Calc_1!AH98)&gt;Tolerance)</f>
        <v>0</v>
      </c>
      <c r="AI20" s="50" t="n">
        <f aca="false">N((Calc_1!AI$4&gt;=Calc_1!$F18)*ABS(Calc_1!AI98)&gt;Tolerance)</f>
        <v>0</v>
      </c>
      <c r="AJ20" s="50" t="n">
        <f aca="false">N((Calc_1!AJ$4&gt;=Calc_1!$F18)*ABS(Calc_1!AJ98)&gt;Tolerance)</f>
        <v>0</v>
      </c>
      <c r="AK20" s="50" t="n">
        <f aca="false">N((Calc_1!AK$4&gt;=Calc_1!$F18)*ABS(Calc_1!AK98)&gt;Tolerance)</f>
        <v>0</v>
      </c>
      <c r="AL20" s="50" t="n">
        <f aca="false">N((Calc_1!AL$4&gt;=Calc_1!$F18)*ABS(Calc_1!AL98)&gt;Tolerance)</f>
        <v>0</v>
      </c>
      <c r="AM20" s="50" t="n">
        <f aca="false">N((Calc_1!AM$4&gt;=Calc_1!$F18)*ABS(Calc_1!AM98)&gt;Tolerance)</f>
        <v>0</v>
      </c>
      <c r="AN20" s="50" t="n">
        <f aca="false">N((Calc_1!AN$4&gt;=Calc_1!$F18)*ABS(Calc_1!AN98)&gt;Tolerance)</f>
        <v>0</v>
      </c>
      <c r="AO20" s="50" t="n">
        <f aca="false">N((Calc_1!AO$4&gt;=Calc_1!$F18)*ABS(Calc_1!AO98)&gt;Tolerance)</f>
        <v>0</v>
      </c>
      <c r="AP20" s="50" t="n">
        <f aca="false">N((Calc_1!AP$4&gt;=Calc_1!$F18)*ABS(Calc_1!AP98)&gt;Tolerance)</f>
        <v>0</v>
      </c>
      <c r="AQ20" s="50" t="n">
        <f aca="false">N((Calc_1!AQ$4&gt;=Calc_1!$F18)*ABS(Calc_1!AQ98)&gt;Tolerance)</f>
        <v>0</v>
      </c>
      <c r="AR20" s="50" t="n">
        <f aca="false">N((Calc_1!AR$4&gt;=Calc_1!$F18)*ABS(Calc_1!AR98)&gt;Tolerance)</f>
        <v>0</v>
      </c>
      <c r="AS20" s="50" t="n">
        <f aca="false">N((Calc_1!AS$4&gt;=Calc_1!$F18)*ABS(Calc_1!AS98)&gt;Tolerance)</f>
        <v>0</v>
      </c>
      <c r="AT20" s="50" t="n">
        <f aca="false">N((Calc_1!AT$4&gt;=Calc_1!$F18)*ABS(Calc_1!AT98)&gt;Tolerance)</f>
        <v>0</v>
      </c>
      <c r="AU20" s="50" t="n">
        <f aca="false">N((Calc_1!AU$4&gt;=Calc_1!$F18)*ABS(Calc_1!AU98)&gt;Tolerance)</f>
        <v>0</v>
      </c>
      <c r="AV20" s="50" t="n">
        <f aca="false">N((Calc_1!AV$4&gt;=Calc_1!$F18)*ABS(Calc_1!AV98)&gt;Tolerance)</f>
        <v>0</v>
      </c>
      <c r="AW20" s="50" t="n">
        <f aca="false">N((Calc_1!AW$4&gt;=Calc_1!$F18)*ABS(Calc_1!AW98)&gt;Tolerance)</f>
        <v>0</v>
      </c>
      <c r="AX20" s="50" t="n">
        <f aca="false">N((Calc_1!AX$4&gt;=Calc_1!$F18)*ABS(Calc_1!AX98)&gt;Tolerance)</f>
        <v>0</v>
      </c>
      <c r="AY20" s="50" t="n">
        <f aca="false">N((Calc_1!AY$4&gt;=Calc_1!$F18)*ABS(Calc_1!AY98)&gt;Tolerance)</f>
        <v>0</v>
      </c>
      <c r="AZ20" s="50" t="n">
        <f aca="false">N((Calc_1!AZ$4&gt;=Calc_1!$F18)*ABS(Calc_1!AZ98)&gt;Tolerance)</f>
        <v>0</v>
      </c>
      <c r="BA20" s="50" t="n">
        <f aca="false">N((Calc_1!BA$4&gt;=Calc_1!$F18)*ABS(Calc_1!BA98)&gt;Tolerance)</f>
        <v>0</v>
      </c>
      <c r="BB20" s="50" t="n">
        <f aca="false">N((Calc_1!BB$4&gt;=Calc_1!$F18)*ABS(Calc_1!BB98)&gt;Tolerance)</f>
        <v>0</v>
      </c>
      <c r="BC20" s="50" t="n">
        <f aca="false">N((Calc_1!BC$4&gt;=Calc_1!$F18)*ABS(Calc_1!BC98)&gt;Tolerance)</f>
        <v>0</v>
      </c>
      <c r="BD20" s="50" t="n">
        <f aca="false">N((Calc_1!BD$4&gt;=Calc_1!$F18)*ABS(Calc_1!BD98)&gt;Tolerance)</f>
        <v>0</v>
      </c>
      <c r="BE20" s="50" t="n">
        <f aca="false">N((Calc_1!BE$4&gt;=Calc_1!$F18)*ABS(Calc_1!BE98)&gt;Tolerance)</f>
        <v>0</v>
      </c>
      <c r="BF20" s="50" t="n">
        <f aca="false">N((Calc_1!BF$4&gt;=Calc_1!$F18)*ABS(Calc_1!BF98)&gt;Tolerance)</f>
        <v>0</v>
      </c>
      <c r="BG20" s="50" t="n">
        <f aca="false">N((Calc_1!BG$4&gt;=Calc_1!$F18)*ABS(Calc_1!BG98)&gt;Tolerance)</f>
        <v>0</v>
      </c>
      <c r="BH20" s="50" t="n">
        <f aca="false">N((Calc_1!BH$4&gt;=Calc_1!$F18)*ABS(Calc_1!BH98)&gt;Tolerance)</f>
        <v>0</v>
      </c>
      <c r="BI20" s="50" t="n">
        <f aca="false">N((Calc_1!BI$4&gt;=Calc_1!$F18)*ABS(Calc_1!BI98)&gt;Tolerance)</f>
        <v>0</v>
      </c>
      <c r="BJ20" s="50" t="n">
        <f aca="false">N((Calc_1!BJ$4&gt;=Calc_1!$F18)*ABS(Calc_1!BJ98)&gt;Tolerance)</f>
        <v>0</v>
      </c>
      <c r="BK20" s="50" t="n">
        <f aca="false">N((Calc_1!BK$4&gt;=Calc_1!$F18)*ABS(Calc_1!BK98)&gt;Tolerance)</f>
        <v>0</v>
      </c>
      <c r="BL20" s="50" t="n">
        <f aca="false">N((Calc_1!BL$4&gt;=Calc_1!$F18)*ABS(Calc_1!BL98)&gt;Tolerance)</f>
        <v>0</v>
      </c>
      <c r="BM20" s="50" t="n">
        <f aca="false">N((Calc_1!BM$4&gt;=Calc_1!$F18)*ABS(Calc_1!BM98)&gt;Tolerance)</f>
        <v>0</v>
      </c>
      <c r="BN20" s="50" t="n">
        <f aca="false">N((Calc_1!BN$4&gt;=Calc_1!$F18)*ABS(Calc_1!BN98)&gt;Tolerance)</f>
        <v>0</v>
      </c>
      <c r="BO20" s="50" t="n">
        <f aca="false">N((Calc_1!BO$4&gt;=Calc_1!$F18)*ABS(Calc_1!BO98)&gt;Tolerance)</f>
        <v>0</v>
      </c>
      <c r="BP20" s="50" t="n">
        <f aca="false">N((Calc_1!BP$4&gt;=Calc_1!$F18)*ABS(Calc_1!BP98)&gt;Tolerance)</f>
        <v>0</v>
      </c>
      <c r="BQ20" s="50" t="n">
        <f aca="false">N((Calc_1!BQ$4&gt;=Calc_1!$F18)*ABS(Calc_1!BQ98)&gt;Tolerance)</f>
        <v>0</v>
      </c>
      <c r="BR20" s="50" t="n">
        <f aca="false">N((Calc_1!BR$4&gt;=Calc_1!$F18)*ABS(Calc_1!BR98)&gt;Tolerance)</f>
        <v>0</v>
      </c>
      <c r="BS20" s="50" t="n">
        <f aca="false">N((Calc_1!BS$4&gt;=Calc_1!$F18)*ABS(Calc_1!BS98)&gt;Tolerance)</f>
        <v>0</v>
      </c>
      <c r="BT20" s="50" t="n">
        <f aca="false">N((Calc_1!BT$4&gt;=Calc_1!$F18)*ABS(Calc_1!BT98)&gt;Tolerance)</f>
        <v>0</v>
      </c>
      <c r="BU20" s="50" t="n">
        <f aca="false">N((Calc_1!BU$4&gt;=Calc_1!$F18)*ABS(Calc_1!BU98)&gt;Tolerance)</f>
        <v>0</v>
      </c>
      <c r="BV20" s="50" t="n">
        <f aca="false">N((Calc_1!BV$4&gt;=Calc_1!$F18)*ABS(Calc_1!BV98)&gt;Tolerance)</f>
        <v>0</v>
      </c>
      <c r="BW20" s="50" t="n">
        <f aca="false">N((Calc_1!BW$4&gt;=Calc_1!$F18)*ABS(Calc_1!BW98)&gt;Tolerance)</f>
        <v>0</v>
      </c>
      <c r="BX20" s="50" t="n">
        <f aca="false">N((Calc_1!BX$4&gt;=Calc_1!$F18)*ABS(Calc_1!BX98)&gt;Tolerance)</f>
        <v>0</v>
      </c>
      <c r="BY20" s="50" t="n">
        <f aca="false">N((Calc_1!BY$4&gt;=Calc_1!$F18)*ABS(Calc_1!BY98)&gt;Tolerance)</f>
        <v>0</v>
      </c>
      <c r="BZ20" s="50" t="n">
        <f aca="false">N((Calc_1!BZ$4&gt;=Calc_1!$F18)*ABS(Calc_1!BZ98)&gt;Tolerance)</f>
        <v>0</v>
      </c>
      <c r="CA20" s="50" t="n">
        <f aca="false">N((Calc_1!CA$4&gt;=Calc_1!$F18)*ABS(Calc_1!CA98)&gt;Tolerance)</f>
        <v>0</v>
      </c>
      <c r="CB20" s="50" t="n">
        <f aca="false">N((Calc_1!CB$4&gt;=Calc_1!$F18)*ABS(Calc_1!CB98)&gt;Tolerance)</f>
        <v>0</v>
      </c>
      <c r="CC20" s="50" t="n">
        <f aca="false">N((Calc_1!CC$4&gt;=Calc_1!$F18)*ABS(Calc_1!CC98)&gt;Tolerance)</f>
        <v>0</v>
      </c>
      <c r="CD20" s="50" t="n">
        <f aca="false">N((Calc_1!CD$4&gt;=Calc_1!$F18)*ABS(Calc_1!CD98)&gt;Tolerance)</f>
        <v>0</v>
      </c>
      <c r="CE20" s="50" t="n">
        <f aca="false">N((Calc_1!CE$4&gt;=Calc_1!$F18)*ABS(Calc_1!CE98)&gt;Tolerance)</f>
        <v>0</v>
      </c>
      <c r="CF20" s="50" t="n">
        <f aca="false">N((Calc_1!CF$4&gt;=Calc_1!$F18)*ABS(Calc_1!CF98)&gt;Tolerance)</f>
        <v>0</v>
      </c>
      <c r="CG20" s="50" t="n">
        <f aca="false">N((Calc_1!CG$4&gt;=Calc_1!$F18)*ABS(Calc_1!CG98)&gt;Tolerance)</f>
        <v>0</v>
      </c>
      <c r="CH20" s="50" t="n">
        <f aca="false">N((Calc_1!CH$4&gt;=Calc_1!$F18)*ABS(Calc_1!CH98)&gt;Tolerance)</f>
        <v>0</v>
      </c>
      <c r="CI20" s="50" t="n">
        <f aca="false">N((Calc_1!CI$4&gt;=Calc_1!$F18)*ABS(Calc_1!CI98)&gt;Tolerance)</f>
        <v>0</v>
      </c>
      <c r="CJ20" s="50" t="n">
        <f aca="false">N((Calc_1!CJ$4&gt;=Calc_1!$F18)*ABS(Calc_1!CJ98)&gt;Tolerance)</f>
        <v>0</v>
      </c>
      <c r="CK20" s="50" t="n">
        <f aca="false">N((Calc_1!CK$4&gt;=Calc_1!$F18)*ABS(Calc_1!CK98)&gt;Tolerance)</f>
        <v>0</v>
      </c>
      <c r="CL20" s="50" t="n">
        <f aca="false">N((Calc_1!CL$4&gt;=Calc_1!$F18)*ABS(Calc_1!CL98)&gt;Tolerance)</f>
        <v>0</v>
      </c>
      <c r="CM20" s="50" t="n">
        <f aca="false">N((Calc_1!CM$4&gt;=Calc_1!$F18)*ABS(Calc_1!CM98)&gt;Tolerance)</f>
        <v>0</v>
      </c>
      <c r="CN20" s="50" t="n">
        <f aca="false">N((Calc_1!CN$4&gt;=Calc_1!$F18)*ABS(Calc_1!CN98)&gt;Tolerance)</f>
        <v>0</v>
      </c>
      <c r="CO20" s="50" t="n">
        <f aca="false">N((Calc_1!CO$4&gt;=Calc_1!$F18)*ABS(Calc_1!CO98)&gt;Tolerance)</f>
        <v>0</v>
      </c>
      <c r="CP20" s="50" t="n">
        <f aca="false">N((Calc_1!CP$4&gt;=Calc_1!$F18)*ABS(Calc_1!CP98)&gt;Tolerance)</f>
        <v>0</v>
      </c>
      <c r="CQ20" s="50" t="n">
        <f aca="false">N((Calc_1!CQ$4&gt;=Calc_1!$F18)*ABS(Calc_1!CQ98)&gt;Tolerance)</f>
        <v>0</v>
      </c>
      <c r="CR20" s="50" t="n">
        <f aca="false">N((Calc_1!CR$4&gt;=Calc_1!$F18)*ABS(Calc_1!CR98)&gt;Tolerance)</f>
        <v>0</v>
      </c>
      <c r="CS20" s="50" t="n">
        <f aca="false">N((Calc_1!CS$4&gt;=Calc_1!$F18)*ABS(Calc_1!CS98)&gt;Tolerance)</f>
        <v>0</v>
      </c>
      <c r="CT20" s="50" t="n">
        <f aca="false">N((Calc_1!CT$4&gt;=Calc_1!$F18)*ABS(Calc_1!CT98)&gt;Tolerance)</f>
        <v>0</v>
      </c>
      <c r="CU20" s="50" t="n">
        <f aca="false">N((Calc_1!CU$4&gt;=Calc_1!$F18)*ABS(Calc_1!CU98)&gt;Tolerance)</f>
        <v>0</v>
      </c>
      <c r="CV20" s="50" t="n">
        <f aca="false">N((Calc_1!CV$4&gt;=Calc_1!$F18)*ABS(Calc_1!CV98)&gt;Tolerance)</f>
        <v>0</v>
      </c>
      <c r="CW20" s="50" t="n">
        <f aca="false">N((Calc_1!CW$4&gt;=Calc_1!$F18)*ABS(Calc_1!CW98)&gt;Tolerance)</f>
        <v>0</v>
      </c>
      <c r="CX20" s="50" t="n">
        <f aca="false">N((Calc_1!CX$4&gt;=Calc_1!$F18)*ABS(Calc_1!CX98)&gt;Tolerance)</f>
        <v>0</v>
      </c>
      <c r="CY20" s="50" t="n">
        <f aca="false">N((Calc_1!CY$4&gt;=Calc_1!$F18)*ABS(Calc_1!CY98)&gt;Tolerance)</f>
        <v>0</v>
      </c>
      <c r="CZ20" s="50" t="n">
        <f aca="false">N((Calc_1!CZ$4&gt;=Calc_1!$F18)*ABS(Calc_1!CZ98)&gt;Tolerance)</f>
        <v>0</v>
      </c>
      <c r="DA20" s="50" t="n">
        <f aca="false">N((Calc_1!DA$4&gt;=Calc_1!$F18)*ABS(Calc_1!DA98)&gt;Tolerance)</f>
        <v>0</v>
      </c>
      <c r="DB20" s="50" t="n">
        <f aca="false">N((Calc_1!DB$4&gt;=Calc_1!$F18)*ABS(Calc_1!DB98)&gt;Tolerance)</f>
        <v>0</v>
      </c>
      <c r="DC20" s="50" t="n">
        <f aca="false">N((Calc_1!DC$4&gt;=Calc_1!$F18)*ABS(Calc_1!DC98)&gt;Tolerance)</f>
        <v>0</v>
      </c>
      <c r="DD20" s="50" t="n">
        <f aca="false">N((Calc_1!DD$4&gt;=Calc_1!$F18)*ABS(Calc_1!DD98)&gt;Tolerance)</f>
        <v>0</v>
      </c>
      <c r="DE20" s="50" t="n">
        <f aca="false">N((Calc_1!DE$4&gt;=Calc_1!$F18)*ABS(Calc_1!DE98)&gt;Tolerance)</f>
        <v>0</v>
      </c>
      <c r="DF20" s="50" t="n">
        <f aca="false">N((Calc_1!DF$4&gt;=Calc_1!$F18)*ABS(Calc_1!DF98)&gt;Tolerance)</f>
        <v>0</v>
      </c>
      <c r="DG20" s="50" t="n">
        <f aca="false">N((Calc_1!DG$4&gt;=Calc_1!$F18)*ABS(Calc_1!DG98)&gt;Tolerance)</f>
        <v>0</v>
      </c>
      <c r="DH20" s="50" t="n">
        <f aca="false">N((Calc_1!DH$4&gt;=Calc_1!$F18)*ABS(Calc_1!DH98)&gt;Tolerance)</f>
        <v>0</v>
      </c>
      <c r="DI20" s="50" t="n">
        <f aca="false">N((Calc_1!DI$4&gt;=Calc_1!$F18)*ABS(Calc_1!DI98)&gt;Tolerance)</f>
        <v>0</v>
      </c>
      <c r="DJ20" s="50" t="n">
        <f aca="false">N((Calc_1!DJ$4&gt;=Calc_1!$F18)*ABS(Calc_1!DJ98)&gt;Tolerance)</f>
        <v>0</v>
      </c>
      <c r="DK20" s="50" t="n">
        <f aca="false">N((Calc_1!DK$4&gt;=Calc_1!$F18)*ABS(Calc_1!DK98)&gt;Tolerance)</f>
        <v>0</v>
      </c>
      <c r="DL20" s="50" t="n">
        <f aca="false">N((Calc_1!DL$4&gt;=Calc_1!$F18)*ABS(Calc_1!DL98)&gt;Tolerance)</f>
        <v>0</v>
      </c>
      <c r="DM20" s="50" t="n">
        <f aca="false">N((Calc_1!DM$4&gt;=Calc_1!$F18)*ABS(Calc_1!DM98)&gt;Tolerance)</f>
        <v>0</v>
      </c>
      <c r="DN20" s="50" t="n">
        <f aca="false">N((Calc_1!DN$4&gt;=Calc_1!$F18)*ABS(Calc_1!DN98)&gt;Tolerance)</f>
        <v>0</v>
      </c>
      <c r="DO20" s="50" t="n">
        <f aca="false">N((Calc_1!DO$4&gt;=Calc_1!$F18)*ABS(Calc_1!DO98)&gt;Tolerance)</f>
        <v>0</v>
      </c>
      <c r="DP20" s="50" t="n">
        <f aca="false">N((Calc_1!DP$4&gt;=Calc_1!$F18)*ABS(Calc_1!DP98)&gt;Tolerance)</f>
        <v>0</v>
      </c>
      <c r="DQ20" s="50" t="n">
        <f aca="false">N((Calc_1!DQ$4&gt;=Calc_1!$F18)*ABS(Calc_1!DQ98)&gt;Tolerance)</f>
        <v>0</v>
      </c>
      <c r="DR20" s="50" t="n">
        <f aca="false">N((Calc_1!DR$4&gt;=Calc_1!$F18)*ABS(Calc_1!DR98)&gt;Tolerance)</f>
        <v>0</v>
      </c>
      <c r="DS20" s="50" t="n">
        <f aca="false">N((Calc_1!DS$4&gt;=Calc_1!$F18)*ABS(Calc_1!DS98)&gt;Tolerance)</f>
        <v>0</v>
      </c>
      <c r="DT20" s="50" t="n">
        <f aca="false">N((Calc_1!DT$4&gt;=Calc_1!$F18)*ABS(Calc_1!DT98)&gt;Tolerance)</f>
        <v>0</v>
      </c>
      <c r="DU20" s="50" t="n">
        <f aca="false">N((Calc_1!DU$4&gt;=Calc_1!$F18)*ABS(Calc_1!DU98)&gt;Tolerance)</f>
        <v>0</v>
      </c>
      <c r="DV20" s="50" t="n">
        <f aca="false">N((Calc_1!DV$4&gt;=Calc_1!$F18)*ABS(Calc_1!DV98)&gt;Tolerance)</f>
        <v>0</v>
      </c>
      <c r="DW20" s="50" t="n">
        <f aca="false">N((Calc_1!DW$4&gt;=Calc_1!$F18)*ABS(Calc_1!DW98)&gt;Tolerance)</f>
        <v>0</v>
      </c>
      <c r="DX20" s="50" t="n">
        <f aca="false">N((Calc_1!DX$4&gt;=Calc_1!$F18)*ABS(Calc_1!DX98)&gt;Tolerance)</f>
        <v>0</v>
      </c>
      <c r="DY20" s="50" t="n">
        <f aca="false">N((Calc_1!DY$4&gt;=Calc_1!$F18)*ABS(Calc_1!DY98)&gt;Tolerance)</f>
        <v>0</v>
      </c>
      <c r="DZ20" s="50" t="n">
        <f aca="false">N((Calc_1!DZ$4&gt;=Calc_1!$F18)*ABS(Calc_1!DZ98)&gt;Tolerance)</f>
        <v>0</v>
      </c>
      <c r="EA20" s="50" t="n">
        <f aca="false">N((Calc_1!EA$4&gt;=Calc_1!$F18)*ABS(Calc_1!EA98)&gt;Tolerance)</f>
        <v>0</v>
      </c>
      <c r="EB20" s="50" t="n">
        <f aca="false">N((Calc_1!EB$4&gt;=Calc_1!$F18)*ABS(Calc_1!EB98)&gt;Tolerance)</f>
        <v>0</v>
      </c>
      <c r="EC20" s="50" t="n">
        <f aca="false">N((Calc_1!EC$4&gt;=Calc_1!$F18)*ABS(Calc_1!EC98)&gt;Tolerance)</f>
        <v>0</v>
      </c>
      <c r="ED20" s="50" t="n">
        <f aca="false">N((Calc_1!ED$4&gt;=Calc_1!$F18)*ABS(Calc_1!ED98)&gt;Tolerance)</f>
        <v>0</v>
      </c>
      <c r="EE20" s="50" t="n">
        <f aca="false">N((Calc_1!EE$4&gt;=Calc_1!$F18)*ABS(Calc_1!EE98)&gt;Tolerance)</f>
        <v>0</v>
      </c>
      <c r="EF20" s="50" t="n">
        <f aca="false">N((Calc_1!EF$4&gt;=Calc_1!$F18)*ABS(Calc_1!EF98)&gt;Tolerance)</f>
        <v>0</v>
      </c>
      <c r="EG20" s="50" t="n">
        <f aca="false">N((Calc_1!EG$4&gt;=Calc_1!$F18)*ABS(Calc_1!EG98)&gt;Tolerance)</f>
        <v>0</v>
      </c>
      <c r="EH20" s="50" t="n">
        <f aca="false">N((Calc_1!EH$4&gt;=Calc_1!$F18)*ABS(Calc_1!EH98)&gt;Tolerance)</f>
        <v>0</v>
      </c>
      <c r="EI20" s="50" t="n">
        <f aca="false">N((Calc_1!EI$4&gt;=Calc_1!$F18)*ABS(Calc_1!EI98)&gt;Tolerance)</f>
        <v>0</v>
      </c>
      <c r="EJ20" s="50" t="n">
        <f aca="false">N((Calc_1!EJ$4&gt;=Calc_1!$F18)*ABS(Calc_1!EJ98)&gt;Tolerance)</f>
        <v>0</v>
      </c>
      <c r="EK20" s="50" t="n">
        <f aca="false">N((Calc_1!EK$4&gt;=Calc_1!$F18)*ABS(Calc_1!EK98)&gt;Tolerance)</f>
        <v>0</v>
      </c>
      <c r="EL20" s="50" t="n">
        <f aca="false">N((Calc_1!EL$4&gt;=Calc_1!$F18)*ABS(Calc_1!EL98)&gt;Tolerance)</f>
        <v>0</v>
      </c>
      <c r="EM20" s="50" t="n">
        <f aca="false">N((Calc_1!EM$4&gt;=Calc_1!$F18)*ABS(Calc_1!EM98)&gt;Tolerance)</f>
        <v>0</v>
      </c>
      <c r="EN20" s="50" t="n">
        <f aca="false">N((Calc_1!EN$4&gt;=Calc_1!$F18)*ABS(Calc_1!EN98)&gt;Tolerance)</f>
        <v>0</v>
      </c>
      <c r="EO20" s="50" t="n">
        <f aca="false">N((Calc_1!EO$4&gt;=Calc_1!$F18)*ABS(Calc_1!EO98)&gt;Tolerance)</f>
        <v>0</v>
      </c>
    </row>
    <row r="21" customFormat="false" ht="15" hidden="false" customHeight="false" outlineLevel="0" collapsed="false">
      <c r="C21" s="0" t="s">
        <v>518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N((Calc_2!J$4&gt;=Calc_2!$F18)*ABS(Calc_2!J98)&gt;Tolerance)</f>
        <v>0</v>
      </c>
      <c r="K21" s="50" t="n">
        <f aca="false">N((Calc_2!K$4&gt;=Calc_2!$F18)*ABS(Calc_2!K98)&gt;Tolerance)</f>
        <v>0</v>
      </c>
      <c r="L21" s="50" t="n">
        <f aca="false">N((Calc_2!L$4&gt;=Calc_2!$F18)*ABS(Calc_2!L98)&gt;Tolerance)</f>
        <v>0</v>
      </c>
      <c r="M21" s="50" t="n">
        <f aca="false">N((Calc_2!M$4&gt;=Calc_2!$F18)*ABS(Calc_2!M98)&gt;Tolerance)</f>
        <v>0</v>
      </c>
      <c r="N21" s="50" t="n">
        <f aca="false">N((Calc_2!N$4&gt;=Calc_2!$F18)*ABS(Calc_2!N98)&gt;Tolerance)</f>
        <v>0</v>
      </c>
      <c r="O21" s="50" t="n">
        <f aca="false">N((Calc_2!O$4&gt;=Calc_2!$F18)*ABS(Calc_2!O98)&gt;Tolerance)</f>
        <v>0</v>
      </c>
      <c r="P21" s="50" t="n">
        <f aca="false">N((Calc_2!P$4&gt;=Calc_2!$F18)*ABS(Calc_2!P98)&gt;Tolerance)</f>
        <v>0</v>
      </c>
      <c r="Q21" s="50" t="n">
        <f aca="false">N((Calc_2!Q$4&gt;=Calc_2!$F18)*ABS(Calc_2!Q98)&gt;Tolerance)</f>
        <v>0</v>
      </c>
      <c r="R21" s="50" t="n">
        <f aca="false">N((Calc_2!R$4&gt;=Calc_2!$F18)*ABS(Calc_2!R98)&gt;Tolerance)</f>
        <v>0</v>
      </c>
      <c r="S21" s="50" t="n">
        <f aca="false">N((Calc_2!S$4&gt;=Calc_2!$F18)*ABS(Calc_2!S98)&gt;Tolerance)</f>
        <v>0</v>
      </c>
      <c r="T21" s="50" t="n">
        <f aca="false">N((Calc_2!T$4&gt;=Calc_2!$F18)*ABS(Calc_2!T98)&gt;Tolerance)</f>
        <v>0</v>
      </c>
      <c r="U21" s="50" t="n">
        <f aca="false">N((Calc_2!U$4&gt;=Calc_2!$F18)*ABS(Calc_2!U98)&gt;Tolerance)</f>
        <v>0</v>
      </c>
      <c r="V21" s="50" t="n">
        <f aca="false">N((Calc_2!V$4&gt;=Calc_2!$F18)*ABS(Calc_2!V98)&gt;Tolerance)</f>
        <v>0</v>
      </c>
      <c r="W21" s="50" t="n">
        <f aca="false">N((Calc_2!W$4&gt;=Calc_2!$F18)*ABS(Calc_2!W98)&gt;Tolerance)</f>
        <v>0</v>
      </c>
      <c r="X21" s="50" t="n">
        <f aca="false">N((Calc_2!X$4&gt;=Calc_2!$F18)*ABS(Calc_2!X98)&gt;Tolerance)</f>
        <v>0</v>
      </c>
      <c r="Y21" s="50" t="n">
        <f aca="false">N((Calc_2!Y$4&gt;=Calc_2!$F18)*ABS(Calc_2!Y98)&gt;Tolerance)</f>
        <v>0</v>
      </c>
      <c r="Z21" s="50" t="n">
        <f aca="false">N((Calc_2!Z$4&gt;=Calc_2!$F18)*ABS(Calc_2!Z98)&gt;Tolerance)</f>
        <v>0</v>
      </c>
      <c r="AA21" s="50" t="n">
        <f aca="false">N((Calc_2!AA$4&gt;=Calc_2!$F18)*ABS(Calc_2!AA98)&gt;Tolerance)</f>
        <v>0</v>
      </c>
      <c r="AB21" s="50" t="n">
        <f aca="false">N((Calc_2!AB$4&gt;=Calc_2!$F18)*ABS(Calc_2!AB98)&gt;Tolerance)</f>
        <v>0</v>
      </c>
      <c r="AC21" s="50" t="n">
        <f aca="false">N((Calc_2!AC$4&gt;=Calc_2!$F18)*ABS(Calc_2!AC98)&gt;Tolerance)</f>
        <v>0</v>
      </c>
      <c r="AD21" s="50" t="n">
        <f aca="false">N((Calc_2!AD$4&gt;=Calc_2!$F18)*ABS(Calc_2!AD98)&gt;Tolerance)</f>
        <v>0</v>
      </c>
      <c r="AE21" s="50" t="n">
        <f aca="false">N((Calc_2!AE$4&gt;=Calc_2!$F18)*ABS(Calc_2!AE98)&gt;Tolerance)</f>
        <v>0</v>
      </c>
      <c r="AF21" s="50" t="n">
        <f aca="false">N((Calc_2!AF$4&gt;=Calc_2!$F18)*ABS(Calc_2!AF98)&gt;Tolerance)</f>
        <v>0</v>
      </c>
      <c r="AG21" s="50" t="n">
        <f aca="false">N((Calc_2!AG$4&gt;=Calc_2!$F18)*ABS(Calc_2!AG98)&gt;Tolerance)</f>
        <v>0</v>
      </c>
      <c r="AH21" s="50" t="n">
        <f aca="false">N((Calc_2!AH$4&gt;=Calc_2!$F18)*ABS(Calc_2!AH98)&gt;Tolerance)</f>
        <v>0</v>
      </c>
      <c r="AI21" s="50" t="n">
        <f aca="false">N((Calc_2!AI$4&gt;=Calc_2!$F18)*ABS(Calc_2!AI98)&gt;Tolerance)</f>
        <v>0</v>
      </c>
      <c r="AJ21" s="50" t="n">
        <f aca="false">N((Calc_2!AJ$4&gt;=Calc_2!$F18)*ABS(Calc_2!AJ98)&gt;Tolerance)</f>
        <v>0</v>
      </c>
      <c r="AK21" s="50" t="n">
        <f aca="false">N((Calc_2!AK$4&gt;=Calc_2!$F18)*ABS(Calc_2!AK98)&gt;Tolerance)</f>
        <v>0</v>
      </c>
      <c r="AL21" s="50" t="n">
        <f aca="false">N((Calc_2!AL$4&gt;=Calc_2!$F18)*ABS(Calc_2!AL98)&gt;Tolerance)</f>
        <v>0</v>
      </c>
      <c r="AM21" s="50" t="n">
        <f aca="false">N((Calc_2!AM$4&gt;=Calc_2!$F18)*ABS(Calc_2!AM98)&gt;Tolerance)</f>
        <v>0</v>
      </c>
      <c r="AN21" s="50" t="n">
        <f aca="false">N((Calc_2!AN$4&gt;=Calc_2!$F18)*ABS(Calc_2!AN98)&gt;Tolerance)</f>
        <v>0</v>
      </c>
      <c r="AO21" s="50" t="n">
        <f aca="false">N((Calc_2!AO$4&gt;=Calc_2!$F18)*ABS(Calc_2!AO98)&gt;Tolerance)</f>
        <v>0</v>
      </c>
      <c r="AP21" s="50" t="n">
        <f aca="false">N((Calc_2!AP$4&gt;=Calc_2!$F18)*ABS(Calc_2!AP98)&gt;Tolerance)</f>
        <v>0</v>
      </c>
      <c r="AQ21" s="50" t="n">
        <f aca="false">N((Calc_2!AQ$4&gt;=Calc_2!$F18)*ABS(Calc_2!AQ98)&gt;Tolerance)</f>
        <v>0</v>
      </c>
      <c r="AR21" s="50" t="n">
        <f aca="false">N((Calc_2!AR$4&gt;=Calc_2!$F18)*ABS(Calc_2!AR98)&gt;Tolerance)</f>
        <v>0</v>
      </c>
      <c r="AS21" s="50" t="n">
        <f aca="false">N((Calc_2!AS$4&gt;=Calc_2!$F18)*ABS(Calc_2!AS98)&gt;Tolerance)</f>
        <v>0</v>
      </c>
      <c r="AT21" s="50" t="n">
        <f aca="false">N((Calc_2!AT$4&gt;=Calc_2!$F18)*ABS(Calc_2!AT98)&gt;Tolerance)</f>
        <v>0</v>
      </c>
      <c r="AU21" s="50" t="n">
        <f aca="false">N((Calc_2!AU$4&gt;=Calc_2!$F18)*ABS(Calc_2!AU98)&gt;Tolerance)</f>
        <v>0</v>
      </c>
      <c r="AV21" s="50" t="n">
        <f aca="false">N((Calc_2!AV$4&gt;=Calc_2!$F18)*ABS(Calc_2!AV98)&gt;Tolerance)</f>
        <v>0</v>
      </c>
      <c r="AW21" s="50" t="n">
        <f aca="false">N((Calc_2!AW$4&gt;=Calc_2!$F18)*ABS(Calc_2!AW98)&gt;Tolerance)</f>
        <v>0</v>
      </c>
      <c r="AX21" s="50" t="n">
        <f aca="false">N((Calc_2!AX$4&gt;=Calc_2!$F18)*ABS(Calc_2!AX98)&gt;Tolerance)</f>
        <v>0</v>
      </c>
      <c r="AY21" s="50" t="n">
        <f aca="false">N((Calc_2!AY$4&gt;=Calc_2!$F18)*ABS(Calc_2!AY98)&gt;Tolerance)</f>
        <v>0</v>
      </c>
      <c r="AZ21" s="50" t="n">
        <f aca="false">N((Calc_2!AZ$4&gt;=Calc_2!$F18)*ABS(Calc_2!AZ98)&gt;Tolerance)</f>
        <v>0</v>
      </c>
      <c r="BA21" s="50" t="n">
        <f aca="false">N((Calc_2!BA$4&gt;=Calc_2!$F18)*ABS(Calc_2!BA98)&gt;Tolerance)</f>
        <v>0</v>
      </c>
      <c r="BB21" s="50" t="n">
        <f aca="false">N((Calc_2!BB$4&gt;=Calc_2!$F18)*ABS(Calc_2!BB98)&gt;Tolerance)</f>
        <v>0</v>
      </c>
      <c r="BC21" s="50" t="n">
        <f aca="false">N((Calc_2!BC$4&gt;=Calc_2!$F18)*ABS(Calc_2!BC98)&gt;Tolerance)</f>
        <v>0</v>
      </c>
      <c r="BD21" s="50" t="n">
        <f aca="false">N((Calc_2!BD$4&gt;=Calc_2!$F18)*ABS(Calc_2!BD98)&gt;Tolerance)</f>
        <v>0</v>
      </c>
      <c r="BE21" s="50" t="n">
        <f aca="false">N((Calc_2!BE$4&gt;=Calc_2!$F18)*ABS(Calc_2!BE98)&gt;Tolerance)</f>
        <v>0</v>
      </c>
      <c r="BF21" s="50" t="n">
        <f aca="false">N((Calc_2!BF$4&gt;=Calc_2!$F18)*ABS(Calc_2!BF98)&gt;Tolerance)</f>
        <v>0</v>
      </c>
      <c r="BG21" s="50" t="n">
        <f aca="false">N((Calc_2!BG$4&gt;=Calc_2!$F18)*ABS(Calc_2!BG98)&gt;Tolerance)</f>
        <v>0</v>
      </c>
      <c r="BH21" s="50" t="n">
        <f aca="false">N((Calc_2!BH$4&gt;=Calc_2!$F18)*ABS(Calc_2!BH98)&gt;Tolerance)</f>
        <v>0</v>
      </c>
      <c r="BI21" s="50" t="n">
        <f aca="false">N((Calc_2!BI$4&gt;=Calc_2!$F18)*ABS(Calc_2!BI98)&gt;Tolerance)</f>
        <v>0</v>
      </c>
      <c r="BJ21" s="50" t="n">
        <f aca="false">N((Calc_2!BJ$4&gt;=Calc_2!$F18)*ABS(Calc_2!BJ98)&gt;Tolerance)</f>
        <v>0</v>
      </c>
      <c r="BK21" s="50" t="n">
        <f aca="false">N((Calc_2!BK$4&gt;=Calc_2!$F18)*ABS(Calc_2!BK98)&gt;Tolerance)</f>
        <v>0</v>
      </c>
      <c r="BL21" s="50" t="n">
        <f aca="false">N((Calc_2!BL$4&gt;=Calc_2!$F18)*ABS(Calc_2!BL98)&gt;Tolerance)</f>
        <v>0</v>
      </c>
      <c r="BM21" s="50" t="n">
        <f aca="false">N((Calc_2!BM$4&gt;=Calc_2!$F18)*ABS(Calc_2!BM98)&gt;Tolerance)</f>
        <v>0</v>
      </c>
      <c r="BN21" s="50" t="n">
        <f aca="false">N((Calc_2!BN$4&gt;=Calc_2!$F18)*ABS(Calc_2!BN98)&gt;Tolerance)</f>
        <v>0</v>
      </c>
      <c r="BO21" s="50" t="n">
        <f aca="false">N((Calc_2!BO$4&gt;=Calc_2!$F18)*ABS(Calc_2!BO98)&gt;Tolerance)</f>
        <v>0</v>
      </c>
      <c r="BP21" s="50" t="n">
        <f aca="false">N((Calc_2!BP$4&gt;=Calc_2!$F18)*ABS(Calc_2!BP98)&gt;Tolerance)</f>
        <v>0</v>
      </c>
      <c r="BQ21" s="50" t="n">
        <f aca="false">N((Calc_2!BQ$4&gt;=Calc_2!$F18)*ABS(Calc_2!BQ98)&gt;Tolerance)</f>
        <v>0</v>
      </c>
      <c r="BR21" s="50" t="n">
        <f aca="false">N((Calc_2!BR$4&gt;=Calc_2!$F18)*ABS(Calc_2!BR98)&gt;Tolerance)</f>
        <v>0</v>
      </c>
      <c r="BS21" s="50" t="n">
        <f aca="false">N((Calc_2!BS$4&gt;=Calc_2!$F18)*ABS(Calc_2!BS98)&gt;Tolerance)</f>
        <v>0</v>
      </c>
      <c r="BT21" s="50" t="n">
        <f aca="false">N((Calc_2!BT$4&gt;=Calc_2!$F18)*ABS(Calc_2!BT98)&gt;Tolerance)</f>
        <v>0</v>
      </c>
      <c r="BU21" s="50" t="n">
        <f aca="false">N((Calc_2!BU$4&gt;=Calc_2!$F18)*ABS(Calc_2!BU98)&gt;Tolerance)</f>
        <v>0</v>
      </c>
      <c r="BV21" s="50" t="n">
        <f aca="false">N((Calc_2!BV$4&gt;=Calc_2!$F18)*ABS(Calc_2!BV98)&gt;Tolerance)</f>
        <v>0</v>
      </c>
      <c r="BW21" s="50" t="n">
        <f aca="false">N((Calc_2!BW$4&gt;=Calc_2!$F18)*ABS(Calc_2!BW98)&gt;Tolerance)</f>
        <v>0</v>
      </c>
      <c r="BX21" s="50" t="n">
        <f aca="false">N((Calc_2!BX$4&gt;=Calc_2!$F18)*ABS(Calc_2!BX98)&gt;Tolerance)</f>
        <v>0</v>
      </c>
      <c r="BY21" s="50" t="n">
        <f aca="false">N((Calc_2!BY$4&gt;=Calc_2!$F18)*ABS(Calc_2!BY98)&gt;Tolerance)</f>
        <v>0</v>
      </c>
      <c r="BZ21" s="50" t="n">
        <f aca="false">N((Calc_2!BZ$4&gt;=Calc_2!$F18)*ABS(Calc_2!BZ98)&gt;Tolerance)</f>
        <v>0</v>
      </c>
      <c r="CA21" s="50" t="n">
        <f aca="false">N((Calc_2!CA$4&gt;=Calc_2!$F18)*ABS(Calc_2!CA98)&gt;Tolerance)</f>
        <v>0</v>
      </c>
      <c r="CB21" s="50" t="n">
        <f aca="false">N((Calc_2!CB$4&gt;=Calc_2!$F18)*ABS(Calc_2!CB98)&gt;Tolerance)</f>
        <v>0</v>
      </c>
      <c r="CC21" s="50" t="n">
        <f aca="false">N((Calc_2!CC$4&gt;=Calc_2!$F18)*ABS(Calc_2!CC98)&gt;Tolerance)</f>
        <v>0</v>
      </c>
      <c r="CD21" s="50" t="n">
        <f aca="false">N((Calc_2!CD$4&gt;=Calc_2!$F18)*ABS(Calc_2!CD98)&gt;Tolerance)</f>
        <v>0</v>
      </c>
      <c r="CE21" s="50" t="n">
        <f aca="false">N((Calc_2!CE$4&gt;=Calc_2!$F18)*ABS(Calc_2!CE98)&gt;Tolerance)</f>
        <v>0</v>
      </c>
      <c r="CF21" s="50" t="n">
        <f aca="false">N((Calc_2!CF$4&gt;=Calc_2!$F18)*ABS(Calc_2!CF98)&gt;Tolerance)</f>
        <v>0</v>
      </c>
      <c r="CG21" s="50" t="n">
        <f aca="false">N((Calc_2!CG$4&gt;=Calc_2!$F18)*ABS(Calc_2!CG98)&gt;Tolerance)</f>
        <v>0</v>
      </c>
      <c r="CH21" s="50" t="n">
        <f aca="false">N((Calc_2!CH$4&gt;=Calc_2!$F18)*ABS(Calc_2!CH98)&gt;Tolerance)</f>
        <v>0</v>
      </c>
      <c r="CI21" s="50" t="n">
        <f aca="false">N((Calc_2!CI$4&gt;=Calc_2!$F18)*ABS(Calc_2!CI98)&gt;Tolerance)</f>
        <v>0</v>
      </c>
      <c r="CJ21" s="50" t="n">
        <f aca="false">N((Calc_2!CJ$4&gt;=Calc_2!$F18)*ABS(Calc_2!CJ98)&gt;Tolerance)</f>
        <v>0</v>
      </c>
      <c r="CK21" s="50" t="n">
        <f aca="false">N((Calc_2!CK$4&gt;=Calc_2!$F18)*ABS(Calc_2!CK98)&gt;Tolerance)</f>
        <v>0</v>
      </c>
      <c r="CL21" s="50" t="n">
        <f aca="false">N((Calc_2!CL$4&gt;=Calc_2!$F18)*ABS(Calc_2!CL98)&gt;Tolerance)</f>
        <v>0</v>
      </c>
      <c r="CM21" s="50" t="n">
        <f aca="false">N((Calc_2!CM$4&gt;=Calc_2!$F18)*ABS(Calc_2!CM98)&gt;Tolerance)</f>
        <v>0</v>
      </c>
      <c r="CN21" s="50" t="n">
        <f aca="false">N((Calc_2!CN$4&gt;=Calc_2!$F18)*ABS(Calc_2!CN98)&gt;Tolerance)</f>
        <v>0</v>
      </c>
      <c r="CO21" s="50" t="n">
        <f aca="false">N((Calc_2!CO$4&gt;=Calc_2!$F18)*ABS(Calc_2!CO98)&gt;Tolerance)</f>
        <v>0</v>
      </c>
      <c r="CP21" s="50" t="n">
        <f aca="false">N((Calc_2!CP$4&gt;=Calc_2!$F18)*ABS(Calc_2!CP98)&gt;Tolerance)</f>
        <v>0</v>
      </c>
      <c r="CQ21" s="50" t="n">
        <f aca="false">N((Calc_2!CQ$4&gt;=Calc_2!$F18)*ABS(Calc_2!CQ98)&gt;Tolerance)</f>
        <v>0</v>
      </c>
      <c r="CR21" s="50" t="n">
        <f aca="false">N((Calc_2!CR$4&gt;=Calc_2!$F18)*ABS(Calc_2!CR98)&gt;Tolerance)</f>
        <v>0</v>
      </c>
      <c r="CS21" s="50" t="n">
        <f aca="false">N((Calc_2!CS$4&gt;=Calc_2!$F18)*ABS(Calc_2!CS98)&gt;Tolerance)</f>
        <v>0</v>
      </c>
      <c r="CT21" s="50" t="n">
        <f aca="false">N((Calc_2!CT$4&gt;=Calc_2!$F18)*ABS(Calc_2!CT98)&gt;Tolerance)</f>
        <v>0</v>
      </c>
      <c r="CU21" s="50" t="n">
        <f aca="false">N((Calc_2!CU$4&gt;=Calc_2!$F18)*ABS(Calc_2!CU98)&gt;Tolerance)</f>
        <v>0</v>
      </c>
      <c r="CV21" s="50" t="n">
        <f aca="false">N((Calc_2!CV$4&gt;=Calc_2!$F18)*ABS(Calc_2!CV98)&gt;Tolerance)</f>
        <v>0</v>
      </c>
      <c r="CW21" s="50" t="n">
        <f aca="false">N((Calc_2!CW$4&gt;=Calc_2!$F18)*ABS(Calc_2!CW98)&gt;Tolerance)</f>
        <v>0</v>
      </c>
      <c r="CX21" s="50" t="n">
        <f aca="false">N((Calc_2!CX$4&gt;=Calc_2!$F18)*ABS(Calc_2!CX98)&gt;Tolerance)</f>
        <v>0</v>
      </c>
      <c r="CY21" s="50" t="n">
        <f aca="false">N((Calc_2!CY$4&gt;=Calc_2!$F18)*ABS(Calc_2!CY98)&gt;Tolerance)</f>
        <v>0</v>
      </c>
      <c r="CZ21" s="50" t="n">
        <f aca="false">N((Calc_2!CZ$4&gt;=Calc_2!$F18)*ABS(Calc_2!CZ98)&gt;Tolerance)</f>
        <v>0</v>
      </c>
      <c r="DA21" s="50" t="n">
        <f aca="false">N((Calc_2!DA$4&gt;=Calc_2!$F18)*ABS(Calc_2!DA98)&gt;Tolerance)</f>
        <v>0</v>
      </c>
      <c r="DB21" s="50" t="n">
        <f aca="false">N((Calc_2!DB$4&gt;=Calc_2!$F18)*ABS(Calc_2!DB98)&gt;Tolerance)</f>
        <v>0</v>
      </c>
      <c r="DC21" s="50" t="n">
        <f aca="false">N((Calc_2!DC$4&gt;=Calc_2!$F18)*ABS(Calc_2!DC98)&gt;Tolerance)</f>
        <v>0</v>
      </c>
      <c r="DD21" s="50" t="n">
        <f aca="false">N((Calc_2!DD$4&gt;=Calc_2!$F18)*ABS(Calc_2!DD98)&gt;Tolerance)</f>
        <v>0</v>
      </c>
      <c r="DE21" s="50" t="n">
        <f aca="false">N((Calc_2!DE$4&gt;=Calc_2!$F18)*ABS(Calc_2!DE98)&gt;Tolerance)</f>
        <v>0</v>
      </c>
      <c r="DF21" s="50" t="n">
        <f aca="false">N((Calc_2!DF$4&gt;=Calc_2!$F18)*ABS(Calc_2!DF98)&gt;Tolerance)</f>
        <v>0</v>
      </c>
      <c r="DG21" s="50" t="n">
        <f aca="false">N((Calc_2!DG$4&gt;=Calc_2!$F18)*ABS(Calc_2!DG98)&gt;Tolerance)</f>
        <v>0</v>
      </c>
      <c r="DH21" s="50" t="n">
        <f aca="false">N((Calc_2!DH$4&gt;=Calc_2!$F18)*ABS(Calc_2!DH98)&gt;Tolerance)</f>
        <v>0</v>
      </c>
      <c r="DI21" s="50" t="n">
        <f aca="false">N((Calc_2!DI$4&gt;=Calc_2!$F18)*ABS(Calc_2!DI98)&gt;Tolerance)</f>
        <v>0</v>
      </c>
      <c r="DJ21" s="50" t="n">
        <f aca="false">N((Calc_2!DJ$4&gt;=Calc_2!$F18)*ABS(Calc_2!DJ98)&gt;Tolerance)</f>
        <v>0</v>
      </c>
      <c r="DK21" s="50" t="n">
        <f aca="false">N((Calc_2!DK$4&gt;=Calc_2!$F18)*ABS(Calc_2!DK98)&gt;Tolerance)</f>
        <v>0</v>
      </c>
      <c r="DL21" s="50" t="n">
        <f aca="false">N((Calc_2!DL$4&gt;=Calc_2!$F18)*ABS(Calc_2!DL98)&gt;Tolerance)</f>
        <v>0</v>
      </c>
      <c r="DM21" s="50" t="n">
        <f aca="false">N((Calc_2!DM$4&gt;=Calc_2!$F18)*ABS(Calc_2!DM98)&gt;Tolerance)</f>
        <v>0</v>
      </c>
      <c r="DN21" s="50" t="n">
        <f aca="false">N((Calc_2!DN$4&gt;=Calc_2!$F18)*ABS(Calc_2!DN98)&gt;Tolerance)</f>
        <v>0</v>
      </c>
      <c r="DO21" s="50" t="n">
        <f aca="false">N((Calc_2!DO$4&gt;=Calc_2!$F18)*ABS(Calc_2!DO98)&gt;Tolerance)</f>
        <v>0</v>
      </c>
      <c r="DP21" s="50" t="n">
        <f aca="false">N((Calc_2!DP$4&gt;=Calc_2!$F18)*ABS(Calc_2!DP98)&gt;Tolerance)</f>
        <v>0</v>
      </c>
      <c r="DQ21" s="50" t="n">
        <f aca="false">N((Calc_2!DQ$4&gt;=Calc_2!$F18)*ABS(Calc_2!DQ98)&gt;Tolerance)</f>
        <v>0</v>
      </c>
      <c r="DR21" s="50" t="n">
        <f aca="false">N((Calc_2!DR$4&gt;=Calc_2!$F18)*ABS(Calc_2!DR98)&gt;Tolerance)</f>
        <v>0</v>
      </c>
      <c r="DS21" s="50" t="n">
        <f aca="false">N((Calc_2!DS$4&gt;=Calc_2!$F18)*ABS(Calc_2!DS98)&gt;Tolerance)</f>
        <v>0</v>
      </c>
      <c r="DT21" s="50" t="n">
        <f aca="false">N((Calc_2!DT$4&gt;=Calc_2!$F18)*ABS(Calc_2!DT98)&gt;Tolerance)</f>
        <v>0</v>
      </c>
      <c r="DU21" s="50" t="n">
        <f aca="false">N((Calc_2!DU$4&gt;=Calc_2!$F18)*ABS(Calc_2!DU98)&gt;Tolerance)</f>
        <v>0</v>
      </c>
      <c r="DV21" s="50" t="n">
        <f aca="false">N((Calc_2!DV$4&gt;=Calc_2!$F18)*ABS(Calc_2!DV98)&gt;Tolerance)</f>
        <v>0</v>
      </c>
      <c r="DW21" s="50" t="n">
        <f aca="false">N((Calc_2!DW$4&gt;=Calc_2!$F18)*ABS(Calc_2!DW98)&gt;Tolerance)</f>
        <v>0</v>
      </c>
      <c r="DX21" s="50" t="n">
        <f aca="false">N((Calc_2!DX$4&gt;=Calc_2!$F18)*ABS(Calc_2!DX98)&gt;Tolerance)</f>
        <v>0</v>
      </c>
      <c r="DY21" s="50" t="n">
        <f aca="false">N((Calc_2!DY$4&gt;=Calc_2!$F18)*ABS(Calc_2!DY98)&gt;Tolerance)</f>
        <v>0</v>
      </c>
      <c r="DZ21" s="50" t="n">
        <f aca="false">N((Calc_2!DZ$4&gt;=Calc_2!$F18)*ABS(Calc_2!DZ98)&gt;Tolerance)</f>
        <v>0</v>
      </c>
      <c r="EA21" s="50" t="n">
        <f aca="false">N((Calc_2!EA$4&gt;=Calc_2!$F18)*ABS(Calc_2!EA98)&gt;Tolerance)</f>
        <v>0</v>
      </c>
      <c r="EB21" s="50" t="n">
        <f aca="false">N((Calc_2!EB$4&gt;=Calc_2!$F18)*ABS(Calc_2!EB98)&gt;Tolerance)</f>
        <v>0</v>
      </c>
      <c r="EC21" s="50" t="n">
        <f aca="false">N((Calc_2!EC$4&gt;=Calc_2!$F18)*ABS(Calc_2!EC98)&gt;Tolerance)</f>
        <v>0</v>
      </c>
      <c r="ED21" s="50" t="n">
        <f aca="false">N((Calc_2!ED$4&gt;=Calc_2!$F18)*ABS(Calc_2!ED98)&gt;Tolerance)</f>
        <v>0</v>
      </c>
      <c r="EE21" s="50" t="n">
        <f aca="false">N((Calc_2!EE$4&gt;=Calc_2!$F18)*ABS(Calc_2!EE98)&gt;Tolerance)</f>
        <v>0</v>
      </c>
      <c r="EF21" s="50" t="n">
        <f aca="false">N((Calc_2!EF$4&gt;=Calc_2!$F18)*ABS(Calc_2!EF98)&gt;Tolerance)</f>
        <v>0</v>
      </c>
      <c r="EG21" s="50" t="n">
        <f aca="false">N((Calc_2!EG$4&gt;=Calc_2!$F18)*ABS(Calc_2!EG98)&gt;Tolerance)</f>
        <v>0</v>
      </c>
      <c r="EH21" s="50" t="n">
        <f aca="false">N((Calc_2!EH$4&gt;=Calc_2!$F18)*ABS(Calc_2!EH98)&gt;Tolerance)</f>
        <v>0</v>
      </c>
      <c r="EI21" s="50" t="n">
        <f aca="false">N((Calc_2!EI$4&gt;=Calc_2!$F18)*ABS(Calc_2!EI98)&gt;Tolerance)</f>
        <v>0</v>
      </c>
      <c r="EJ21" s="50" t="n">
        <f aca="false">N((Calc_2!EJ$4&gt;=Calc_2!$F18)*ABS(Calc_2!EJ98)&gt;Tolerance)</f>
        <v>0</v>
      </c>
      <c r="EK21" s="50" t="n">
        <f aca="false">N((Calc_2!EK$4&gt;=Calc_2!$F18)*ABS(Calc_2!EK98)&gt;Tolerance)</f>
        <v>0</v>
      </c>
      <c r="EL21" s="50" t="n">
        <f aca="false">N((Calc_2!EL$4&gt;=Calc_2!$F18)*ABS(Calc_2!EL98)&gt;Tolerance)</f>
        <v>0</v>
      </c>
      <c r="EM21" s="50" t="n">
        <f aca="false">N((Calc_2!EM$4&gt;=Calc_2!$F18)*ABS(Calc_2!EM98)&gt;Tolerance)</f>
        <v>0</v>
      </c>
      <c r="EN21" s="50" t="n">
        <f aca="false">N((Calc_2!EN$4&gt;=Calc_2!$F18)*ABS(Calc_2!EN98)&gt;Tolerance)</f>
        <v>0</v>
      </c>
      <c r="EO21" s="50" t="n">
        <f aca="false">N((Calc_2!EO$4&gt;=Calc_2!$F18)*ABS(Calc_2!EO98)&gt;Tolerance)</f>
        <v>0</v>
      </c>
    </row>
    <row r="22" customFormat="false" ht="15" hidden="false" customHeight="false" outlineLevel="0" collapsed="false">
      <c r="C22" s="0" t="s">
        <v>519</v>
      </c>
      <c r="D22" s="11" t="s">
        <v>43</v>
      </c>
      <c r="E22" s="27" t="str">
        <f aca="false">IF(F22=0,"OK","CHECK")</f>
        <v>OK</v>
      </c>
      <c r="F22" s="50" t="n">
        <f aca="false">N(Calc_1!$E102&lt;In_DSCR-Tolerance)</f>
        <v>0</v>
      </c>
    </row>
    <row r="23" customFormat="false" ht="15" hidden="false" customHeight="false" outlineLevel="0" collapsed="false">
      <c r="C23" s="0" t="s">
        <v>520</v>
      </c>
      <c r="D23" s="11" t="s">
        <v>43</v>
      </c>
      <c r="E23" s="27" t="str">
        <f aca="false">IF(F23=0,"OK","CHECK")</f>
        <v>OK</v>
      </c>
      <c r="F23" s="50" t="n">
        <f aca="false">N(Calc_2!$E102&lt;In_DSCR-Tolerance)</f>
        <v>0</v>
      </c>
    </row>
    <row r="24" customFormat="false" ht="15" hidden="false" customHeight="false" outlineLevel="0" collapsed="false">
      <c r="C24" s="0" t="s">
        <v>521</v>
      </c>
      <c r="D24" s="11" t="s">
        <v>43</v>
      </c>
      <c r="E24" s="27" t="str">
        <f aca="false">IF(F24=0,"OK","CHECK")</f>
        <v>OK</v>
      </c>
      <c r="F24" s="50" t="n">
        <f aca="false">N(ABS(Calc_1!$E123+Calc_1!$I130-Calc_1!$E98)&gt;Tolerance)</f>
        <v>0</v>
      </c>
    </row>
    <row r="25" customFormat="false" ht="15" hidden="false" customHeight="false" outlineLevel="0" collapsed="false">
      <c r="C25" s="0" t="s">
        <v>522</v>
      </c>
      <c r="D25" s="11" t="s">
        <v>43</v>
      </c>
      <c r="E25" s="27" t="str">
        <f aca="false">IF(F25=0,"OK","CHECK")</f>
        <v>OK</v>
      </c>
      <c r="F25" s="50" t="n">
        <f aca="false">N(ABS(Calc_2!$E123+Calc_2!$I130-Calc_2!$E98)&gt;Tolerance)</f>
        <v>0</v>
      </c>
    </row>
    <row r="26" customFormat="false" ht="15" hidden="false" customHeight="false" outlineLevel="0" collapsed="false">
      <c r="C26" s="0" t="s">
        <v>523</v>
      </c>
      <c r="D26" s="11" t="s">
        <v>43</v>
      </c>
      <c r="E26" s="27" t="str">
        <f aca="false">IF(F26=0,"OK","CHECK")</f>
        <v>OK</v>
      </c>
      <c r="F26" s="50" t="n">
        <f aca="false">N(ISERROR(Calc_1!$E135))+N(ISERROR(Calc_1!$E148))+N(ISERROR(Calc_1!$E146))+N(ISERROR(Calc_1!$E142))</f>
        <v>0</v>
      </c>
    </row>
    <row r="27" customFormat="false" ht="15" hidden="false" customHeight="false" outlineLevel="0" collapsed="false">
      <c r="C27" s="0" t="s">
        <v>524</v>
      </c>
      <c r="D27" s="11" t="s">
        <v>43</v>
      </c>
      <c r="E27" s="27" t="str">
        <f aca="false">IF(F27=0,"OK","CHECK")</f>
        <v>OK</v>
      </c>
      <c r="F27" s="50" t="n">
        <f aca="false">N(ISERROR(Calc_2!$E135))+N(ISERROR(Calc_2!$E148))+N(ISERROR(Calc_2!$E146))+N(ISERROR(Calc_2!$E142))</f>
        <v>0</v>
      </c>
    </row>
    <row r="28" customFormat="false" ht="15" hidden="false" customHeight="false" outlineLevel="0" collapsed="false">
      <c r="C28" s="0" t="s">
        <v>525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526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178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2026-10-15T08:42:33Z</dcterms:created>
  <dc:creator>openpyxl</dc:creator>
  <dc:description/>
  <dc:language>en-US</dc:language>
  <cp:lastModifiedBy/>
  <dcterms:modified xsi:type="dcterms:W3CDTF">2026-10-15T08:42:42Z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