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Dashboard!$H$121:$U$121</definedName>
    <definedName function="false" hidden="false" name="Buyer_IRR_L_2_Stored" vbProcedure="false">Dashboard!$H$122:$U$122</definedName>
    <definedName function="false" hidden="false" name="Buyer_IRR_U_1_Stored" vbProcedure="false">Dashboard!$H$119:$U$119</definedName>
    <definedName function="false" hidden="false" name="Buyer_IRR_U_2_Stored" vbProcedure="false">Dashboard!$H$120:$U$120</definedName>
    <definedName function="false" hidden="false" name="Checks_1_Stored" vbProcedure="false">Dashboard!$H$125:$U$125</definedName>
    <definedName function="false" hidden="false" name="Checks_2_Stored" vbProcedure="false">Dashboard!$H$126:$U$126</definedName>
    <definedName function="false" hidden="false" name="COD_IRR_1_Stored" vbProcedure="false">Dashboard!$H$107:$U$107</definedName>
    <definedName function="false" hidden="false" name="COD_IRR_2_Stored" vbProcedure="false">Dashboard!$H$108:$U$108</definedName>
    <definedName function="false" hidden="false" name="COD_MOIC_1_Stored" vbProcedure="false">Dashboard!$H$109:$U$109</definedName>
    <definedName function="false" hidden="false" name="COD_MOIC_2_Stored" vbProcedure="false">Dashboard!$H$110:$U$110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Dashboard!$H$115:$U$115</definedName>
    <definedName function="false" hidden="false" name="Debt_COD_2_Stored" vbProcedure="false">Dashboard!$H$116:$U$116</definedName>
    <definedName function="false" hidden="false" name="Equity_COD_1_Stored" vbProcedure="false">Dashboard!$H$117:$U$117</definedName>
    <definedName function="false" hidden="false" name="Equity_COD_2_Stored" vbProcedure="false">Dashboard!$H$118:$U$118</definedName>
    <definedName function="false" hidden="false" name="GoalSeek_Topics" vbProcedure="false">Inputs!$F$110</definedName>
    <definedName function="false" hidden="false" name="HTM_IRR_1_Stored" vbProcedure="false">Dashboard!$H$111:$U$111</definedName>
    <definedName function="false" hidden="false" name="HTM_IRR_2_Stored" vbProcedure="false">Dashboard!$H$112:$U$112</definedName>
    <definedName function="false" hidden="false" name="HTM_MOIC_1_Stored" vbProcedure="false">Dashboard!$H$113:$U$113</definedName>
    <definedName function="false" hidden="false" name="HTM_MOIC_2_Stored" vbProcedure="false">Dashboard!$H$114:$U$114</definedName>
    <definedName function="false" hidden="false" name="In_Admin" vbProcedure="false">Inputs!$F$89</definedName>
    <definedName function="false" hidden="false" name="In_Award_Date" vbProcedure="false">Inputs!$F$22</definedName>
    <definedName function="false" hidden="false" name="In_Bench_BESS" vbProcedure="false">Inputs!$F$61</definedName>
    <definedName function="false" hidden="false" name="In_Bench_Wind" vbProcedure="false">Inputs!$F$62</definedName>
    <definedName function="false" hidden="false" name="In_BESS_Built" vbProcedure="false">Inputs!$F$56</definedName>
    <definedName function="false" hidden="false" name="In_BESS_Capex" vbProcedure="false">Inputs!$F$78</definedName>
    <definedName function="false" hidden="false" name="In_BESS_Set" vbProcedure="false">Inputs!$F$54</definedName>
    <definedName function="false" hidden="false" name="In_Bid_Date" vbProcedure="false">Inputs!$F$21</definedName>
    <definedName function="false" hidden="false" name="In_Bid_Rate" vbProcedure="false">Inputs!$F$64</definedName>
    <definedName function="false" hidden="false" name="In_Bottleneck_Loss" vbProcedure="false">Inputs!$F$55</definedName>
    <definedName function="false" hidden="false" name="In_Capex_Contingency" vbProcedure="false">Inputs!$F$77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Inputs!$F$105</definedName>
    <definedName function="false" hidden="false" name="In_Curtailment" vbProcedure="false">Inputs!$F$82</definedName>
    <definedName function="false" hidden="false" name="In_DD" vbProcedure="false">Inputs!$F$35</definedName>
    <definedName function="false" hidden="false" name="In_Debt_Mult" vbProcedure="false">Inputs!$F$98</definedName>
    <definedName function="false" hidden="false" name="In_Debt_Rate" vbProcedure="false">Inputs!$F$103</definedName>
    <definedName function="false" hidden="false" name="In_Debt_Tenor" vbProcedure="false">Inputs!$F$102</definedName>
    <definedName function="false" hidden="false" name="In_Decision_Date" vbProcedure="false">Inputs!$F$23</definedName>
    <definedName function="false" hidden="false" name="In_Degradation" vbProcedure="false">Inputs!$F$83</definedName>
    <definedName function="false" hidden="false" name="In_Deliver" vbProcedure="false">Inputs!$F$53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Inputs!$F$67</definedName>
    <definedName function="false" hidden="false" name="In_Discount_Rate" vbProcedure="false">Inputs!$F$40</definedName>
    <definedName function="false" hidden="false" name="In_DSCR" vbProcedure="false">Inputs!$F$101</definedName>
    <definedName function="false" hidden="false" name="In_DSCR_Max_High" vbProcedure="false">Inputs!$F$100</definedName>
    <definedName function="false" hidden="false" name="In_DSCR_Max_Low" vbProcedure="false">Inputs!$F$99</definedName>
    <definedName function="false" hidden="false" name="In_DSRA_Months" vbProcedure="false">Inputs!$F$106</definedName>
    <definedName function="false" hidden="false" name="In_Fixed_Opex" vbProcedure="false">Inputs!$F$87</definedName>
    <definedName function="false" hidden="false" name="In_FX" vbProcedure="false">Inputs!$F$33</definedName>
    <definedName function="false" hidden="false" name="In_Gearing" vbProcedure="false">Inputs!$F$97</definedName>
    <definedName function="false" hidden="false" name="In_Guarantee_Fee" vbProcedure="false">Inputs!$F$69</definedName>
    <definedName function="false" hidden="false" name="In_HCSSZ_Date" vbProcedure="false">Inputs!$F$27</definedName>
    <definedName function="false" hidden="false" name="In_HIPA" vbProcedure="false">Inputs!$F$93</definedName>
    <definedName function="false" hidden="false" name="In_Indirect_Fee" vbProcedure="false">Inputs!$F$68</definedName>
    <definedName function="false" hidden="false" name="In_Innovation" vbProcedure="false">Inputs!$F$94</definedName>
    <definedName function="false" hidden="false" name="In_Lease" vbProcedure="false">Inputs!$F$88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Inputs!$F$92</definedName>
    <definedName function="false" hidden="false" name="In_Min_Hours" vbProcedure="false">Inputs!$F$57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Inputs!$F$90</definedName>
    <definedName function="false" hidden="false" name="In_Opex_Esc" vbProcedure="false">Inputs!$F$91</definedName>
    <definedName function="false" hidden="false" name="In_Other_Wind" vbProcedure="false">Inputs!$F$74</definedName>
    <definedName function="false" hidden="false" name="In_Overbuild_Built" vbProcedure="false">Inputs!$F$52</definedName>
    <definedName function="false" hidden="false" name="In_P50_Hours" vbProcedure="false">Inputs!$F$81</definedName>
    <definedName function="false" hidden="false" name="In_Part_Fee" vbProcedure="false">Inputs!$F$63</definedName>
    <definedName function="false" hidden="false" name="In_PB_Days" vbProcedure="false">Inputs!$F$24</definedName>
    <definedName function="false" hidden="false" name="In_PB_Rate" vbProcedure="false">Inputs!$F$65</definedName>
    <definedName function="false" hidden="false" name="In_PB_Release" vbProcedure="false">Inputs!$F$30</definedName>
    <definedName function="false" hidden="false" name="In_PPA_Esc" vbProcedure="false">Inputs!$F$85</definedName>
    <definedName function="false" hidden="false" name="In_PPA_Price" vbProcedure="false">Inputs!$F$84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Inputs!$F$60</definedName>
    <definedName function="false" hidden="false" name="In_Sanction_Regime" vbProcedure="false">Inputs!$F$59</definedName>
    <definedName function="false" hidden="false" name="In_Substation" vbProcedure="false">Inputs!$F$75</definedName>
    <definedName function="false" hidden="false" name="In_Substation_CN" vbProcedure="false">Inputs!$F$76</definedName>
    <definedName function="false" hidden="false" name="In_Tolerance_Cap" vbProcedure="false">Inputs!$F$58</definedName>
    <definedName function="false" hidden="false" name="In_TSO_Security" vbProcedure="false">Inputs!$F$66</definedName>
    <definedName function="false" hidden="false" name="In_Turbine" vbProcedure="false">Inputs!$F$72</definedName>
    <definedName function="false" hidden="false" name="In_Turbine_CN" vbProcedure="false">Inputs!$F$73</definedName>
    <definedName function="false" hidden="false" name="In_Upfront_Fee" vbProcedure="false">Inputs!$F$104</definedName>
    <definedName function="false" hidden="false" name="In_Var_Opex" vbProcedure="false">Inputs!$F$86</definedName>
    <definedName function="false" hidden="false" name="Live_Results" vbProcedure="false">Dashboard!$E$101:$E$126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Dashboard!$H$123:$U$123</definedName>
    <definedName function="false" hidden="false" name="Min_DSCR_2_Stored" vbProcedure="false">Dashboard!$H$124:$U$124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Dashboard!$H$103:$U$103</definedName>
    <definedName function="false" hidden="false" name="MVA_At_Risk_2_Stored" vbProcedure="false">Dashboard!$H$104:$U$104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Dashboard!$E$77</definedName>
    <definedName function="false" hidden="false" name="Out_Buyer_IRR_L_2" vbProcedure="false">Dashboard!$F$77</definedName>
    <definedName function="false" hidden="false" name="Out_Buyer_IRR_U_1" vbProcedure="false">Dashboard!$E$76</definedName>
    <definedName function="false" hidden="false" name="Out_Buyer_IRR_U_2" vbProcedure="false">Dashboard!$F$76</definedName>
    <definedName function="false" hidden="false" name="Out_Capacity_Used_1" vbProcedure="false">Dashboard!$E$82</definedName>
    <definedName function="false" hidden="false" name="Out_Capacity_Used_2" vbProcedure="false">Dashboard!$F$82</definedName>
    <definedName function="false" hidden="false" name="Out_Checks_1" vbProcedure="false">Dashboard!$E$98</definedName>
    <definedName function="false" hidden="false" name="Out_Checks_2" vbProcedure="false">Dashboard!$F$98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Dashboard!$E$73</definedName>
    <definedName function="false" hidden="false" name="Out_COD_Price_2" vbProcedure="false">Dashboard!$F$73</definedName>
    <definedName function="false" hidden="false" name="Out_COD_Proceeds_1" vbProcedure="false">Dashboard!$E$74</definedName>
    <definedName function="false" hidden="false" name="Out_COD_Proceeds_2" vbProcedure="false">Dashboard!$F$74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Dashboard!$E$75</definedName>
    <definedName function="false" hidden="false" name="Out_COD_Tax_2" vbProcedure="false">Dashboard!$F$75</definedName>
    <definedName function="false" hidden="false" name="Out_Debt_Capacity_1" vbProcedure="false">Dashboard!$E$80</definedName>
    <definedName function="false" hidden="false" name="Out_Debt_Capacity_2" vbProcedure="false">Dashboard!$F$80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Dashboard!$E$87</definedName>
    <definedName function="false" hidden="false" name="Out_Debt_Max_High_2" vbProcedure="false">Dashboard!$F$87</definedName>
    <definedName function="false" hidden="false" name="Out_Debt_Max_High_Pct_1" vbProcedure="false">Dashboard!$E$88</definedName>
    <definedName function="false" hidden="false" name="Out_Debt_Max_High_Pct_2" vbProcedure="false">Dashboard!$F$88</definedName>
    <definedName function="false" hidden="false" name="Out_Debt_Max_Low_1" vbProcedure="false">Dashboard!$E$84</definedName>
    <definedName function="false" hidden="false" name="Out_Debt_Max_Low_2" vbProcedure="false">Dashboard!$F$84</definedName>
    <definedName function="false" hidden="false" name="Out_Debt_Max_Low_Pct_1" vbProcedure="false">Dashboard!$E$85</definedName>
    <definedName function="false" hidden="false" name="Out_Debt_Max_Low_Pct_2" vbProcedure="false">Dashboard!$F$85</definedName>
    <definedName function="false" hidden="false" name="Out_Debt_Share_1" vbProcedure="false">Dashboard!$E$81</definedName>
    <definedName function="false" hidden="false" name="Out_Debt_Share_2" vbProcedure="false">Dashboard!$F$81</definedName>
    <definedName function="false" hidden="false" name="Out_DSCR_Max_High_1" vbProcedure="false">Dashboard!$E$86</definedName>
    <definedName function="false" hidden="false" name="Out_DSCR_Max_High_2" vbProcedure="false">Dashboard!$F$86</definedName>
    <definedName function="false" hidden="false" name="Out_DSCR_Max_Low_1" vbProcedure="false">Dashboard!$E$83</definedName>
    <definedName function="false" hidden="false" name="Out_DSCR_Max_Low_2" vbProcedure="false">Dashboard!$F$83</definedName>
    <definedName function="false" hidden="false" name="Out_DSRA_1" vbProcedure="false">Dashboard!$E$89</definedName>
    <definedName function="false" hidden="false" name="Out_DSRA_2" vbProcedure="false">Dashboard!$F$89</definedName>
    <definedName function="false" hidden="false" name="Out_EBITDA_Life_1" vbProcedure="false">Dashboard!$E$95</definedName>
    <definedName function="false" hidden="false" name="Out_EBITDA_Life_2" vbProcedure="false">Dashboard!$F$95</definedName>
    <definedName function="false" hidden="false" name="Out_EBITDA_Year1_1" vbProcedure="false">Dashboard!$E$93</definedName>
    <definedName function="false" hidden="false" name="Out_EBITDA_Year1_2" vbProcedure="false">Dashboard!$F$93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Dashboard!$E$91</definedName>
    <definedName function="false" hidden="false" name="Out_Gen_Year1_2" vbProcedure="false">Dashboard!$F$91</definedName>
    <definedName function="false" hidden="false" name="Out_Guarantee_Fees_COD_1" vbProcedure="false">Dashboard!$E$70</definedName>
    <definedName function="false" hidden="false" name="Out_Guarantee_Fees_COD_2" vbProcedure="false">Dashboard!$F$70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Dashboard!$E$90</definedName>
    <definedName function="false" hidden="false" name="Out_Min_DSCR_2" vbProcedure="false">Dashboard!$F$90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Dashboard!$E$94</definedName>
    <definedName function="false" hidden="false" name="Out_Revenue_Life_2" vbProcedure="false">Dashboard!$F$94</definedName>
    <definedName function="false" hidden="false" name="Out_Revenue_Year1_1" vbProcedure="false">Dashboard!$E$92</definedName>
    <definedName function="false" hidden="false" name="Out_Revenue_Year1_2" vbProcedure="false">Dashboard!$F$92</definedName>
    <definedName function="false" hidden="false" name="Out_Sec_bid_1" vbProcedure="false">Dashboard!$E$65</definedName>
    <definedName function="false" hidden="false" name="Out_Sec_bid_2" vbProcedure="false">Dashboard!$F$65</definedName>
    <definedName function="false" hidden="false" name="Out_Sec_direct_1" vbProcedure="false">Dashboard!$E$68</definedName>
    <definedName function="false" hidden="false" name="Out_Sec_direct_2" vbProcedure="false">Dashboard!$F$68</definedName>
    <definedName function="false" hidden="false" name="Out_Sec_fee_1" vbProcedure="false">Dashboard!$E$64</definedName>
    <definedName function="false" hidden="false" name="Out_Sec_fee_2" vbProcedure="false">Dashboard!$F$64</definedName>
    <definedName function="false" hidden="false" name="Out_Sec_indirect_1" vbProcedure="false">Dashboard!$E$69</definedName>
    <definedName function="false" hidden="false" name="Out_Sec_indirect_2" vbProcedure="false">Dashboard!$F$69</definedName>
    <definedName function="false" hidden="false" name="Out_Sec_pb_1" vbProcedure="false">Dashboard!$E$66</definedName>
    <definedName function="false" hidden="false" name="Out_Sec_pb_2" vbProcedure="false">Dashboard!$F$66</definedName>
    <definedName function="false" hidden="false" name="Out_Sec_tso_1" vbProcedure="false">Dashboard!$E$67</definedName>
    <definedName function="false" hidden="false" name="Out_Sec_tso_2" vbProcedure="false">Dashboard!$F$67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Dashboard!$E$96</definedName>
    <definedName function="false" hidden="false" name="Out_Tax_Life_2" vbProcedure="false">Dashboard!$F$96</definedName>
    <definedName function="false" hidden="false" name="Out_Tax_Losses_Lapsed_1" vbProcedure="false">Dashboard!$E$97</definedName>
    <definedName function="false" hidden="false" name="Out_Tax_Losses_Lapsed_2" vbProcedure="false">Dashboard!$F$97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Dashboard!$H$105:$U$105</definedName>
    <definedName function="false" hidden="false" name="PB_Call_Applied_2_Stored" vbProcedure="false">Dashboard!$H$106:$U$106</definedName>
    <definedName function="false" hidden="false" name="Points_1_Stored" vbProcedure="false">Dashboard!$H$101:$U$101</definedName>
    <definedName function="false" hidden="false" name="Points_2_Stored" vbProcedure="false">Dashboard!$H$102:$U$102</definedName>
    <definedName function="false" hidden="false" name="Points_Decimals" vbProcedure="false">Inputs!$F$50</definedName>
    <definedName function="false" hidden="false" name="Scenario_Name" vbProcedure="false">Dashboard!$Y$12</definedName>
    <definedName function="false" hidden="false" name="Scenario_Names" vbProcedure="false">Inputs!$H$7:$U$7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Inputs!$F$109</definedName>
    <definedName function="false" hidden="false" name="Stored_Results" vbProcedure="false">Dashboard!$H$101:$U$126</definedName>
    <definedName function="false" hidden="false" name="Tax_1_Copy" vbProcedure="false">Calc_1!$J$113:$EO$113</definedName>
    <definedName function="false" hidden="false" name="Tax_1_Delta" vbProcedure="false">Calc_1!$I$114</definedName>
    <definedName function="false" hidden="false" name="Tax_1_Paste" vbProcedure="false">Calc_1!$J$86:$EO$86</definedName>
    <definedName function="false" hidden="false" name="Tax_2_Copy" vbProcedure="false">Calc_2!$J$113:$EO$113</definedName>
    <definedName function="false" hidden="false" name="Tax_2_Delta" vbProcedure="false">Calc_2!$I$114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<sst xmlns="http://schemas.openxmlformats.org/spreadsheetml/2006/main" count="1244" uniqueCount="526">
  <si>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</si>
  <si>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</si>
  <si>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</si>
  <si>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</si>
  <si>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</si>
  <si>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</si>
  <si>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</si>
  <si>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</si>
  <si>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</si>
  <si>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</si>
  <si>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</si>
  <si>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</si>
  <si>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</si>
  <si>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</si>
  <si>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</si>
  <si>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</si>
  <si>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</si>
  <si>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</si>
  <si>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</si>
  <si>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</si>
  <si>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</si>
  <si>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</si>
  <si>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</si>
  <si>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</si>
  <si>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</si>
  <si>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</si>
  <si>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</si>
  <si>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</si>
  <si>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</si>
  <si>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</si>
  <si>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</si>
  <si>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</si>
  <si>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</si>
  <si>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</si>
  <si>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</si>
  <si>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</si>
  <si>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</si>
  <si>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</si>
  <si>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</si>
  <si>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</si>
  <si>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</si>
  <si>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</si>
  <si>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</si>
  <si>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</si>
  <si>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</si>
  <si>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</si>
  <si>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</si>
  <si>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</si>
  <si>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</si>
  <si>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</si>
  <si>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</si>
  <si>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</si>
  <si>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</si>
  <si>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</si>
  <si>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</si>
  <si>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</si>
  <si>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</si>
  <si>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</si>
  <si>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</si>
  <si>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</si>
  <si>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</si>
  <si>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</si>
  <si>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</si>
  <si>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</si>
  <si>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</si>
  <si>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</si>
  <si>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</si>
  <si>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</si>
  <si>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</si>
  <si>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</si>
  <si>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</si>
  <si>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</si>
  <si>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</si>
  <si>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</si>
  <si>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</si>
  <si>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</si>
  <si>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</si>
  <si>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</si>
  <si>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</si>
  <si>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</si>
  <si>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</si>
  <si>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</si>
  <si>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</si>
  <si>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</si>
  <si>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</si>
  <si>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</si>
  <si>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</si>
  <si>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</si>
  <si>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</si>
  <si>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</si>
  <si>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</si>
  <si>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</si>
  <si>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</si>
  <si>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</si>
  <si>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</si>
  <si>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</si>
  <si>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</si>
  <si>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</si>
  <si>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</si>
  <si>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</si>
  <si>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</si>
  <si>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</si>
  <si>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</si>
  <si>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</si>
  <si>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</si>
  <si>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</si>
  <si>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</si>
  <si>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</si>
  <si>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</si>
  <si>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</si>
  <si>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</si>
  <si>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</si>
  <si>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</si>
  <si>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</si>
  <si>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</si>
  <si>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</si>
  <si>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</si>
  <si>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</si>
  <si>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</si>
  <si>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</si>
  <si>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</si>
  <si>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</si>
  <si>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</si>
  <si>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</si>
  <si>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</si>
  <si>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</si>
  <si>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</si>
  <si>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</si>
  <si>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</si>
  <si>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</si>
  <si>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</si>
  <si>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</si>
  <si>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</si>
  <si>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</si>
  <si>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</si>
  <si>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</si>
  <si>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</si>
  <si>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</si>
  <si>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</si>
  <si>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</si>
  <si>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</si>
  <si>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</si>
  <si>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</si>
  <si>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</si>
  <si>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</si>
  <si>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</si>
  <si>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</si>
  <si>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</si>
  <si>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</si>
  <si>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</si>
  <si>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</si>
  <si>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</si>
  <si>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</si>
  <si>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</si>
  <si>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</si>
  <si>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</si>
  <si>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</si>
  <si>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</si>
  <si>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</si>
  <si>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</si>
  <si>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</si>
  <si>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</si>
  <si>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</si>
  <si>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</si>
  <si>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</si>
  <si>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</si>
  <si>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</si>
  <si>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</si>
  <si>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</si>
  <si>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</si>
  <si>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</si>
  <si>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</si>
  <si>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</si>
  <si>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</si>
  <si>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</si>
  <si>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</si>
  <si>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</si>
  <si>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</si>
  <si>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</si>
  <si>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</si>
  <si>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</si>
  <si>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</si>
  <si>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</si>
  <si>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</si>
  <si>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</si>
  <si>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</si>
  <si>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</si>
  <si>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</si>
  <si>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</si>
  <si>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</si>
  <si>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</si>
  <si>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</si>
  <si>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</si>
  <si>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</si>
  <si>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Debt 6x EBITDA</t>
  </si>
  <si>
    <t xml:space="preserve">BESS 100 MWh</t>
  </si>
  <si>
    <t xml:space="preserve">Promise all, deliver nothing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</si>
  <si>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</si>
  <si>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</si>
  <si>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</si>
  <si>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</si>
  <si>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</si>
  <si>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</si>
  <si>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</si>
  <si>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</si>
  <si>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</si>
  <si>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</si>
  <si>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</si>
  <si>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</si>
  <si>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</si>
  <si>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</si>
  <si>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</si>
  <si>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</si>
  <si>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</si>
  <si>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</si>
  <si>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</si>
  <si>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</si>
  <si>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</si>
  <si>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</si>
  <si>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</si>
  <si>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</si>
  <si>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</si>
  <si>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</si>
  <si>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</si>
  <si>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</si>
  <si>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</si>
  <si>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</si>
  <si>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</si>
  <si>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</si>
  <si>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</si>
  <si>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</si>
  <si>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</si>
  <si>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</si>
  <si>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</si>
  <si>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</si>
  <si>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</si>
  <si>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</si>
  <si>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</si>
  <si>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</si>
  <si>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</si>
  <si>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</si>
  <si>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</si>
  <si>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</si>
  <si>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</si>
  <si>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</si>
  <si>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</si>
  <si>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</si>
  <si>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</si>
  <si>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</si>
  <si>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</si>
  <si>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</si>
  <si>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</si>
  <si>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</si>
  <si>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</si>
  <si>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</si>
  <si>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</si>
  <si>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</si>
  <si>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</si>
  <si>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</si>
  <si>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</si>
  <si>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</si>
  <si>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</si>
  <si>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</si>
  <si>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</si>
  <si>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</si>
  <si>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</si>
  <si>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</si>
  <si>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</si>
  <si>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</si>
  <si>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</si>
  <si>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</si>
  <si>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</si>
  <si>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</si>
  <si>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</si>
  <si>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</si>
  <si>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</si>
  <si>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</si>
  <si>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</si>
  <si>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</si>
  <si>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</si>
  <si>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</si>
  <si>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</si>
  <si>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</si>
  <si>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</si>
  <si>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</si>
  <si>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</si>
  <si>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</si>
  <si>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</si>
  <si>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</si>
  <si>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</si>
  <si>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</si>
  <si>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</si>
  <si>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</si>
  <si>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</si>
  <si>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</si>
  <si>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</si>
  <si>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</si>
  <si>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</si>
  <si>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</si>
  <si>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</si>
  <si>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</si>
  <si>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</si>
  <si>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</si>
  <si>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</si>
  <si>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</si>
  <si>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</si>
  <si>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</si>
  <si>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</si>
  <si>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</si>
  <si>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</si>
  <si>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</si>
  <si>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</si>
  <si>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</si>
  <si>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</si>
  <si>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</si>
  <si>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</si>
  <si>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</si>
  <si>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</si>
  <si>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</si>
  <si>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</si>
  <si>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</si>
  <si>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</si>
  <si>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</si>
  <si>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</si>
  <si>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</si>
  <si>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</si>
  <si>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</si>
  <si>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</si>
  <si>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</si>
  <si>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</si>
  <si>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</si>
  <si>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</si>
  <si>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</si>
  <si>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</si>
  <si>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</si>
  <si>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</si>
  <si>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</si>
  <si>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</si>
  <si>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</si>
  <si>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</si>
  <si>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</si>
  <si>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</si>
  <si>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</si>
  <si>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</si>
  <si>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</si>
  <si>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</si>
  <si>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</si>
  <si>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</si>
  <si>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</si>
  <si>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</si>
  <si>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both routes</t>
  </si>
  <si>
    <t xml:space="preserve">User 14-Oct-26</t>
  </si>
  <si>
    <t xml:space="preserve">Debt sized at first full-year EBITDA x (0 = off)</t>
  </si>
  <si>
    <t xml:space="preserve">Target DSCR for sizing and sculpting</t>
  </si>
  <si>
    <t xml:space="preserve">Rock Assumptions G549</t>
  </si>
  <si>
    <t xml:space="preserve">Rock G540; set 9: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</si>
  <si>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</si>
  <si>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</si>
  <si>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</si>
  <si>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</si>
  <si>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</si>
  <si>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</si>
  <si>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</si>
  <si>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</si>
  <si>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</si>
  <si>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</si>
  <si>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</si>
  <si>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</si>
  <si>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</si>
  <si>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</si>
  <si>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</si>
  <si>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</si>
  <si>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</si>
  <si>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</si>
  <si>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</si>
  <si>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</si>
  <si>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</si>
  <si>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</si>
  <si>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</si>
  <si>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</si>
  <si>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</si>
  <si>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</si>
  <si>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</si>
  <si>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</si>
  <si>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</si>
  <si>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</si>
  <si>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</si>
  <si>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</si>
  <si>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</si>
  <si>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</si>
  <si>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</si>
  <si>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</si>
  <si>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</si>
  <si>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</si>
  <si>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</si>
  <si>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</si>
  <si>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</si>
  <si>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</si>
  <si>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</si>
  <si>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</si>
  <si>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</si>
  <si>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</si>
  <si>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</si>
  <si>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</si>
  <si>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</si>
  <si>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</si>
  <si>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</si>
  <si>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</si>
  <si>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</si>
  <si>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</si>
  <si>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</si>
  <si>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</si>
  <si>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</si>
  <si>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</si>
  <si>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</si>
  <si>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</si>
  <si>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</si>
  <si>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</si>
  <si>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</si>
  <si>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</si>
  <si>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</si>
  <si>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</si>
  <si>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</si>
  <si>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</si>
  <si>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</si>
  <si>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</si>
  <si>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</si>
  <si>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</si>
  <si>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</si>
  <si>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</si>
  <si>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</si>
  <si>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</si>
  <si>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</si>
  <si>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</si>
  <si>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</si>
  <si>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</si>
  <si>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</si>
  <si>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</si>
  <si>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</si>
  <si>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</si>
  <si>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</si>
  <si>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</si>
  <si>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</si>
  <si>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</si>
  <si>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</si>
  <si>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</si>
  <si>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</si>
  <si>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</si>
  <si>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</si>
  <si>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</si>
  <si>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</si>
  <si>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</si>
  <si>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</si>
  <si>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</si>
  <si>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</si>
  <si>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</si>
  <si>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</si>
  <si>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</si>
  <si>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</si>
  <si>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</si>
  <si>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</si>
  <si>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</si>
  <si>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</si>
  <si>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</si>
  <si>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</si>
  <si>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</si>
  <si>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</si>
  <si>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target: EBITDA multiple (else the DSCR capacity)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</si>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</sst>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Y12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1" min="8" style="0" width="12"/>
    <col collapsed="false" customWidth="true" hidden="false" outlineLevel="0" max="22" min="22" style="0" width="3"/>
    <col collapsed="false" customWidth="true" hidden="false" outlineLevel="0" max="23" min="23" style="0" width="34"/>
    <col collapsed="false" customWidth="true" hidden="false" outlineLevel="0" max="24" min="24" style="0" width="10"/>
    <col collapsed="false" customWidth="true" hidden="false" outlineLevel="0" max="25" min="25" style="0" width="12"/>
    <col collapsed="false" customWidth="false" hidden="true" outlineLevel="1" max="16384" min="26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W9" s="7" t="s">
        <v>11</v>
      </c>
      <c r="X9" s="7" t="s">
        <v>8</v>
      </c>
      <c r="Y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W11" s="9" t="s">
        <v>5</v>
      </c>
      <c r="X11" s="9"/>
      <c r="Y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W12" s="13" t="s">
        <v>5</v>
      </c>
      <c r="X12" s="11" t="s">
        <v>21</v>
      </c>
      <c r="Y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W14" s="9" t="s">
        <v>29</v>
      </c>
      <c r="X14" s="9"/>
      <c r="Y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W15" s="13" t="s">
        <v>32</v>
      </c>
      <c r="X15" s="11" t="s">
        <v>33</v>
      </c>
      <c r="Y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W16" s="13" t="s">
        <v>37</v>
      </c>
      <c r="X16" s="11" t="s">
        <v>38</v>
      </c>
      <c r="Y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W17" s="13" t="s">
        <v>41</v>
      </c>
      <c r="X17" s="11" t="s">
        <v>27</v>
      </c>
      <c r="Y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W18" s="13" t="s">
        <v>45</v>
      </c>
      <c r="X18" s="11" t="s">
        <v>43</v>
      </c>
      <c r="Y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W19" s="13" t="s">
        <v>47</v>
      </c>
      <c r="X19" s="11" t="s">
        <v>19</v>
      </c>
      <c r="Y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W20" s="13" t="s">
        <v>49</v>
      </c>
      <c r="X20" s="11" t="s">
        <v>19</v>
      </c>
      <c r="Y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W21" s="13" t="s">
        <v>51</v>
      </c>
      <c r="X21" s="11" t="s">
        <v>19</v>
      </c>
      <c r="Y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W22" s="13" t="s">
        <v>54</v>
      </c>
      <c r="X22" s="11" t="s">
        <v>19</v>
      </c>
      <c r="Y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W23" s="13" t="s">
        <v>56</v>
      </c>
      <c r="X23" s="11" t="s">
        <v>57</v>
      </c>
      <c r="Y23" s="18" t="n">
        <f aca="false">In_P50_Hours</f>
        <v>2600</v>
      </c>
    </row>
    <row r="24" customFormat="false" ht="15" hidden="false" customHeight="false" outlineLevel="0" collapsed="false">
      <c r="W24" s="0" t="s">
        <v>58</v>
      </c>
      <c r="X24" s="11" t="s">
        <v>24</v>
      </c>
      <c r="Y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W25" s="13" t="s">
        <v>60</v>
      </c>
      <c r="X25" s="11" t="s">
        <v>27</v>
      </c>
      <c r="Y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W26" s="13" t="s">
        <v>63</v>
      </c>
      <c r="X26" s="11" t="s">
        <v>13</v>
      </c>
      <c r="Y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W27" s="13" t="s">
        <v>65</v>
      </c>
      <c r="X27" s="11" t="s">
        <v>66</v>
      </c>
      <c r="Y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W28" s="13" t="s">
        <v>68</v>
      </c>
      <c r="X28" s="11" t="s">
        <v>27</v>
      </c>
      <c r="Y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W29" s="13" t="s">
        <v>71</v>
      </c>
      <c r="X29" s="11" t="s">
        <v>27</v>
      </c>
      <c r="Y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W30" s="13" t="s">
        <v>73</v>
      </c>
      <c r="X30" s="11" t="s">
        <v>43</v>
      </c>
      <c r="Y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W31" s="13" t="s">
        <v>75</v>
      </c>
      <c r="X31" s="11" t="s">
        <v>27</v>
      </c>
      <c r="Y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W32" s="13" t="s">
        <v>78</v>
      </c>
      <c r="X32" s="11" t="s">
        <v>79</v>
      </c>
      <c r="Y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Calc_1!$I135/Thousand</f>
        <v>20.2080757486889</v>
      </c>
      <c r="F39" s="32" t="n">
        <f aca="false">Calc_2!$I135/Thousand</f>
        <v>29.3908657004839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Calc_1!$E136</f>
        <v>0.2632612602034</v>
      </c>
      <c r="F40" s="33" t="n">
        <f aca="false">Calc_2!$E136</f>
        <v>0.410318082809979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Calc_1!$E137</f>
        <v>1.37165010901922</v>
      </c>
      <c r="F41" s="29" t="n">
        <f aca="false">Calc_2!$E137</f>
        <v>1.70504013744302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Calc_1!$E138/Thousand</f>
        <v>10.9902192290749</v>
      </c>
      <c r="F42" s="32" t="n">
        <f aca="false">Calc_2!$E138/Thousand</f>
        <v>18.5604545699145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Calc_1!$I148/Thousand</f>
        <v>128.354805752667</v>
      </c>
      <c r="F43" s="32" t="n">
        <f aca="false">Calc_2!$I148/Thousand</f>
        <v>159.468109171737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Calc_1!$E149</f>
        <v>0.0778882731983857</v>
      </c>
      <c r="F44" s="33" t="n">
        <f aca="false">Calc_2!$E149</f>
        <v>0.117451501890168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Calc_1!$E150</f>
        <v>3.30771250081131</v>
      </c>
      <c r="F45" s="29" t="n">
        <f aca="false">Calc_2!$E150</f>
        <v>4.74214556361978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Calc_1!$E151/Thousand</f>
        <v>-1.15479514410591</v>
      </c>
      <c r="F46" s="32" t="n">
        <f aca="false">Calc_2!$E151/Thousand</f>
        <v>16.6806940920774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Calc_1!$E147</f>
        <v>0.0703014521926983</v>
      </c>
      <c r="F47" s="22" t="n">
        <f aca="false">Calc_2!$E147</f>
        <v>0.0962713849592859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Calc_1!$E117/Thousand</f>
        <v>5.15</v>
      </c>
      <c r="F50" s="32" t="n">
        <f aca="false">Calc_2!$E117/Thousand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Calc_1!$E118/Thousand</f>
        <v>1.11492155376243</v>
      </c>
      <c r="F51" s="32" t="n">
        <f aca="false">Calc_2!$E118/Thousand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Calc_1!$E119/Thousand</f>
        <v>91.96375</v>
      </c>
      <c r="F52" s="32" t="n">
        <f aca="false">Calc_2!$E119/Thousand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Calc_1!$E120/Thousand</f>
        <v>8.15482315068493</v>
      </c>
      <c r="F53" s="32" t="n">
        <f aca="false">Calc_2!$E120/Thousand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Calc_1!$E121/Thousand</f>
        <v>2.5</v>
      </c>
      <c r="F54" s="32" t="n">
        <f aca="false">Calc_2!$E121/Thousand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Calc_1!$E122/Thousand</f>
        <v>4.20575934932964</v>
      </c>
      <c r="F55" s="32" t="n">
        <f aca="false">Calc_2!$E122/Thousand</f>
        <v>3.10796939753469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Calc_1!$E123/Thousand</f>
        <v>0.340170197534084</v>
      </c>
      <c r="F56" s="32" t="n">
        <f aca="false">Calc_2!$E123/Thousand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Calc_1!$E124/Thousand</f>
        <v>113.429424251311</v>
      </c>
      <c r="F57" s="26" t="n">
        <f aca="false">Calc_2!$E124/Thousand</f>
        <v>85.0841342995161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Calc_1!$E99/Thousand</f>
        <v>59.0554976513219</v>
      </c>
      <c r="F58" s="32" t="n">
        <f aca="false">Calc_2!$E99/Thousand</f>
        <v>43.3973364285807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Calc_1!$E125/Thousand</f>
        <v>54.3739265999892</v>
      </c>
      <c r="F59" s="26" t="n">
        <f aca="false">Calc_2!$E125/Thousand</f>
        <v>41.6867978709354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Calc_1!$F125/Thousand</f>
        <v>55.6199291322214</v>
      </c>
      <c r="F60" s="32" t="n">
        <f aca="false">Calc_2!$F125/Thousand</f>
        <v>42.6140850110287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Calc_1!$E126</f>
        <v>0.520636493053868</v>
      </c>
      <c r="F61" s="22" t="n">
        <f aca="false">Calc_2!$E126</f>
        <v>0.510052041850856</v>
      </c>
    </row>
    <row r="63" customFormat="false" ht="15" hidden="false" customHeight="false" outlineLevel="0" collapsed="false">
      <c r="A63" s="9" t="s">
        <v>13</v>
      </c>
      <c r="B63" s="9"/>
      <c r="C63" s="9" t="s">
        <v>108</v>
      </c>
      <c r="D63" s="9"/>
      <c r="E63" s="10" t="s">
        <v>9</v>
      </c>
      <c r="F63" s="10" t="s">
        <v>10</v>
      </c>
      <c r="G63" s="9"/>
      <c r="H63" s="10" t="s">
        <v>109</v>
      </c>
      <c r="I63" s="10" t="s">
        <v>110</v>
      </c>
      <c r="J63" s="10" t="s">
        <v>111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</row>
    <row r="64" customFormat="false" ht="15" hidden="false" customHeight="false" outlineLevel="0" collapsed="false">
      <c r="C64" s="0" t="s">
        <v>112</v>
      </c>
      <c r="D64" s="11" t="s">
        <v>82</v>
      </c>
      <c r="E64" s="34" t="n">
        <f aca="false">Calc_1!$E52/Thousand</f>
        <v>0.00821917808219178</v>
      </c>
      <c r="F64" s="34" t="n">
        <f aca="false">Calc_2!$E52/Thousand</f>
        <v>0.00821917808219178</v>
      </c>
      <c r="H64" s="13" t="s">
        <v>113</v>
      </c>
      <c r="I64" s="20" t="n">
        <f aca="false">In_Bid_Date</f>
        <v>46325</v>
      </c>
      <c r="J64" s="35" t="s">
        <v>114</v>
      </c>
    </row>
    <row r="65" customFormat="false" ht="15" hidden="false" customHeight="false" outlineLevel="0" collapsed="false">
      <c r="C65" s="0" t="s">
        <v>115</v>
      </c>
      <c r="D65" s="11" t="s">
        <v>82</v>
      </c>
      <c r="E65" s="34" t="n">
        <f aca="false">Calc_1!$E53/Thousand</f>
        <v>0.443287671232877</v>
      </c>
      <c r="F65" s="34" t="n">
        <f aca="false">Calc_2!$E53/Thousand</f>
        <v>0.443287671232877</v>
      </c>
      <c r="H65" s="13" t="s">
        <v>116</v>
      </c>
      <c r="I65" s="20" t="n">
        <f aca="false">In_Bid_Date</f>
        <v>46325</v>
      </c>
      <c r="J65" s="20" t="n">
        <f aca="false">Calc_1!$F$54</f>
        <v>46433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Calc_1!$E54/Thousand</f>
        <v>2.21643835616438</v>
      </c>
      <c r="F66" s="34" t="n">
        <f aca="false">Calc_2!$E54/Thousand</f>
        <v>2.21643835616438</v>
      </c>
      <c r="H66" s="13" t="s">
        <v>116</v>
      </c>
      <c r="I66" s="20" t="n">
        <f aca="false">Calc_1!$F$54</f>
        <v>46433</v>
      </c>
      <c r="J66" s="20" t="n">
        <f aca="false">In_PB_Release</f>
        <v>48669</v>
      </c>
    </row>
    <row r="67" customFormat="false" ht="15" hidden="false" customHeight="false" outlineLevel="0" collapsed="false">
      <c r="C67" s="0" t="s">
        <v>118</v>
      </c>
      <c r="D67" s="11" t="s">
        <v>82</v>
      </c>
      <c r="E67" s="34" t="n">
        <f aca="false">Calc_1!$E55/Thousand</f>
        <v>0.616438356164384</v>
      </c>
      <c r="F67" s="34" t="n">
        <f aca="false">Calc_2!$E55/Thousand</f>
        <v>0.616438356164384</v>
      </c>
      <c r="H67" s="13" t="s">
        <v>113</v>
      </c>
      <c r="I67" s="20" t="n">
        <f aca="false">Calc_1!$F$54</f>
        <v>46433</v>
      </c>
      <c r="J67" s="35" t="s">
        <v>119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Calc_1!$E56/Thousand</f>
        <v>1.26027397260274</v>
      </c>
      <c r="F68" s="34" t="n">
        <f aca="false">Calc_2!$E56/Thousand</f>
        <v>1.26027397260274</v>
      </c>
      <c r="H68" s="13" t="s">
        <v>113</v>
      </c>
      <c r="I68" s="20" t="n">
        <f aca="false">In_HCSSZ_Date</f>
        <v>47126</v>
      </c>
      <c r="J68" s="35" t="s">
        <v>114</v>
      </c>
    </row>
    <row r="69" customFormat="false" ht="15" hidden="false" customHeight="false" outlineLevel="0" collapsed="false">
      <c r="C69" s="0" t="s">
        <v>121</v>
      </c>
      <c r="D69" s="11" t="s">
        <v>82</v>
      </c>
      <c r="E69" s="34" t="n">
        <f aca="false">Calc_1!$E57/Thousand</f>
        <v>6.89454917808219</v>
      </c>
      <c r="F69" s="34" t="n">
        <f aca="false">Calc_2!$E57/Thousand</f>
        <v>6.89454917808219</v>
      </c>
      <c r="H69" s="13" t="s">
        <v>113</v>
      </c>
      <c r="I69" s="20" t="n">
        <f aca="false">In_HCSSZ_Date</f>
        <v>47126</v>
      </c>
      <c r="J69" s="35" t="s">
        <v>114</v>
      </c>
    </row>
    <row r="70" customFormat="false" ht="15" hidden="false" customHeight="false" outlineLevel="0" collapsed="false">
      <c r="C70" s="0" t="s">
        <v>122</v>
      </c>
      <c r="D70" s="11" t="s">
        <v>82</v>
      </c>
      <c r="E70" s="34" t="n">
        <f aca="false">(-Calc_1!$E59)/Thousand</f>
        <v>0.490264019515857</v>
      </c>
      <c r="F70" s="34" t="n">
        <f aca="false">(-Calc_2!$E59)/Thousand</f>
        <v>0.490264019515857</v>
      </c>
    </row>
    <row r="72" customFormat="false" ht="15" hidden="false" customHeight="false" outlineLevel="0" collapsed="false">
      <c r="A72" s="9" t="s">
        <v>13</v>
      </c>
      <c r="B72" s="9"/>
      <c r="C72" s="9" t="s">
        <v>123</v>
      </c>
      <c r="D72" s="9"/>
      <c r="E72" s="10" t="s">
        <v>9</v>
      </c>
      <c r="F72" s="10" t="s">
        <v>10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</row>
    <row r="73" customFormat="false" ht="15" hidden="false" customHeight="false" outlineLevel="0" collapsed="false">
      <c r="C73" s="0" t="s">
        <v>124</v>
      </c>
      <c r="D73" s="11" t="s">
        <v>82</v>
      </c>
      <c r="E73" s="32" t="n">
        <f aca="false">Calc_1!$E132/Thousand</f>
        <v>134.1375</v>
      </c>
      <c r="F73" s="32" t="n">
        <f aca="false">Calc_2!$E132/Thousand</f>
        <v>114.975</v>
      </c>
    </row>
    <row r="74" customFormat="false" ht="15" hidden="false" customHeight="false" outlineLevel="0" collapsed="false">
      <c r="C74" s="0" t="s">
        <v>125</v>
      </c>
      <c r="D74" s="11" t="s">
        <v>82</v>
      </c>
      <c r="E74" s="32" t="n">
        <f aca="false">Calc_1!$E133/Thousand</f>
        <v>74.5820023486781</v>
      </c>
      <c r="F74" s="32" t="n">
        <f aca="false">Calc_2!$E133/Thousand</f>
        <v>71.0776635714193</v>
      </c>
    </row>
    <row r="75" customFormat="false" ht="15" hidden="false" customHeight="false" outlineLevel="0" collapsed="false">
      <c r="C75" s="0" t="s">
        <v>126</v>
      </c>
      <c r="D75" s="11" t="s">
        <v>82</v>
      </c>
      <c r="E75" s="32" t="n">
        <f aca="false">Calc_1!$E134/Thousand</f>
        <v>-0</v>
      </c>
      <c r="F75" s="32" t="n">
        <f aca="false">Calc_2!$E134/Thousand</f>
        <v>-0</v>
      </c>
    </row>
    <row r="76" customFormat="false" ht="15" hidden="false" customHeight="false" outlineLevel="0" collapsed="false">
      <c r="C76" s="25" t="s">
        <v>127</v>
      </c>
      <c r="D76" s="11" t="s">
        <v>27</v>
      </c>
      <c r="E76" s="33" t="n">
        <f aca="false">Calc_1!$E141</f>
        <v>0.0569296881085371</v>
      </c>
      <c r="F76" s="33" t="n">
        <f aca="false">Calc_2!$E141</f>
        <v>0.0698570950743652</v>
      </c>
    </row>
    <row r="77" customFormat="false" ht="15" hidden="false" customHeight="false" outlineLevel="0" collapsed="false">
      <c r="C77" s="0" t="s">
        <v>128</v>
      </c>
      <c r="D77" s="11" t="s">
        <v>27</v>
      </c>
      <c r="E77" s="22" t="n">
        <f aca="false">Calc_1!$E143</f>
        <v>0.0587523414590003</v>
      </c>
      <c r="F77" s="22" t="n">
        <f aca="false">Calc_2!$E143</f>
        <v>0.075903032181457</v>
      </c>
    </row>
    <row r="79" customFormat="false" ht="15" hidden="false" customHeight="false" outlineLevel="0" collapsed="false">
      <c r="A79" s="9" t="s">
        <v>13</v>
      </c>
      <c r="B79" s="9"/>
      <c r="C79" s="9" t="s">
        <v>129</v>
      </c>
      <c r="D79" s="9"/>
      <c r="E79" s="10" t="s">
        <v>9</v>
      </c>
      <c r="F79" s="10" t="s">
        <v>10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</row>
    <row r="80" customFormat="false" ht="15" hidden="false" customHeight="false" outlineLevel="0" collapsed="false">
      <c r="C80" s="0" t="s">
        <v>130</v>
      </c>
      <c r="D80" s="11" t="s">
        <v>82</v>
      </c>
      <c r="E80" s="32" t="n">
        <f aca="false">Calc_1!$E88/Thousand</f>
        <v>92.5962536856071</v>
      </c>
      <c r="F80" s="32" t="n">
        <f aca="false">Calc_2!$E88/Thousand</f>
        <v>89.8315464768464</v>
      </c>
    </row>
    <row r="81" customFormat="false" ht="15" hidden="false" customHeight="false" outlineLevel="0" collapsed="false">
      <c r="C81" s="0" t="s">
        <v>131</v>
      </c>
      <c r="D81" s="11" t="s">
        <v>27</v>
      </c>
      <c r="E81" s="22" t="n">
        <f aca="false">Calc_1!$E90</f>
        <v>0.55</v>
      </c>
      <c r="F81" s="22" t="n">
        <f aca="false">Calc_2!$E90</f>
        <v>0.55</v>
      </c>
    </row>
    <row r="82" customFormat="false" ht="15" hidden="false" customHeight="false" outlineLevel="0" collapsed="false">
      <c r="C82" s="0" t="s">
        <v>132</v>
      </c>
      <c r="D82" s="11" t="s">
        <v>27</v>
      </c>
      <c r="E82" s="22" t="n">
        <f aca="false">Calc_1!$F90</f>
        <v>0.637774157168751</v>
      </c>
      <c r="F82" s="22" t="n">
        <f aca="false">Calc_2!$F90</f>
        <v>0.483096842151839</v>
      </c>
    </row>
    <row r="83" customFormat="false" ht="15" hidden="false" customHeight="false" outlineLevel="0" collapsed="false">
      <c r="C83" s="0" t="s">
        <v>133</v>
      </c>
      <c r="D83" s="11" t="s">
        <v>13</v>
      </c>
      <c r="E83" s="29" t="n">
        <f aca="false">In_DSCR_Max_Low</f>
        <v>1.1</v>
      </c>
      <c r="F83" s="29" t="n">
        <f aca="false">In_DSCR_Max_Low</f>
        <v>1.1</v>
      </c>
    </row>
    <row r="84" customFormat="false" ht="15" hidden="false" customHeight="false" outlineLevel="0" collapsed="false">
      <c r="C84" s="0" t="s">
        <v>134</v>
      </c>
      <c r="D84" s="11" t="s">
        <v>82</v>
      </c>
      <c r="E84" s="32" t="n">
        <f aca="false">Calc_1!$E127/Thousand</f>
        <v>101.014094929753</v>
      </c>
      <c r="F84" s="32" t="n">
        <f aca="false">Calc_2!$E127/Thousand</f>
        <v>97.9980507020143</v>
      </c>
    </row>
    <row r="85" customFormat="false" ht="15" hidden="false" customHeight="false" outlineLevel="0" collapsed="false">
      <c r="C85" s="0" t="s">
        <v>135</v>
      </c>
      <c r="D85" s="11" t="s">
        <v>27</v>
      </c>
      <c r="E85" s="22" t="n">
        <f aca="false">Calc_1!$E128</f>
        <v>0.890545778544632</v>
      </c>
      <c r="F85" s="22" t="n">
        <f aca="false">Calc_2!$E128</f>
        <v>1.15177819588595</v>
      </c>
    </row>
    <row r="86" customFormat="false" ht="15" hidden="false" customHeight="false" outlineLevel="0" collapsed="false">
      <c r="C86" s="0" t="s">
        <v>136</v>
      </c>
      <c r="D86" s="11" t="s">
        <v>13</v>
      </c>
      <c r="E86" s="29" t="n">
        <f aca="false">In_DSCR_Max_High</f>
        <v>1.2</v>
      </c>
      <c r="F86" s="29" t="n">
        <f aca="false">In_DSCR_Max_High</f>
        <v>1.2</v>
      </c>
    </row>
    <row r="87" customFormat="false" ht="15" hidden="false" customHeight="false" outlineLevel="0" collapsed="false">
      <c r="C87" s="0" t="s">
        <v>137</v>
      </c>
      <c r="D87" s="11" t="s">
        <v>82</v>
      </c>
      <c r="E87" s="32" t="n">
        <f aca="false">Calc_1!$F127/Thousand</f>
        <v>92.5962536856071</v>
      </c>
      <c r="F87" s="32" t="n">
        <f aca="false">Calc_2!$F127/Thousand</f>
        <v>89.8315464768464</v>
      </c>
    </row>
    <row r="88" customFormat="false" ht="15" hidden="false" customHeight="false" outlineLevel="0" collapsed="false">
      <c r="C88" s="0" t="s">
        <v>138</v>
      </c>
      <c r="D88" s="11" t="s">
        <v>27</v>
      </c>
      <c r="E88" s="22" t="n">
        <f aca="false">Calc_1!$F128</f>
        <v>0.816333630332579</v>
      </c>
      <c r="F88" s="22" t="n">
        <f aca="false">Calc_2!$F128</f>
        <v>1.05579667956212</v>
      </c>
    </row>
    <row r="89" customFormat="false" ht="15" hidden="false" customHeight="false" outlineLevel="0" collapsed="false">
      <c r="C89" s="0" t="s">
        <v>139</v>
      </c>
      <c r="D89" s="11" t="s">
        <v>82</v>
      </c>
      <c r="E89" s="32" t="n">
        <f aca="false">Calc_1!$E102/Thousand</f>
        <v>1.24600253223223</v>
      </c>
      <c r="F89" s="32" t="n">
        <f aca="false">Calc_2!$E102/Thousand</f>
        <v>0.927287140093261</v>
      </c>
    </row>
    <row r="90" customFormat="false" ht="15" hidden="false" customHeight="false" outlineLevel="0" collapsed="false">
      <c r="C90" s="0" t="s">
        <v>140</v>
      </c>
      <c r="D90" s="11" t="s">
        <v>13</v>
      </c>
      <c r="E90" s="29" t="n">
        <f aca="false">Calc_1!$E103</f>
        <v>1.88154378240586</v>
      </c>
      <c r="F90" s="29" t="n">
        <f aca="false">Calc_2!$E103</f>
        <v>2.48397400954825</v>
      </c>
    </row>
    <row r="91" customFormat="false" ht="15" hidden="false" customHeight="false" outlineLevel="0" collapsed="false">
      <c r="C91" s="0" t="s">
        <v>141</v>
      </c>
      <c r="D91" s="11" t="s">
        <v>142</v>
      </c>
      <c r="E91" s="36" t="n">
        <f aca="false">Calc_1!$E75/Thousand</f>
        <v>139.3975128</v>
      </c>
      <c r="F91" s="36" t="n">
        <f aca="false">Calc_2!$E75/Thousand</f>
        <v>139.3975128</v>
      </c>
    </row>
    <row r="92" customFormat="false" ht="15" hidden="false" customHeight="false" outlineLevel="0" collapsed="false">
      <c r="C92" s="0" t="s">
        <v>143</v>
      </c>
      <c r="D92" s="11" t="s">
        <v>82</v>
      </c>
      <c r="E92" s="32" t="n">
        <f aca="false">Calc_1!$E76/Thousand</f>
        <v>12.67123391352</v>
      </c>
      <c r="F92" s="32" t="n">
        <f aca="false">Calc_2!$E76/Thousand</f>
        <v>12.67123391352</v>
      </c>
    </row>
    <row r="93" customFormat="false" ht="15" hidden="false" customHeight="false" outlineLevel="0" collapsed="false">
      <c r="C93" s="0" t="s">
        <v>144</v>
      </c>
      <c r="D93" s="11" t="s">
        <v>82</v>
      </c>
      <c r="E93" s="32" t="n">
        <f aca="false">Calc_1!$E83/Thousand</f>
        <v>9.55688408374485</v>
      </c>
      <c r="F93" s="32" t="n">
        <f aca="false">Calc_2!$E83/Thousand</f>
        <v>9.55688408374485</v>
      </c>
    </row>
    <row r="94" customFormat="false" ht="15" hidden="false" customHeight="false" outlineLevel="0" collapsed="false">
      <c r="C94" s="0" t="s">
        <v>145</v>
      </c>
      <c r="D94" s="11" t="s">
        <v>82</v>
      </c>
      <c r="E94" s="32" t="n">
        <f aca="false">Calc_1!$I76/Thousand</f>
        <v>420.752711777652</v>
      </c>
      <c r="F94" s="32" t="n">
        <f aca="false">Calc_2!$I76/Thousand</f>
        <v>420.752711777652</v>
      </c>
    </row>
    <row r="95" customFormat="false" ht="15" hidden="false" customHeight="false" outlineLevel="0" collapsed="false">
      <c r="C95" s="0" t="s">
        <v>146</v>
      </c>
      <c r="D95" s="11" t="s">
        <v>82</v>
      </c>
      <c r="E95" s="32" t="n">
        <f aca="false">Calc_1!$I83/Thousand</f>
        <v>295.37332772584</v>
      </c>
      <c r="F95" s="32" t="n">
        <f aca="false">Calc_2!$I83/Thousand</f>
        <v>295.37332772584</v>
      </c>
    </row>
    <row r="96" customFormat="false" ht="15" hidden="false" customHeight="false" outlineLevel="0" collapsed="false">
      <c r="C96" s="0" t="s">
        <v>147</v>
      </c>
      <c r="D96" s="11" t="s">
        <v>82</v>
      </c>
      <c r="E96" s="32" t="n">
        <f aca="false">(SUM(Calc_1!$J113:$EO113))/Thousand</f>
        <v>-22.7836180587848</v>
      </c>
      <c r="F96" s="32" t="n">
        <f aca="false">(SUM(Calc_2!$J113:$EO113))/Thousand</f>
        <v>-28.1414310303065</v>
      </c>
    </row>
    <row r="97" customFormat="false" ht="15" hidden="false" customHeight="false" outlineLevel="0" collapsed="false">
      <c r="C97" s="0" t="s">
        <v>148</v>
      </c>
      <c r="D97" s="11" t="s">
        <v>82</v>
      </c>
      <c r="E97" s="32" t="n">
        <f aca="false">(-Calc_1!$I111)/Thousand</f>
        <v>0.752363247114366</v>
      </c>
      <c r="F97" s="32" t="n">
        <f aca="false">(-Calc_2!$I111)/Thousand</f>
        <v>-0</v>
      </c>
    </row>
    <row r="98" customFormat="false" ht="15" hidden="false" customHeight="false" outlineLevel="0" collapsed="false">
      <c r="C98" s="0" t="s">
        <v>149</v>
      </c>
      <c r="D98" s="11" t="s">
        <v>150</v>
      </c>
      <c r="E98" s="30" t="n">
        <f aca="false">Model_Checks</f>
        <v>0</v>
      </c>
      <c r="F98" s="30" t="n">
        <f aca="false">Model_Checks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151</v>
      </c>
      <c r="D100" s="9"/>
      <c r="E100" s="10" t="s">
        <v>12</v>
      </c>
      <c r="F100" s="10"/>
      <c r="G100" s="9"/>
      <c r="H100" s="10" t="str">
        <f aca="false">Inputs!H$7</f>
        <v>Base</v>
      </c>
      <c r="I100" s="10" t="str">
        <f aca="false">Inputs!I$7</f>
        <v>COD price −10%</v>
      </c>
      <c r="J100" s="10" t="str">
        <f aca="false">Inputs!J$7</f>
        <v>COD price +10%</v>
      </c>
      <c r="K100" s="10" t="str">
        <f aca="false">Inputs!K$7</f>
        <v>Turbine +10%</v>
      </c>
      <c r="L100" s="10" t="str">
        <f aca="false">Inputs!L$7</f>
        <v>Yield −10%</v>
      </c>
      <c r="M100" s="10" t="str">
        <f aca="false">Inputs!M$7</f>
        <v>PPA +10%</v>
      </c>
      <c r="N100" s="10" t="str">
        <f aca="false">Inputs!N$7</f>
        <v>Full PB call</v>
      </c>
      <c r="O100" s="10" t="str">
        <f aca="false">Inputs!O$7</f>
        <v>Rate +1 pp</v>
      </c>
      <c r="P100" s="10" t="str">
        <f aca="false">Inputs!P$7</f>
        <v>Tenor 10 years</v>
      </c>
      <c r="Q100" s="10" t="str">
        <f aca="false">Inputs!Q$7</f>
        <v>Robin Hood 31%</v>
      </c>
      <c r="R100" s="10" t="str">
        <f aca="false">Inputs!R$7</f>
        <v>CIT 9%</v>
      </c>
      <c r="S100" s="10" t="str">
        <f aca="false">Inputs!S$7</f>
        <v>Debt 6x EBITDA</v>
      </c>
      <c r="T100" s="10" t="str">
        <f aca="false">Inputs!T$7</f>
        <v>BESS 100 MWh</v>
      </c>
      <c r="U100" s="10" t="str">
        <f aca="false">Inputs!U$7</f>
        <v>Promise all, deliver nothing</v>
      </c>
    </row>
    <row r="101" customFormat="false" ht="15" hidden="false" customHeight="false" outlineLevel="0" collapsed="false">
      <c r="C101" s="0" t="s">
        <v>152</v>
      </c>
      <c r="D101" s="11" t="s">
        <v>53</v>
      </c>
      <c r="E101" s="14" t="n">
        <f aca="false">Calc_1!$E43</f>
        <v>59.5</v>
      </c>
      <c r="H101" s="37" t="n">
        <v>59.5</v>
      </c>
      <c r="I101" s="37" t="n">
        <v>59.5</v>
      </c>
      <c r="J101" s="37" t="n">
        <v>59.5</v>
      </c>
      <c r="K101" s="37" t="n">
        <v>59.5</v>
      </c>
      <c r="L101" s="37" t="n">
        <v>59.5</v>
      </c>
      <c r="M101" s="37" t="n">
        <v>59.5</v>
      </c>
      <c r="N101" s="37" t="n">
        <v>59.5</v>
      </c>
      <c r="O101" s="37" t="n">
        <v>59.5</v>
      </c>
      <c r="P101" s="37" t="n">
        <v>59.5</v>
      </c>
      <c r="Q101" s="37" t="n">
        <v>59.5</v>
      </c>
      <c r="R101" s="37" t="n">
        <v>59.5</v>
      </c>
      <c r="S101" s="37" t="n">
        <v>59.5</v>
      </c>
      <c r="T101" s="37" t="n">
        <v>65.5</v>
      </c>
      <c r="U101" s="37" t="n">
        <v>59.5</v>
      </c>
    </row>
    <row r="102" customFormat="false" ht="15" hidden="false" customHeight="false" outlineLevel="0" collapsed="false">
      <c r="C102" s="0" t="s">
        <v>153</v>
      </c>
      <c r="D102" s="11" t="s">
        <v>53</v>
      </c>
      <c r="E102" s="14" t="n">
        <f aca="false">Calc_2!$E43</f>
        <v>47.5</v>
      </c>
      <c r="H102" s="37" t="n">
        <v>47.5</v>
      </c>
      <c r="I102" s="37" t="n">
        <v>47.5</v>
      </c>
      <c r="J102" s="37" t="n">
        <v>47.5</v>
      </c>
      <c r="K102" s="37" t="n">
        <v>47.5</v>
      </c>
      <c r="L102" s="37" t="n">
        <v>47.5</v>
      </c>
      <c r="M102" s="37" t="n">
        <v>47.5</v>
      </c>
      <c r="N102" s="37" t="n">
        <v>47.5</v>
      </c>
      <c r="O102" s="37" t="n">
        <v>47.5</v>
      </c>
      <c r="P102" s="37" t="n">
        <v>47.5</v>
      </c>
      <c r="Q102" s="37" t="n">
        <v>47.5</v>
      </c>
      <c r="R102" s="37" t="n">
        <v>47.5</v>
      </c>
      <c r="S102" s="37" t="n">
        <v>47.5</v>
      </c>
      <c r="T102" s="37" t="n">
        <v>53.5</v>
      </c>
      <c r="U102" s="37" t="n">
        <v>47.5</v>
      </c>
    </row>
    <row r="103" customFormat="false" ht="15" hidden="false" customHeight="false" outlineLevel="0" collapsed="false">
      <c r="C103" s="0" t="s">
        <v>154</v>
      </c>
      <c r="D103" s="11" t="s">
        <v>77</v>
      </c>
      <c r="E103" s="28" t="n">
        <f aca="false">Calc_1!$E31</f>
        <v>0</v>
      </c>
      <c r="H103" s="38" t="n">
        <v>0</v>
      </c>
      <c r="I103" s="38" t="n">
        <v>0</v>
      </c>
      <c r="J103" s="38" t="n">
        <v>0</v>
      </c>
      <c r="K103" s="38" t="n">
        <v>0</v>
      </c>
      <c r="L103" s="38" t="n">
        <v>0</v>
      </c>
      <c r="M103" s="38" t="n">
        <v>0</v>
      </c>
      <c r="N103" s="38" t="n">
        <v>0</v>
      </c>
      <c r="O103" s="38" t="n">
        <v>0</v>
      </c>
      <c r="P103" s="38" t="n">
        <v>0</v>
      </c>
      <c r="Q103" s="38" t="n">
        <v>0</v>
      </c>
      <c r="R103" s="38" t="n">
        <v>0</v>
      </c>
      <c r="S103" s="38" t="n">
        <v>0</v>
      </c>
      <c r="T103" s="38" t="n">
        <v>0</v>
      </c>
      <c r="U103" s="38" t="n">
        <v>0</v>
      </c>
    </row>
    <row r="104" customFormat="false" ht="15" hidden="false" customHeight="false" outlineLevel="0" collapsed="false">
      <c r="C104" s="0" t="s">
        <v>155</v>
      </c>
      <c r="D104" s="11" t="s">
        <v>77</v>
      </c>
      <c r="E104" s="28" t="n">
        <f aca="false">Calc_2!$E31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</row>
    <row r="105" customFormat="false" ht="15" hidden="false" customHeight="false" outlineLevel="0" collapsed="false">
      <c r="C105" s="0" t="s">
        <v>156</v>
      </c>
      <c r="D105" s="11" t="s">
        <v>82</v>
      </c>
      <c r="E105" s="32" t="n">
        <f aca="false">(-Calc_1!$I62)/Thousand</f>
        <v>-0</v>
      </c>
      <c r="H105" s="37" t="n">
        <v>0</v>
      </c>
      <c r="I105" s="37" t="n">
        <v>0</v>
      </c>
      <c r="J105" s="37" t="n">
        <v>0</v>
      </c>
      <c r="K105" s="37" t="n">
        <v>0</v>
      </c>
      <c r="L105" s="37" t="n">
        <v>0</v>
      </c>
      <c r="M105" s="37" t="n">
        <v>0</v>
      </c>
      <c r="N105" s="37" t="n">
        <v>2.21643835616438</v>
      </c>
      <c r="O105" s="37" t="n">
        <v>0</v>
      </c>
      <c r="P105" s="37" t="n">
        <v>0</v>
      </c>
      <c r="Q105" s="37" t="n">
        <v>0</v>
      </c>
      <c r="R105" s="37" t="n">
        <v>0</v>
      </c>
      <c r="S105" s="37" t="n">
        <v>0</v>
      </c>
      <c r="T105" s="37" t="n">
        <v>0</v>
      </c>
      <c r="U105" s="37" t="n">
        <v>2.21643835616438</v>
      </c>
    </row>
    <row r="106" customFormat="false" ht="15" hidden="false" customHeight="false" outlineLevel="0" collapsed="false">
      <c r="C106" s="0" t="s">
        <v>157</v>
      </c>
      <c r="D106" s="11" t="s">
        <v>82</v>
      </c>
      <c r="E106" s="32" t="n">
        <f aca="false">(-Calc_2!$I62)/Thousand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0</v>
      </c>
      <c r="U106" s="37" t="n">
        <v>2.21643835616438</v>
      </c>
    </row>
    <row r="107" customFormat="false" ht="15" hidden="false" customHeight="false" outlineLevel="0" collapsed="false">
      <c r="C107" s="0" t="s">
        <v>158</v>
      </c>
      <c r="D107" s="11" t="s">
        <v>27</v>
      </c>
      <c r="E107" s="22" t="n">
        <f aca="false">Calc_1!$E136</f>
        <v>0.2632612602034</v>
      </c>
      <c r="H107" s="39" t="n">
        <v>0.2632612602034</v>
      </c>
      <c r="I107" s="39" t="n">
        <v>0.0971893034559214</v>
      </c>
      <c r="J107" s="39" t="n">
        <v>0.403564977303025</v>
      </c>
      <c r="K107" s="39" t="n">
        <v>0.190786177934972</v>
      </c>
      <c r="L107" s="39" t="n">
        <v>0.2632612602034</v>
      </c>
      <c r="M107" s="39" t="n">
        <v>0.2632612602034</v>
      </c>
      <c r="N107" s="39" t="n">
        <v>0.237829411719297</v>
      </c>
      <c r="O107" s="39" t="n">
        <v>0.25697697435903</v>
      </c>
      <c r="P107" s="39" t="n">
        <v>0.2632612602034</v>
      </c>
      <c r="Q107" s="39" t="n">
        <v>0.2632612602034</v>
      </c>
      <c r="R107" s="39" t="n">
        <v>0.2632612602034</v>
      </c>
      <c r="S107" s="39" t="n">
        <v>0.260346598481744</v>
      </c>
      <c r="T107" s="39" t="n">
        <v>0.180970451878692</v>
      </c>
      <c r="U107" s="39" t="n">
        <v>0.419382679913985</v>
      </c>
    </row>
    <row r="108" customFormat="false" ht="15" hidden="false" customHeight="false" outlineLevel="0" collapsed="false">
      <c r="C108" s="0" t="s">
        <v>159</v>
      </c>
      <c r="D108" s="11" t="s">
        <v>27</v>
      </c>
      <c r="E108" s="22" t="n">
        <f aca="false">Calc_2!$E136</f>
        <v>0.410318082809979</v>
      </c>
      <c r="H108" s="39" t="n">
        <v>0.410318082809979</v>
      </c>
      <c r="I108" s="39" t="n">
        <v>0.273558608993453</v>
      </c>
      <c r="J108" s="39" t="n">
        <v>0.527449012156222</v>
      </c>
      <c r="K108" s="39" t="n">
        <v>0.371364553097074</v>
      </c>
      <c r="L108" s="39" t="n">
        <v>0.410318082809979</v>
      </c>
      <c r="M108" s="39" t="n">
        <v>0.410318082809979</v>
      </c>
      <c r="N108" s="39" t="n">
        <v>0.385684120479278</v>
      </c>
      <c r="O108" s="39" t="n">
        <v>0.405776603823075</v>
      </c>
      <c r="P108" s="39" t="n">
        <v>0.410318082809979</v>
      </c>
      <c r="Q108" s="39" t="n">
        <v>0.410318082809979</v>
      </c>
      <c r="R108" s="39" t="n">
        <v>0.410318082809979</v>
      </c>
      <c r="S108" s="39" t="n">
        <v>0.451597429376523</v>
      </c>
      <c r="T108" s="39" t="n">
        <v>0.324971457742521</v>
      </c>
      <c r="U108" s="39" t="n">
        <v>0.419382679913985</v>
      </c>
    </row>
    <row r="109" customFormat="false" ht="15" hidden="false" customHeight="false" outlineLevel="0" collapsed="false">
      <c r="C109" s="0" t="s">
        <v>160</v>
      </c>
      <c r="D109" s="11" t="s">
        <v>13</v>
      </c>
      <c r="E109" s="29" t="n">
        <f aca="false">Calc_1!$E137</f>
        <v>1.37165010901922</v>
      </c>
      <c r="H109" s="40" t="n">
        <v>1.37165010901922</v>
      </c>
      <c r="I109" s="40" t="n">
        <v>1.1249555839267</v>
      </c>
      <c r="J109" s="40" t="n">
        <v>1.61834463411174</v>
      </c>
      <c r="K109" s="40" t="n">
        <v>1.25471945100028</v>
      </c>
      <c r="L109" s="40" t="n">
        <v>1.37165010901922</v>
      </c>
      <c r="M109" s="40" t="n">
        <v>1.37165010901922</v>
      </c>
      <c r="N109" s="40" t="n">
        <v>1.33088721962059</v>
      </c>
      <c r="O109" s="40" t="n">
        <v>1.3614932742964</v>
      </c>
      <c r="P109" s="40" t="n">
        <v>1.37165010901922</v>
      </c>
      <c r="Q109" s="40" t="n">
        <v>1.37165010901922</v>
      </c>
      <c r="R109" s="40" t="n">
        <v>1.37165010901922</v>
      </c>
      <c r="S109" s="40" t="n">
        <v>1.36325878299198</v>
      </c>
      <c r="T109" s="40" t="n">
        <v>1.24036022558485</v>
      </c>
      <c r="U109" s="40" t="n">
        <v>1.78320085907633</v>
      </c>
    </row>
    <row r="110" customFormat="false" ht="15" hidden="false" customHeight="false" outlineLevel="0" collapsed="false">
      <c r="C110" s="0" t="s">
        <v>161</v>
      </c>
      <c r="D110" s="11" t="s">
        <v>13</v>
      </c>
      <c r="E110" s="29" t="n">
        <f aca="false">Calc_2!$E137</f>
        <v>1.70504013744302</v>
      </c>
      <c r="H110" s="40" t="n">
        <v>1.70504013744302</v>
      </c>
      <c r="I110" s="40" t="n">
        <v>1.42923339316881</v>
      </c>
      <c r="J110" s="40" t="n">
        <v>1.98084688171724</v>
      </c>
      <c r="K110" s="40" t="n">
        <v>1.61320561834386</v>
      </c>
      <c r="L110" s="40" t="n">
        <v>1.70504013744302</v>
      </c>
      <c r="M110" s="40" t="n">
        <v>1.70504013744302</v>
      </c>
      <c r="N110" s="40" t="n">
        <v>1.65187130535795</v>
      </c>
      <c r="O110" s="40" t="n">
        <v>1.69513700442128</v>
      </c>
      <c r="P110" s="40" t="n">
        <v>1.70504013744302</v>
      </c>
      <c r="Q110" s="40" t="n">
        <v>1.70504013744302</v>
      </c>
      <c r="R110" s="40" t="n">
        <v>1.70504013744302</v>
      </c>
      <c r="S110" s="40" t="n">
        <v>1.92978384195874</v>
      </c>
      <c r="T110" s="40" t="n">
        <v>1.51424348395704</v>
      </c>
      <c r="U110" s="40" t="n">
        <v>1.78320085907633</v>
      </c>
    </row>
    <row r="111" customFormat="false" ht="15" hidden="false" customHeight="false" outlineLevel="0" collapsed="false">
      <c r="C111" s="0" t="s">
        <v>162</v>
      </c>
      <c r="D111" s="11" t="s">
        <v>27</v>
      </c>
      <c r="E111" s="22" t="n">
        <f aca="false">Calc_1!$E149</f>
        <v>0.0778882731983857</v>
      </c>
      <c r="H111" s="39" t="n">
        <v>0.0778882731983987</v>
      </c>
      <c r="I111" s="39" t="n">
        <v>0.0778882731983987</v>
      </c>
      <c r="J111" s="39" t="n">
        <v>0.0778882731983987</v>
      </c>
      <c r="K111" s="39" t="n">
        <v>0.0715433562650098</v>
      </c>
      <c r="L111" s="39" t="n">
        <v>0.0610826471131583</v>
      </c>
      <c r="M111" s="39" t="n">
        <v>0.0954537476372053</v>
      </c>
      <c r="N111" s="39" t="n">
        <v>0.0750714877346744</v>
      </c>
      <c r="O111" s="39" t="n">
        <v>0.07279740294257</v>
      </c>
      <c r="P111" s="39" t="n">
        <v>0.0724135937197519</v>
      </c>
      <c r="Q111" s="39" t="n">
        <v>0.0591856521881188</v>
      </c>
      <c r="R111" s="39" t="n">
        <v>0.0808937816054077</v>
      </c>
      <c r="S111" s="39" t="n">
        <v>0.0774489997988233</v>
      </c>
      <c r="T111" s="39" t="n">
        <v>0.0706100367112937</v>
      </c>
      <c r="U111" s="39" t="n">
        <v>0.125034390562947</v>
      </c>
    </row>
    <row r="112" customFormat="false" ht="15" hidden="false" customHeight="false" outlineLevel="0" collapsed="false">
      <c r="C112" s="0" t="s">
        <v>163</v>
      </c>
      <c r="D112" s="11" t="s">
        <v>27</v>
      </c>
      <c r="E112" s="22" t="n">
        <f aca="false">Calc_2!$E149</f>
        <v>0.117451501890168</v>
      </c>
      <c r="H112" s="39" t="n">
        <v>0.117451501890174</v>
      </c>
      <c r="I112" s="39" t="n">
        <v>0.117451501890174</v>
      </c>
      <c r="J112" s="39" t="n">
        <v>0.117451501890174</v>
      </c>
      <c r="K112" s="39" t="n">
        <v>0.112441025156954</v>
      </c>
      <c r="L112" s="39" t="n">
        <v>0.0982731499476269</v>
      </c>
      <c r="M112" s="39" t="n">
        <v>0.137717748645658</v>
      </c>
      <c r="N112" s="39" t="n">
        <v>0.112986945398579</v>
      </c>
      <c r="O112" s="39" t="n">
        <v>0.112778933470855</v>
      </c>
      <c r="P112" s="39" t="n">
        <v>0.10685030933559</v>
      </c>
      <c r="Q112" s="39" t="n">
        <v>0.0883964534137923</v>
      </c>
      <c r="R112" s="39" t="n">
        <v>0.122268282218015</v>
      </c>
      <c r="S112" s="39" t="n">
        <v>0.130188960047466</v>
      </c>
      <c r="T112" s="39" t="n">
        <v>0.106765804555509</v>
      </c>
      <c r="U112" s="39" t="n">
        <v>0.125034390562948</v>
      </c>
    </row>
    <row r="113" customFormat="false" ht="15" hidden="false" customHeight="false" outlineLevel="0" collapsed="false">
      <c r="C113" s="0" t="s">
        <v>164</v>
      </c>
      <c r="D113" s="11" t="s">
        <v>13</v>
      </c>
      <c r="E113" s="29" t="n">
        <f aca="false">Calc_1!$E150</f>
        <v>3.30771250081131</v>
      </c>
      <c r="H113" s="40" t="n">
        <v>3.307712500811</v>
      </c>
      <c r="I113" s="40" t="n">
        <v>3.307712500811</v>
      </c>
      <c r="J113" s="40" t="n">
        <v>3.307712500811</v>
      </c>
      <c r="K113" s="40" t="n">
        <v>3.09467497912358</v>
      </c>
      <c r="L113" s="40" t="n">
        <v>2.74204576737906</v>
      </c>
      <c r="M113" s="40" t="n">
        <v>3.93609601223023</v>
      </c>
      <c r="N113" s="40" t="n">
        <v>3.22252080784761</v>
      </c>
      <c r="O113" s="40" t="n">
        <v>3.1794857652674</v>
      </c>
      <c r="P113" s="40" t="n">
        <v>3.50114076861243</v>
      </c>
      <c r="Q113" s="40" t="n">
        <v>2.45811114864766</v>
      </c>
      <c r="R113" s="40" t="n">
        <v>3.46947210183341</v>
      </c>
      <c r="S113" s="40" t="n">
        <v>3.26040988159205</v>
      </c>
      <c r="T113" s="40" t="n">
        <v>3.06401425244263</v>
      </c>
      <c r="U113" s="40" t="n">
        <v>5.11119296485248</v>
      </c>
    </row>
    <row r="114" customFormat="false" ht="15" hidden="false" customHeight="false" outlineLevel="0" collapsed="false">
      <c r="C114" s="0" t="s">
        <v>165</v>
      </c>
      <c r="D114" s="11" t="s">
        <v>13</v>
      </c>
      <c r="E114" s="29" t="n">
        <f aca="false">Calc_2!$E150</f>
        <v>4.74214556361978</v>
      </c>
      <c r="H114" s="40" t="n">
        <v>4.74214556361974</v>
      </c>
      <c r="I114" s="40" t="n">
        <v>4.74214556361974</v>
      </c>
      <c r="J114" s="40" t="n">
        <v>4.74214556361974</v>
      </c>
      <c r="K114" s="40" t="n">
        <v>4.55022750717426</v>
      </c>
      <c r="L114" s="40" t="n">
        <v>4.01081974460778</v>
      </c>
      <c r="M114" s="40" t="n">
        <v>5.55969521465425</v>
      </c>
      <c r="N114" s="40" t="n">
        <v>4.61703406739402</v>
      </c>
      <c r="O114" s="40" t="n">
        <v>4.61857898041816</v>
      </c>
      <c r="P114" s="40" t="n">
        <v>4.91113308341426</v>
      </c>
      <c r="Q114" s="40" t="n">
        <v>3.36691604988038</v>
      </c>
      <c r="R114" s="40" t="n">
        <v>5.00546368741617</v>
      </c>
      <c r="S114" s="40" t="n">
        <v>5.81684797876232</v>
      </c>
      <c r="T114" s="40" t="n">
        <v>4.33739979644525</v>
      </c>
      <c r="U114" s="40" t="n">
        <v>5.11119296485245</v>
      </c>
    </row>
    <row r="115" customFormat="false" ht="15" hidden="false" customHeight="false" outlineLevel="0" collapsed="false">
      <c r="C115" s="0" t="s">
        <v>166</v>
      </c>
      <c r="D115" s="11" t="s">
        <v>82</v>
      </c>
      <c r="E115" s="32" t="n">
        <f aca="false">Calc_1!$E99/Thousand</f>
        <v>59.0554976513219</v>
      </c>
      <c r="H115" s="37" t="n">
        <v>59.0554976513219</v>
      </c>
      <c r="I115" s="37" t="n">
        <v>59.0554976513219</v>
      </c>
      <c r="J115" s="37" t="n">
        <v>59.0554976513219</v>
      </c>
      <c r="K115" s="37" t="n">
        <v>62.208248803107</v>
      </c>
      <c r="L115" s="37" t="n">
        <v>59.0554976513219</v>
      </c>
      <c r="M115" s="37" t="n">
        <v>59.0554976513219</v>
      </c>
      <c r="N115" s="37" t="n">
        <v>59.0554976513219</v>
      </c>
      <c r="O115" s="37" t="n">
        <v>59.594912468236</v>
      </c>
      <c r="P115" s="37" t="n">
        <v>59.0554976513219</v>
      </c>
      <c r="Q115" s="37" t="n">
        <v>59.0554976513219</v>
      </c>
      <c r="R115" s="37" t="n">
        <v>59.0554976513219</v>
      </c>
      <c r="S115" s="37" t="n">
        <v>57.3413045024691</v>
      </c>
      <c r="T115" s="37" t="n">
        <v>62.5034825063159</v>
      </c>
      <c r="U115" s="37" t="n">
        <v>37.1441561889424</v>
      </c>
    </row>
    <row r="116" customFormat="false" ht="15" hidden="false" customHeight="false" outlineLevel="0" collapsed="false">
      <c r="C116" s="0" t="s">
        <v>167</v>
      </c>
      <c r="D116" s="11" t="s">
        <v>82</v>
      </c>
      <c r="E116" s="32" t="n">
        <f aca="false">Calc_2!$E99/Thousand</f>
        <v>43.3973364285807</v>
      </c>
      <c r="H116" s="37" t="n">
        <v>43.3973364285807</v>
      </c>
      <c r="I116" s="37" t="n">
        <v>43.3973364285807</v>
      </c>
      <c r="J116" s="37" t="n">
        <v>43.3973364285807</v>
      </c>
      <c r="K116" s="37" t="n">
        <v>45.0566791400465</v>
      </c>
      <c r="L116" s="37" t="n">
        <v>43.3973364285807</v>
      </c>
      <c r="M116" s="37" t="n">
        <v>43.3973364285807</v>
      </c>
      <c r="N116" s="37" t="n">
        <v>43.3973364285807</v>
      </c>
      <c r="O116" s="37" t="n">
        <v>43.7982726026096</v>
      </c>
      <c r="P116" s="37" t="n">
        <v>43.3973364285807</v>
      </c>
      <c r="Q116" s="37" t="n">
        <v>43.3973364285807</v>
      </c>
      <c r="R116" s="37" t="n">
        <v>43.3973364285807</v>
      </c>
      <c r="S116" s="37" t="n">
        <v>55.2329736363755</v>
      </c>
      <c r="T116" s="37" t="n">
        <v>46.8453212835746</v>
      </c>
      <c r="U116" s="37" t="n">
        <v>37.1441561889424</v>
      </c>
    </row>
    <row r="117" customFormat="false" ht="15" hidden="false" customHeight="false" outlineLevel="0" collapsed="false">
      <c r="C117" s="0" t="s">
        <v>168</v>
      </c>
      <c r="D117" s="11" t="s">
        <v>82</v>
      </c>
      <c r="E117" s="32" t="n">
        <f aca="false">Calc_1!$E125/Thousand</f>
        <v>54.3739265999892</v>
      </c>
      <c r="H117" s="37" t="n">
        <v>54.3739265999892</v>
      </c>
      <c r="I117" s="37" t="n">
        <v>54.3739265999892</v>
      </c>
      <c r="J117" s="37" t="n">
        <v>54.3739265999892</v>
      </c>
      <c r="K117" s="37" t="n">
        <v>56.9284640801166</v>
      </c>
      <c r="L117" s="37" t="n">
        <v>54.3739265999892</v>
      </c>
      <c r="M117" s="37" t="n">
        <v>54.3739265999892</v>
      </c>
      <c r="N117" s="37" t="n">
        <v>54.3739265999892</v>
      </c>
      <c r="O117" s="37" t="n">
        <v>54.3833663592852</v>
      </c>
      <c r="P117" s="37" t="n">
        <v>54.3739265999892</v>
      </c>
      <c r="Q117" s="37" t="n">
        <v>54.3739265999892</v>
      </c>
      <c r="R117" s="37" t="n">
        <v>54.3739265999892</v>
      </c>
      <c r="S117" s="37" t="n">
        <v>55.9660399400338</v>
      </c>
      <c r="T117" s="37" t="n">
        <v>57.3494828570007</v>
      </c>
      <c r="U117" s="37" t="n">
        <v>36.5294829930906</v>
      </c>
    </row>
    <row r="118" customFormat="false" ht="15" hidden="false" customHeight="false" outlineLevel="0" collapsed="false">
      <c r="C118" s="0" t="s">
        <v>169</v>
      </c>
      <c r="D118" s="11" t="s">
        <v>82</v>
      </c>
      <c r="E118" s="32" t="n">
        <f aca="false">Calc_2!$E125/Thousand</f>
        <v>41.6867978709354</v>
      </c>
      <c r="H118" s="37" t="n">
        <v>41.6867978709354</v>
      </c>
      <c r="I118" s="37" t="n">
        <v>41.6867978709354</v>
      </c>
      <c r="J118" s="37" t="n">
        <v>41.6867978709354</v>
      </c>
      <c r="K118" s="37" t="n">
        <v>43.0312912815288</v>
      </c>
      <c r="L118" s="37" t="n">
        <v>41.6867978709354</v>
      </c>
      <c r="M118" s="37" t="n">
        <v>41.6867978709354</v>
      </c>
      <c r="N118" s="37" t="n">
        <v>41.6867978709354</v>
      </c>
      <c r="O118" s="37" t="n">
        <v>41.6938142539809</v>
      </c>
      <c r="P118" s="37" t="n">
        <v>41.6867978709354</v>
      </c>
      <c r="Q118" s="37" t="n">
        <v>41.6867978709354</v>
      </c>
      <c r="R118" s="37" t="n">
        <v>41.6867978709354</v>
      </c>
      <c r="S118" s="37" t="n">
        <v>30.6987886806502</v>
      </c>
      <c r="T118" s="37" t="n">
        <v>44.662354127947</v>
      </c>
      <c r="U118" s="37" t="n">
        <v>36.5294829930906</v>
      </c>
    </row>
    <row r="119" customFormat="false" ht="15" hidden="false" customHeight="false" outlineLevel="0" collapsed="false">
      <c r="C119" s="0" t="s">
        <v>170</v>
      </c>
      <c r="D119" s="11" t="s">
        <v>27</v>
      </c>
      <c r="E119" s="22" t="n">
        <f aca="false">Calc_1!$E141</f>
        <v>0.0569296881085371</v>
      </c>
      <c r="H119" s="39" t="n">
        <v>0.0569296881085387</v>
      </c>
      <c r="I119" s="39" t="n">
        <v>0.0674803054948227</v>
      </c>
      <c r="J119" s="39" t="n">
        <v>0.0479671375235331</v>
      </c>
      <c r="K119" s="39" t="n">
        <v>0.0573586076385385</v>
      </c>
      <c r="L119" s="39" t="n">
        <v>0.0457913846385378</v>
      </c>
      <c r="M119" s="39" t="n">
        <v>0.0685476692232811</v>
      </c>
      <c r="N119" s="39" t="n">
        <v>0.0569732948793288</v>
      </c>
      <c r="O119" s="39" t="n">
        <v>0.0574297177099026</v>
      </c>
      <c r="P119" s="39" t="n">
        <v>0.0560282161812483</v>
      </c>
      <c r="Q119" s="39" t="n">
        <v>0.0434551926876172</v>
      </c>
      <c r="R119" s="39" t="n">
        <v>0.0591345064749821</v>
      </c>
      <c r="S119" s="39" t="n">
        <v>0.0568685536550732</v>
      </c>
      <c r="T119" s="39" t="n">
        <v>0.0573239534184653</v>
      </c>
      <c r="U119" s="39" t="n">
        <v>0.0733294656361777</v>
      </c>
    </row>
    <row r="120" customFormat="false" ht="15" hidden="false" customHeight="false" outlineLevel="0" collapsed="false">
      <c r="C120" s="0" t="s">
        <v>171</v>
      </c>
      <c r="D120" s="11" t="s">
        <v>27</v>
      </c>
      <c r="E120" s="22" t="n">
        <f aca="false">Calc_2!$E141</f>
        <v>0.0698570950743652</v>
      </c>
      <c r="H120" s="39" t="n">
        <v>0.0698570950743655</v>
      </c>
      <c r="I120" s="39" t="n">
        <v>0.0812736105603523</v>
      </c>
      <c r="J120" s="39" t="n">
        <v>0.0602059236830934</v>
      </c>
      <c r="K120" s="39" t="n">
        <v>0.0701595776586858</v>
      </c>
      <c r="L120" s="39" t="n">
        <v>0.0578283821218867</v>
      </c>
      <c r="M120" s="39" t="n">
        <v>0.0825727344509393</v>
      </c>
      <c r="N120" s="39" t="n">
        <v>0.0699238776085356</v>
      </c>
      <c r="O120" s="39" t="n">
        <v>0.0703680537994932</v>
      </c>
      <c r="P120" s="39" t="n">
        <v>0.0690864760333364</v>
      </c>
      <c r="Q120" s="39" t="n">
        <v>0.0498293062288718</v>
      </c>
      <c r="R120" s="39" t="n">
        <v>0.0731894969701397</v>
      </c>
      <c r="S120" s="39" t="n">
        <v>0.0704916182644306</v>
      </c>
      <c r="T120" s="39" t="n">
        <v>0.0704214363525039</v>
      </c>
      <c r="U120" s="39" t="n">
        <v>0.0733294656361778</v>
      </c>
    </row>
    <row r="121" customFormat="false" ht="15" hidden="false" customHeight="false" outlineLevel="0" collapsed="false">
      <c r="C121" s="0" t="s">
        <v>172</v>
      </c>
      <c r="D121" s="11" t="s">
        <v>27</v>
      </c>
      <c r="E121" s="22" t="n">
        <f aca="false">Calc_1!$E143</f>
        <v>0.0587523414590003</v>
      </c>
      <c r="H121" s="39" t="n">
        <v>0.0587523414590059</v>
      </c>
      <c r="I121" s="39" t="n">
        <v>0.0751118277096248</v>
      </c>
      <c r="J121" s="39" t="n">
        <v>0.0462686641550997</v>
      </c>
      <c r="K121" s="39" t="n">
        <v>0.0595292314594261</v>
      </c>
      <c r="L121" s="39" t="n">
        <v>0.042951119183</v>
      </c>
      <c r="M121" s="39" t="n">
        <v>0.0754980781761551</v>
      </c>
      <c r="N121" s="39" t="n">
        <v>0.058817875376593</v>
      </c>
      <c r="O121" s="39" t="n">
        <v>0.0548049927131866</v>
      </c>
      <c r="P121" s="39" t="n">
        <v>0.0564906128392004</v>
      </c>
      <c r="Q121" s="39" t="n">
        <v>0.0392767923989467</v>
      </c>
      <c r="R121" s="39" t="n">
        <v>0.0618870510621726</v>
      </c>
      <c r="S121" s="39" t="n">
        <v>0.0585907234698031</v>
      </c>
      <c r="T121" s="39" t="n">
        <v>0.0594987256828657</v>
      </c>
      <c r="U121" s="39" t="n">
        <v>0.0800425262274998</v>
      </c>
    </row>
    <row r="122" customFormat="false" ht="15" hidden="false" customHeight="false" outlineLevel="0" collapsed="false">
      <c r="C122" s="0" t="s">
        <v>173</v>
      </c>
      <c r="D122" s="11" t="s">
        <v>27</v>
      </c>
      <c r="E122" s="22" t="n">
        <f aca="false">Calc_2!$E143</f>
        <v>0.075903032181457</v>
      </c>
      <c r="H122" s="39" t="n">
        <v>0.0759030321814591</v>
      </c>
      <c r="I122" s="39" t="n">
        <v>0.0933457596457021</v>
      </c>
      <c r="J122" s="39" t="n">
        <v>0.0624851095440811</v>
      </c>
      <c r="K122" s="39" t="n">
        <v>0.0766530777264474</v>
      </c>
      <c r="L122" s="39" t="n">
        <v>0.0596013438093339</v>
      </c>
      <c r="M122" s="39" t="n">
        <v>0.09339664466248</v>
      </c>
      <c r="N122" s="39" t="n">
        <v>0.076007681983624</v>
      </c>
      <c r="O122" s="39" t="n">
        <v>0.0728289812281461</v>
      </c>
      <c r="P122" s="39" t="n">
        <v>0.0719448333838699</v>
      </c>
      <c r="Q122" s="39" t="n">
        <v>0.048772364922962</v>
      </c>
      <c r="R122" s="39" t="n">
        <v>0.0804180702605127</v>
      </c>
      <c r="S122" s="39" t="n">
        <v>0.0794336094103767</v>
      </c>
      <c r="T122" s="39" t="n">
        <v>0.0774027536242704</v>
      </c>
      <c r="U122" s="39" t="n">
        <v>0.0800425262275003</v>
      </c>
    </row>
    <row r="123" customFormat="false" ht="15" hidden="false" customHeight="false" outlineLevel="0" collapsed="false">
      <c r="C123" s="0" t="s">
        <v>174</v>
      </c>
      <c r="D123" s="11" t="s">
        <v>13</v>
      </c>
      <c r="E123" s="29" t="n">
        <f aca="false">Calc_1!$E103</f>
        <v>1.88154378240586</v>
      </c>
      <c r="H123" s="40" t="n">
        <v>1.88154378240769</v>
      </c>
      <c r="I123" s="40" t="n">
        <v>1.88154378240769</v>
      </c>
      <c r="J123" s="40" t="n">
        <v>1.88154378240769</v>
      </c>
      <c r="K123" s="40" t="n">
        <v>1.79569473471562</v>
      </c>
      <c r="L123" s="40" t="n">
        <v>1.67809785540891</v>
      </c>
      <c r="M123" s="40" t="n">
        <v>2.10465277029539</v>
      </c>
      <c r="N123" s="40" t="n">
        <v>1.88154378240501</v>
      </c>
      <c r="O123" s="40" t="n">
        <v>1.73993842542426</v>
      </c>
      <c r="P123" s="40" t="n">
        <v>1.2354671181201</v>
      </c>
      <c r="Q123" s="40" t="n">
        <v>1.73844152842893</v>
      </c>
      <c r="R123" s="40" t="n">
        <v>1.90706423954487</v>
      </c>
      <c r="S123" s="40" t="n">
        <v>1.93626453846011</v>
      </c>
      <c r="T123" s="40" t="n">
        <v>1.78643376869491</v>
      </c>
      <c r="U123" s="40" t="n">
        <v>2.73498963168532</v>
      </c>
    </row>
    <row r="124" customFormat="false" ht="15" hidden="false" customHeight="false" outlineLevel="0" collapsed="false">
      <c r="C124" s="0" t="s">
        <v>175</v>
      </c>
      <c r="D124" s="11" t="s">
        <v>13</v>
      </c>
      <c r="E124" s="29" t="n">
        <f aca="false">Calc_2!$E103</f>
        <v>2.48397400954825</v>
      </c>
      <c r="H124" s="40" t="n">
        <v>2.48397400954913</v>
      </c>
      <c r="I124" s="40" t="n">
        <v>2.48397400954913</v>
      </c>
      <c r="J124" s="40" t="n">
        <v>2.48397400954913</v>
      </c>
      <c r="K124" s="40" t="n">
        <v>2.40055427184272</v>
      </c>
      <c r="L124" s="40" t="n">
        <v>2.2126561605366</v>
      </c>
      <c r="M124" s="40" t="n">
        <v>2.78506057799376</v>
      </c>
      <c r="N124" s="40" t="n">
        <v>2.48397400954807</v>
      </c>
      <c r="O124" s="40" t="n">
        <v>2.29509540822652</v>
      </c>
      <c r="P124" s="40" t="n">
        <v>1.63140936187203</v>
      </c>
      <c r="Q124" s="40" t="n">
        <v>2.13043048610751</v>
      </c>
      <c r="R124" s="40" t="n">
        <v>2.54921521529798</v>
      </c>
      <c r="S124" s="40" t="n">
        <v>1.96557114176413</v>
      </c>
      <c r="T124" s="40" t="n">
        <v>2.31571869036718</v>
      </c>
      <c r="U124" s="40" t="n">
        <v>2.73498963168526</v>
      </c>
    </row>
    <row r="125" customFormat="false" ht="15" hidden="false" customHeight="false" outlineLevel="0" collapsed="false">
      <c r="C125" s="0" t="s">
        <v>176</v>
      </c>
      <c r="D125" s="11" t="s">
        <v>150</v>
      </c>
      <c r="E125" s="30" t="n">
        <f aca="false">Model_Checks</f>
        <v>0</v>
      </c>
      <c r="H125" s="41" t="n">
        <v>0</v>
      </c>
      <c r="I125" s="41" t="n">
        <v>0</v>
      </c>
      <c r="J125" s="41" t="n">
        <v>0</v>
      </c>
      <c r="K125" s="41" t="n">
        <v>0</v>
      </c>
      <c r="L125" s="41" t="n">
        <v>0</v>
      </c>
      <c r="M125" s="41" t="n">
        <v>0</v>
      </c>
      <c r="N125" s="41" t="n">
        <v>0</v>
      </c>
      <c r="O125" s="41" t="n">
        <v>0</v>
      </c>
      <c r="P125" s="41" t="n">
        <v>0</v>
      </c>
      <c r="Q125" s="41" t="n">
        <v>0</v>
      </c>
      <c r="R125" s="41" t="n">
        <v>0</v>
      </c>
      <c r="S125" s="41" t="n">
        <v>0</v>
      </c>
      <c r="T125" s="41" t="n">
        <v>0</v>
      </c>
      <c r="U125" s="41" t="n">
        <v>0</v>
      </c>
    </row>
    <row r="126" customFormat="false" ht="15" hidden="false" customHeight="false" outlineLevel="0" collapsed="false">
      <c r="C126" s="0" t="s">
        <v>177</v>
      </c>
      <c r="D126" s="11" t="s">
        <v>150</v>
      </c>
      <c r="E126" s="30" t="n">
        <f aca="false">Model_Checks</f>
        <v>0</v>
      </c>
      <c r="H126" s="41" t="n">
        <v>0</v>
      </c>
      <c r="I126" s="41" t="n">
        <v>0</v>
      </c>
      <c r="J126" s="41" t="n">
        <v>0</v>
      </c>
      <c r="K126" s="41" t="n">
        <v>0</v>
      </c>
      <c r="L126" s="41" t="n">
        <v>0</v>
      </c>
      <c r="M126" s="41" t="n">
        <v>0</v>
      </c>
      <c r="N126" s="41" t="n">
        <v>0</v>
      </c>
      <c r="O126" s="41" t="n">
        <v>0</v>
      </c>
      <c r="P126" s="41" t="n">
        <v>0</v>
      </c>
      <c r="Q126" s="41" t="n">
        <v>0</v>
      </c>
      <c r="R126" s="41" t="n">
        <v>0</v>
      </c>
      <c r="S126" s="41" t="n">
        <v>0</v>
      </c>
      <c r="T126" s="41" t="n">
        <v>0</v>
      </c>
      <c r="U126" s="41" t="n">
        <v>0</v>
      </c>
    </row>
    <row r="128" customFormat="false" ht="15" hidden="false" customHeight="false" outlineLevel="0" collapsed="false">
      <c r="C128" s="42" t="s">
        <v>178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Y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179</v>
      </c>
      <c r="D4" s="0" t="s">
        <v>180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181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182</v>
      </c>
      <c r="C7" s="7" t="s">
        <v>8</v>
      </c>
      <c r="D7" s="7" t="s">
        <v>183</v>
      </c>
      <c r="F7" s="8" t="s">
        <v>12</v>
      </c>
      <c r="H7" s="45" t="s">
        <v>22</v>
      </c>
      <c r="I7" s="45" t="s">
        <v>184</v>
      </c>
      <c r="J7" s="45" t="s">
        <v>185</v>
      </c>
      <c r="K7" s="45" t="s">
        <v>186</v>
      </c>
      <c r="L7" s="45" t="s">
        <v>187</v>
      </c>
      <c r="M7" s="45" t="s">
        <v>188</v>
      </c>
      <c r="N7" s="45" t="s">
        <v>189</v>
      </c>
      <c r="O7" s="45" t="s">
        <v>190</v>
      </c>
      <c r="P7" s="45" t="s">
        <v>191</v>
      </c>
      <c r="Q7" s="45" t="s">
        <v>192</v>
      </c>
      <c r="R7" s="45" t="s">
        <v>193</v>
      </c>
      <c r="S7" s="45" t="s">
        <v>194</v>
      </c>
      <c r="T7" s="45" t="s">
        <v>195</v>
      </c>
      <c r="U7" s="45" t="s">
        <v>196</v>
      </c>
      <c r="V7" s="8"/>
      <c r="W7" s="8"/>
    </row>
    <row r="10" customFormat="false" ht="15" hidden="false" customHeight="false" outlineLevel="0" collapsed="false">
      <c r="A10" s="9" t="s">
        <v>13</v>
      </c>
      <c r="B10" s="9"/>
      <c r="C10" s="9" t="s">
        <v>197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198</v>
      </c>
      <c r="C11" s="11" t="s">
        <v>150</v>
      </c>
      <c r="D11" s="13" t="s">
        <v>199</v>
      </c>
      <c r="F11" s="45" t="n">
        <v>1000</v>
      </c>
    </row>
    <row r="12" customFormat="false" ht="15" hidden="false" customHeight="false" outlineLevel="0" collapsed="false">
      <c r="B12" s="0" t="s">
        <v>200</v>
      </c>
      <c r="C12" s="11" t="s">
        <v>150</v>
      </c>
      <c r="D12" s="13" t="s">
        <v>199</v>
      </c>
      <c r="F12" s="45" t="n">
        <v>1000000</v>
      </c>
    </row>
    <row r="13" customFormat="false" ht="15" hidden="false" customHeight="false" outlineLevel="0" collapsed="false">
      <c r="B13" s="0" t="s">
        <v>201</v>
      </c>
      <c r="C13" s="11" t="s">
        <v>202</v>
      </c>
      <c r="D13" s="13" t="s">
        <v>203</v>
      </c>
      <c r="F13" s="45" t="n">
        <v>365</v>
      </c>
    </row>
    <row r="14" customFormat="false" ht="15" hidden="false" customHeight="false" outlineLevel="0" collapsed="false">
      <c r="B14" s="0" t="s">
        <v>204</v>
      </c>
      <c r="C14" s="11" t="s">
        <v>205</v>
      </c>
      <c r="F14" s="45" t="n">
        <v>12</v>
      </c>
    </row>
    <row r="15" customFormat="false" ht="15" hidden="false" customHeight="false" outlineLevel="0" collapsed="false">
      <c r="B15" s="0" t="s">
        <v>206</v>
      </c>
      <c r="C15" s="11" t="s">
        <v>205</v>
      </c>
      <c r="D15" s="13" t="s">
        <v>207</v>
      </c>
      <c r="F15" s="45" t="n">
        <v>3</v>
      </c>
    </row>
    <row r="16" customFormat="false" ht="15" hidden="false" customHeight="false" outlineLevel="0" collapsed="false">
      <c r="B16" s="0" t="s">
        <v>208</v>
      </c>
      <c r="C16" s="11" t="s">
        <v>150</v>
      </c>
      <c r="D16" s="13" t="s">
        <v>209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210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211</v>
      </c>
      <c r="C19" s="11" t="s">
        <v>38</v>
      </c>
      <c r="D19" s="13" t="s">
        <v>212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customFormat="false" ht="15" hidden="false" customHeight="false" outlineLevel="0" collapsed="false">
      <c r="B20" s="0" t="s">
        <v>213</v>
      </c>
      <c r="C20" s="11" t="s">
        <v>27</v>
      </c>
      <c r="D20" s="13" t="s">
        <v>214</v>
      </c>
      <c r="F20" s="45" t="n">
        <v>0.1</v>
      </c>
    </row>
    <row r="21" customFormat="false" ht="15" hidden="false" customHeight="false" outlineLevel="0" collapsed="false">
      <c r="B21" s="0" t="s">
        <v>215</v>
      </c>
      <c r="C21" s="11" t="s">
        <v>38</v>
      </c>
      <c r="D21" s="13" t="s">
        <v>216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customFormat="false" ht="15" hidden="false" customHeight="false" outlineLevel="0" collapsed="false">
      <c r="B22" s="0" t="s">
        <v>217</v>
      </c>
      <c r="C22" s="11" t="s">
        <v>38</v>
      </c>
      <c r="D22" s="13" t="s">
        <v>218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customFormat="false" ht="15" hidden="false" customHeight="false" outlineLevel="0" collapsed="false">
      <c r="B23" s="0" t="s">
        <v>219</v>
      </c>
      <c r="C23" s="11" t="s">
        <v>38</v>
      </c>
      <c r="D23" s="13" t="s">
        <v>220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customFormat="false" ht="15" hidden="false" customHeight="false" outlineLevel="0" collapsed="false">
      <c r="B24" s="0" t="s">
        <v>221</v>
      </c>
      <c r="C24" s="11" t="s">
        <v>202</v>
      </c>
      <c r="D24" s="13" t="s">
        <v>222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</row>
    <row r="25" customFormat="false" ht="15" hidden="false" customHeight="false" outlineLevel="0" collapsed="false">
      <c r="B25" s="0" t="s">
        <v>223</v>
      </c>
      <c r="C25" s="11" t="s">
        <v>38</v>
      </c>
      <c r="D25" s="13" t="s">
        <v>224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6" customFormat="false" ht="15" hidden="false" customHeight="false" outlineLevel="0" collapsed="false">
      <c r="B26" s="0" t="s">
        <v>225</v>
      </c>
      <c r="C26" s="11" t="s">
        <v>38</v>
      </c>
      <c r="D26" s="13" t="s">
        <v>226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</row>
    <row r="27" customFormat="false" ht="15" hidden="false" customHeight="false" outlineLevel="0" collapsed="false">
      <c r="B27" s="0" t="s">
        <v>227</v>
      </c>
      <c r="C27" s="11" t="s">
        <v>38</v>
      </c>
      <c r="D27" s="13" t="s">
        <v>228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customFormat="false" ht="15" hidden="false" customHeight="false" outlineLevel="0" collapsed="false">
      <c r="B28" s="0" t="s">
        <v>229</v>
      </c>
      <c r="C28" s="11" t="s">
        <v>38</v>
      </c>
      <c r="D28" s="13" t="s">
        <v>230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</row>
    <row r="29" customFormat="false" ht="15" hidden="false" customHeight="false" outlineLevel="0" collapsed="false">
      <c r="B29" s="0" t="s">
        <v>231</v>
      </c>
      <c r="C29" s="11" t="s">
        <v>66</v>
      </c>
      <c r="D29" s="13" t="s">
        <v>232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</row>
    <row r="30" customFormat="false" ht="15" hidden="false" customHeight="false" outlineLevel="0" collapsed="false">
      <c r="B30" s="0" t="s">
        <v>233</v>
      </c>
      <c r="C30" s="11" t="s">
        <v>38</v>
      </c>
      <c r="D30" s="13" t="s">
        <v>234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</row>
    <row r="32" customFormat="false" ht="15" hidden="false" customHeight="false" outlineLevel="0" collapsed="false">
      <c r="A32" s="9" t="s">
        <v>13</v>
      </c>
      <c r="B32" s="9"/>
      <c r="C32" s="9" t="s">
        <v>235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236</v>
      </c>
      <c r="C33" s="11" t="s">
        <v>79</v>
      </c>
      <c r="D33" s="13" t="s">
        <v>237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customFormat="false" ht="15" hidden="false" customHeight="false" outlineLevel="0" collapsed="false">
      <c r="B34" s="0" t="s">
        <v>238</v>
      </c>
      <c r="C34" s="11" t="s">
        <v>33</v>
      </c>
      <c r="D34" s="13" t="s">
        <v>239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customFormat="false" ht="15" hidden="false" customHeight="false" outlineLevel="0" collapsed="false">
      <c r="B35" s="0" t="s">
        <v>240</v>
      </c>
      <c r="C35" s="11" t="s">
        <v>33</v>
      </c>
      <c r="D35" s="13" t="s">
        <v>241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customFormat="false" ht="15" hidden="false" customHeight="false" outlineLevel="0" collapsed="false">
      <c r="B36" s="0" t="s">
        <v>242</v>
      </c>
      <c r="C36" s="11" t="s">
        <v>33</v>
      </c>
      <c r="D36" s="13" t="s">
        <v>243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customFormat="false" ht="15" hidden="false" customHeight="false" outlineLevel="0" collapsed="false">
      <c r="B37" s="0" t="s">
        <v>244</v>
      </c>
      <c r="C37" s="11" t="s">
        <v>19</v>
      </c>
      <c r="D37" s="13" t="s">
        <v>245</v>
      </c>
      <c r="F37" s="48" t="n">
        <f aca="false">IF(INDEX($H37:$W37,1,Scenario_Selected)="",$H37,INDEX($H37:$W37,1,Scenario_Selected))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customFormat="false" ht="15" hidden="false" customHeight="false" outlineLevel="0" collapsed="false">
      <c r="B38" s="0" t="s">
        <v>246</v>
      </c>
      <c r="C38" s="11" t="s">
        <v>19</v>
      </c>
      <c r="D38" s="13" t="s">
        <v>247</v>
      </c>
      <c r="F38" s="48" t="n">
        <f aca="false">IF(INDEX($H38:$W38,1,Scenario_Selected)="",$H38,INDEX($H38:$W38,1,Scenario_Selected))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customFormat="false" ht="15" hidden="false" customHeight="false" outlineLevel="0" collapsed="false">
      <c r="B39" s="0" t="s">
        <v>248</v>
      </c>
      <c r="C39" s="11" t="s">
        <v>33</v>
      </c>
      <c r="D39" s="13" t="s">
        <v>249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customFormat="false" ht="15" hidden="false" customHeight="false" outlineLevel="0" collapsed="false">
      <c r="B40" s="0" t="s">
        <v>250</v>
      </c>
      <c r="C40" s="11" t="s">
        <v>27</v>
      </c>
      <c r="D40" s="13" t="s">
        <v>251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</row>
    <row r="41" customFormat="false" ht="15" hidden="false" customHeight="false" outlineLevel="0" collapsed="false">
      <c r="B41" s="0" t="s">
        <v>252</v>
      </c>
      <c r="C41" s="11" t="s">
        <v>27</v>
      </c>
      <c r="D41" s="13" t="s">
        <v>253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</row>
    <row r="42" customFormat="false" ht="15" hidden="false" customHeight="false" outlineLevel="0" collapsed="false">
      <c r="B42" s="0" t="s">
        <v>254</v>
      </c>
      <c r="C42" s="11" t="s">
        <v>43</v>
      </c>
      <c r="D42" s="13" t="s">
        <v>255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</row>
    <row r="43" customFormat="false" ht="15" hidden="false" customHeight="false" outlineLevel="0" collapsed="false">
      <c r="B43" s="0" t="s">
        <v>256</v>
      </c>
      <c r="C43" s="11" t="s">
        <v>27</v>
      </c>
      <c r="D43" s="13" t="s">
        <v>257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</row>
    <row r="44" customFormat="false" ht="15" hidden="false" customHeight="false" outlineLevel="0" collapsed="false">
      <c r="B44" s="0" t="s">
        <v>258</v>
      </c>
      <c r="C44" s="11" t="s">
        <v>43</v>
      </c>
      <c r="D44" s="13" t="s">
        <v>259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customFormat="false" ht="15" hidden="false" customHeight="false" outlineLevel="0" collapsed="false">
      <c r="B45" s="0" t="s">
        <v>260</v>
      </c>
      <c r="C45" s="11" t="s">
        <v>66</v>
      </c>
      <c r="D45" s="13" t="s">
        <v>261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</row>
    <row r="46" customFormat="false" ht="15" hidden="false" customHeight="false" outlineLevel="0" collapsed="false">
      <c r="B46" s="0" t="s">
        <v>262</v>
      </c>
      <c r="C46" s="11" t="s">
        <v>27</v>
      </c>
      <c r="D46" s="13" t="s">
        <v>263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</row>
    <row r="47" customFormat="false" ht="15" hidden="false" customHeight="false" outlineLevel="0" collapsed="false">
      <c r="B47" s="0" t="s">
        <v>264</v>
      </c>
      <c r="C47" s="11" t="s">
        <v>66</v>
      </c>
      <c r="D47" s="13" t="s">
        <v>265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</row>
    <row r="49" customFormat="false" ht="15" hidden="false" customHeight="false" outlineLevel="0" collapsed="false">
      <c r="A49" s="9" t="s">
        <v>13</v>
      </c>
      <c r="B49" s="9"/>
      <c r="C49" s="9" t="s">
        <v>266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267</v>
      </c>
      <c r="C50" s="11" t="s">
        <v>150</v>
      </c>
      <c r="D50" s="13" t="s">
        <v>268</v>
      </c>
      <c r="F50" s="45" t="n">
        <v>2</v>
      </c>
    </row>
    <row r="51" customFormat="false" ht="15" hidden="false" customHeight="false" outlineLevel="0" collapsed="false">
      <c r="B51" s="0" t="s">
        <v>269</v>
      </c>
      <c r="C51" s="11" t="s">
        <v>77</v>
      </c>
      <c r="D51" s="13" t="s">
        <v>270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customFormat="false" ht="15" hidden="false" customHeight="false" outlineLevel="0" collapsed="false">
      <c r="B52" s="0" t="s">
        <v>271</v>
      </c>
      <c r="C52" s="11" t="s">
        <v>27</v>
      </c>
      <c r="D52" s="13" t="s">
        <v>214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 t="n">
        <v>0</v>
      </c>
    </row>
    <row r="53" customFormat="false" ht="15" hidden="false" customHeight="false" outlineLevel="0" collapsed="false">
      <c r="B53" s="0" t="s">
        <v>272</v>
      </c>
      <c r="C53" s="11" t="s">
        <v>43</v>
      </c>
      <c r="D53" s="13" t="s">
        <v>273</v>
      </c>
      <c r="F53" s="50" t="n">
        <f aca="false">IF(INDEX($H53:$W53,1,Scenario_Selected)="",$H53,INDEX($H53:$W53,1,Scenario_Selected))</f>
        <v>1</v>
      </c>
      <c r="H53" s="23" t="n">
        <v>1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 t="n">
        <v>0</v>
      </c>
    </row>
    <row r="54" customFormat="false" ht="15" hidden="false" customHeight="false" outlineLevel="0" collapsed="false">
      <c r="B54" s="0" t="s">
        <v>274</v>
      </c>
      <c r="C54" s="11" t="s">
        <v>27</v>
      </c>
      <c r="D54" s="13" t="s">
        <v>275</v>
      </c>
      <c r="F54" s="49" t="n">
        <f aca="false">IF(INDEX($H54:$W54,1,Scenario_Selected)="",$H54,INDEX($H54:$W54,1,Scenario_Selected))</f>
        <v>0</v>
      </c>
      <c r="H54" s="17" t="n">
        <v>0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 t="n">
        <v>0.5</v>
      </c>
      <c r="U54" s="17"/>
    </row>
    <row r="55" customFormat="false" ht="15" hidden="false" customHeight="false" outlineLevel="0" collapsed="false">
      <c r="B55" s="0" t="s">
        <v>276</v>
      </c>
      <c r="C55" s="11" t="s">
        <v>27</v>
      </c>
      <c r="D55" s="13" t="s">
        <v>277</v>
      </c>
      <c r="F55" s="49" t="n">
        <f aca="false">IF(INDEX($H55:$W55,1,Scenario_Selected)="",$H55,INDEX($H55:$W55,1,Scenario_Selected))</f>
        <v>0.05</v>
      </c>
      <c r="H55" s="17" t="n">
        <v>0.05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</row>
    <row r="56" customFormat="false" ht="15" hidden="false" customHeight="false" outlineLevel="0" collapsed="false">
      <c r="B56" s="0" t="s">
        <v>278</v>
      </c>
      <c r="C56" s="11" t="s">
        <v>43</v>
      </c>
      <c r="D56" s="13" t="s">
        <v>214</v>
      </c>
      <c r="F56" s="50" t="n">
        <f aca="false">IF(INDEX($H56:$W56,1,Scenario_Selected)="",$H56,INDEX($H56:$W56,1,Scenario_Selected))</f>
        <v>1</v>
      </c>
      <c r="H56" s="23" t="n">
        <v>1</v>
      </c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 t="n">
        <v>0</v>
      </c>
    </row>
    <row r="57" customFormat="false" ht="15" hidden="false" customHeight="false" outlineLevel="0" collapsed="false">
      <c r="B57" s="0" t="s">
        <v>279</v>
      </c>
      <c r="C57" s="11" t="s">
        <v>35</v>
      </c>
      <c r="D57" s="13" t="s">
        <v>280</v>
      </c>
      <c r="F57" s="36" t="n">
        <f aca="false">IF(INDEX($H57:$W57,1,Scenario_Selected)="",$H57,INDEX($H57:$W57,1,Scenario_Selected))</f>
        <v>4</v>
      </c>
      <c r="H57" s="19" t="n">
        <v>4</v>
      </c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</row>
    <row r="58" customFormat="false" ht="15" hidden="false" customHeight="false" outlineLevel="0" collapsed="false">
      <c r="B58" s="0" t="s">
        <v>281</v>
      </c>
      <c r="C58" s="11" t="s">
        <v>27</v>
      </c>
      <c r="D58" s="13" t="s">
        <v>282</v>
      </c>
      <c r="F58" s="49" t="n">
        <f aca="false">IF(INDEX($H58:$W58,1,Scenario_Selected)="",$H58,INDEX($H58:$W58,1,Scenario_Selected))</f>
        <v>0.1</v>
      </c>
      <c r="H58" s="17" t="n">
        <v>0.1</v>
      </c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</row>
    <row r="59" customFormat="false" ht="15" hidden="false" customHeight="false" outlineLevel="0" collapsed="false">
      <c r="B59" s="0" t="s">
        <v>283</v>
      </c>
      <c r="C59" s="11" t="s">
        <v>43</v>
      </c>
      <c r="D59" s="13" t="s">
        <v>284</v>
      </c>
      <c r="F59" s="50" t="n">
        <f aca="false">IF(INDEX($H59:$W59,1,Scenario_Selected)="",$H59,INDEX($H59:$W59,1,Scenario_Selected))</f>
        <v>1</v>
      </c>
      <c r="H59" s="23" t="n">
        <v>1</v>
      </c>
      <c r="I59" s="23"/>
      <c r="J59" s="23"/>
      <c r="K59" s="23"/>
      <c r="L59" s="23"/>
      <c r="M59" s="23"/>
      <c r="N59" s="23" t="n">
        <v>2</v>
      </c>
      <c r="O59" s="23"/>
      <c r="P59" s="23"/>
      <c r="Q59" s="23"/>
      <c r="R59" s="23"/>
      <c r="S59" s="23"/>
      <c r="T59" s="23"/>
      <c r="U59" s="23" t="n">
        <v>2</v>
      </c>
    </row>
    <row r="60" customFormat="false" ht="15" hidden="false" customHeight="false" outlineLevel="0" collapsed="false">
      <c r="B60" s="0" t="s">
        <v>285</v>
      </c>
      <c r="C60" s="11" t="s">
        <v>205</v>
      </c>
      <c r="D60" s="13" t="s">
        <v>286</v>
      </c>
      <c r="F60" s="44" t="n">
        <f aca="false">IF(INDEX($H60:$W60,1,Scenario_Selected)="",$H60,INDEX($H60:$W60,1,Scenario_Selected))</f>
        <v>6</v>
      </c>
      <c r="H60" s="47" t="n">
        <v>6</v>
      </c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</row>
    <row r="61" customFormat="false" ht="15" hidden="false" customHeight="false" outlineLevel="0" collapsed="false">
      <c r="B61" s="0" t="s">
        <v>287</v>
      </c>
      <c r="C61" s="11" t="s">
        <v>288</v>
      </c>
      <c r="D61" s="13" t="s">
        <v>289</v>
      </c>
      <c r="F61" s="48" t="n">
        <f aca="false">IF(INDEX($H61:$W61,1,Scenario_Selected)="",$H61,INDEX($H61:$W61,1,Scenario_Selected))</f>
        <v>200</v>
      </c>
      <c r="H61" s="12" t="n">
        <v>200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customFormat="false" ht="15" hidden="false" customHeight="false" outlineLevel="0" collapsed="false">
      <c r="B62" s="0" t="s">
        <v>290</v>
      </c>
      <c r="C62" s="11" t="s">
        <v>291</v>
      </c>
      <c r="D62" s="13" t="s">
        <v>289</v>
      </c>
      <c r="F62" s="48" t="n">
        <f aca="false">IF(INDEX($H62:$W62,1,Scenario_Selected)="",$H62,INDEX($H62:$W62,1,Scenario_Selected))</f>
        <v>406</v>
      </c>
      <c r="H62" s="12" t="n">
        <v>406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</row>
    <row r="63" customFormat="false" ht="15" hidden="false" customHeight="false" outlineLevel="0" collapsed="false">
      <c r="B63" s="0" t="s">
        <v>292</v>
      </c>
      <c r="C63" s="11" t="s">
        <v>293</v>
      </c>
      <c r="D63" s="13" t="s">
        <v>294</v>
      </c>
      <c r="F63" s="36" t="n">
        <f aca="false">IF(INDEX($H63:$W63,1,Scenario_Selected)="",$H63,INDEX($H63:$W63,1,Scenario_Selected))</f>
        <v>3</v>
      </c>
      <c r="H63" s="19" t="n">
        <v>3</v>
      </c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</row>
    <row r="64" customFormat="false" ht="15" hidden="false" customHeight="false" outlineLevel="0" collapsed="false">
      <c r="B64" s="0" t="s">
        <v>295</v>
      </c>
      <c r="C64" s="11" t="s">
        <v>27</v>
      </c>
      <c r="D64" s="13" t="s">
        <v>296</v>
      </c>
      <c r="F64" s="51" t="n">
        <f aca="false">IF(INDEX($H64:$W64,1,Scenario_Selected)="",$H64,INDEX($H64:$W64,1,Scenario_Selected))</f>
        <v>0.005</v>
      </c>
      <c r="H64" s="52" t="n">
        <v>0.005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</row>
    <row r="65" customFormat="false" ht="15" hidden="false" customHeight="false" outlineLevel="0" collapsed="false">
      <c r="B65" s="0" t="s">
        <v>297</v>
      </c>
      <c r="C65" s="11" t="s">
        <v>27</v>
      </c>
      <c r="D65" s="13" t="s">
        <v>298</v>
      </c>
      <c r="F65" s="51" t="n">
        <f aca="false">IF(INDEX($H65:$W65,1,Scenario_Selected)="",$H65,INDEX($H65:$W65,1,Scenario_Selected))</f>
        <v>0.025</v>
      </c>
      <c r="H65" s="52" t="n">
        <v>0.025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</row>
    <row r="66" customFormat="false" ht="15" hidden="false" customHeight="false" outlineLevel="0" collapsed="false">
      <c r="B66" s="0" t="s">
        <v>299</v>
      </c>
      <c r="C66" s="11" t="s">
        <v>300</v>
      </c>
      <c r="D66" s="13" t="s">
        <v>301</v>
      </c>
      <c r="F66" s="36" t="n">
        <f aca="false">IF(INDEX($H66:$W66,1,Scenario_Selected)="",$H66,INDEX($H66:$W66,1,Scenario_Selected))</f>
        <v>4.5</v>
      </c>
      <c r="H66" s="19" t="n">
        <v>4.5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</row>
    <row r="67" customFormat="false" ht="15" hidden="false" customHeight="false" outlineLevel="0" collapsed="false">
      <c r="B67" s="0" t="s">
        <v>302</v>
      </c>
      <c r="C67" s="11" t="s">
        <v>293</v>
      </c>
      <c r="D67" s="13" t="s">
        <v>303</v>
      </c>
      <c r="F67" s="36" t="n">
        <f aca="false">IF(INDEX($H67:$W67,1,Scenario_Selected)="",$H67,INDEX($H67:$W67,1,Scenario_Selected))</f>
        <v>460</v>
      </c>
      <c r="H67" s="19" t="n">
        <v>460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</row>
    <row r="68" customFormat="false" ht="15" hidden="false" customHeight="false" outlineLevel="0" collapsed="false">
      <c r="B68" s="0" t="s">
        <v>304</v>
      </c>
      <c r="C68" s="11" t="s">
        <v>300</v>
      </c>
      <c r="D68" s="13" t="s">
        <v>305</v>
      </c>
      <c r="F68" s="32" t="n">
        <f aca="false">IF(INDEX($H68:$W68,1,Scenario_Selected)="",$H68,INDEX($H68:$W68,1,Scenario_Selected))</f>
        <v>54.830209</v>
      </c>
      <c r="H68" s="16" t="n">
        <v>54.830209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</row>
    <row r="69" customFormat="false" ht="15" hidden="false" customHeight="false" outlineLevel="0" collapsed="false">
      <c r="B69" s="0" t="s">
        <v>306</v>
      </c>
      <c r="C69" s="11" t="s">
        <v>27</v>
      </c>
      <c r="D69" s="13" t="s">
        <v>307</v>
      </c>
      <c r="F69" s="49" t="n">
        <f aca="false">IF(INDEX($H69:$W69,1,Scenario_Selected)="",$H69,INDEX($H69:$W69,1,Scenario_Selected))</f>
        <v>0.06</v>
      </c>
      <c r="H69" s="17" t="n">
        <v>0.06</v>
      </c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</row>
    <row r="71" customFormat="false" ht="15" hidden="false" customHeight="false" outlineLevel="0" collapsed="false">
      <c r="A71" s="9" t="s">
        <v>13</v>
      </c>
      <c r="B71" s="9"/>
      <c r="C71" s="9" t="s">
        <v>308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customFormat="false" ht="15" hidden="false" customHeight="false" outlineLevel="0" collapsed="false">
      <c r="B72" s="0" t="s">
        <v>309</v>
      </c>
      <c r="C72" s="11" t="s">
        <v>19</v>
      </c>
      <c r="D72" s="13" t="s">
        <v>310</v>
      </c>
      <c r="F72" s="48" t="n">
        <f aca="false">IF(INDEX($H72:$W72,1,Scenario_Selected)="",$H72,INDEX($H72:$W72,1,Scenario_Selected))</f>
        <v>950</v>
      </c>
      <c r="H72" s="12" t="n">
        <v>950</v>
      </c>
      <c r="I72" s="12"/>
      <c r="J72" s="12"/>
      <c r="K72" s="12" t="n">
        <f aca="false">H72*(1+Sens_Step)</f>
        <v>1045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</row>
    <row r="73" customFormat="false" ht="15" hidden="false" customHeight="false" outlineLevel="0" collapsed="false">
      <c r="B73" s="0" t="s">
        <v>311</v>
      </c>
      <c r="C73" s="11" t="s">
        <v>19</v>
      </c>
      <c r="D73" s="13" t="s">
        <v>312</v>
      </c>
      <c r="F73" s="48" t="n">
        <f aca="false">IF(INDEX($H73:$W73,1,Scenario_Selected)="",$H73,INDEX($H73:$W73,1,Scenario_Selected))</f>
        <v>500</v>
      </c>
      <c r="H73" s="12" t="n">
        <v>500</v>
      </c>
      <c r="I73" s="12"/>
      <c r="J73" s="12"/>
      <c r="K73" s="12" t="n">
        <f aca="false">H73*(1+Sens_Step)</f>
        <v>550</v>
      </c>
      <c r="L73" s="12"/>
      <c r="M73" s="12"/>
      <c r="N73" s="12"/>
      <c r="O73" s="12"/>
      <c r="P73" s="12"/>
      <c r="Q73" s="12"/>
      <c r="R73" s="12"/>
      <c r="S73" s="12"/>
      <c r="T73" s="12"/>
      <c r="U73" s="12"/>
    </row>
    <row r="74" customFormat="false" ht="15" hidden="false" customHeight="false" outlineLevel="0" collapsed="false">
      <c r="B74" s="0" t="s">
        <v>313</v>
      </c>
      <c r="C74" s="11" t="s">
        <v>19</v>
      </c>
      <c r="D74" s="13" t="s">
        <v>314</v>
      </c>
      <c r="F74" s="48" t="n">
        <f aca="false">IF(INDEX($H74:$W74,1,Scenario_Selected)="",$H74,INDEX($H74:$W74,1,Scenario_Selected))</f>
        <v>355</v>
      </c>
      <c r="H74" s="12" t="n">
        <v>355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</row>
    <row r="75" customFormat="false" ht="15" hidden="false" customHeight="false" outlineLevel="0" collapsed="false">
      <c r="B75" s="0" t="s">
        <v>315</v>
      </c>
      <c r="C75" s="11" t="s">
        <v>33</v>
      </c>
      <c r="D75" s="13" t="s">
        <v>316</v>
      </c>
      <c r="F75" s="48" t="n">
        <f aca="false">IF(INDEX($H75:$W75,1,Scenario_Selected)="",$H75,INDEX($H75:$W75,1,Scenario_Selected))</f>
        <v>12000</v>
      </c>
      <c r="H75" s="12" t="n">
        <v>12000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</row>
    <row r="76" customFormat="false" ht="15" hidden="false" customHeight="false" outlineLevel="0" collapsed="false">
      <c r="B76" s="0" t="s">
        <v>317</v>
      </c>
      <c r="C76" s="11" t="s">
        <v>33</v>
      </c>
      <c r="D76" s="13" t="s">
        <v>318</v>
      </c>
      <c r="F76" s="48" t="n">
        <f aca="false">IF(INDEX($H76:$W76,1,Scenario_Selected)="",$H76,INDEX($H76:$W76,1,Scenario_Selected))</f>
        <v>10800</v>
      </c>
      <c r="H76" s="12" t="n">
        <v>10800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</row>
    <row r="77" customFormat="false" ht="15" hidden="false" customHeight="false" outlineLevel="0" collapsed="false">
      <c r="B77" s="0" t="s">
        <v>319</v>
      </c>
      <c r="C77" s="11" t="s">
        <v>27</v>
      </c>
      <c r="D77" s="13" t="s">
        <v>320</v>
      </c>
      <c r="F77" s="49" t="n">
        <f aca="false">IF(INDEX($H77:$W77,1,Scenario_Selected)="",$H77,INDEX($H77:$W77,1,Scenario_Selected))</f>
        <v>0.05</v>
      </c>
      <c r="H77" s="17" t="n">
        <v>0.05</v>
      </c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</row>
    <row r="78" customFormat="false" ht="15" hidden="false" customHeight="false" outlineLevel="0" collapsed="false">
      <c r="B78" s="0" t="s">
        <v>321</v>
      </c>
      <c r="C78" s="11" t="s">
        <v>322</v>
      </c>
      <c r="D78" s="13" t="s">
        <v>273</v>
      </c>
      <c r="F78" s="48" t="n">
        <f aca="false">IF(INDEX($H78:$W78,1,Scenario_Selected)="",$H78,INDEX($H78:$W78,1,Scenario_Selected))</f>
        <v>100</v>
      </c>
      <c r="H78" s="12" t="n">
        <v>100</v>
      </c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</row>
    <row r="80" customFormat="false" ht="15" hidden="false" customHeight="false" outlineLevel="0" collapsed="false">
      <c r="A80" s="9" t="s">
        <v>13</v>
      </c>
      <c r="B80" s="9"/>
      <c r="C80" s="9" t="s">
        <v>323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customFormat="false" ht="15" hidden="false" customHeight="false" outlineLevel="0" collapsed="false">
      <c r="B81" s="0" t="s">
        <v>56</v>
      </c>
      <c r="C81" s="11" t="s">
        <v>57</v>
      </c>
      <c r="D81" s="13" t="s">
        <v>214</v>
      </c>
      <c r="F81" s="48" t="n">
        <f aca="false">IF(INDEX($H81:$W81,1,Scenario_Selected)="",$H81,INDEX($H81:$W81,1,Scenario_Selected))</f>
        <v>2600</v>
      </c>
      <c r="H81" s="12" t="n">
        <v>2600</v>
      </c>
      <c r="I81" s="12"/>
      <c r="J81" s="12"/>
      <c r="K81" s="12"/>
      <c r="L81" s="12" t="n">
        <f aca="false">H81*(1-Sens_Step)</f>
        <v>2340</v>
      </c>
      <c r="M81" s="12"/>
      <c r="N81" s="12"/>
      <c r="O81" s="12"/>
      <c r="P81" s="12"/>
      <c r="Q81" s="12"/>
      <c r="R81" s="12"/>
      <c r="S81" s="12"/>
      <c r="T81" s="12"/>
      <c r="U81" s="12"/>
    </row>
    <row r="82" customFormat="false" ht="15" hidden="false" customHeight="false" outlineLevel="0" collapsed="false">
      <c r="B82" s="0" t="s">
        <v>324</v>
      </c>
      <c r="C82" s="11" t="s">
        <v>27</v>
      </c>
      <c r="D82" s="13" t="s">
        <v>325</v>
      </c>
      <c r="F82" s="49" t="n">
        <f aca="false">IF(INDEX($H82:$W82,1,Scenario_Selected)="",$H82,INDEX($H82:$W82,1,Scenario_Selected))</f>
        <v>0.02</v>
      </c>
      <c r="H82" s="17" t="n">
        <v>0.02</v>
      </c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</row>
    <row r="83" customFormat="false" ht="15" hidden="false" customHeight="false" outlineLevel="0" collapsed="false">
      <c r="B83" s="0" t="s">
        <v>326</v>
      </c>
      <c r="C83" s="11" t="s">
        <v>27</v>
      </c>
      <c r="D83" s="13" t="s">
        <v>327</v>
      </c>
      <c r="F83" s="51" t="n">
        <f aca="false">IF(INDEX($H83:$W83,1,Scenario_Selected)="",$H83,INDEX($H83:$W83,1,Scenario_Selected))</f>
        <v>0.003</v>
      </c>
      <c r="H83" s="52" t="n">
        <v>0.003</v>
      </c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</row>
    <row r="84" customFormat="false" ht="15" hidden="false" customHeight="false" outlineLevel="0" collapsed="false">
      <c r="B84" s="0" t="s">
        <v>328</v>
      </c>
      <c r="C84" s="11" t="s">
        <v>24</v>
      </c>
      <c r="D84" s="13" t="s">
        <v>214</v>
      </c>
      <c r="F84" s="36" t="n">
        <f aca="false">IF(INDEX($H84:$W84,1,Scenario_Selected)="",$H84,INDEX($H84:$W84,1,Scenario_Selected))</f>
        <v>90</v>
      </c>
      <c r="H84" s="19" t="n">
        <v>90</v>
      </c>
      <c r="I84" s="19"/>
      <c r="J84" s="19"/>
      <c r="K84" s="19"/>
      <c r="L84" s="19"/>
      <c r="M84" s="19" t="n">
        <v>99</v>
      </c>
      <c r="N84" s="19"/>
      <c r="O84" s="19"/>
      <c r="P84" s="19"/>
      <c r="Q84" s="19"/>
      <c r="R84" s="19"/>
      <c r="S84" s="19"/>
      <c r="T84" s="19"/>
      <c r="U84" s="19"/>
    </row>
    <row r="85" customFormat="false" ht="15" hidden="false" customHeight="false" outlineLevel="0" collapsed="false">
      <c r="B85" s="0" t="s">
        <v>329</v>
      </c>
      <c r="C85" s="11" t="s">
        <v>27</v>
      </c>
      <c r="D85" s="13" t="s">
        <v>330</v>
      </c>
      <c r="F85" s="49" t="n">
        <f aca="false">IF(INDEX($H85:$W85,1,Scenario_Selected)="",$H85,INDEX($H85:$W85,1,Scenario_Selected))</f>
        <v>0.01</v>
      </c>
      <c r="H85" s="17" t="n">
        <v>0.01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</row>
    <row r="86" customFormat="false" ht="15" hidden="false" customHeight="false" outlineLevel="0" collapsed="false">
      <c r="B86" s="0" t="s">
        <v>331</v>
      </c>
      <c r="C86" s="11" t="s">
        <v>24</v>
      </c>
      <c r="D86" s="13" t="s">
        <v>332</v>
      </c>
      <c r="F86" s="36" t="n">
        <f aca="false">IF(INDEX($H86:$W86,1,Scenario_Selected)="",$H86,INDEX($H86:$W86,1,Scenario_Selected))</f>
        <v>5</v>
      </c>
      <c r="H86" s="19" t="n">
        <v>5</v>
      </c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</row>
    <row r="87" customFormat="false" ht="15" hidden="false" customHeight="false" outlineLevel="0" collapsed="false">
      <c r="B87" s="0" t="s">
        <v>333</v>
      </c>
      <c r="C87" s="11" t="s">
        <v>19</v>
      </c>
      <c r="D87" s="13" t="s">
        <v>334</v>
      </c>
      <c r="F87" s="48" t="n">
        <f aca="false">IF(INDEX($H87:$W87,1,Scenario_Selected)="",$H87,INDEX($H87:$W87,1,Scenario_Selected))</f>
        <v>22</v>
      </c>
      <c r="H87" s="12" t="n">
        <v>22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</row>
    <row r="88" customFormat="false" ht="15" hidden="false" customHeight="false" outlineLevel="0" collapsed="false">
      <c r="B88" s="0" t="s">
        <v>335</v>
      </c>
      <c r="C88" s="11" t="s">
        <v>19</v>
      </c>
      <c r="D88" s="13" t="s">
        <v>336</v>
      </c>
      <c r="F88" s="48" t="n">
        <f aca="false">IF(INDEX($H88:$W88,1,Scenario_Selected)="",$H88,INDEX($H88:$W88,1,Scenario_Selected))</f>
        <v>3</v>
      </c>
      <c r="H88" s="12" t="n">
        <v>3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</row>
    <row r="89" customFormat="false" ht="15" hidden="false" customHeight="false" outlineLevel="0" collapsed="false">
      <c r="B89" s="0" t="s">
        <v>337</v>
      </c>
      <c r="C89" s="11" t="s">
        <v>33</v>
      </c>
      <c r="D89" s="13" t="s">
        <v>338</v>
      </c>
      <c r="F89" s="48" t="n">
        <f aca="false">IF(INDEX($H89:$W89,1,Scenario_Selected)="",$H89,INDEX($H89:$W89,1,Scenario_Selected))</f>
        <v>150</v>
      </c>
      <c r="H89" s="12" t="n">
        <v>150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</row>
    <row r="90" customFormat="false" ht="15" hidden="false" customHeight="false" outlineLevel="0" collapsed="false">
      <c r="B90" s="0" t="s">
        <v>339</v>
      </c>
      <c r="C90" s="11" t="s">
        <v>27</v>
      </c>
      <c r="D90" s="13" t="s">
        <v>340</v>
      </c>
      <c r="F90" s="49" t="n">
        <f aca="false">IF(INDEX($H90:$W90,1,Scenario_Selected)="",$H90,INDEX($H90:$W90,1,Scenario_Selected))</f>
        <v>0.05</v>
      </c>
      <c r="H90" s="17" t="n">
        <v>0.05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</row>
    <row r="91" customFormat="false" ht="15" hidden="false" customHeight="false" outlineLevel="0" collapsed="false">
      <c r="B91" s="0" t="s">
        <v>341</v>
      </c>
      <c r="C91" s="11" t="s">
        <v>27</v>
      </c>
      <c r="D91" s="13" t="s">
        <v>342</v>
      </c>
      <c r="F91" s="49" t="n">
        <f aca="false">IF(INDEX($H91:$W91,1,Scenario_Selected)="",$H91,INDEX($H91:$W91,1,Scenario_Selected))</f>
        <v>0.025</v>
      </c>
      <c r="H91" s="17" t="n">
        <v>0.025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</row>
    <row r="92" customFormat="false" ht="15" hidden="false" customHeight="false" outlineLevel="0" collapsed="false">
      <c r="B92" s="0" t="s">
        <v>343</v>
      </c>
      <c r="C92" s="11" t="s">
        <v>27</v>
      </c>
      <c r="D92" s="13" t="s">
        <v>344</v>
      </c>
      <c r="F92" s="51" t="n">
        <f aca="false">IF(INDEX($H92:$W92,1,Scenario_Selected)="",$H92,INDEX($H92:$W92,1,Scenario_Selected))</f>
        <v>0.001</v>
      </c>
      <c r="H92" s="52" t="n">
        <v>0.001</v>
      </c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</row>
    <row r="93" customFormat="false" ht="15" hidden="false" customHeight="false" outlineLevel="0" collapsed="false">
      <c r="B93" s="0" t="s">
        <v>345</v>
      </c>
      <c r="C93" s="11" t="s">
        <v>27</v>
      </c>
      <c r="D93" s="13" t="s">
        <v>346</v>
      </c>
      <c r="F93" s="49" t="n">
        <f aca="false">IF(INDEX($H93:$W93,1,Scenario_Selected)="",$H93,INDEX($H93:$W93,1,Scenario_Selected))</f>
        <v>0.02</v>
      </c>
      <c r="H93" s="17" t="n">
        <v>0.02</v>
      </c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</row>
    <row r="94" customFormat="false" ht="15" hidden="false" customHeight="false" outlineLevel="0" collapsed="false">
      <c r="B94" s="0" t="s">
        <v>347</v>
      </c>
      <c r="C94" s="11" t="s">
        <v>27</v>
      </c>
      <c r="D94" s="13" t="s">
        <v>348</v>
      </c>
      <c r="F94" s="51" t="n">
        <f aca="false">IF(INDEX($H94:$W94,1,Scenario_Selected)="",$H94,INDEX($H94:$W94,1,Scenario_Selected))</f>
        <v>0.003</v>
      </c>
      <c r="H94" s="52" t="n">
        <v>0.003</v>
      </c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</row>
    <row r="96" customFormat="false" ht="15" hidden="false" customHeight="false" outlineLevel="0" collapsed="false">
      <c r="A96" s="9" t="s">
        <v>13</v>
      </c>
      <c r="B96" s="9"/>
      <c r="C96" s="9" t="s">
        <v>349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customFormat="false" ht="15" hidden="false" customHeight="false" outlineLevel="0" collapsed="false">
      <c r="B97" s="0" t="s">
        <v>350</v>
      </c>
      <c r="C97" s="11" t="s">
        <v>27</v>
      </c>
      <c r="D97" s="13" t="s">
        <v>351</v>
      </c>
      <c r="F97" s="49" t="n">
        <f aca="false">IF(INDEX($H97:$W97,1,Scenario_Selected)="",$H97,INDEX($H97:$W97,1,Scenario_Selected))</f>
        <v>0.55</v>
      </c>
      <c r="H97" s="17" t="n">
        <v>0.55</v>
      </c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 t="n">
        <v>0.7</v>
      </c>
      <c r="T97" s="17"/>
      <c r="U97" s="17"/>
    </row>
    <row r="98" customFormat="false" ht="15" hidden="false" customHeight="false" outlineLevel="0" collapsed="false">
      <c r="B98" s="0" t="s">
        <v>352</v>
      </c>
      <c r="C98" s="11" t="s">
        <v>13</v>
      </c>
      <c r="D98" s="13" t="s">
        <v>351</v>
      </c>
      <c r="F98" s="36" t="n">
        <f aca="false">IF(INDEX($H98:$W98,1,Scenario_Selected)="",$H98,INDEX($H98:$W98,1,Scenario_Selected))</f>
        <v>0</v>
      </c>
      <c r="H98" s="19" t="n">
        <v>0</v>
      </c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 t="n">
        <v>6</v>
      </c>
      <c r="T98" s="19"/>
      <c r="U98" s="19"/>
    </row>
    <row r="99" customFormat="false" ht="15" hidden="false" customHeight="false" outlineLevel="0" collapsed="false">
      <c r="B99" s="0" t="s">
        <v>133</v>
      </c>
      <c r="C99" s="11" t="s">
        <v>13</v>
      </c>
      <c r="D99" s="13" t="s">
        <v>351</v>
      </c>
      <c r="F99" s="53" t="n">
        <f aca="false">IF(INDEX($H99:$W99,1,Scenario_Selected)="",$H99,INDEX($H99:$W99,1,Scenario_Selected))</f>
        <v>1.1</v>
      </c>
      <c r="H99" s="21" t="n">
        <v>1.1</v>
      </c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</row>
    <row r="100" customFormat="false" ht="15" hidden="false" customHeight="false" outlineLevel="0" collapsed="false">
      <c r="B100" s="0" t="s">
        <v>136</v>
      </c>
      <c r="C100" s="11" t="s">
        <v>13</v>
      </c>
      <c r="D100" s="13" t="s">
        <v>351</v>
      </c>
      <c r="F100" s="53" t="n">
        <f aca="false">IF(INDEX($H100:$W100,1,Scenario_Selected)="",$H100,INDEX($H100:$W100,1,Scenario_Selected))</f>
        <v>1.2</v>
      </c>
      <c r="H100" s="21" t="n">
        <v>1.2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</row>
    <row r="101" customFormat="false" ht="15" hidden="false" customHeight="false" outlineLevel="0" collapsed="false">
      <c r="B101" s="0" t="s">
        <v>353</v>
      </c>
      <c r="C101" s="11" t="s">
        <v>13</v>
      </c>
      <c r="D101" s="13" t="s">
        <v>354</v>
      </c>
      <c r="F101" s="53" t="n">
        <f aca="false">IF(INDEX($H101:$W101,1,Scenario_Selected)="",$H101,INDEX($H101:$W101,1,Scenario_Selected))</f>
        <v>1.2</v>
      </c>
      <c r="H101" s="21" t="n">
        <v>1.2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customFormat="false" ht="15" hidden="false" customHeight="false" outlineLevel="0" collapsed="false">
      <c r="B102" s="0" t="s">
        <v>65</v>
      </c>
      <c r="C102" s="11" t="s">
        <v>66</v>
      </c>
      <c r="D102" s="13" t="s">
        <v>355</v>
      </c>
      <c r="F102" s="44" t="n">
        <f aca="false">IF(INDEX($H102:$W102,1,Scenario_Selected)="",$H102,INDEX($H102:$W102,1,Scenario_Selected))</f>
        <v>18</v>
      </c>
      <c r="H102" s="47" t="n">
        <v>18</v>
      </c>
      <c r="I102" s="47"/>
      <c r="J102" s="47"/>
      <c r="K102" s="47"/>
      <c r="L102" s="47"/>
      <c r="M102" s="47"/>
      <c r="N102" s="47"/>
      <c r="O102" s="47"/>
      <c r="P102" s="47" t="n">
        <v>10</v>
      </c>
      <c r="Q102" s="47"/>
      <c r="R102" s="47"/>
      <c r="S102" s="47"/>
      <c r="T102" s="47"/>
      <c r="U102" s="47"/>
    </row>
    <row r="103" customFormat="false" ht="15" hidden="false" customHeight="false" outlineLevel="0" collapsed="false">
      <c r="B103" s="0" t="s">
        <v>356</v>
      </c>
      <c r="C103" s="11" t="s">
        <v>27</v>
      </c>
      <c r="D103" s="13" t="s">
        <v>357</v>
      </c>
      <c r="F103" s="49" t="n">
        <f aca="false">IF(INDEX($H103:$W103,1,Scenario_Selected)="",$H103,INDEX($H103:$W103,1,Scenario_Selected))</f>
        <v>0.05</v>
      </c>
      <c r="H103" s="17" t="n">
        <v>0.05</v>
      </c>
      <c r="I103" s="17"/>
      <c r="J103" s="17"/>
      <c r="K103" s="17"/>
      <c r="L103" s="17"/>
      <c r="M103" s="17"/>
      <c r="N103" s="17"/>
      <c r="O103" s="17" t="n">
        <v>0.06</v>
      </c>
      <c r="P103" s="17"/>
      <c r="Q103" s="17"/>
      <c r="R103" s="17"/>
      <c r="S103" s="17"/>
      <c r="T103" s="17"/>
      <c r="U103" s="17"/>
    </row>
    <row r="104" customFormat="false" ht="15" hidden="false" customHeight="false" outlineLevel="0" collapsed="false">
      <c r="B104" s="0" t="s">
        <v>358</v>
      </c>
      <c r="C104" s="11" t="s">
        <v>27</v>
      </c>
      <c r="D104" s="13" t="s">
        <v>359</v>
      </c>
      <c r="F104" s="51" t="n">
        <f aca="false">IF(INDEX($H104:$W104,1,Scenario_Selected)="",$H104,INDEX($H104:$W104,1,Scenario_Selected))</f>
        <v>0.0175</v>
      </c>
      <c r="H104" s="52" t="n">
        <v>0.0175</v>
      </c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</row>
    <row r="105" customFormat="false" ht="15" hidden="false" customHeight="false" outlineLevel="0" collapsed="false">
      <c r="B105" s="0" t="s">
        <v>360</v>
      </c>
      <c r="C105" s="11" t="s">
        <v>27</v>
      </c>
      <c r="D105" s="13" t="s">
        <v>361</v>
      </c>
      <c r="F105" s="51" t="n">
        <f aca="false">IF(INDEX($H105:$W105,1,Scenario_Selected)="",$H105,INDEX($H105:$W105,1,Scenario_Selected))</f>
        <v>0.009</v>
      </c>
      <c r="H105" s="52" t="n">
        <v>0.009</v>
      </c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</row>
    <row r="106" customFormat="false" ht="15" hidden="false" customHeight="false" outlineLevel="0" collapsed="false">
      <c r="B106" s="0" t="s">
        <v>362</v>
      </c>
      <c r="C106" s="11" t="s">
        <v>205</v>
      </c>
      <c r="D106" s="13" t="s">
        <v>363</v>
      </c>
      <c r="F106" s="44" t="n">
        <f aca="false">IF(INDEX($H106:$W106,1,Scenario_Selected)="",$H106,INDEX($H106:$W106,1,Scenario_Selected))</f>
        <v>6</v>
      </c>
      <c r="H106" s="47" t="n">
        <v>6</v>
      </c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</row>
    <row r="108" customFormat="false" ht="15" hidden="false" customHeight="false" outlineLevel="0" collapsed="false">
      <c r="A108" s="9" t="s">
        <v>13</v>
      </c>
      <c r="B108" s="9"/>
      <c r="C108" s="9" t="s">
        <v>364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</row>
    <row r="109" customFormat="false" ht="15" hidden="false" customHeight="false" outlineLevel="0" collapsed="false">
      <c r="B109" s="0" t="s">
        <v>365</v>
      </c>
      <c r="C109" s="11" t="s">
        <v>21</v>
      </c>
      <c r="D109" s="13" t="s">
        <v>366</v>
      </c>
      <c r="F109" s="3" t="s">
        <v>367</v>
      </c>
    </row>
    <row r="110" customFormat="false" ht="15" hidden="false" customHeight="false" outlineLevel="0" collapsed="false">
      <c r="B110" s="0" t="s">
        <v>368</v>
      </c>
      <c r="C110" s="11" t="s">
        <v>21</v>
      </c>
      <c r="D110" s="13" t="s">
        <v>369</v>
      </c>
      <c r="F110" s="3"/>
    </row>
    <row r="112" customFormat="false" ht="15" hidden="false" customHeight="false" outlineLevel="0" collapsed="false">
      <c r="C112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370</v>
      </c>
      <c r="D5" s="9"/>
      <c r="E5" s="9" t="s">
        <v>371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372</v>
      </c>
      <c r="F6" s="8" t="s">
        <v>373</v>
      </c>
      <c r="J6" s="8" t="s">
        <v>374</v>
      </c>
    </row>
    <row r="7" customFormat="false" ht="15" hidden="false" customHeight="false" outlineLevel="0" collapsed="false">
      <c r="C7" s="0" t="s">
        <v>375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376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377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378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379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380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381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382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383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384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385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386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387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388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389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390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391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392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393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394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395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396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397</v>
      </c>
      <c r="D5" s="11" t="s">
        <v>202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398</v>
      </c>
      <c r="D6" s="11" t="s">
        <v>399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400</v>
      </c>
      <c r="D7" s="11" t="s">
        <v>401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402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404</v>
      </c>
      <c r="D12" s="11" t="s">
        <v>399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405</v>
      </c>
      <c r="D13" s="11" t="s">
        <v>399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406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323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407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408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54331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1</v>
      </c>
      <c r="CI18" s="55" t="n">
        <f aca="false">MAX(0,(MIN($F18,CI$4)-MAX($E18,CI$3)+1)/CI$5)</f>
        <v>1</v>
      </c>
      <c r="CJ18" s="55" t="n">
        <f aca="false">MAX(0,(MIN($F18,CJ$4)-MAX($E18,CJ$3)+1)/CJ$5)</f>
        <v>1</v>
      </c>
      <c r="CK18" s="55" t="n">
        <f aca="false">MAX(0,(MIN($F18,CK$4)-MAX($E18,CK$3)+1)/CK$5)</f>
        <v>1</v>
      </c>
      <c r="CL18" s="55" t="n">
        <f aca="false">MAX(0,(MIN($F18,CL$4)-MAX($E18,CL$3)+1)/CL$5)</f>
        <v>1</v>
      </c>
      <c r="CM18" s="55" t="n">
        <f aca="false">MAX(0,(MIN($F18,CM$4)-MAX($E18,CM$3)+1)/CM$5)</f>
        <v>1</v>
      </c>
      <c r="CN18" s="55" t="n">
        <f aca="false">MAX(0,(MIN($F18,CN$4)-MAX($E18,CN$3)+1)/CN$5)</f>
        <v>1</v>
      </c>
      <c r="CO18" s="55" t="n">
        <f aca="false">MAX(0,(MIN($F18,CO$4)-MAX($E18,CO$3)+1)/CO$5)</f>
        <v>1</v>
      </c>
      <c r="CP18" s="55" t="n">
        <f aca="false">MAX(0,(MIN($F18,CP$4)-MAX($E18,CP$3)+1)/CP$5)</f>
        <v>1</v>
      </c>
      <c r="CQ18" s="55" t="n">
        <f aca="false">MAX(0,(MIN($F18,CQ$4)-MAX($E18,CQ$3)+1)/CQ$5)</f>
        <v>1</v>
      </c>
      <c r="CR18" s="55" t="n">
        <f aca="false">MAX(0,(MIN($F18,CR$4)-MAX($E18,CR$3)+1)/CR$5)</f>
        <v>1</v>
      </c>
      <c r="CS18" s="55" t="n">
        <f aca="false">MAX(0,(MIN($F18,CS$4)-MAX($E18,CS$3)+1)/CS$5)</f>
        <v>1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409</v>
      </c>
      <c r="D19" s="11" t="s">
        <v>43</v>
      </c>
      <c r="E19" s="46" t="n">
        <f aca="false">EDATE(In_COD,In_Debt_Tenor*Months_In_Year)</f>
        <v>54331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0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1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410</v>
      </c>
      <c r="D20" s="11" t="s">
        <v>399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411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412</v>
      </c>
      <c r="D22" s="11" t="s">
        <v>399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413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414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415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416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417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418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419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420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421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422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423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424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425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426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427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428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429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430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431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432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433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240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434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435</v>
      </c>
      <c r="D51" s="11" t="s">
        <v>293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436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437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438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439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440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441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442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443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444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445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446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447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448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449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450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451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452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453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323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454</v>
      </c>
      <c r="D73" s="11" t="s">
        <v>399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455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456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457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458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459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460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461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339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462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463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464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-16.886293224631</v>
      </c>
      <c r="AA86" s="58" t="n">
        <v>-16.9788088320866</v>
      </c>
      <c r="AB86" s="58" t="n">
        <v>-18.2416191642156</v>
      </c>
      <c r="AC86" s="58" t="n">
        <v>-19.5224799708425</v>
      </c>
      <c r="AD86" s="58" t="n">
        <v>-19.3875280810742</v>
      </c>
      <c r="AE86" s="58" t="n">
        <v>-20.2886713944384</v>
      </c>
      <c r="AF86" s="58" t="n">
        <v>-20.7922872966078</v>
      </c>
      <c r="AG86" s="58" t="n">
        <v>-22.1066419816953</v>
      </c>
      <c r="AH86" s="58" t="n">
        <v>-21.9953507422139</v>
      </c>
      <c r="AI86" s="58" t="n">
        <v>-22.0968937604371</v>
      </c>
      <c r="AJ86" s="58" t="n">
        <v>-25.9135500967045</v>
      </c>
      <c r="AK86" s="58" t="n">
        <v>-27.3049372966467</v>
      </c>
      <c r="AL86" s="58" t="n">
        <v>-54.4680631854444</v>
      </c>
      <c r="AM86" s="58" t="n">
        <v>-54.5783625175298</v>
      </c>
      <c r="AN86" s="58" t="n">
        <v>-57.3671588083276</v>
      </c>
      <c r="AO86" s="58" t="n">
        <v>-60.193293979071</v>
      </c>
      <c r="AP86" s="58" t="n">
        <v>-60.0740965102344</v>
      </c>
      <c r="AQ86" s="58" t="n">
        <v>-60.1960068351887</v>
      </c>
      <c r="AR86" s="58" t="n">
        <v>-63.0547832773331</v>
      </c>
      <c r="AS86" s="58" t="n">
        <v>-65.9516372651801</v>
      </c>
      <c r="AT86" s="58" t="n">
        <v>-65.8844378875599</v>
      </c>
      <c r="AU86" s="58" t="n">
        <v>-67.7301064940267</v>
      </c>
      <c r="AV86" s="58" t="n">
        <v>-68.9758354889093</v>
      </c>
      <c r="AW86" s="58" t="n">
        <v>-71.9459246847492</v>
      </c>
      <c r="AX86" s="58" t="n">
        <v>-71.9336068274315</v>
      </c>
      <c r="AY86" s="58" t="n">
        <v>-72.0854894540145</v>
      </c>
      <c r="AZ86" s="58" t="n">
        <v>-75.0912326589801</v>
      </c>
      <c r="BA86" s="58" t="n">
        <v>-78.1366177676475</v>
      </c>
      <c r="BB86" s="58" t="n">
        <v>-78.1816175357857</v>
      </c>
      <c r="BC86" s="58" t="n">
        <v>-78.3518012926639</v>
      </c>
      <c r="BD86" s="58" t="n">
        <v>-81.434455022035</v>
      </c>
      <c r="BE86" s="58" t="n">
        <v>-84.5575756270494</v>
      </c>
      <c r="BF86" s="58" t="n">
        <v>-84.6627263342305</v>
      </c>
      <c r="BG86" s="58" t="n">
        <v>-84.8536638894123</v>
      </c>
      <c r="BH86" s="58" t="n">
        <v>-88.0157478180598</v>
      </c>
      <c r="BI86" s="58" t="n">
        <v>-91.2191549319894</v>
      </c>
      <c r="BJ86" s="58" t="n">
        <v>-91.3874169503887</v>
      </c>
      <c r="BK86" s="58" t="n">
        <v>-93.351702343986</v>
      </c>
      <c r="BL86" s="58" t="n">
        <v>-94.8708568122948</v>
      </c>
      <c r="BM86" s="58" t="n">
        <v>-98.1575060509404</v>
      </c>
      <c r="BN86" s="58" t="n">
        <v>-98.3922637438117</v>
      </c>
      <c r="BO86" s="58" t="n">
        <v>-98.6328557677334</v>
      </c>
      <c r="BP86" s="58" t="n">
        <v>-101.96212382716</v>
      </c>
      <c r="BQ86" s="58" t="n">
        <v>-105.334530834126</v>
      </c>
      <c r="BR86" s="58" t="n">
        <v>-105.638738660217</v>
      </c>
      <c r="BS86" s="58" t="n">
        <v>-105.908212273436</v>
      </c>
      <c r="BT86" s="58" t="n">
        <v>-109.325197674977</v>
      </c>
      <c r="BU86" s="58" t="n">
        <v>-112.786281227854</v>
      </c>
      <c r="BV86" s="58" t="n">
        <v>-113.163316951495</v>
      </c>
      <c r="BW86" s="58" t="n">
        <v>-113.464649330695</v>
      </c>
      <c r="BX86" s="58" t="n">
        <v>-116.972367700055</v>
      </c>
      <c r="BY86" s="58" t="n">
        <v>-120.525180811675</v>
      </c>
      <c r="BZ86" s="58" t="n">
        <v>-120.97857392611</v>
      </c>
      <c r="CA86" s="58" t="n">
        <v>-123.098004101788</v>
      </c>
      <c r="CB86" s="58" t="n">
        <v>-124.941706177699</v>
      </c>
      <c r="CC86" s="58" t="n">
        <v>-128.589732501316</v>
      </c>
      <c r="CD86" s="58" t="n">
        <v>-129.123464469269</v>
      </c>
      <c r="CE86" s="58" t="n">
        <v>-129.498335835182</v>
      </c>
      <c r="CF86" s="58" t="n">
        <v>-133.197429495302</v>
      </c>
      <c r="CG86" s="58" t="n">
        <v>-136.943733532138</v>
      </c>
      <c r="CH86" s="58" t="n">
        <v>-137.561378654072</v>
      </c>
      <c r="CI86" s="58" t="n">
        <v>-137.977961380855</v>
      </c>
      <c r="CJ86" s="58" t="n">
        <v>-141.777709276586</v>
      </c>
      <c r="CK86" s="58" t="n">
        <v>-145.625786920572</v>
      </c>
      <c r="CL86" s="58" t="n">
        <v>-146.331373110796</v>
      </c>
      <c r="CM86" s="58" t="n">
        <v>-146.793273632724</v>
      </c>
      <c r="CN86" s="58" t="n">
        <v>-150.697288699164</v>
      </c>
      <c r="CO86" s="58" t="n">
        <v>-154.650797525722</v>
      </c>
      <c r="CP86" s="58" t="n">
        <v>-155.44853395682</v>
      </c>
      <c r="CQ86" s="58" t="n">
        <v>-157.767861039969</v>
      </c>
      <c r="CR86" s="58" t="n">
        <v>-159.996950919474</v>
      </c>
      <c r="CS86" s="58" t="n">
        <v>-164.060009528194</v>
      </c>
      <c r="CT86" s="58" t="n">
        <v>-164.954589886834</v>
      </c>
      <c r="CU86" s="58" t="n">
        <v>-163.194375284734</v>
      </c>
      <c r="CV86" s="58" t="n">
        <v>-165.007646121231</v>
      </c>
      <c r="CW86" s="58" t="n">
        <v>-166.820916957728</v>
      </c>
      <c r="CX86" s="58" t="n">
        <v>-165.401027748062</v>
      </c>
      <c r="CY86" s="58" t="n">
        <v>-163.58723366555</v>
      </c>
      <c r="CZ86" s="58" t="n">
        <v>-165.404869595167</v>
      </c>
      <c r="DA86" s="58" t="n">
        <v>-167.222505524784</v>
      </c>
      <c r="DB86" s="58" t="n">
        <v>-375.486699874706</v>
      </c>
      <c r="DC86" s="58" t="n">
        <v>-369.060276869219</v>
      </c>
      <c r="DD86" s="58" t="n">
        <v>-373.160946612211</v>
      </c>
      <c r="DE86" s="58" t="n">
        <v>-377.261616355202</v>
      </c>
      <c r="DF86" s="58" t="n">
        <v>-375.824783779586</v>
      </c>
      <c r="DG86" s="58" t="n">
        <v>-373.447561715863</v>
      </c>
      <c r="DH86" s="58" t="n">
        <v>-373.447561715863</v>
      </c>
      <c r="DI86" s="58" t="n">
        <v>-377.551381075378</v>
      </c>
      <c r="DJ86" s="58" t="n">
        <v>-376.106053012438</v>
      </c>
      <c r="DK86" s="58" t="n">
        <v>-369.569862589466</v>
      </c>
      <c r="DL86" s="58" t="n">
        <v>-373.676194396016</v>
      </c>
      <c r="DM86" s="58" t="n">
        <v>-377.782526202566</v>
      </c>
      <c r="DN86" s="58" t="n">
        <v>-376.328687856251</v>
      </c>
      <c r="DO86" s="58" t="n">
        <v>-369.736810251908</v>
      </c>
      <c r="DP86" s="58" t="n">
        <v>-373.844997032485</v>
      </c>
      <c r="DQ86" s="58" t="n">
        <v>-377.953183813062</v>
      </c>
      <c r="DR86" s="58" t="n">
        <v>-376.490821224723</v>
      </c>
      <c r="DS86" s="58" t="n">
        <v>-369.842710510588</v>
      </c>
      <c r="DT86" s="58" t="n">
        <v>-373.952073960705</v>
      </c>
      <c r="DU86" s="58" t="n">
        <v>-378.061437410823</v>
      </c>
      <c r="DV86" s="58" t="n">
        <v>-376.590537485769</v>
      </c>
      <c r="DW86" s="58" t="n">
        <v>-373.995480278811</v>
      </c>
      <c r="DX86" s="58" t="n">
        <v>-373.995480278811</v>
      </c>
      <c r="DY86" s="58" t="n">
        <v>-378.105320721435</v>
      </c>
      <c r="DZ86" s="58" t="n">
        <v>-376.625871256129</v>
      </c>
      <c r="EA86" s="58" t="n">
        <v>-369.863624794353</v>
      </c>
      <c r="EB86" s="58" t="n">
        <v>-373.973220625401</v>
      </c>
      <c r="EC86" s="58" t="n">
        <v>-378.08281645645</v>
      </c>
      <c r="ED86" s="58" t="n">
        <v>-376.59480616636</v>
      </c>
      <c r="EE86" s="58" t="n">
        <v>-369.774640807209</v>
      </c>
      <c r="EF86" s="58" t="n">
        <v>-373.883247927289</v>
      </c>
      <c r="EG86" s="58" t="n">
        <v>-377.991855047369</v>
      </c>
      <c r="EH86" s="58" t="n">
        <v>-376.495273595488</v>
      </c>
      <c r="EI86" s="58" t="n">
        <v>-369.616610884433</v>
      </c>
      <c r="EJ86" s="58" t="n">
        <v>-373.723462116482</v>
      </c>
      <c r="EK86" s="58" t="n">
        <v>-377.830313348532</v>
      </c>
      <c r="EL86" s="58" t="n">
        <v>-376.325151374578</v>
      </c>
      <c r="EM86" s="58" t="n">
        <v>-373.491708815651</v>
      </c>
      <c r="EN86" s="58" t="n">
        <v>-373.491708815651</v>
      </c>
      <c r="EO86" s="58" t="n">
        <v>-377.596013308131</v>
      </c>
    </row>
    <row r="87" customFormat="false" ht="15" hidden="false" customHeight="false" outlineLevel="0" collapsed="false">
      <c r="C87" s="0" t="s">
        <v>465</v>
      </c>
      <c r="D87" s="11" t="s">
        <v>33</v>
      </c>
      <c r="I87" s="48" t="n">
        <f aca="false">SUM(J87:EO87)</f>
        <v>272597.231938207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2344.40831738351</v>
      </c>
      <c r="AA87" s="48" t="n">
        <f aca="false">(AA83+AA59+AA86)*(AA$4&gt;In_COD)</f>
        <v>2308.81150885302</v>
      </c>
      <c r="AB87" s="48" t="n">
        <f aca="false">(AB83+AB59+AB86)*(AB$4&gt;In_COD)</f>
        <v>2333.39081316183</v>
      </c>
      <c r="AC87" s="48" t="n">
        <f aca="false">(AC83+AC59+AC86)*(AC$4&gt;In_COD)</f>
        <v>2357.95206699615</v>
      </c>
      <c r="AD87" s="48" t="n">
        <f aca="false">(AD83+AD59+AD86)*(AD$4&gt;In_COD)</f>
        <v>2349.61295731576</v>
      </c>
      <c r="AE87" s="48" t="n">
        <f aca="false">(AE83+AE59+AE86)*(AE$4&gt;In_COD)</f>
        <v>2338.82920996305</v>
      </c>
      <c r="AF87" s="48" t="n">
        <f aca="false">(AF83+AF59+AF86)*(AF$4&gt;In_COD)</f>
        <v>2338.32559406088</v>
      </c>
      <c r="AG87" s="48" t="n">
        <f aca="false">(AG83+AG59+AG86)*(AG$4&gt;In_COD)</f>
        <v>2362.93561169841</v>
      </c>
      <c r="AH87" s="48" t="n">
        <f aca="false">(AH83+AH59+AH86)*(AH$4&gt;In_COD)</f>
        <v>2354.51911128698</v>
      </c>
      <c r="AI87" s="48" t="n">
        <f aca="false">(AI83+AI59+AI86)*(AI$4&gt;In_COD)</f>
        <v>2318.3052085143</v>
      </c>
      <c r="AJ87" s="48" t="n">
        <f aca="false">(AJ83+AJ59+AJ86)*(AJ$4&gt;In_COD)</f>
        <v>2373.64850881577</v>
      </c>
      <c r="AK87" s="48" t="n">
        <f aca="false">(AK83+AK59+AK86)*(AK$4&gt;In_COD)</f>
        <v>2398.62593545003</v>
      </c>
      <c r="AL87" s="48" t="n">
        <f aca="false">(AL83+AL59+AL86)*(AL$4&gt;In_COD)</f>
        <v>2362.88110892308</v>
      </c>
      <c r="AM87" s="48" t="n">
        <f aca="false">(AM83+AM59+AM86)*(AM$4&gt;In_COD)</f>
        <v>2325.62163943852</v>
      </c>
      <c r="AN87" s="48" t="n">
        <f aca="false">(AN83+AN59+AN86)*(AN$4&gt;In_COD)</f>
        <v>2349.27950983612</v>
      </c>
      <c r="AO87" s="48" t="n">
        <f aca="false">(AO83+AO59+AO86)*(AO$4&gt;In_COD)</f>
        <v>2372.90004135378</v>
      </c>
      <c r="AP87" s="48" t="n">
        <f aca="false">(AP83+AP59+AP86)*(AP$4&gt;In_COD)</f>
        <v>2364.38345309621</v>
      </c>
      <c r="AQ87" s="48" t="n">
        <f aca="false">(AQ83+AQ59+AQ86)*(AQ$4&gt;In_COD)</f>
        <v>2326.80148371885</v>
      </c>
      <c r="AR87" s="48" t="n">
        <f aca="false">(AR83+AR59+AR86)*(AR$4&gt;In_COD)</f>
        <v>2350.46490161619</v>
      </c>
      <c r="AS87" s="48" t="n">
        <f aca="false">(AS83+AS59+AS86)*(AS$4&gt;In_COD)</f>
        <v>2374.09024196783</v>
      </c>
      <c r="AT87" s="48" t="n">
        <f aca="false">(AT83+AT59+AT86)*(AT$4&gt;In_COD)</f>
        <v>2365.46739734434</v>
      </c>
      <c r="AU87" s="48" t="n">
        <f aca="false">(AU83+AU59+AU86)*(AU$4&gt;In_COD)</f>
        <v>2352.44328596021</v>
      </c>
      <c r="AV87" s="48" t="n">
        <f aca="false">(AV83+AV59+AV86)*(AV$4&gt;In_COD)</f>
        <v>2351.19755696533</v>
      </c>
      <c r="AW87" s="48" t="n">
        <f aca="false">(AW83+AW59+AW86)*(AW$4&gt;In_COD)</f>
        <v>2374.82277977448</v>
      </c>
      <c r="AX87" s="48" t="n">
        <f aca="false">(AX83+AX59+AX86)*(AX$4&gt;In_COD)</f>
        <v>2366.09062519592</v>
      </c>
      <c r="AY87" s="48" t="n">
        <f aca="false">(AY83+AY59+AY86)*(AY$4&gt;In_COD)</f>
        <v>2327.84844830066</v>
      </c>
      <c r="AZ87" s="48" t="n">
        <f aca="false">(AZ83+AZ59+AZ86)*(AZ$4&gt;In_COD)</f>
        <v>2351.50863773742</v>
      </c>
      <c r="BA87" s="48" t="n">
        <f aca="false">(BA83+BA59+BA86)*(BA$4&gt;In_COD)</f>
        <v>2375.12918527047</v>
      </c>
      <c r="BB87" s="48" t="n">
        <f aca="false">(BB83+BB59+BB86)*(BB$4&gt;In_COD)</f>
        <v>2366.28511761265</v>
      </c>
      <c r="BC87" s="48" t="n">
        <f aca="false">(BC83+BC59+BC86)*(BC$4&gt;In_COD)</f>
        <v>2327.70521874594</v>
      </c>
      <c r="BD87" s="48" t="n">
        <f aca="false">(BD83+BD59+BD86)*(BD$4&gt;In_COD)</f>
        <v>2351.35653190589</v>
      </c>
      <c r="BE87" s="48" t="n">
        <f aca="false">(BE83+BE59+BE86)*(BE$4&gt;In_COD)</f>
        <v>2374.96737819019</v>
      </c>
      <c r="BF87" s="48" t="n">
        <f aca="false">(BF83+BF59+BF86)*(BF$4&gt;In_COD)</f>
        <v>2366.00840037899</v>
      </c>
      <c r="BG87" s="48" t="n">
        <f aca="false">(BG83+BG59+BG86)*(BG$4&gt;In_COD)</f>
        <v>2327.08540722962</v>
      </c>
      <c r="BH87" s="48" t="n">
        <f aca="false">(BH83+BH59+BH86)*(BH$4&gt;In_COD)</f>
        <v>2350.7226463134</v>
      </c>
      <c r="BI87" s="48" t="n">
        <f aca="false">(BI83+BI59+BI86)*(BI$4&gt;In_COD)</f>
        <v>2374.31856221191</v>
      </c>
      <c r="BJ87" s="48" t="n">
        <f aca="false">(BJ83+BJ59+BJ86)*(BJ$4&gt;In_COD)</f>
        <v>2365.24155349343</v>
      </c>
      <c r="BK87" s="48" t="n">
        <f aca="false">(BK83+BK59+BK86)*(BK$4&gt;In_COD)</f>
        <v>2351.08182022749</v>
      </c>
      <c r="BL87" s="48" t="n">
        <f aca="false">(BL83+BL59+BL86)*(BL$4&gt;In_COD)</f>
        <v>2349.56266575918</v>
      </c>
      <c r="BM87" s="48" t="n">
        <f aca="false">(BM83+BM59+BM86)*(BM$4&gt;In_COD)</f>
        <v>2373.13792336198</v>
      </c>
      <c r="BN87" s="48" t="n">
        <f aca="false">(BN83+BN59+BN86)*(BN$4&gt;In_COD)</f>
        <v>2363.93934249351</v>
      </c>
      <c r="BO87" s="48" t="n">
        <f aca="false">(BO83+BO59+BO86)*(BO$4&gt;In_COD)</f>
        <v>2324.31309828936</v>
      </c>
      <c r="BP87" s="48" t="n">
        <f aca="false">(BP83+BP59+BP86)*(BP$4&gt;In_COD)</f>
        <v>2347.90545194168</v>
      </c>
      <c r="BQ87" s="48" t="n">
        <f aca="false">(BQ83+BQ59+BQ86)*(BQ$4&gt;In_COD)</f>
        <v>2371.45466664646</v>
      </c>
      <c r="BR87" s="48" t="n">
        <f aca="false">(BR83+BR59+BR86)*(BR$4&gt;In_COD)</f>
        <v>2362.13140591839</v>
      </c>
      <c r="BS87" s="48" t="n">
        <f aca="false">(BS83+BS59+BS86)*(BS$4&gt;In_COD)</f>
        <v>2322.14494386462</v>
      </c>
      <c r="BT87" s="48" t="n">
        <f aca="false">(BT83+BT59+BT86)*(BT$4&gt;In_COD)</f>
        <v>2345.70632686462</v>
      </c>
      <c r="BU87" s="48" t="n">
        <f aca="false">(BU83+BU59+BU86)*(BU$4&gt;In_COD)</f>
        <v>2369.22361171327</v>
      </c>
      <c r="BV87" s="48" t="n">
        <f aca="false">(BV83+BV59+BV86)*(BV$4&gt;In_COD)</f>
        <v>2359.77214386853</v>
      </c>
      <c r="BW87" s="48" t="n">
        <f aca="false">(BW83+BW59+BW86)*(BW$4&gt;In_COD)</f>
        <v>2319.41940679569</v>
      </c>
      <c r="BX87" s="48" t="n">
        <f aca="false">(BX83+BX59+BX86)*(BX$4&gt;In_COD)</f>
        <v>2342.9437334944</v>
      </c>
      <c r="BY87" s="48" t="n">
        <f aca="false">(BY83+BY59+BY86)*(BY$4&gt;In_COD)</f>
        <v>2366.42296545085</v>
      </c>
      <c r="BZ87" s="48" t="n">
        <f aca="false">(BZ83+BZ59+BZ86)*(BZ$4&gt;In_COD)</f>
        <v>2356.83961539429</v>
      </c>
      <c r="CA87" s="48" t="n">
        <f aca="false">(CA83+CA59+CA86)*(CA$4&gt;In_COD)</f>
        <v>2341.41378949405</v>
      </c>
      <c r="CB87" s="48" t="n">
        <f aca="false">(CB83+CB59+CB86)*(CB$4&gt;In_COD)</f>
        <v>2339.57008741814</v>
      </c>
      <c r="CC87" s="48" t="n">
        <f aca="false">(CC83+CC59+CC86)*(CC$4&gt;In_COD)</f>
        <v>2363.0046082769</v>
      </c>
      <c r="CD87" s="48" t="n">
        <f aca="false">(CD83+CD59+CD86)*(CD$4&gt;In_COD)</f>
        <v>2353.28525297069</v>
      </c>
      <c r="CE87" s="48" t="n">
        <f aca="false">(CE83+CE59+CE86)*(CE$4&gt;In_COD)</f>
        <v>2312.18073577131</v>
      </c>
      <c r="CF87" s="48" t="n">
        <f aca="false">(CF83+CF59+CF86)*(CF$4&gt;In_COD)</f>
        <v>2335.61140957349</v>
      </c>
      <c r="CG87" s="48" t="n">
        <f aca="false">(CG83+CG59+CG86)*(CG$4&gt;In_COD)</f>
        <v>2358.99487299895</v>
      </c>
      <c r="CH87" s="48" t="n">
        <f aca="false">(CH83+CH59+CH86)*(CH$4&gt;In_COD)</f>
        <v>2349.1358007336</v>
      </c>
      <c r="CI87" s="48" t="n">
        <f aca="false">(CI83+CI59+CI86)*(CI$4&gt;In_COD)</f>
        <v>2307.64566097736</v>
      </c>
      <c r="CJ87" s="48" t="n">
        <f aca="false">(CJ83+CJ59+CJ86)*(CJ$4&gt;In_COD)</f>
        <v>2331.01950888561</v>
      </c>
      <c r="CK87" s="48" t="n">
        <f aca="false">(CK83+CK59+CK86)*(CK$4&gt;In_COD)</f>
        <v>2354.3450270456</v>
      </c>
      <c r="CL87" s="48" t="n">
        <f aca="false">(CL83+CL59+CL86)*(CL$4&gt;In_COD)</f>
        <v>2344.34207680657</v>
      </c>
      <c r="CM87" s="48" t="n">
        <f aca="false">(CM83+CM59+CM86)*(CM$4&gt;In_COD)</f>
        <v>2302.4594554124</v>
      </c>
      <c r="CN87" s="48" t="n">
        <f aca="false">(CN83+CN59+CN86)*(CN$4&gt;In_COD)</f>
        <v>2325.76935955757</v>
      </c>
      <c r="CO87" s="48" t="n">
        <f aca="false">(CO83+CO59+CO86)*(CO$4&gt;In_COD)</f>
        <v>2349.02976994262</v>
      </c>
      <c r="CP87" s="48" t="n">
        <f aca="false">(CP83+CP59+CP86)*(CP$4&gt;In_COD)</f>
        <v>2338.87860391204</v>
      </c>
      <c r="CQ87" s="48" t="n">
        <f aca="false">(CQ83+CQ59+CQ86)*(CQ$4&gt;In_COD)</f>
        <v>2322.03871597575</v>
      </c>
      <c r="CR87" s="48" t="n">
        <f aca="false">(CR83+CR59+CR86)*(CR$4&gt;In_COD)</f>
        <v>2319.80962609625</v>
      </c>
      <c r="CS87" s="48" t="n">
        <f aca="false">(CS83+CS59+CS86)*(CS$4&gt;In_COD)</f>
        <v>2342.99718921297</v>
      </c>
      <c r="CT87" s="48" t="n">
        <f aca="false">(CT83+CT59+CT86)*(CT$4&gt;In_COD)</f>
        <v>2332.6929896636</v>
      </c>
      <c r="CU87" s="48" t="n">
        <f aca="false">(CU83+CU59+CU86)*(CU$4&gt;In_COD)</f>
        <v>2292.32821604218</v>
      </c>
      <c r="CV87" s="48" t="n">
        <f aca="false">(CV83+CV59+CV86)*(CV$4&gt;In_COD)</f>
        <v>2317.79852955376</v>
      </c>
      <c r="CW87" s="48" t="n">
        <f aca="false">(CW83+CW59+CW86)*(CW$4&gt;In_COD)</f>
        <v>2343.26884306534</v>
      </c>
      <c r="CX87" s="48" t="n">
        <f aca="false">(CX83+CX59+CX86)*(CX$4&gt;In_COD)</f>
        <v>2335.22280421056</v>
      </c>
      <c r="CY87" s="48" t="n">
        <f aca="false">(CY83+CY59+CY86)*(CY$4&gt;In_COD)</f>
        <v>2294.55441353347</v>
      </c>
      <c r="CZ87" s="48" t="n">
        <f aca="false">(CZ83+CZ59+CZ86)*(CZ$4&gt;In_COD)</f>
        <v>2320.04946257273</v>
      </c>
      <c r="DA87" s="48" t="n">
        <f aca="false">(DA83+DA59+DA86)*(DA$4&gt;In_COD)</f>
        <v>2345.54451161199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2118.45498318409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466</v>
      </c>
      <c r="D88" s="11" t="s">
        <v>33</v>
      </c>
      <c r="E88" s="48" t="n">
        <f aca="false">SUMPRODUCT($J88:$EO88/$J22:$EO22)*$E22</f>
        <v>92596.2536856071</v>
      </c>
      <c r="I88" s="48" t="n">
        <f aca="false">SUM(J88:EO88)</f>
        <v>140909.597191023</v>
      </c>
      <c r="J88" s="48" t="n">
        <f aca="false">J87/In_DSCR*J18</f>
        <v>-0</v>
      </c>
      <c r="K88" s="48" t="n">
        <f aca="false">K87/In_DSCR*K18</f>
        <v>-0</v>
      </c>
      <c r="L88" s="48" t="n">
        <f aca="false">L87/In_DSCR*L18</f>
        <v>-0</v>
      </c>
      <c r="M88" s="48" t="n">
        <f aca="false">M87/In_DSCR*M18</f>
        <v>-0</v>
      </c>
      <c r="N88" s="48" t="n">
        <f aca="false">N87/In_DSCR*N18</f>
        <v>-0</v>
      </c>
      <c r="O88" s="48" t="n">
        <f aca="false">O87/In_DSCR*O18</f>
        <v>-0</v>
      </c>
      <c r="P88" s="48" t="n">
        <f aca="false">P87/In_DSCR*P18</f>
        <v>-0</v>
      </c>
      <c r="Q88" s="48" t="n">
        <f aca="false">Q87/In_DSCR*Q18</f>
        <v>-0</v>
      </c>
      <c r="R88" s="48" t="n">
        <f aca="false">R87/In_DSCR*R18</f>
        <v>-0</v>
      </c>
      <c r="S88" s="48" t="n">
        <f aca="false">S87/In_DSCR*S18</f>
        <v>-0</v>
      </c>
      <c r="T88" s="48" t="n">
        <f aca="false">T87/In_DSCR*T18</f>
        <v>-0</v>
      </c>
      <c r="U88" s="48" t="n">
        <f aca="false">U87/In_DSCR*U18</f>
        <v>-0</v>
      </c>
      <c r="V88" s="48" t="n">
        <f aca="false">V87/In_DSCR*V18</f>
        <v>-0</v>
      </c>
      <c r="W88" s="48" t="n">
        <f aca="false">W87/In_DSCR*W18</f>
        <v>-0</v>
      </c>
      <c r="X88" s="48" t="n">
        <f aca="false">X87/In_DSCR*X18</f>
        <v>-0</v>
      </c>
      <c r="Y88" s="48" t="n">
        <f aca="false">Y87/In_DSCR*Y18</f>
        <v>-0</v>
      </c>
      <c r="Z88" s="48" t="n">
        <f aca="false">Z87/In_DSCR*Z18</f>
        <v>1953.67359781959</v>
      </c>
      <c r="AA88" s="48" t="n">
        <f aca="false">AA87/In_DSCR*AA18</f>
        <v>1924.00959071085</v>
      </c>
      <c r="AB88" s="48" t="n">
        <f aca="false">AB87/In_DSCR*AB18</f>
        <v>1944.49234430153</v>
      </c>
      <c r="AC88" s="48" t="n">
        <f aca="false">AC87/In_DSCR*AC18</f>
        <v>1964.96005583013</v>
      </c>
      <c r="AD88" s="48" t="n">
        <f aca="false">AD87/In_DSCR*AD18</f>
        <v>1958.01079776314</v>
      </c>
      <c r="AE88" s="48" t="n">
        <f aca="false">AE87/In_DSCR*AE18</f>
        <v>1949.02434163588</v>
      </c>
      <c r="AF88" s="48" t="n">
        <f aca="false">AF87/In_DSCR*AF18</f>
        <v>1948.6046617174</v>
      </c>
      <c r="AG88" s="48" t="n">
        <f aca="false">AG87/In_DSCR*AG18</f>
        <v>1969.11300974867</v>
      </c>
      <c r="AH88" s="48" t="n">
        <f aca="false">AH87/In_DSCR*AH18</f>
        <v>1962.09925940581</v>
      </c>
      <c r="AI88" s="48" t="n">
        <f aca="false">AI87/In_DSCR*AI18</f>
        <v>1931.92100709525</v>
      </c>
      <c r="AJ88" s="48" t="n">
        <f aca="false">AJ87/In_DSCR*AJ18</f>
        <v>1978.04042401314</v>
      </c>
      <c r="AK88" s="48" t="n">
        <f aca="false">AK87/In_DSCR*AK18</f>
        <v>1998.85494620836</v>
      </c>
      <c r="AL88" s="48" t="n">
        <f aca="false">AL87/In_DSCR*AL18</f>
        <v>1969.06759076924</v>
      </c>
      <c r="AM88" s="48" t="n">
        <f aca="false">AM87/In_DSCR*AM18</f>
        <v>1938.01803286543</v>
      </c>
      <c r="AN88" s="48" t="n">
        <f aca="false">AN87/In_DSCR*AN18</f>
        <v>1957.73292486343</v>
      </c>
      <c r="AO88" s="48" t="n">
        <f aca="false">AO87/In_DSCR*AO18</f>
        <v>1977.41670112815</v>
      </c>
      <c r="AP88" s="48" t="n">
        <f aca="false">AP87/In_DSCR*AP18</f>
        <v>1970.31954424684</v>
      </c>
      <c r="AQ88" s="48" t="n">
        <f aca="false">AQ87/In_DSCR*AQ18</f>
        <v>1939.00123643237</v>
      </c>
      <c r="AR88" s="48" t="n">
        <f aca="false">AR87/In_DSCR*AR18</f>
        <v>1958.72075134683</v>
      </c>
      <c r="AS88" s="48" t="n">
        <f aca="false">AS87/In_DSCR*AS18</f>
        <v>1978.40853497319</v>
      </c>
      <c r="AT88" s="48" t="n">
        <f aca="false">AT87/In_DSCR*AT18</f>
        <v>1971.22283112029</v>
      </c>
      <c r="AU88" s="48" t="n">
        <f aca="false">AU87/In_DSCR*AU18</f>
        <v>1960.36940496685</v>
      </c>
      <c r="AV88" s="48" t="n">
        <f aca="false">AV87/In_DSCR*AV18</f>
        <v>1959.33129747111</v>
      </c>
      <c r="AW88" s="48" t="n">
        <f aca="false">AW87/In_DSCR*AW18</f>
        <v>1979.0189831454</v>
      </c>
      <c r="AX88" s="48" t="n">
        <f aca="false">AX87/In_DSCR*AX18</f>
        <v>1971.74218766327</v>
      </c>
      <c r="AY88" s="48" t="n">
        <f aca="false">AY87/In_DSCR*AY18</f>
        <v>1939.87370691722</v>
      </c>
      <c r="AZ88" s="48" t="n">
        <f aca="false">AZ87/In_DSCR*AZ18</f>
        <v>1959.59053144785</v>
      </c>
      <c r="BA88" s="48" t="n">
        <f aca="false">BA87/In_DSCR*BA18</f>
        <v>1979.27432105872</v>
      </c>
      <c r="BB88" s="48" t="n">
        <f aca="false">BB87/In_DSCR*BB18</f>
        <v>1971.90426467721</v>
      </c>
      <c r="BC88" s="48" t="n">
        <f aca="false">BC87/In_DSCR*BC18</f>
        <v>1939.75434895495</v>
      </c>
      <c r="BD88" s="48" t="n">
        <f aca="false">BD87/In_DSCR*BD18</f>
        <v>1959.46377658824</v>
      </c>
      <c r="BE88" s="48" t="n">
        <f aca="false">BE87/In_DSCR*BE18</f>
        <v>1979.13948182516</v>
      </c>
      <c r="BF88" s="48" t="n">
        <f aca="false">BF87/In_DSCR*BF18</f>
        <v>1971.67366698249</v>
      </c>
      <c r="BG88" s="48" t="n">
        <f aca="false">BG87/In_DSCR*BG18</f>
        <v>1939.23783935801</v>
      </c>
      <c r="BH88" s="48" t="n">
        <f aca="false">BH87/In_DSCR*BH18</f>
        <v>1958.9355385945</v>
      </c>
      <c r="BI88" s="48" t="n">
        <f aca="false">BI87/In_DSCR*BI18</f>
        <v>1978.59880184325</v>
      </c>
      <c r="BJ88" s="48" t="n">
        <f aca="false">BJ87/In_DSCR*BJ18</f>
        <v>1971.0346279112</v>
      </c>
      <c r="BK88" s="48" t="n">
        <f aca="false">BK87/In_DSCR*BK18</f>
        <v>1959.23485018957</v>
      </c>
      <c r="BL88" s="48" t="n">
        <f aca="false">BL87/In_DSCR*BL18</f>
        <v>1957.96888813265</v>
      </c>
      <c r="BM88" s="48" t="n">
        <f aca="false">BM87/In_DSCR*BM18</f>
        <v>1977.61493613498</v>
      </c>
      <c r="BN88" s="48" t="n">
        <f aca="false">BN87/In_DSCR*BN18</f>
        <v>1969.94945207793</v>
      </c>
      <c r="BO88" s="48" t="n">
        <f aca="false">BO87/In_DSCR*BO18</f>
        <v>1936.9275819078</v>
      </c>
      <c r="BP88" s="48" t="n">
        <f aca="false">BP87/In_DSCR*BP18</f>
        <v>1956.58787661807</v>
      </c>
      <c r="BQ88" s="48" t="n">
        <f aca="false">BQ87/In_DSCR*BQ18</f>
        <v>1976.21222220539</v>
      </c>
      <c r="BR88" s="48" t="n">
        <f aca="false">BR87/In_DSCR*BR18</f>
        <v>1968.44283826533</v>
      </c>
      <c r="BS88" s="48" t="n">
        <f aca="false">BS87/In_DSCR*BS18</f>
        <v>1935.12078655385</v>
      </c>
      <c r="BT88" s="48" t="n">
        <f aca="false">BT87/In_DSCR*BT18</f>
        <v>1954.75527238718</v>
      </c>
      <c r="BU88" s="48" t="n">
        <f aca="false">BU87/In_DSCR*BU18</f>
        <v>1974.35300976106</v>
      </c>
      <c r="BV88" s="48" t="n">
        <f aca="false">BV87/In_DSCR*BV18</f>
        <v>1966.47678655711</v>
      </c>
      <c r="BW88" s="48" t="n">
        <f aca="false">BW87/In_DSCR*BW18</f>
        <v>1932.84950566307</v>
      </c>
      <c r="BX88" s="48" t="n">
        <f aca="false">BX87/In_DSCR*BX18</f>
        <v>1952.45311124533</v>
      </c>
      <c r="BY88" s="48" t="n">
        <f aca="false">BY87/In_DSCR*BY18</f>
        <v>1972.01913787571</v>
      </c>
      <c r="BZ88" s="48" t="n">
        <f aca="false">BZ87/In_DSCR*BZ18</f>
        <v>1964.03301282858</v>
      </c>
      <c r="CA88" s="48" t="n">
        <f aca="false">CA87/In_DSCR*CA18</f>
        <v>1951.17815791171</v>
      </c>
      <c r="CB88" s="48" t="n">
        <f aca="false">CB87/In_DSCR*CB18</f>
        <v>1949.64173951512</v>
      </c>
      <c r="CC88" s="48" t="n">
        <f aca="false">CC87/In_DSCR*CC18</f>
        <v>1969.17050689741</v>
      </c>
      <c r="CD88" s="48" t="n">
        <f aca="false">CD87/In_DSCR*CD18</f>
        <v>1961.07104414224</v>
      </c>
      <c r="CE88" s="48" t="n">
        <f aca="false">CE87/In_DSCR*CE18</f>
        <v>1926.81727980943</v>
      </c>
      <c r="CF88" s="48" t="n">
        <f aca="false">CF87/In_DSCR*CF18</f>
        <v>1946.34284131124</v>
      </c>
      <c r="CG88" s="48" t="n">
        <f aca="false">CG87/In_DSCR*CG18</f>
        <v>1965.82906083246</v>
      </c>
      <c r="CH88" s="48" t="n">
        <f aca="false">CH87/In_DSCR*CH18</f>
        <v>1957.613167278</v>
      </c>
      <c r="CI88" s="48" t="n">
        <f aca="false">CI87/In_DSCR*CI18</f>
        <v>1923.03805081447</v>
      </c>
      <c r="CJ88" s="48" t="n">
        <f aca="false">CJ87/In_DSCR*CJ18</f>
        <v>1942.51625740467</v>
      </c>
      <c r="CK88" s="48" t="n">
        <f aca="false">CK87/In_DSCR*CK18</f>
        <v>1961.95418920467</v>
      </c>
      <c r="CL88" s="48" t="n">
        <f aca="false">CL87/In_DSCR*CL18</f>
        <v>1953.61839733881</v>
      </c>
      <c r="CM88" s="48" t="n">
        <f aca="false">CM87/In_DSCR*CM18</f>
        <v>1918.71621284367</v>
      </c>
      <c r="CN88" s="48" t="n">
        <f aca="false">CN87/In_DSCR*CN18</f>
        <v>1938.14113296464</v>
      </c>
      <c r="CO88" s="48" t="n">
        <f aca="false">CO87/In_DSCR*CO18</f>
        <v>1957.52480828552</v>
      </c>
      <c r="CP88" s="48" t="n">
        <f aca="false">CP87/In_DSCR*CP18</f>
        <v>1949.06550326003</v>
      </c>
      <c r="CQ88" s="48" t="n">
        <f aca="false">CQ87/In_DSCR*CQ18</f>
        <v>1935.03226331313</v>
      </c>
      <c r="CR88" s="48" t="n">
        <f aca="false">CR87/In_DSCR*CR18</f>
        <v>1933.17468841354</v>
      </c>
      <c r="CS88" s="48" t="n">
        <f aca="false">CS87/In_DSCR*CS18</f>
        <v>1952.49765767748</v>
      </c>
      <c r="CT88" s="48" t="n">
        <f aca="false">CT87/In_DSCR*CT18</f>
        <v>0</v>
      </c>
      <c r="CU88" s="48" t="n">
        <f aca="false">CU87/In_DSCR*CU18</f>
        <v>0</v>
      </c>
      <c r="CV88" s="48" t="n">
        <f aca="false">CV87/In_DSCR*CV18</f>
        <v>0</v>
      </c>
      <c r="CW88" s="48" t="n">
        <f aca="false">CW87/In_DSCR*CW18</f>
        <v>0</v>
      </c>
      <c r="CX88" s="48" t="n">
        <f aca="false">CX87/In_DSCR*CX18</f>
        <v>0</v>
      </c>
      <c r="CY88" s="48" t="n">
        <f aca="false">CY87/In_DSCR*CY18</f>
        <v>0</v>
      </c>
      <c r="CZ88" s="48" t="n">
        <f aca="false">CZ87/In_DSCR*CZ18</f>
        <v>0</v>
      </c>
      <c r="DA88" s="48" t="n">
        <f aca="false">DA87/In_DSCR*DA18</f>
        <v>0</v>
      </c>
      <c r="DB88" s="48" t="n">
        <f aca="false">DB87/In_DSCR*DB18</f>
        <v>0</v>
      </c>
      <c r="DC88" s="48" t="n">
        <f aca="false">DC87/In_DSCR*DC18</f>
        <v>0</v>
      </c>
      <c r="DD88" s="48" t="n">
        <f aca="false">DD87/In_DSCR*DD18</f>
        <v>0</v>
      </c>
      <c r="DE88" s="48" t="n">
        <f aca="false">DE87/In_DSCR*DE18</f>
        <v>0</v>
      </c>
      <c r="DF88" s="48" t="n">
        <f aca="false">DF87/In_DSCR*DF18</f>
        <v>0</v>
      </c>
      <c r="DG88" s="48" t="n">
        <f aca="false">DG87/In_DSCR*DG18</f>
        <v>0</v>
      </c>
      <c r="DH88" s="48" t="n">
        <f aca="false">DH87/In_DSCR*DH18</f>
        <v>0</v>
      </c>
      <c r="DI88" s="48" t="n">
        <f aca="false">DI87/In_DSCR*DI18</f>
        <v>0</v>
      </c>
      <c r="DJ88" s="48" t="n">
        <f aca="false">DJ87/In_DSCR*DJ18</f>
        <v>0</v>
      </c>
      <c r="DK88" s="48" t="n">
        <f aca="false">DK87/In_DSCR*DK18</f>
        <v>0</v>
      </c>
      <c r="DL88" s="48" t="n">
        <f aca="false">DL87/In_DSCR*DL18</f>
        <v>0</v>
      </c>
      <c r="DM88" s="48" t="n">
        <f aca="false">DM87/In_DSCR*DM18</f>
        <v>0</v>
      </c>
      <c r="DN88" s="48" t="n">
        <f aca="false">DN87/In_DSCR*DN18</f>
        <v>0</v>
      </c>
      <c r="DO88" s="48" t="n">
        <f aca="false">DO87/In_DSCR*DO18</f>
        <v>0</v>
      </c>
      <c r="DP88" s="48" t="n">
        <f aca="false">DP87/In_DSCR*DP18</f>
        <v>0</v>
      </c>
      <c r="DQ88" s="48" t="n">
        <f aca="false">DQ87/In_DSCR*DQ18</f>
        <v>0</v>
      </c>
      <c r="DR88" s="48" t="n">
        <f aca="false">DR87/In_DSCR*DR18</f>
        <v>0</v>
      </c>
      <c r="DS88" s="48" t="n">
        <f aca="false">DS87/In_DSCR*DS18</f>
        <v>0</v>
      </c>
      <c r="DT88" s="48" t="n">
        <f aca="false">DT87/In_DSCR*DT18</f>
        <v>0</v>
      </c>
      <c r="DU88" s="48" t="n">
        <f aca="false">DU87/In_DSCR*DU18</f>
        <v>0</v>
      </c>
      <c r="DV88" s="48" t="n">
        <f aca="false">DV87/In_DSCR*DV18</f>
        <v>0</v>
      </c>
      <c r="DW88" s="48" t="n">
        <f aca="false">DW87/In_DSCR*DW18</f>
        <v>0</v>
      </c>
      <c r="DX88" s="48" t="n">
        <f aca="false">DX87/In_DSCR*DX18</f>
        <v>0</v>
      </c>
      <c r="DY88" s="48" t="n">
        <f aca="false">DY87/In_DSCR*DY18</f>
        <v>0</v>
      </c>
      <c r="DZ88" s="48" t="n">
        <f aca="false">DZ87/In_DSCR*DZ18</f>
        <v>0</v>
      </c>
      <c r="EA88" s="48" t="n">
        <f aca="false">EA87/In_DSCR*EA18</f>
        <v>0</v>
      </c>
      <c r="EB88" s="48" t="n">
        <f aca="false">EB87/In_DSCR*EB18</f>
        <v>0</v>
      </c>
      <c r="EC88" s="48" t="n">
        <f aca="false">EC87/In_DSCR*EC18</f>
        <v>0</v>
      </c>
      <c r="ED88" s="48" t="n">
        <f aca="false">ED87/In_DSCR*ED18</f>
        <v>0</v>
      </c>
      <c r="EE88" s="48" t="n">
        <f aca="false">EE87/In_DSCR*EE18</f>
        <v>0</v>
      </c>
      <c r="EF88" s="48" t="n">
        <f aca="false">EF87/In_DSCR*EF18</f>
        <v>0</v>
      </c>
      <c r="EG88" s="48" t="n">
        <f aca="false">EG87/In_DSCR*EG18</f>
        <v>0</v>
      </c>
      <c r="EH88" s="48" t="n">
        <f aca="false">EH87/In_DSCR*EH18</f>
        <v>0</v>
      </c>
      <c r="EI88" s="48" t="n">
        <f aca="false">EI87/In_DSCR*EI18</f>
        <v>0</v>
      </c>
      <c r="EJ88" s="48" t="n">
        <f aca="false">EJ87/In_DSCR*EJ18</f>
        <v>0</v>
      </c>
      <c r="EK88" s="48" t="n">
        <f aca="false">EK87/In_DSCR*EK18</f>
        <v>0</v>
      </c>
      <c r="EL88" s="48" t="n">
        <f aca="false">EL87/In_DSCR*EL18</f>
        <v>0</v>
      </c>
      <c r="EM88" s="48" t="n">
        <f aca="false">EM87/In_DSCR*EM18</f>
        <v>0</v>
      </c>
      <c r="EN88" s="48" t="n">
        <f aca="false">EN87/In_DSCR*EN18</f>
        <v>0</v>
      </c>
      <c r="EO88" s="48" t="n">
        <f aca="false">EO87/In_DSCR*EO18</f>
        <v>0</v>
      </c>
    </row>
    <row r="89" customFormat="false" ht="15" hidden="false" customHeight="false" outlineLevel="0" collapsed="false">
      <c r="C89" s="0" t="s">
        <v>467</v>
      </c>
      <c r="D89" s="11" t="s">
        <v>33</v>
      </c>
      <c r="E89" s="48" t="n">
        <f aca="false">IF(In_Debt_Mult&gt;0,In_Debt_Mult*$E83,$E88)</f>
        <v>92596.2536856071</v>
      </c>
    </row>
    <row r="90" customFormat="false" ht="15" hidden="false" customHeight="false" outlineLevel="0" collapsed="false">
      <c r="C90" s="25" t="s">
        <v>468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0.637774157168751</v>
      </c>
    </row>
    <row r="92" customFormat="false" ht="15" hidden="false" customHeight="false" outlineLevel="0" collapsed="false">
      <c r="A92" s="9" t="s">
        <v>13</v>
      </c>
      <c r="B92" s="9"/>
      <c r="C92" s="9" t="s">
        <v>349</v>
      </c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</row>
    <row r="93" customFormat="false" ht="15" hidden="false" customHeight="false" outlineLevel="0" collapsed="false">
      <c r="C93" s="0" t="s">
        <v>469</v>
      </c>
      <c r="D93" s="11" t="s">
        <v>33</v>
      </c>
      <c r="I93" s="48" t="n">
        <f aca="false">SUM(J93:EO93)</f>
        <v>-30813.0019341713</v>
      </c>
      <c r="J93" s="48" t="n">
        <f aca="false">-I99*$F22*(J$4&gt;In_COD)</f>
        <v>-0</v>
      </c>
      <c r="K93" s="48" t="n">
        <f aca="false">-J99*$F22*(K$4&gt;In_COD)</f>
        <v>-0</v>
      </c>
      <c r="L93" s="48" t="n">
        <f aca="false">-K99*$F22*(L$4&gt;In_COD)</f>
        <v>-0</v>
      </c>
      <c r="M93" s="48" t="n">
        <f aca="false">-L99*$F22*(M$4&gt;In_COD)</f>
        <v>-0</v>
      </c>
      <c r="N93" s="48" t="n">
        <f aca="false">-M99*$F22*(N$4&gt;In_COD)</f>
        <v>-0</v>
      </c>
      <c r="O93" s="48" t="n">
        <f aca="false">-N99*$F22*(O$4&gt;In_COD)</f>
        <v>-0</v>
      </c>
      <c r="P93" s="48" t="n">
        <f aca="false">-O99*$F22*(P$4&gt;In_COD)</f>
        <v>-0</v>
      </c>
      <c r="Q93" s="48" t="n">
        <f aca="false">-P99*$F22*(Q$4&gt;In_COD)</f>
        <v>-0</v>
      </c>
      <c r="R93" s="48" t="n">
        <f aca="false">-Q99*$F22*(R$4&gt;In_COD)</f>
        <v>-0</v>
      </c>
      <c r="S93" s="48" t="n">
        <f aca="false">-R99*$F22*(S$4&gt;In_COD)</f>
        <v>-0</v>
      </c>
      <c r="T93" s="48" t="n">
        <f aca="false">-S99*$F22*(T$4&gt;In_COD)</f>
        <v>-0</v>
      </c>
      <c r="U93" s="48" t="n">
        <f aca="false">-T99*$F22*(U$4&gt;In_COD)</f>
        <v>-0</v>
      </c>
      <c r="V93" s="48" t="n">
        <f aca="false">-U99*$F22*(V$4&gt;In_COD)</f>
        <v>-0</v>
      </c>
      <c r="W93" s="48" t="n">
        <f aca="false">-V99*$F22*(W$4&gt;In_COD)</f>
        <v>-0</v>
      </c>
      <c r="X93" s="48" t="n">
        <f aca="false">-W99*$F22*(X$4&gt;In_COD)</f>
        <v>-0</v>
      </c>
      <c r="Y93" s="48" t="n">
        <f aca="false">-X99*$F22*(Y$4&gt;In_COD)</f>
        <v>-0</v>
      </c>
      <c r="Z93" s="48" t="n">
        <f aca="false">-Y99*$F22*(Z$4&gt;In_COD)</f>
        <v>-738.193720641525</v>
      </c>
      <c r="AA93" s="48" t="n">
        <f aca="false">-Z99*$F22*(AA$4&gt;In_COD)</f>
        <v>-731.846110496641</v>
      </c>
      <c r="AB93" s="48" t="n">
        <f aca="false">-AA99*$F22*(AB$4&gt;In_COD)</f>
        <v>-725.655641939096</v>
      </c>
      <c r="AC93" s="48" t="n">
        <f aca="false">-AB99*$F22*(AC$4&gt;In_COD)</f>
        <v>-719.224500388235</v>
      </c>
      <c r="AD93" s="48" t="n">
        <f aca="false">-AC99*$F22*(AD$4&gt;In_COD)</f>
        <v>-712.549797349621</v>
      </c>
      <c r="AE93" s="48" t="n">
        <f aca="false">-AD99*$F22*(AE$4&gt;In_COD)</f>
        <v>-705.847061238108</v>
      </c>
      <c r="AF93" s="48" t="n">
        <f aca="false">-AE99*$F22*(AF$4&gt;In_COD)</f>
        <v>-699.132182543732</v>
      </c>
      <c r="AG93" s="48" t="n">
        <f aca="false">-AF99*$F22*(AG$4&gt;In_COD)</f>
        <v>-692.336713628254</v>
      </c>
      <c r="AH93" s="48" t="n">
        <f aca="false">-AG99*$F22*(AH$4&gt;In_COD)</f>
        <v>-685.292805171576</v>
      </c>
      <c r="AI93" s="48" t="n">
        <f aca="false">-AH99*$F22*(AI$4&gt;In_COD)</f>
        <v>-678.216762718109</v>
      </c>
      <c r="AJ93" s="48" t="n">
        <f aca="false">-AI99*$F22*(AJ$4&gt;In_COD)</f>
        <v>-671.292856101876</v>
      </c>
      <c r="AK93" s="48" t="n">
        <f aca="false">-AJ99*$F22*(AK$4&gt;In_COD)</f>
        <v>-663.914728499765</v>
      </c>
      <c r="AL93" s="48" t="n">
        <f aca="false">-AK99*$F22*(AL$4&gt;In_COD)</f>
        <v>-656.278437248255</v>
      </c>
      <c r="AM93" s="48" t="n">
        <f aca="false">-AL99*$F22*(AM$4&gt;In_COD)</f>
        <v>-648.784162424968</v>
      </c>
      <c r="AN93" s="48" t="n">
        <f aca="false">-AM99*$F22*(AN$4&gt;In_COD)</f>
        <v>-641.443741736673</v>
      </c>
      <c r="AO93" s="48" t="n">
        <f aca="false">-AN99*$F22*(AO$4&gt;In_COD)</f>
        <v>-633.854395181928</v>
      </c>
      <c r="AP93" s="48" t="n">
        <f aca="false">-AO99*$F22*(AP$4&gt;In_COD)</f>
        <v>-626.013259247534</v>
      </c>
      <c r="AQ93" s="48" t="n">
        <f aca="false">-AP99*$F22*(AQ$4&gt;In_COD)</f>
        <v>-618.130688904564</v>
      </c>
      <c r="AR93" s="48" t="n">
        <f aca="false">-AQ99*$F22*(AR$4&gt;In_COD)</f>
        <v>-610.399261524436</v>
      </c>
      <c r="AS93" s="48" t="n">
        <f aca="false">-AR99*$F22*(AS$4&gt;In_COD)</f>
        <v>-602.413983839502</v>
      </c>
      <c r="AT93" s="48" t="n">
        <f aca="false">-AS99*$F22*(AT$4&gt;In_COD)</f>
        <v>-594.171935688395</v>
      </c>
      <c r="AU93" s="48" t="n">
        <f aca="false">-AT99*$F22*(AU$4&gt;In_COD)</f>
        <v>-585.884147638131</v>
      </c>
      <c r="AV93" s="48" t="n">
        <f aca="false">-AU99*$F22*(AV$4&gt;In_COD)</f>
        <v>-577.579287671206</v>
      </c>
      <c r="AW93" s="48" t="n">
        <f aca="false">-AV99*$F22*(AW$4&gt;In_COD)</f>
        <v>-569.178892931359</v>
      </c>
      <c r="AX93" s="48" t="n">
        <f aca="false">-AW99*$F22*(AX$4&gt;In_COD)</f>
        <v>-560.516539543044</v>
      </c>
      <c r="AY93" s="48" t="n">
        <f aca="false">-AX99*$F22*(AY$4&gt;In_COD)</f>
        <v>-551.803918638695</v>
      </c>
      <c r="AZ93" s="48" t="n">
        <f aca="false">-AY99*$F22*(AZ$4&gt;In_COD)</f>
        <v>-543.236451141141</v>
      </c>
      <c r="BA93" s="48" t="n">
        <f aca="false">-AZ99*$F22*(BA$4&gt;In_COD)</f>
        <v>-534.404704285531</v>
      </c>
      <c r="BB93" s="48" t="n">
        <f aca="false">-BA99*$F22*(BB$4&gt;In_COD)</f>
        <v>-525.305637940112</v>
      </c>
      <c r="BC93" s="48" t="n">
        <f aca="false">-BB99*$F22*(BC$4&gt;In_COD)</f>
        <v>-516.151588659089</v>
      </c>
      <c r="BD93" s="48" t="n">
        <f aca="false">-BC99*$F22*(BD$4&gt;In_COD)</f>
        <v>-507.139418579588</v>
      </c>
      <c r="BE93" s="48" t="n">
        <f aca="false">-BD99*$F22*(BE$4&gt;In_COD)</f>
        <v>-497.85746932913</v>
      </c>
      <c r="BF93" s="48" t="n">
        <f aca="false">-BE99*$F22*(BF$4&gt;In_COD)</f>
        <v>-488.302637508988</v>
      </c>
      <c r="BG93" s="48" t="n">
        <f aca="false">-BF99*$F22*(BG$4&gt;In_COD)</f>
        <v>-478.687889088206</v>
      </c>
      <c r="BH93" s="48" t="n">
        <f aca="false">-BG99*$F22*(BH$4&gt;In_COD)</f>
        <v>-469.21154046998</v>
      </c>
      <c r="BI93" s="48" t="n">
        <f aca="false">-BH99*$F22*(BI$4&gt;In_COD)</f>
        <v>-459.459703949917</v>
      </c>
      <c r="BJ93" s="48" t="n">
        <f aca="false">-BI99*$F22*(BJ$4&gt;In_COD)</f>
        <v>-449.429210459032</v>
      </c>
      <c r="BK93" s="48" t="n">
        <f aca="false">-BJ99*$F22*(BK$4&gt;In_COD)</f>
        <v>-439.333638732689</v>
      </c>
      <c r="BL93" s="48" t="n">
        <f aca="false">-BK99*$F22*(BL$4&gt;In_COD)</f>
        <v>-429.205942275906</v>
      </c>
      <c r="BM93" s="48" t="n">
        <f aca="false">-BL99*$F22*(BM$4&gt;In_COD)</f>
        <v>-418.961742086962</v>
      </c>
      <c r="BN93" s="48" t="n">
        <f aca="false">-BM99*$F22*(BN$4&gt;In_COD)</f>
        <v>-408.432867624326</v>
      </c>
      <c r="BO93" s="48" t="n">
        <f aca="false">-BN99*$F22*(BO$4&gt;In_COD)</f>
        <v>-397.83349282633</v>
      </c>
      <c r="BP93" s="48" t="n">
        <f aca="false">-BO99*$F22*(BP$4&gt;In_COD)</f>
        <v>-387.364882036057</v>
      </c>
      <c r="BQ93" s="48" t="n">
        <f aca="false">-BP99*$F22*(BQ$4&gt;In_COD)</f>
        <v>-376.608678262299</v>
      </c>
      <c r="BR93" s="48" t="n">
        <f aca="false">-BQ99*$F22*(BR$4&gt;In_COD)</f>
        <v>-365.561573185533</v>
      </c>
      <c r="BS93" s="48" t="n">
        <f aca="false">-BR99*$F22*(BS$4&gt;In_COD)</f>
        <v>-354.438318198983</v>
      </c>
      <c r="BT93" s="48" t="n">
        <f aca="false">-BS99*$F22*(BT$4&gt;In_COD)</f>
        <v>-343.441671818169</v>
      </c>
      <c r="BU93" s="48" t="n">
        <f aca="false">-BT99*$F22*(BU$4&gt;In_COD)</f>
        <v>-332.151037761922</v>
      </c>
      <c r="BV93" s="48" t="n">
        <f aca="false">-BU99*$F22*(BV$4&gt;In_COD)</f>
        <v>-320.563034149522</v>
      </c>
      <c r="BW93" s="48" t="n">
        <f aca="false">-BV99*$F22*(BW$4&gt;In_COD)</f>
        <v>-308.892971137161</v>
      </c>
      <c r="BX93" s="48" t="n">
        <f aca="false">-BW99*$F22*(BX$4&gt;In_COD)</f>
        <v>-297.345114971272</v>
      </c>
      <c r="BY93" s="48" t="n">
        <f aca="false">-BX99*$F22*(BY$4&gt;In_COD)</f>
        <v>-285.496627190463</v>
      </c>
      <c r="BZ93" s="48" t="n">
        <f aca="false">-BY99*$F22*(BZ$4&gt;In_COD)</f>
        <v>-273.344049485602</v>
      </c>
      <c r="CA93" s="48" t="n">
        <f aca="false">-BZ99*$F22*(CA$4&gt;In_COD)</f>
        <v>-261.103231361567</v>
      </c>
      <c r="CB93" s="48" t="n">
        <f aca="false">-CA99*$F22*(CB$4&gt;In_COD)</f>
        <v>-248.811884189234</v>
      </c>
      <c r="CC93" s="48" t="n">
        <f aca="false">-CB99*$F22*(CC$4&gt;In_COD)</f>
        <v>-236.379143776596</v>
      </c>
      <c r="CD93" s="48" t="n">
        <f aca="false">-CC99*$F22*(CD$4&gt;In_COD)</f>
        <v>-223.635307319328</v>
      </c>
      <c r="CE93" s="48" t="n">
        <f aca="false">-CD99*$F22*(CE$4&gt;In_COD)</f>
        <v>-210.796743256746</v>
      </c>
      <c r="CF93" s="48" t="n">
        <f aca="false">-CE99*$F22*(CF$4&gt;In_COD)</f>
        <v>-198.070774214348</v>
      </c>
      <c r="CG93" s="48" t="n">
        <f aca="false">-CF99*$F22*(CG$4&gt;In_COD)</f>
        <v>-185.030069327293</v>
      </c>
      <c r="CH93" s="48" t="n">
        <f aca="false">-CG99*$F22*(CH$4&gt;In_COD)</f>
        <v>-171.671008038756</v>
      </c>
      <c r="CI93" s="48" t="n">
        <f aca="false">-CH99*$F22*(CI$4&gt;In_COD)</f>
        <v>-158.210457041451</v>
      </c>
      <c r="CJ93" s="48" t="n">
        <f aca="false">-CI99*$F22*(CJ$4&gt;In_COD)</f>
        <v>-144.857288103699</v>
      </c>
      <c r="CK93" s="48" t="n">
        <f aca="false">-CJ99*$F22*(CK$4&gt;In_COD)</f>
        <v>-131.181920844334</v>
      </c>
      <c r="CL93" s="48" t="n">
        <f aca="false">-CK99*$F22*(CL$4&gt;In_COD)</f>
        <v>-117.180648862092</v>
      </c>
      <c r="CM93" s="48" t="n">
        <f aca="false">-CL99*$F22*(CM$4&gt;In_COD)</f>
        <v>-103.070815387966</v>
      </c>
      <c r="CN93" s="48" t="n">
        <f aca="false">-CM99*$F22*(CN$4&gt;In_COD)</f>
        <v>-89.0628553866611</v>
      </c>
      <c r="CO93" s="48" t="n">
        <f aca="false">-CN99*$F22*(CO$4&gt;In_COD)</f>
        <v>-74.7249369846117</v>
      </c>
      <c r="CP93" s="48" t="n">
        <f aca="false">-CO99*$F22*(CP$4&gt;In_COD)</f>
        <v>-60.0532645126541</v>
      </c>
      <c r="CQ93" s="48" t="n">
        <f aca="false">-CP99*$F22*(CQ$4&gt;In_COD)</f>
        <v>-45.2656352114579</v>
      </c>
      <c r="CR93" s="48" t="n">
        <f aca="false">-CQ99*$F22*(CR$4&gt;In_COD)</f>
        <v>-30.4050360162402</v>
      </c>
      <c r="CS93" s="48" t="n">
        <f aca="false">-CR99*$F22*(CS$4&gt;In_COD)</f>
        <v>-15.3734882469069</v>
      </c>
      <c r="CT93" s="48" t="n">
        <f aca="false">-CS99*$F22*(CT$4&gt;In_COD)</f>
        <v>-3.0041746867937E-012</v>
      </c>
      <c r="CU93" s="48" t="n">
        <f aca="false">-CT99*$F22*(CU$4&gt;In_COD)</f>
        <v>-3.04172687037863E-012</v>
      </c>
      <c r="CV93" s="48" t="n">
        <f aca="false">-CU99*$F22*(CV$4&gt;In_COD)</f>
        <v>-3.07974845625836E-012</v>
      </c>
      <c r="CW93" s="48" t="n">
        <f aca="false">-CV99*$F22*(CW$4&gt;In_COD)</f>
        <v>-3.11824531196159E-012</v>
      </c>
      <c r="CX93" s="48" t="n">
        <f aca="false">-CW99*$F22*(CX$4&gt;In_COD)</f>
        <v>-3.15722337836111E-012</v>
      </c>
      <c r="CY93" s="48" t="n">
        <f aca="false">-CX99*$F22*(CY$4&gt;In_COD)</f>
        <v>-3.19668867059062E-012</v>
      </c>
      <c r="CZ93" s="48" t="n">
        <f aca="false">-CY99*$F22*(CZ$4&gt;In_COD)</f>
        <v>-3.236647278973E-012</v>
      </c>
      <c r="DA93" s="48" t="n">
        <f aca="false">-CZ99*$F22*(DA$4&gt;In_COD)</f>
        <v>-3.27710536996017E-012</v>
      </c>
      <c r="DB93" s="48" t="n">
        <f aca="false">-DA99*$F22*(DB$4&gt;In_COD)</f>
        <v>-3.31806918708467E-012</v>
      </c>
      <c r="DC93" s="48" t="n">
        <f aca="false">-DB99*$F22*(DC$4&gt;In_COD)</f>
        <v>-3.35954505192323E-012</v>
      </c>
      <c r="DD93" s="48" t="n">
        <f aca="false">-DC99*$F22*(DD$4&gt;In_COD)</f>
        <v>-3.40153936507227E-012</v>
      </c>
      <c r="DE93" s="48" t="n">
        <f aca="false">-DD99*$F22*(DE$4&gt;In_COD)</f>
        <v>-3.44405860713567E-012</v>
      </c>
      <c r="DF93" s="48" t="n">
        <f aca="false">-DE99*$F22*(DF$4&gt;In_COD)</f>
        <v>-3.48710933972487E-012</v>
      </c>
      <c r="DG93" s="48" t="n">
        <f aca="false">-DF99*$F22*(DG$4&gt;In_COD)</f>
        <v>-3.53069820647143E-012</v>
      </c>
      <c r="DH93" s="48" t="n">
        <f aca="false">-DG99*$F22*(DH$4&gt;In_COD)</f>
        <v>-3.57483193405232E-012</v>
      </c>
      <c r="DI93" s="48" t="n">
        <f aca="false">-DH99*$F22*(DI$4&gt;In_COD)</f>
        <v>-3.61951733322797E-012</v>
      </c>
      <c r="DJ93" s="48" t="n">
        <f aca="false">-DI99*$F22*(DJ$4&gt;In_COD)</f>
        <v>-3.66476129989332E-012</v>
      </c>
      <c r="DK93" s="48" t="n">
        <f aca="false">-DJ99*$F22*(DK$4&gt;In_COD)</f>
        <v>-3.71057081614199E-012</v>
      </c>
      <c r="DL93" s="48" t="n">
        <f aca="false">-DK99*$F22*(DL$4&gt;In_COD)</f>
        <v>-3.75695295134377E-012</v>
      </c>
      <c r="DM93" s="48" t="n">
        <f aca="false">-DL99*$F22*(DM$4&gt;In_COD)</f>
        <v>-3.80391486323556E-012</v>
      </c>
      <c r="DN93" s="48" t="n">
        <f aca="false">-DM99*$F22*(DN$4&gt;In_COD)</f>
        <v>-3.85146379902601E-012</v>
      </c>
      <c r="DO93" s="48" t="n">
        <f aca="false">-DN99*$F22*(DO$4&gt;In_COD)</f>
        <v>-3.89960709651383E-012</v>
      </c>
      <c r="DP93" s="48" t="n">
        <f aca="false">-DO99*$F22*(DP$4&gt;In_COD)</f>
        <v>-3.94835218522025E-012</v>
      </c>
      <c r="DQ93" s="48" t="n">
        <f aca="false">-DP99*$F22*(DQ$4&gt;In_COD)</f>
        <v>-3.99770658753551E-012</v>
      </c>
      <c r="DR93" s="48" t="n">
        <f aca="false">-DQ99*$F22*(DR$4&gt;In_COD)</f>
        <v>-4.0476779198797E-012</v>
      </c>
      <c r="DS93" s="48" t="n">
        <f aca="false">-DR99*$F22*(DS$4&gt;In_COD)</f>
        <v>-4.0982738938782E-012</v>
      </c>
      <c r="DT93" s="48" t="n">
        <f aca="false">-DS99*$F22*(DT$4&gt;In_COD)</f>
        <v>-4.14950231755168E-012</v>
      </c>
      <c r="DU93" s="48" t="n">
        <f aca="false">-DT99*$F22*(DU$4&gt;In_COD)</f>
        <v>-4.20137109652107E-012</v>
      </c>
      <c r="DV93" s="48" t="n">
        <f aca="false">-DU99*$F22*(DV$4&gt;In_COD)</f>
        <v>-4.25388823522759E-012</v>
      </c>
      <c r="DW93" s="48" t="n">
        <f aca="false">-DV99*$F22*(DW$4&gt;In_COD)</f>
        <v>-4.30706183816793E-012</v>
      </c>
      <c r="DX93" s="48" t="n">
        <f aca="false">-DW99*$F22*(DX$4&gt;In_COD)</f>
        <v>-4.36090011114503E-012</v>
      </c>
      <c r="DY93" s="48" t="n">
        <f aca="false">-DX99*$F22*(DY$4&gt;In_COD)</f>
        <v>-4.41541136253434E-012</v>
      </c>
      <c r="DZ93" s="48" t="n">
        <f aca="false">-DY99*$F22*(DZ$4&gt;In_COD)</f>
        <v>-4.47060400456602E-012</v>
      </c>
      <c r="EA93" s="48" t="n">
        <f aca="false">-DZ99*$F22*(EA$4&gt;In_COD)</f>
        <v>-4.5264865546231E-012</v>
      </c>
      <c r="EB93" s="48" t="n">
        <f aca="false">-EA99*$F22*(EB$4&gt;In_COD)</f>
        <v>-4.58306763655589E-012</v>
      </c>
      <c r="EC93" s="48" t="n">
        <f aca="false">-EB99*$F22*(EC$4&gt;In_COD)</f>
        <v>-4.64035598201284E-012</v>
      </c>
      <c r="ED93" s="48" t="n">
        <f aca="false">-EC99*$F22*(ED$4&gt;In_COD)</f>
        <v>-4.698360431788E-012</v>
      </c>
      <c r="EE93" s="48" t="n">
        <f aca="false">-ED99*$F22*(EE$4&gt;In_COD)</f>
        <v>-4.75708993718535E-012</v>
      </c>
      <c r="EF93" s="48" t="n">
        <f aca="false">-EE99*$F22*(EF$4&gt;In_COD)</f>
        <v>-4.81655356140016E-012</v>
      </c>
      <c r="EG93" s="48" t="n">
        <f aca="false">-EF99*$F22*(EG$4&gt;In_COD)</f>
        <v>-4.87676048091766E-012</v>
      </c>
      <c r="EH93" s="48" t="n">
        <f aca="false">-EG99*$F22*(EH$4&gt;In_COD)</f>
        <v>-4.93771998692913E-012</v>
      </c>
      <c r="EI93" s="48" t="n">
        <f aca="false">-EH99*$F22*(EI$4&gt;In_COD)</f>
        <v>-4.99944148676575E-012</v>
      </c>
      <c r="EJ93" s="48" t="n">
        <f aca="false">-EI99*$F22*(EJ$4&gt;In_COD)</f>
        <v>-5.06193450535032E-012</v>
      </c>
      <c r="EK93" s="48" t="n">
        <f aca="false">-EJ99*$F22*(EK$4&gt;In_COD)</f>
        <v>-5.1252086866672E-012</v>
      </c>
      <c r="EL93" s="48" t="n">
        <f aca="false">-EK99*$F22*(EL$4&gt;In_COD)</f>
        <v>-5.18927379525054E-012</v>
      </c>
      <c r="EM93" s="48" t="n">
        <f aca="false">-EL99*$F22*(EM$4&gt;In_COD)</f>
        <v>-5.25413971769117E-012</v>
      </c>
      <c r="EN93" s="48" t="n">
        <f aca="false">-EM99*$F22*(EN$4&gt;In_COD)</f>
        <v>-5.31981646416231E-012</v>
      </c>
      <c r="EO93" s="48" t="n">
        <f aca="false">-EN99*$F22*(EO$4&gt;In_COD)</f>
        <v>-5.38631416996434E-012</v>
      </c>
    </row>
    <row r="94" customFormat="false" ht="15" hidden="false" customHeight="false" outlineLevel="0" collapsed="false">
      <c r="C94" s="0" t="s">
        <v>470</v>
      </c>
      <c r="D94" s="11" t="s">
        <v>33</v>
      </c>
      <c r="I94" s="48" t="n">
        <f aca="false">SUM(J94:EO94)</f>
        <v>-89868.4995854928</v>
      </c>
      <c r="J94" s="48" t="n">
        <f aca="false">-J88*$F90</f>
        <v>0</v>
      </c>
      <c r="K94" s="48" t="n">
        <f aca="false">-K88*$F90</f>
        <v>0</v>
      </c>
      <c r="L94" s="48" t="n">
        <f aca="false">-L88*$F90</f>
        <v>0</v>
      </c>
      <c r="M94" s="48" t="n">
        <f aca="false">-M88*$F90</f>
        <v>0</v>
      </c>
      <c r="N94" s="48" t="n">
        <f aca="false">-N88*$F90</f>
        <v>0</v>
      </c>
      <c r="O94" s="48" t="n">
        <f aca="false">-O88*$F90</f>
        <v>0</v>
      </c>
      <c r="P94" s="48" t="n">
        <f aca="false">-P88*$F90</f>
        <v>0</v>
      </c>
      <c r="Q94" s="48" t="n">
        <f aca="false">-Q88*$F90</f>
        <v>0</v>
      </c>
      <c r="R94" s="48" t="n">
        <f aca="false">-R88*$F90</f>
        <v>0</v>
      </c>
      <c r="S94" s="48" t="n">
        <f aca="false">-S88*$F90</f>
        <v>0</v>
      </c>
      <c r="T94" s="48" t="n">
        <f aca="false">-T88*$F90</f>
        <v>0</v>
      </c>
      <c r="U94" s="48" t="n">
        <f aca="false">-U88*$F90</f>
        <v>0</v>
      </c>
      <c r="V94" s="48" t="n">
        <f aca="false">-V88*$F90</f>
        <v>0</v>
      </c>
      <c r="W94" s="48" t="n">
        <f aca="false">-W88*$F90</f>
        <v>0</v>
      </c>
      <c r="X94" s="48" t="n">
        <f aca="false">-X88*$F90</f>
        <v>0</v>
      </c>
      <c r="Y94" s="48" t="n">
        <f aca="false">-Y88*$F90</f>
        <v>0</v>
      </c>
      <c r="Z94" s="48" t="n">
        <f aca="false">-Z88*$F90</f>
        <v>-1246.00253223223</v>
      </c>
      <c r="AA94" s="48" t="n">
        <f aca="false">-AA88*$F90</f>
        <v>-1227.0835951002</v>
      </c>
      <c r="AB94" s="48" t="n">
        <f aca="false">-AB88*$F90</f>
        <v>-1240.146966008</v>
      </c>
      <c r="AC94" s="48" t="n">
        <f aca="false">-AC88*$F90</f>
        <v>-1253.20074347732</v>
      </c>
      <c r="AD94" s="48" t="n">
        <f aca="false">-AD88*$F90</f>
        <v>-1248.7686862707</v>
      </c>
      <c r="AE94" s="48" t="n">
        <f aca="false">-AE88*$F90</f>
        <v>-1243.0373567882</v>
      </c>
      <c r="AF94" s="48" t="n">
        <f aca="false">-AF88*$F90</f>
        <v>-1242.76969578192</v>
      </c>
      <c r="AG94" s="48" t="n">
        <f aca="false">-AG88*$F90</f>
        <v>-1255.84939016248</v>
      </c>
      <c r="AH94" s="48" t="n">
        <f aca="false">-AH88*$F90</f>
        <v>-1251.37620144897</v>
      </c>
      <c r="AI94" s="48" t="n">
        <f aca="false">-AI88*$F90</f>
        <v>-1232.12929201678</v>
      </c>
      <c r="AJ94" s="48" t="n">
        <f aca="false">-AJ88*$F90</f>
        <v>-1261.5430642707</v>
      </c>
      <c r="AK94" s="48" t="n">
        <f aca="false">-AK88*$F90</f>
        <v>-1274.81802862062</v>
      </c>
      <c r="AL94" s="48" t="n">
        <f aca="false">-AL88*$F90</f>
        <v>-1255.82042311115</v>
      </c>
      <c r="AM94" s="48" t="n">
        <f aca="false">-AM88*$F90</f>
        <v>-1236.01781748859</v>
      </c>
      <c r="AN94" s="48" t="n">
        <f aca="false">-AN88*$F90</f>
        <v>-1248.59146611629</v>
      </c>
      <c r="AO94" s="48" t="n">
        <f aca="false">-AO88*$F90</f>
        <v>-1261.14526993342</v>
      </c>
      <c r="AP94" s="48" t="n">
        <f aca="false">-AP88*$F90</f>
        <v>-1256.61888668515</v>
      </c>
      <c r="AQ94" s="48" t="n">
        <f aca="false">-AQ88*$F90</f>
        <v>-1236.64487931482</v>
      </c>
      <c r="AR94" s="48" t="n">
        <f aca="false">-AR88*$F90</f>
        <v>-1249.22147631917</v>
      </c>
      <c r="AS94" s="48" t="n">
        <f aca="false">-AS88*$F90</f>
        <v>-1261.77783592799</v>
      </c>
      <c r="AT94" s="48" t="n">
        <f aca="false">-AT88*$F90</f>
        <v>-1257.19497970954</v>
      </c>
      <c r="AU94" s="48" t="n">
        <f aca="false">-AU88*$F90</f>
        <v>-1250.27294499214</v>
      </c>
      <c r="AV94" s="48" t="n">
        <f aca="false">-AV88*$F90</f>
        <v>-1249.61086685899</v>
      </c>
      <c r="AW94" s="48" t="n">
        <f aca="false">-AW88*$F90</f>
        <v>-1262.16716399652</v>
      </c>
      <c r="AX94" s="48" t="n">
        <f aca="false">-AX88*$F90</f>
        <v>-1257.52621189101</v>
      </c>
      <c r="AY94" s="48" t="n">
        <f aca="false">-AY88*$F90</f>
        <v>-1237.20131844295</v>
      </c>
      <c r="AZ94" s="48" t="n">
        <f aca="false">-AZ88*$F90</f>
        <v>-1249.77619959002</v>
      </c>
      <c r="BA94" s="48" t="n">
        <f aca="false">-BA88*$F90</f>
        <v>-1262.33001191898</v>
      </c>
      <c r="BB94" s="48" t="n">
        <f aca="false">-BB88*$F90</f>
        <v>-1257.62958042197</v>
      </c>
      <c r="BC94" s="48" t="n">
        <f aca="false">-BC88*$F90</f>
        <v>-1237.12519501917</v>
      </c>
      <c r="BD94" s="48" t="n">
        <f aca="false">-BD88*$F90</f>
        <v>-1249.69535861626</v>
      </c>
      <c r="BE94" s="48" t="n">
        <f aca="false">-BE88*$F90</f>
        <v>-1262.24401494044</v>
      </c>
      <c r="BF94" s="48" t="n">
        <f aca="false">-BF88*$F90</f>
        <v>-1257.48251117158</v>
      </c>
      <c r="BG94" s="48" t="n">
        <f aca="false">-BG88*$F90</f>
        <v>-1236.79577854631</v>
      </c>
      <c r="BH94" s="48" t="n">
        <f aca="false">-BH88*$F90</f>
        <v>-1249.35846207502</v>
      </c>
      <c r="BI94" s="48" t="n">
        <f aca="false">-BI88*$F90</f>
        <v>-1261.89918322068</v>
      </c>
      <c r="BJ94" s="48" t="n">
        <f aca="false">-BJ88*$F90</f>
        <v>-1257.07494856649</v>
      </c>
      <c r="BK94" s="48" t="n">
        <f aca="false">-BK88*$F90</f>
        <v>-1249.5493552753</v>
      </c>
      <c r="BL94" s="48" t="n">
        <f aca="false">-BL88*$F90</f>
        <v>-1248.74195739144</v>
      </c>
      <c r="BM94" s="48" t="n">
        <f aca="false">-BM88*$F90</f>
        <v>-1261.27169909782</v>
      </c>
      <c r="BN94" s="48" t="n">
        <f aca="false">-BN88*$F90</f>
        <v>-1256.38285146404</v>
      </c>
      <c r="BO94" s="48" t="n">
        <f aca="false">-BO88*$F90</f>
        <v>-1235.32235604816</v>
      </c>
      <c r="BP94" s="48" t="n">
        <f aca="false">-BP88*$F90</f>
        <v>-1247.86118393669</v>
      </c>
      <c r="BQ94" s="48" t="n">
        <f aca="false">-BQ88*$F90</f>
        <v>-1260.37708440362</v>
      </c>
      <c r="BR94" s="48" t="n">
        <f aca="false">-BR88*$F90</f>
        <v>-1255.42197210953</v>
      </c>
      <c r="BS94" s="48" t="n">
        <f aca="false">-BS88*$F90</f>
        <v>-1234.17002866411</v>
      </c>
      <c r="BT94" s="48" t="n">
        <f aca="false">-BT88*$F90</f>
        <v>-1246.69239631791</v>
      </c>
      <c r="BU94" s="48" t="n">
        <f aca="false">-BU88*$F90</f>
        <v>-1259.19132675395</v>
      </c>
      <c r="BV94" s="48" t="n">
        <f aca="false">-BV88*$F90</f>
        <v>-1254.16807513837</v>
      </c>
      <c r="BW94" s="48" t="n">
        <f aca="false">-BW88*$F90</f>
        <v>-1232.7214644083</v>
      </c>
      <c r="BX94" s="48" t="n">
        <f aca="false">-BX88*$F90</f>
        <v>-1245.224137436</v>
      </c>
      <c r="BY94" s="48" t="n">
        <f aca="false">-BY88*$F90</f>
        <v>-1257.70284357933</v>
      </c>
      <c r="BZ94" s="48" t="n">
        <f aca="false">-BZ88*$F90</f>
        <v>-1252.60949940835</v>
      </c>
      <c r="CA94" s="48" t="n">
        <f aca="false">-CA88*$F90</f>
        <v>-1244.41100514822</v>
      </c>
      <c r="CB94" s="48" t="n">
        <f aca="false">-CB88*$F90</f>
        <v>-1243.43111720027</v>
      </c>
      <c r="CC94" s="48" t="n">
        <f aca="false">-CC88*$F90</f>
        <v>-1255.88606035806</v>
      </c>
      <c r="CD94" s="48" t="n">
        <f aca="false">-CD88*$F90</f>
        <v>-1250.72043232586</v>
      </c>
      <c r="CE94" s="48" t="n">
        <f aca="false">-CE88*$F90</f>
        <v>-1228.87426664864</v>
      </c>
      <c r="CF94" s="48" t="n">
        <f aca="false">-CF88*$F90</f>
        <v>-1241.32716517871</v>
      </c>
      <c r="CG94" s="48" t="n">
        <f aca="false">-CG88*$F90</f>
        <v>-1253.75497241026</v>
      </c>
      <c r="CH94" s="48" t="n">
        <f aca="false">-CH88*$F90</f>
        <v>-1248.51508782318</v>
      </c>
      <c r="CI94" s="48" t="n">
        <f aca="false">-CI88*$F90</f>
        <v>-1226.46397206163</v>
      </c>
      <c r="CJ94" s="48" t="n">
        <f aca="false">-CJ88*$F90</f>
        <v>-1238.88666885286</v>
      </c>
      <c r="CK94" s="48" t="n">
        <f aca="false">-CK88*$F90</f>
        <v>-1251.28367942371</v>
      </c>
      <c r="CL94" s="48" t="n">
        <f aca="false">-CL88*$F90</f>
        <v>-1245.96732679212</v>
      </c>
      <c r="CM94" s="48" t="n">
        <f aca="false">-CM88*$F90</f>
        <v>-1223.70761549239</v>
      </c>
      <c r="CN94" s="48" t="n">
        <f aca="false">-CN88*$F90</f>
        <v>-1236.09632755061</v>
      </c>
      <c r="CO94" s="48" t="n">
        <f aca="false">-CO88*$F90</f>
        <v>-1248.45873474122</v>
      </c>
      <c r="CP94" s="48" t="n">
        <f aca="false">-CP88*$F90</f>
        <v>-1243.06360860835</v>
      </c>
      <c r="CQ94" s="48" t="n">
        <f aca="false">-CQ88*$F90</f>
        <v>-1234.11357082887</v>
      </c>
      <c r="CR94" s="48" t="n">
        <f aca="false">-CR88*$F90</f>
        <v>-1232.92885756291</v>
      </c>
      <c r="CS94" s="48" t="n">
        <f aca="false">-CS88*$F90</f>
        <v>-1245.25254799921</v>
      </c>
      <c r="CT94" s="48" t="n">
        <f aca="false">-CT88*$F90</f>
        <v>-0</v>
      </c>
      <c r="CU94" s="48" t="n">
        <f aca="false">-CU88*$F90</f>
        <v>-0</v>
      </c>
      <c r="CV94" s="48" t="n">
        <f aca="false">-CV88*$F90</f>
        <v>-0</v>
      </c>
      <c r="CW94" s="48" t="n">
        <f aca="false">-CW88*$F90</f>
        <v>-0</v>
      </c>
      <c r="CX94" s="48" t="n">
        <f aca="false">-CX88*$F90</f>
        <v>-0</v>
      </c>
      <c r="CY94" s="48" t="n">
        <f aca="false">-CY88*$F90</f>
        <v>-0</v>
      </c>
      <c r="CZ94" s="48" t="n">
        <f aca="false">-CZ88*$F90</f>
        <v>-0</v>
      </c>
      <c r="DA94" s="48" t="n">
        <f aca="false">-DA88*$F90</f>
        <v>-0</v>
      </c>
      <c r="DB94" s="48" t="n">
        <f aca="false">-DB88*$F90</f>
        <v>-0</v>
      </c>
      <c r="DC94" s="48" t="n">
        <f aca="false">-DC88*$F90</f>
        <v>-0</v>
      </c>
      <c r="DD94" s="48" t="n">
        <f aca="false">-DD88*$F90</f>
        <v>-0</v>
      </c>
      <c r="DE94" s="48" t="n">
        <f aca="false">-DE88*$F90</f>
        <v>-0</v>
      </c>
      <c r="DF94" s="48" t="n">
        <f aca="false">-DF88*$F90</f>
        <v>-0</v>
      </c>
      <c r="DG94" s="48" t="n">
        <f aca="false">-DG88*$F90</f>
        <v>-0</v>
      </c>
      <c r="DH94" s="48" t="n">
        <f aca="false">-DH88*$F90</f>
        <v>-0</v>
      </c>
      <c r="DI94" s="48" t="n">
        <f aca="false">-DI88*$F90</f>
        <v>-0</v>
      </c>
      <c r="DJ94" s="48" t="n">
        <f aca="false">-DJ88*$F90</f>
        <v>-0</v>
      </c>
      <c r="DK94" s="48" t="n">
        <f aca="false">-DK88*$F90</f>
        <v>-0</v>
      </c>
      <c r="DL94" s="48" t="n">
        <f aca="false">-DL88*$F90</f>
        <v>-0</v>
      </c>
      <c r="DM94" s="48" t="n">
        <f aca="false">-DM88*$F90</f>
        <v>-0</v>
      </c>
      <c r="DN94" s="48" t="n">
        <f aca="false">-DN88*$F90</f>
        <v>-0</v>
      </c>
      <c r="DO94" s="48" t="n">
        <f aca="false">-DO88*$F90</f>
        <v>-0</v>
      </c>
      <c r="DP94" s="48" t="n">
        <f aca="false">-DP88*$F90</f>
        <v>-0</v>
      </c>
      <c r="DQ94" s="48" t="n">
        <f aca="false">-DQ88*$F90</f>
        <v>-0</v>
      </c>
      <c r="DR94" s="48" t="n">
        <f aca="false">-DR88*$F90</f>
        <v>-0</v>
      </c>
      <c r="DS94" s="48" t="n">
        <f aca="false">-DS88*$F90</f>
        <v>-0</v>
      </c>
      <c r="DT94" s="48" t="n">
        <f aca="false">-DT88*$F90</f>
        <v>-0</v>
      </c>
      <c r="DU94" s="48" t="n">
        <f aca="false">-DU88*$F90</f>
        <v>-0</v>
      </c>
      <c r="DV94" s="48" t="n">
        <f aca="false">-DV88*$F90</f>
        <v>-0</v>
      </c>
      <c r="DW94" s="48" t="n">
        <f aca="false">-DW88*$F90</f>
        <v>-0</v>
      </c>
      <c r="DX94" s="48" t="n">
        <f aca="false">-DX88*$F90</f>
        <v>-0</v>
      </c>
      <c r="DY94" s="48" t="n">
        <f aca="false">-DY88*$F90</f>
        <v>-0</v>
      </c>
      <c r="DZ94" s="48" t="n">
        <f aca="false">-DZ88*$F90</f>
        <v>-0</v>
      </c>
      <c r="EA94" s="48" t="n">
        <f aca="false">-EA88*$F90</f>
        <v>-0</v>
      </c>
      <c r="EB94" s="48" t="n">
        <f aca="false">-EB88*$F90</f>
        <v>-0</v>
      </c>
      <c r="EC94" s="48" t="n">
        <f aca="false">-EC88*$F90</f>
        <v>-0</v>
      </c>
      <c r="ED94" s="48" t="n">
        <f aca="false">-ED88*$F90</f>
        <v>-0</v>
      </c>
      <c r="EE94" s="48" t="n">
        <f aca="false">-EE88*$F90</f>
        <v>-0</v>
      </c>
      <c r="EF94" s="48" t="n">
        <f aca="false">-EF88*$F90</f>
        <v>-0</v>
      </c>
      <c r="EG94" s="48" t="n">
        <f aca="false">-EG88*$F90</f>
        <v>-0</v>
      </c>
      <c r="EH94" s="48" t="n">
        <f aca="false">-EH88*$F90</f>
        <v>-0</v>
      </c>
      <c r="EI94" s="48" t="n">
        <f aca="false">-EI88*$F90</f>
        <v>-0</v>
      </c>
      <c r="EJ94" s="48" t="n">
        <f aca="false">-EJ88*$F90</f>
        <v>-0</v>
      </c>
      <c r="EK94" s="48" t="n">
        <f aca="false">-EK88*$F90</f>
        <v>-0</v>
      </c>
      <c r="EL94" s="48" t="n">
        <f aca="false">-EL88*$F90</f>
        <v>-0</v>
      </c>
      <c r="EM94" s="48" t="n">
        <f aca="false">-EM88*$F90</f>
        <v>-0</v>
      </c>
      <c r="EN94" s="48" t="n">
        <f aca="false">-EN88*$F90</f>
        <v>-0</v>
      </c>
      <c r="EO94" s="48" t="n">
        <f aca="false">-EO88*$F90</f>
        <v>-0</v>
      </c>
    </row>
    <row r="95" customFormat="false" ht="15" hidden="false" customHeight="false" outlineLevel="0" collapsed="false">
      <c r="C95" s="0" t="s">
        <v>471</v>
      </c>
      <c r="D95" s="11" t="s">
        <v>33</v>
      </c>
      <c r="J95" s="18" t="n">
        <f aca="false">I99</f>
        <v>0</v>
      </c>
      <c r="K95" s="18" t="n">
        <f aca="false">J99</f>
        <v>0</v>
      </c>
      <c r="L95" s="18" t="n">
        <f aca="false">K99</f>
        <v>0</v>
      </c>
      <c r="M95" s="18" t="n">
        <f aca="false">L99</f>
        <v>0</v>
      </c>
      <c r="N95" s="18" t="n">
        <f aca="false">M99</f>
        <v>0</v>
      </c>
      <c r="O95" s="18" t="n">
        <f aca="false">N99</f>
        <v>0</v>
      </c>
      <c r="P95" s="18" t="n">
        <f aca="false">O99</f>
        <v>0</v>
      </c>
      <c r="Q95" s="18" t="n">
        <f aca="false">P99</f>
        <v>0</v>
      </c>
      <c r="R95" s="18" t="n">
        <f aca="false">Q99</f>
        <v>0</v>
      </c>
      <c r="S95" s="18" t="n">
        <f aca="false">R99</f>
        <v>6374.47363013699</v>
      </c>
      <c r="T95" s="18" t="n">
        <f aca="false">S99</f>
        <v>17175.2053998288</v>
      </c>
      <c r="U95" s="18" t="n">
        <f aca="false">T99</f>
        <v>23695.0813406143</v>
      </c>
      <c r="V95" s="18" t="n">
        <f aca="false">U99</f>
        <v>30365.743487509</v>
      </c>
      <c r="W95" s="18" t="n">
        <f aca="false">V99</f>
        <v>37119.7889112398</v>
      </c>
      <c r="X95" s="18" t="n">
        <f aca="false">W99</f>
        <v>43819.6843890687</v>
      </c>
      <c r="Y95" s="18" t="n">
        <f aca="false">X99</f>
        <v>50672.6163172197</v>
      </c>
      <c r="Z95" s="18" t="n">
        <f aca="false">Y99</f>
        <v>59055.4976513219</v>
      </c>
      <c r="AA95" s="18" t="n">
        <f aca="false">Z99</f>
        <v>58547.6888397312</v>
      </c>
      <c r="AB95" s="18" t="n">
        <f aca="false">AA99</f>
        <v>58052.4513551277</v>
      </c>
      <c r="AC95" s="18" t="n">
        <f aca="false">AB99</f>
        <v>57537.9600310588</v>
      </c>
      <c r="AD95" s="18" t="n">
        <f aca="false">AC99</f>
        <v>57003.9837879697</v>
      </c>
      <c r="AE95" s="18" t="n">
        <f aca="false">AD99</f>
        <v>56467.7648990486</v>
      </c>
      <c r="AF95" s="18" t="n">
        <f aca="false">AE99</f>
        <v>55930.5746034985</v>
      </c>
      <c r="AG95" s="18" t="n">
        <f aca="false">AF99</f>
        <v>55386.9370902603</v>
      </c>
      <c r="AH95" s="18" t="n">
        <f aca="false">AG99</f>
        <v>54823.4244137261</v>
      </c>
      <c r="AI95" s="18" t="n">
        <f aca="false">AH99</f>
        <v>54257.3410174487</v>
      </c>
      <c r="AJ95" s="18" t="n">
        <f aca="false">AI99</f>
        <v>53703.42848815</v>
      </c>
      <c r="AK95" s="18" t="n">
        <f aca="false">AJ99</f>
        <v>53113.1782799812</v>
      </c>
      <c r="AL95" s="18" t="n">
        <f aca="false">AK99</f>
        <v>52502.2749798604</v>
      </c>
      <c r="AM95" s="18" t="n">
        <f aca="false">AL99</f>
        <v>51902.7329939975</v>
      </c>
      <c r="AN95" s="18" t="n">
        <f aca="false">AM99</f>
        <v>51315.4993389338</v>
      </c>
      <c r="AO95" s="18" t="n">
        <f aca="false">AN99</f>
        <v>50708.3516145542</v>
      </c>
      <c r="AP95" s="18" t="n">
        <f aca="false">AO99</f>
        <v>50081.0607398027</v>
      </c>
      <c r="AQ95" s="18" t="n">
        <f aca="false">AP99</f>
        <v>49450.4551123651</v>
      </c>
      <c r="AR95" s="18" t="n">
        <f aca="false">AQ99</f>
        <v>48831.9409219549</v>
      </c>
      <c r="AS95" s="18" t="n">
        <f aca="false">AR99</f>
        <v>48193.1187071601</v>
      </c>
      <c r="AT95" s="18" t="n">
        <f aca="false">AS99</f>
        <v>47533.7548550716</v>
      </c>
      <c r="AU95" s="18" t="n">
        <f aca="false">AT99</f>
        <v>46870.7318110505</v>
      </c>
      <c r="AV95" s="18" t="n">
        <f aca="false">AU99</f>
        <v>46206.3430136965</v>
      </c>
      <c r="AW95" s="18" t="n">
        <f aca="false">AV99</f>
        <v>45534.3114345087</v>
      </c>
      <c r="AX95" s="18" t="n">
        <f aca="false">AW99</f>
        <v>44841.3231634435</v>
      </c>
      <c r="AY95" s="18" t="n">
        <f aca="false">AX99</f>
        <v>44144.3134910956</v>
      </c>
      <c r="AZ95" s="18" t="n">
        <f aca="false">AY99</f>
        <v>43458.9160912913</v>
      </c>
      <c r="BA95" s="18" t="n">
        <f aca="false">AZ99</f>
        <v>42752.3763428424</v>
      </c>
      <c r="BB95" s="18" t="n">
        <f aca="false">BA99</f>
        <v>42024.451035209</v>
      </c>
      <c r="BC95" s="18" t="n">
        <f aca="false">BB99</f>
        <v>41292.1270927271</v>
      </c>
      <c r="BD95" s="18" t="n">
        <f aca="false">BC99</f>
        <v>40571.153486367</v>
      </c>
      <c r="BE95" s="18" t="n">
        <f aca="false">BD99</f>
        <v>39828.5975463304</v>
      </c>
      <c r="BF95" s="18" t="n">
        <f aca="false">BE99</f>
        <v>39064.2110007191</v>
      </c>
      <c r="BG95" s="18" t="n">
        <f aca="false">BF99</f>
        <v>38295.0311270565</v>
      </c>
      <c r="BH95" s="18" t="n">
        <f aca="false">BG99</f>
        <v>37536.9232375984</v>
      </c>
      <c r="BI95" s="18" t="n">
        <f aca="false">BH99</f>
        <v>36756.7763159933</v>
      </c>
      <c r="BJ95" s="18" t="n">
        <f aca="false">BI99</f>
        <v>35954.3368367226</v>
      </c>
      <c r="BK95" s="18" t="n">
        <f aca="false">BJ99</f>
        <v>35146.6910986151</v>
      </c>
      <c r="BL95" s="18" t="n">
        <f aca="false">BK99</f>
        <v>34336.4753820725</v>
      </c>
      <c r="BM95" s="18" t="n">
        <f aca="false">BL99</f>
        <v>33516.939366957</v>
      </c>
      <c r="BN95" s="18" t="n">
        <f aca="false">BM99</f>
        <v>32674.6294099461</v>
      </c>
      <c r="BO95" s="18" t="n">
        <f aca="false">BN99</f>
        <v>31826.6794261064</v>
      </c>
      <c r="BP95" s="18" t="n">
        <f aca="false">BO99</f>
        <v>30989.1905628846</v>
      </c>
      <c r="BQ95" s="18" t="n">
        <f aca="false">BP99</f>
        <v>30128.6942609839</v>
      </c>
      <c r="BR95" s="18" t="n">
        <f aca="false">BQ99</f>
        <v>29244.9258548426</v>
      </c>
      <c r="BS95" s="18" t="n">
        <f aca="false">BR99</f>
        <v>28355.0654559186</v>
      </c>
      <c r="BT95" s="18" t="n">
        <f aca="false">BS99</f>
        <v>27475.3337454535</v>
      </c>
      <c r="BU95" s="18" t="n">
        <f aca="false">BT99</f>
        <v>26572.0830209537</v>
      </c>
      <c r="BV95" s="18" t="n">
        <f aca="false">BU99</f>
        <v>25645.0427319617</v>
      </c>
      <c r="BW95" s="18" t="n">
        <f aca="false">BV99</f>
        <v>24711.4376909729</v>
      </c>
      <c r="BX95" s="18" t="n">
        <f aca="false">BW99</f>
        <v>23787.6091977017</v>
      </c>
      <c r="BY95" s="18" t="n">
        <f aca="false">BX99</f>
        <v>22839.730175237</v>
      </c>
      <c r="BZ95" s="18" t="n">
        <f aca="false">BY99</f>
        <v>21867.5239588481</v>
      </c>
      <c r="CA95" s="18" t="n">
        <f aca="false">BZ99</f>
        <v>20888.2585089254</v>
      </c>
      <c r="CB95" s="18" t="n">
        <f aca="false">CA99</f>
        <v>19904.9507351387</v>
      </c>
      <c r="CC95" s="18" t="n">
        <f aca="false">CB99</f>
        <v>18910.3315021277</v>
      </c>
      <c r="CD95" s="18" t="n">
        <f aca="false">CC99</f>
        <v>17890.8245855462</v>
      </c>
      <c r="CE95" s="18" t="n">
        <f aca="false">CD99</f>
        <v>16863.7394605397</v>
      </c>
      <c r="CF95" s="18" t="n">
        <f aca="false">CE99</f>
        <v>15845.6619371478</v>
      </c>
      <c r="CG95" s="18" t="n">
        <f aca="false">CF99</f>
        <v>14802.4055461834</v>
      </c>
      <c r="CH95" s="18" t="n">
        <f aca="false">CG99</f>
        <v>13733.6806431005</v>
      </c>
      <c r="CI95" s="18" t="n">
        <f aca="false">CH99</f>
        <v>12656.8365633161</v>
      </c>
      <c r="CJ95" s="18" t="n">
        <f aca="false">CI99</f>
        <v>11588.5830482959</v>
      </c>
      <c r="CK95" s="18" t="n">
        <f aca="false">CJ99</f>
        <v>10494.5536675467</v>
      </c>
      <c r="CL95" s="18" t="n">
        <f aca="false">CK99</f>
        <v>9374.45190896734</v>
      </c>
      <c r="CM95" s="18" t="n">
        <f aca="false">CL99</f>
        <v>8245.66523103731</v>
      </c>
      <c r="CN95" s="18" t="n">
        <f aca="false">CM99</f>
        <v>7125.02843093289</v>
      </c>
      <c r="CO95" s="18" t="n">
        <f aca="false">CN99</f>
        <v>5977.99495876894</v>
      </c>
      <c r="CP95" s="18" t="n">
        <f aca="false">CO99</f>
        <v>4804.26116101233</v>
      </c>
      <c r="CQ95" s="18" t="n">
        <f aca="false">CP99</f>
        <v>3621.25081691663</v>
      </c>
      <c r="CR95" s="18" t="n">
        <f aca="false">CQ99</f>
        <v>2432.40288129922</v>
      </c>
      <c r="CS95" s="18" t="n">
        <f aca="false">CR99</f>
        <v>1229.87905975255</v>
      </c>
      <c r="CT95" s="18" t="n">
        <f aca="false">CS99</f>
        <v>2.40333974943496E-010</v>
      </c>
      <c r="CU95" s="18" t="n">
        <f aca="false">CT99</f>
        <v>2.4333814963029E-010</v>
      </c>
      <c r="CV95" s="18" t="n">
        <f aca="false">CU99</f>
        <v>2.46379876500669E-010</v>
      </c>
      <c r="CW95" s="18" t="n">
        <f aca="false">CV99</f>
        <v>2.49459624956927E-010</v>
      </c>
      <c r="CX95" s="18" t="n">
        <f aca="false">CW99</f>
        <v>2.52577870268889E-010</v>
      </c>
      <c r="CY95" s="18" t="n">
        <f aca="false">CX99</f>
        <v>2.5573509364725E-010</v>
      </c>
      <c r="CZ95" s="18" t="n">
        <f aca="false">CY99</f>
        <v>2.5893178231784E-010</v>
      </c>
      <c r="DA95" s="18" t="n">
        <f aca="false">CZ99</f>
        <v>2.62168429596813E-010</v>
      </c>
      <c r="DB95" s="18" t="n">
        <f aca="false">DA99</f>
        <v>2.65445534966773E-010</v>
      </c>
      <c r="DC95" s="18" t="n">
        <f aca="false">DB99</f>
        <v>2.68763604153858E-010</v>
      </c>
      <c r="DD95" s="18" t="n">
        <f aca="false">DC99</f>
        <v>2.72123149205781E-010</v>
      </c>
      <c r="DE95" s="18" t="n">
        <f aca="false">DD99</f>
        <v>2.75524688570854E-010</v>
      </c>
      <c r="DF95" s="18" t="n">
        <f aca="false">DE99</f>
        <v>2.78968747177989E-010</v>
      </c>
      <c r="DG95" s="18" t="n">
        <f aca="false">DF99</f>
        <v>2.82455856517714E-010</v>
      </c>
      <c r="DH95" s="18" t="n">
        <f aca="false">DG99</f>
        <v>2.85986554724186E-010</v>
      </c>
      <c r="DI95" s="18" t="n">
        <f aca="false">DH99</f>
        <v>2.89561386658238E-010</v>
      </c>
      <c r="DJ95" s="18" t="n">
        <f aca="false">DI99</f>
        <v>2.93180903991466E-010</v>
      </c>
      <c r="DK95" s="18" t="n">
        <f aca="false">DJ99</f>
        <v>2.96845665291359E-010</v>
      </c>
      <c r="DL95" s="18" t="n">
        <f aca="false">DK99</f>
        <v>3.00556236107501E-010</v>
      </c>
      <c r="DM95" s="18" t="n">
        <f aca="false">DL99</f>
        <v>3.04313189058845E-010</v>
      </c>
      <c r="DN95" s="18" t="n">
        <f aca="false">DM99</f>
        <v>3.08117103922081E-010</v>
      </c>
      <c r="DO95" s="18" t="n">
        <f aca="false">DN99</f>
        <v>3.11968567721107E-010</v>
      </c>
      <c r="DP95" s="18" t="n">
        <f aca="false">DO99</f>
        <v>3.1586817481762E-010</v>
      </c>
      <c r="DQ95" s="18" t="n">
        <f aca="false">DP99</f>
        <v>3.19816527002841E-010</v>
      </c>
      <c r="DR95" s="18" t="n">
        <f aca="false">DQ99</f>
        <v>3.23814233590376E-010</v>
      </c>
      <c r="DS95" s="18" t="n">
        <f aca="false">DR99</f>
        <v>3.27861911510256E-010</v>
      </c>
      <c r="DT95" s="18" t="n">
        <f aca="false">DS99</f>
        <v>3.31960185404134E-010</v>
      </c>
      <c r="DU95" s="18" t="n">
        <f aca="false">DT99</f>
        <v>3.36109687721686E-010</v>
      </c>
      <c r="DV95" s="18" t="n">
        <f aca="false">DU99</f>
        <v>3.40311058818207E-010</v>
      </c>
      <c r="DW95" s="18" t="n">
        <f aca="false">DV99</f>
        <v>3.44564947053434E-010</v>
      </c>
      <c r="DX95" s="18" t="n">
        <f aca="false">DW99</f>
        <v>3.48872008891602E-010</v>
      </c>
      <c r="DY95" s="18" t="n">
        <f aca="false">DX99</f>
        <v>3.53232909002747E-010</v>
      </c>
      <c r="DZ95" s="18" t="n">
        <f aca="false">DY99</f>
        <v>3.57648320365282E-010</v>
      </c>
      <c r="EA95" s="18" t="n">
        <f aca="false">DZ99</f>
        <v>3.62118924369848E-010</v>
      </c>
      <c r="EB95" s="18" t="n">
        <f aca="false">EA99</f>
        <v>3.66645410924471E-010</v>
      </c>
      <c r="EC95" s="18" t="n">
        <f aca="false">EB99</f>
        <v>3.71228478561027E-010</v>
      </c>
      <c r="ED95" s="18" t="n">
        <f aca="false">EC99</f>
        <v>3.7586883454304E-010</v>
      </c>
      <c r="EE95" s="18" t="n">
        <f aca="false">ED99</f>
        <v>3.80567194974828E-010</v>
      </c>
      <c r="EF95" s="18" t="n">
        <f aca="false">EE99</f>
        <v>3.85324284912013E-010</v>
      </c>
      <c r="EG95" s="18" t="n">
        <f aca="false">EF99</f>
        <v>3.90140838473413E-010</v>
      </c>
      <c r="EH95" s="18" t="n">
        <f aca="false">EG99</f>
        <v>3.95017598954331E-010</v>
      </c>
      <c r="EI95" s="18" t="n">
        <f aca="false">EH99</f>
        <v>3.9995531894126E-010</v>
      </c>
      <c r="EJ95" s="18" t="n">
        <f aca="false">EI99</f>
        <v>4.04954760428026E-010</v>
      </c>
      <c r="EK95" s="18" t="n">
        <f aca="false">EJ99</f>
        <v>4.10016694933376E-010</v>
      </c>
      <c r="EL95" s="18" t="n">
        <f aca="false">EK99</f>
        <v>4.15141903620043E-010</v>
      </c>
      <c r="EM95" s="18" t="n">
        <f aca="false">EL99</f>
        <v>4.20331177415294E-010</v>
      </c>
      <c r="EN95" s="18" t="n">
        <f aca="false">EM99</f>
        <v>4.25585317132985E-010</v>
      </c>
      <c r="EO95" s="18" t="n">
        <f aca="false">EN99</f>
        <v>4.30905133597147E-010</v>
      </c>
    </row>
    <row r="96" customFormat="false" ht="15" hidden="false" customHeight="false" outlineLevel="0" collapsed="false">
      <c r="C96" s="0" t="s">
        <v>472</v>
      </c>
      <c r="D96" s="11" t="s">
        <v>33</v>
      </c>
      <c r="I96" s="48" t="n">
        <f aca="false">SUM(J96:EO96)</f>
        <v>56440.2152328767</v>
      </c>
      <c r="J96" s="48" t="n">
        <f aca="false">-$E90*J70</f>
        <v>0</v>
      </c>
      <c r="K96" s="48" t="n">
        <f aca="false">-$E90*K70</f>
        <v>0</v>
      </c>
      <c r="L96" s="48" t="n">
        <f aca="false">-$E90*L70</f>
        <v>0</v>
      </c>
      <c r="M96" s="48" t="n">
        <f aca="false">-$E90*M70</f>
        <v>0</v>
      </c>
      <c r="N96" s="48" t="n">
        <f aca="false">-$E90*N70</f>
        <v>0</v>
      </c>
      <c r="O96" s="48" t="n">
        <f aca="false">-$E90*O70</f>
        <v>0</v>
      </c>
      <c r="P96" s="48" t="n">
        <f aca="false">-$E90*P70</f>
        <v>0</v>
      </c>
      <c r="Q96" s="48" t="n">
        <f aca="false">-$E90*Q70</f>
        <v>0</v>
      </c>
      <c r="R96" s="48" t="n">
        <f aca="false">-$E90*R70</f>
        <v>6374.47363013699</v>
      </c>
      <c r="S96" s="48" t="n">
        <f aca="false">-$E90*S70</f>
        <v>10721.0508493151</v>
      </c>
      <c r="T96" s="48" t="n">
        <f aca="false">-$E90*T70</f>
        <v>6305.18587328767</v>
      </c>
      <c r="U96" s="48" t="n">
        <f aca="false">-$E90*U70</f>
        <v>6374.47363013699</v>
      </c>
      <c r="V96" s="48" t="n">
        <f aca="false">-$E90*V70</f>
        <v>6374.47363013699</v>
      </c>
      <c r="W96" s="48" t="n">
        <f aca="false">-$E90*W70</f>
        <v>6235.89811643836</v>
      </c>
      <c r="X96" s="48" t="n">
        <f aca="false">-$E90*X70</f>
        <v>6305.18587328767</v>
      </c>
      <c r="Y96" s="48" t="n">
        <f aca="false">-$E90*Y70</f>
        <v>7749.47363013699</v>
      </c>
      <c r="Z96" s="48" t="n">
        <f aca="false">-$E90*Z70</f>
        <v>0</v>
      </c>
      <c r="AA96" s="48" t="n">
        <f aca="false">-$E90*AA70</f>
        <v>0</v>
      </c>
      <c r="AB96" s="48" t="n">
        <f aca="false">-$E90*AB70</f>
        <v>0</v>
      </c>
      <c r="AC96" s="48" t="n">
        <f aca="false">-$E90*AC70</f>
        <v>0</v>
      </c>
      <c r="AD96" s="48" t="n">
        <f aca="false">-$E90*AD70</f>
        <v>0</v>
      </c>
      <c r="AE96" s="48" t="n">
        <f aca="false">-$E90*AE70</f>
        <v>0</v>
      </c>
      <c r="AF96" s="48" t="n">
        <f aca="false">-$E90*AF70</f>
        <v>0</v>
      </c>
      <c r="AG96" s="48" t="n">
        <f aca="false">-$E90*AG70</f>
        <v>0</v>
      </c>
      <c r="AH96" s="48" t="n">
        <f aca="false">-$E90*AH70</f>
        <v>0</v>
      </c>
      <c r="AI96" s="48" t="n">
        <f aca="false">-$E90*AI70</f>
        <v>0</v>
      </c>
      <c r="AJ96" s="48" t="n">
        <f aca="false">-$E90*AJ70</f>
        <v>0</v>
      </c>
      <c r="AK96" s="48" t="n">
        <f aca="false">-$E90*AK70</f>
        <v>0</v>
      </c>
      <c r="AL96" s="48" t="n">
        <f aca="false">-$E90*AL70</f>
        <v>0</v>
      </c>
      <c r="AM96" s="48" t="n">
        <f aca="false">-$E90*AM70</f>
        <v>0</v>
      </c>
      <c r="AN96" s="48" t="n">
        <f aca="false">-$E90*AN70</f>
        <v>0</v>
      </c>
      <c r="AO96" s="48" t="n">
        <f aca="false">-$E90*AO70</f>
        <v>0</v>
      </c>
      <c r="AP96" s="48" t="n">
        <f aca="false">-$E90*AP70</f>
        <v>0</v>
      </c>
      <c r="AQ96" s="48" t="n">
        <f aca="false">-$E90*AQ70</f>
        <v>0</v>
      </c>
      <c r="AR96" s="48" t="n">
        <f aca="false">-$E90*AR70</f>
        <v>0</v>
      </c>
      <c r="AS96" s="48" t="n">
        <f aca="false">-$E90*AS70</f>
        <v>0</v>
      </c>
      <c r="AT96" s="48" t="n">
        <f aca="false">-$E90*AT70</f>
        <v>0</v>
      </c>
      <c r="AU96" s="48" t="n">
        <f aca="false">-$E90*AU70</f>
        <v>0</v>
      </c>
      <c r="AV96" s="48" t="n">
        <f aca="false">-$E90*AV70</f>
        <v>0</v>
      </c>
      <c r="AW96" s="48" t="n">
        <f aca="false">-$E90*AW70</f>
        <v>0</v>
      </c>
      <c r="AX96" s="48" t="n">
        <f aca="false">-$E90*AX70</f>
        <v>0</v>
      </c>
      <c r="AY96" s="48" t="n">
        <f aca="false">-$E90*AY70</f>
        <v>0</v>
      </c>
      <c r="AZ96" s="48" t="n">
        <f aca="false">-$E90*AZ70</f>
        <v>0</v>
      </c>
      <c r="BA96" s="48" t="n">
        <f aca="false">-$E90*BA70</f>
        <v>0</v>
      </c>
      <c r="BB96" s="48" t="n">
        <f aca="false">-$E90*BB70</f>
        <v>0</v>
      </c>
      <c r="BC96" s="48" t="n">
        <f aca="false">-$E90*BC70</f>
        <v>0</v>
      </c>
      <c r="BD96" s="48" t="n">
        <f aca="false">-$E90*BD70</f>
        <v>0</v>
      </c>
      <c r="BE96" s="48" t="n">
        <f aca="false">-$E90*BE70</f>
        <v>0</v>
      </c>
      <c r="BF96" s="48" t="n">
        <f aca="false">-$E90*BF70</f>
        <v>0</v>
      </c>
      <c r="BG96" s="48" t="n">
        <f aca="false">-$E90*BG70</f>
        <v>0</v>
      </c>
      <c r="BH96" s="48" t="n">
        <f aca="false">-$E90*BH70</f>
        <v>0</v>
      </c>
      <c r="BI96" s="48" t="n">
        <f aca="false">-$E90*BI70</f>
        <v>0</v>
      </c>
      <c r="BJ96" s="48" t="n">
        <f aca="false">-$E90*BJ70</f>
        <v>0</v>
      </c>
      <c r="BK96" s="48" t="n">
        <f aca="false">-$E90*BK70</f>
        <v>0</v>
      </c>
      <c r="BL96" s="48" t="n">
        <f aca="false">-$E90*BL70</f>
        <v>0</v>
      </c>
      <c r="BM96" s="48" t="n">
        <f aca="false">-$E90*BM70</f>
        <v>0</v>
      </c>
      <c r="BN96" s="48" t="n">
        <f aca="false">-$E90*BN70</f>
        <v>0</v>
      </c>
      <c r="BO96" s="48" t="n">
        <f aca="false">-$E90*BO70</f>
        <v>0</v>
      </c>
      <c r="BP96" s="48" t="n">
        <f aca="false">-$E90*BP70</f>
        <v>0</v>
      </c>
      <c r="BQ96" s="48" t="n">
        <f aca="false">-$E90*BQ70</f>
        <v>0</v>
      </c>
      <c r="BR96" s="48" t="n">
        <f aca="false">-$E90*BR70</f>
        <v>0</v>
      </c>
      <c r="BS96" s="48" t="n">
        <f aca="false">-$E90*BS70</f>
        <v>0</v>
      </c>
      <c r="BT96" s="48" t="n">
        <f aca="false">-$E90*BT70</f>
        <v>0</v>
      </c>
      <c r="BU96" s="48" t="n">
        <f aca="false">-$E90*BU70</f>
        <v>0</v>
      </c>
      <c r="BV96" s="48" t="n">
        <f aca="false">-$E90*BV70</f>
        <v>0</v>
      </c>
      <c r="BW96" s="48" t="n">
        <f aca="false">-$E90*BW70</f>
        <v>0</v>
      </c>
      <c r="BX96" s="48" t="n">
        <f aca="false">-$E90*BX70</f>
        <v>0</v>
      </c>
      <c r="BY96" s="48" t="n">
        <f aca="false">-$E90*BY70</f>
        <v>0</v>
      </c>
      <c r="BZ96" s="48" t="n">
        <f aca="false">-$E90*BZ70</f>
        <v>0</v>
      </c>
      <c r="CA96" s="48" t="n">
        <f aca="false">-$E90*CA70</f>
        <v>0</v>
      </c>
      <c r="CB96" s="48" t="n">
        <f aca="false">-$E90*CB70</f>
        <v>0</v>
      </c>
      <c r="CC96" s="48" t="n">
        <f aca="false">-$E90*CC70</f>
        <v>0</v>
      </c>
      <c r="CD96" s="48" t="n">
        <f aca="false">-$E90*CD70</f>
        <v>0</v>
      </c>
      <c r="CE96" s="48" t="n">
        <f aca="false">-$E90*CE70</f>
        <v>0</v>
      </c>
      <c r="CF96" s="48" t="n">
        <f aca="false">-$E90*CF70</f>
        <v>0</v>
      </c>
      <c r="CG96" s="48" t="n">
        <f aca="false">-$E90*CG70</f>
        <v>0</v>
      </c>
      <c r="CH96" s="48" t="n">
        <f aca="false">-$E90*CH70</f>
        <v>0</v>
      </c>
      <c r="CI96" s="48" t="n">
        <f aca="false">-$E90*CI70</f>
        <v>0</v>
      </c>
      <c r="CJ96" s="48" t="n">
        <f aca="false">-$E90*CJ70</f>
        <v>0</v>
      </c>
      <c r="CK96" s="48" t="n">
        <f aca="false">-$E90*CK70</f>
        <v>0</v>
      </c>
      <c r="CL96" s="48" t="n">
        <f aca="false">-$E90*CL70</f>
        <v>0</v>
      </c>
      <c r="CM96" s="48" t="n">
        <f aca="false">-$E90*CM70</f>
        <v>0</v>
      </c>
      <c r="CN96" s="48" t="n">
        <f aca="false">-$E90*CN70</f>
        <v>0</v>
      </c>
      <c r="CO96" s="48" t="n">
        <f aca="false">-$E90*CO70</f>
        <v>0</v>
      </c>
      <c r="CP96" s="48" t="n">
        <f aca="false">-$E90*CP70</f>
        <v>0</v>
      </c>
      <c r="CQ96" s="48" t="n">
        <f aca="false">-$E90*CQ70</f>
        <v>0</v>
      </c>
      <c r="CR96" s="48" t="n">
        <f aca="false">-$E90*CR70</f>
        <v>0</v>
      </c>
      <c r="CS96" s="48" t="n">
        <f aca="false">-$E90*CS70</f>
        <v>0</v>
      </c>
      <c r="CT96" s="48" t="n">
        <f aca="false">-$E90*CT70</f>
        <v>0</v>
      </c>
      <c r="CU96" s="48" t="n">
        <f aca="false">-$E90*CU70</f>
        <v>0</v>
      </c>
      <c r="CV96" s="48" t="n">
        <f aca="false">-$E90*CV70</f>
        <v>0</v>
      </c>
      <c r="CW96" s="48" t="n">
        <f aca="false">-$E90*CW70</f>
        <v>0</v>
      </c>
      <c r="CX96" s="48" t="n">
        <f aca="false">-$E90*CX70</f>
        <v>0</v>
      </c>
      <c r="CY96" s="48" t="n">
        <f aca="false">-$E90*CY70</f>
        <v>0</v>
      </c>
      <c r="CZ96" s="48" t="n">
        <f aca="false">-$E90*CZ70</f>
        <v>0</v>
      </c>
      <c r="DA96" s="48" t="n">
        <f aca="false">-$E90*DA70</f>
        <v>0</v>
      </c>
      <c r="DB96" s="48" t="n">
        <f aca="false">-$E90*DB70</f>
        <v>0</v>
      </c>
      <c r="DC96" s="48" t="n">
        <f aca="false">-$E90*DC70</f>
        <v>0</v>
      </c>
      <c r="DD96" s="48" t="n">
        <f aca="false">-$E90*DD70</f>
        <v>0</v>
      </c>
      <c r="DE96" s="48" t="n">
        <f aca="false">-$E90*DE70</f>
        <v>0</v>
      </c>
      <c r="DF96" s="48" t="n">
        <f aca="false">-$E90*DF70</f>
        <v>0</v>
      </c>
      <c r="DG96" s="48" t="n">
        <f aca="false">-$E90*DG70</f>
        <v>0</v>
      </c>
      <c r="DH96" s="48" t="n">
        <f aca="false">-$E90*DH70</f>
        <v>0</v>
      </c>
      <c r="DI96" s="48" t="n">
        <f aca="false">-$E90*DI70</f>
        <v>0</v>
      </c>
      <c r="DJ96" s="48" t="n">
        <f aca="false">-$E90*DJ70</f>
        <v>0</v>
      </c>
      <c r="DK96" s="48" t="n">
        <f aca="false">-$E90*DK70</f>
        <v>0</v>
      </c>
      <c r="DL96" s="48" t="n">
        <f aca="false">-$E90*DL70</f>
        <v>0</v>
      </c>
      <c r="DM96" s="48" t="n">
        <f aca="false">-$E90*DM70</f>
        <v>0</v>
      </c>
      <c r="DN96" s="48" t="n">
        <f aca="false">-$E90*DN70</f>
        <v>0</v>
      </c>
      <c r="DO96" s="48" t="n">
        <f aca="false">-$E90*DO70</f>
        <v>0</v>
      </c>
      <c r="DP96" s="48" t="n">
        <f aca="false">-$E90*DP70</f>
        <v>0</v>
      </c>
      <c r="DQ96" s="48" t="n">
        <f aca="false">-$E90*DQ70</f>
        <v>0</v>
      </c>
      <c r="DR96" s="48" t="n">
        <f aca="false">-$E90*DR70</f>
        <v>0</v>
      </c>
      <c r="DS96" s="48" t="n">
        <f aca="false">-$E90*DS70</f>
        <v>0</v>
      </c>
      <c r="DT96" s="48" t="n">
        <f aca="false">-$E90*DT70</f>
        <v>0</v>
      </c>
      <c r="DU96" s="48" t="n">
        <f aca="false">-$E90*DU70</f>
        <v>0</v>
      </c>
      <c r="DV96" s="48" t="n">
        <f aca="false">-$E90*DV70</f>
        <v>0</v>
      </c>
      <c r="DW96" s="48" t="n">
        <f aca="false">-$E90*DW70</f>
        <v>0</v>
      </c>
      <c r="DX96" s="48" t="n">
        <f aca="false">-$E90*DX70</f>
        <v>0</v>
      </c>
      <c r="DY96" s="48" t="n">
        <f aca="false">-$E90*DY70</f>
        <v>0</v>
      </c>
      <c r="DZ96" s="48" t="n">
        <f aca="false">-$E90*DZ70</f>
        <v>0</v>
      </c>
      <c r="EA96" s="48" t="n">
        <f aca="false">-$E90*EA70</f>
        <v>0</v>
      </c>
      <c r="EB96" s="48" t="n">
        <f aca="false">-$E90*EB70</f>
        <v>0</v>
      </c>
      <c r="EC96" s="48" t="n">
        <f aca="false">-$E90*EC70</f>
        <v>0</v>
      </c>
      <c r="ED96" s="48" t="n">
        <f aca="false">-$E90*ED70</f>
        <v>0</v>
      </c>
      <c r="EE96" s="48" t="n">
        <f aca="false">-$E90*EE70</f>
        <v>0</v>
      </c>
      <c r="EF96" s="48" t="n">
        <f aca="false">-$E90*EF70</f>
        <v>0</v>
      </c>
      <c r="EG96" s="48" t="n">
        <f aca="false">-$E90*EG70</f>
        <v>0</v>
      </c>
      <c r="EH96" s="48" t="n">
        <f aca="false">-$E90*EH70</f>
        <v>0</v>
      </c>
      <c r="EI96" s="48" t="n">
        <f aca="false">-$E90*EI70</f>
        <v>0</v>
      </c>
      <c r="EJ96" s="48" t="n">
        <f aca="false">-$E90*EJ70</f>
        <v>0</v>
      </c>
      <c r="EK96" s="48" t="n">
        <f aca="false">-$E90*EK70</f>
        <v>0</v>
      </c>
      <c r="EL96" s="48" t="n">
        <f aca="false">-$E90*EL70</f>
        <v>0</v>
      </c>
      <c r="EM96" s="48" t="n">
        <f aca="false">-$E90*EM70</f>
        <v>0</v>
      </c>
      <c r="EN96" s="48" t="n">
        <f aca="false">-$E90*EN70</f>
        <v>0</v>
      </c>
      <c r="EO96" s="48" t="n">
        <f aca="false">-$E90*EO70</f>
        <v>0</v>
      </c>
    </row>
    <row r="97" customFormat="false" ht="15" hidden="false" customHeight="false" outlineLevel="0" collapsed="false">
      <c r="C97" s="0" t="s">
        <v>473</v>
      </c>
      <c r="D97" s="11" t="s">
        <v>33</v>
      </c>
      <c r="I97" s="48" t="n">
        <f aca="false">SUM(J97:EO97)</f>
        <v>2615.28241844522</v>
      </c>
      <c r="J97" s="48" t="n">
        <f aca="false">J95*$F22*(J$4&lt;=In_COD)</f>
        <v>0</v>
      </c>
      <c r="K97" s="48" t="n">
        <f aca="false">K95*$F22*(K$4&lt;=In_COD)</f>
        <v>0</v>
      </c>
      <c r="L97" s="48" t="n">
        <f aca="false">L95*$F22*(L$4&lt;=In_COD)</f>
        <v>0</v>
      </c>
      <c r="M97" s="48" t="n">
        <f aca="false">M95*$F22*(M$4&lt;=In_COD)</f>
        <v>0</v>
      </c>
      <c r="N97" s="48" t="n">
        <f aca="false">N95*$F22*(N$4&lt;=In_COD)</f>
        <v>0</v>
      </c>
      <c r="O97" s="48" t="n">
        <f aca="false">O95*$F22*(O$4&lt;=In_COD)</f>
        <v>0</v>
      </c>
      <c r="P97" s="48" t="n">
        <f aca="false">P95*$F22*(P$4&lt;=In_COD)</f>
        <v>0</v>
      </c>
      <c r="Q97" s="48" t="n">
        <f aca="false">Q95*$F22*(Q$4&lt;=In_COD)</f>
        <v>0</v>
      </c>
      <c r="R97" s="48" t="n">
        <f aca="false">R95*$F22*(R$4&lt;=In_COD)</f>
        <v>0</v>
      </c>
      <c r="S97" s="48" t="n">
        <f aca="false">S95*$F22*(S$4&lt;=In_COD)</f>
        <v>79.6809203767124</v>
      </c>
      <c r="T97" s="48" t="n">
        <f aca="false">T95*$F22*(T$4&lt;=In_COD)</f>
        <v>214.69006749786</v>
      </c>
      <c r="U97" s="48" t="n">
        <f aca="false">U95*$F22*(U$4&lt;=In_COD)</f>
        <v>296.188516757679</v>
      </c>
      <c r="V97" s="48" t="n">
        <f aca="false">V95*$F22*(V$4&lt;=In_COD)</f>
        <v>379.571793593862</v>
      </c>
      <c r="W97" s="48" t="n">
        <f aca="false">W95*$F22*(W$4&lt;=In_COD)</f>
        <v>463.997361390498</v>
      </c>
      <c r="X97" s="48" t="n">
        <f aca="false">X95*$F22*(X$4&lt;=In_COD)</f>
        <v>547.746054863359</v>
      </c>
      <c r="Y97" s="48" t="n">
        <f aca="false">Y95*$F22*(Y$4&lt;=In_COD)</f>
        <v>633.407703965247</v>
      </c>
      <c r="Z97" s="48" t="n">
        <f aca="false">Z95*$F22*(Z$4&lt;=In_COD)</f>
        <v>0</v>
      </c>
      <c r="AA97" s="48" t="n">
        <f aca="false">AA95*$F22*(AA$4&lt;=In_COD)</f>
        <v>0</v>
      </c>
      <c r="AB97" s="48" t="n">
        <f aca="false">AB95*$F22*(AB$4&lt;=In_COD)</f>
        <v>0</v>
      </c>
      <c r="AC97" s="48" t="n">
        <f aca="false">AC95*$F22*(AC$4&lt;=In_COD)</f>
        <v>0</v>
      </c>
      <c r="AD97" s="48" t="n">
        <f aca="false">AD95*$F22*(AD$4&lt;=In_COD)</f>
        <v>0</v>
      </c>
      <c r="AE97" s="48" t="n">
        <f aca="false">AE95*$F22*(AE$4&lt;=In_COD)</f>
        <v>0</v>
      </c>
      <c r="AF97" s="48" t="n">
        <f aca="false">AF95*$F22*(AF$4&lt;=In_COD)</f>
        <v>0</v>
      </c>
      <c r="AG97" s="48" t="n">
        <f aca="false">AG95*$F22*(AG$4&lt;=In_COD)</f>
        <v>0</v>
      </c>
      <c r="AH97" s="48" t="n">
        <f aca="false">AH95*$F22*(AH$4&lt;=In_COD)</f>
        <v>0</v>
      </c>
      <c r="AI97" s="48" t="n">
        <f aca="false">AI95*$F22*(AI$4&lt;=In_COD)</f>
        <v>0</v>
      </c>
      <c r="AJ97" s="48" t="n">
        <f aca="false">AJ95*$F22*(AJ$4&lt;=In_COD)</f>
        <v>0</v>
      </c>
      <c r="AK97" s="48" t="n">
        <f aca="false">AK95*$F22*(AK$4&lt;=In_COD)</f>
        <v>0</v>
      </c>
      <c r="AL97" s="48" t="n">
        <f aca="false">AL95*$F22*(AL$4&lt;=In_COD)</f>
        <v>0</v>
      </c>
      <c r="AM97" s="48" t="n">
        <f aca="false">AM95*$F22*(AM$4&lt;=In_COD)</f>
        <v>0</v>
      </c>
      <c r="AN97" s="48" t="n">
        <f aca="false">AN95*$F22*(AN$4&lt;=In_COD)</f>
        <v>0</v>
      </c>
      <c r="AO97" s="48" t="n">
        <f aca="false">AO95*$F22*(AO$4&lt;=In_COD)</f>
        <v>0</v>
      </c>
      <c r="AP97" s="48" t="n">
        <f aca="false">AP95*$F22*(AP$4&lt;=In_COD)</f>
        <v>0</v>
      </c>
      <c r="AQ97" s="48" t="n">
        <f aca="false">AQ95*$F22*(AQ$4&lt;=In_COD)</f>
        <v>0</v>
      </c>
      <c r="AR97" s="48" t="n">
        <f aca="false">AR95*$F22*(AR$4&lt;=In_COD)</f>
        <v>0</v>
      </c>
      <c r="AS97" s="48" t="n">
        <f aca="false">AS95*$F22*(AS$4&lt;=In_COD)</f>
        <v>0</v>
      </c>
      <c r="AT97" s="48" t="n">
        <f aca="false">AT95*$F22*(AT$4&lt;=In_COD)</f>
        <v>0</v>
      </c>
      <c r="AU97" s="48" t="n">
        <f aca="false">AU95*$F22*(AU$4&lt;=In_COD)</f>
        <v>0</v>
      </c>
      <c r="AV97" s="48" t="n">
        <f aca="false">AV95*$F22*(AV$4&lt;=In_COD)</f>
        <v>0</v>
      </c>
      <c r="AW97" s="48" t="n">
        <f aca="false">AW95*$F22*(AW$4&lt;=In_COD)</f>
        <v>0</v>
      </c>
      <c r="AX97" s="48" t="n">
        <f aca="false">AX95*$F22*(AX$4&lt;=In_COD)</f>
        <v>0</v>
      </c>
      <c r="AY97" s="48" t="n">
        <f aca="false">AY95*$F22*(AY$4&lt;=In_COD)</f>
        <v>0</v>
      </c>
      <c r="AZ97" s="48" t="n">
        <f aca="false">AZ95*$F22*(AZ$4&lt;=In_COD)</f>
        <v>0</v>
      </c>
      <c r="BA97" s="48" t="n">
        <f aca="false">BA95*$F22*(BA$4&lt;=In_COD)</f>
        <v>0</v>
      </c>
      <c r="BB97" s="48" t="n">
        <f aca="false">BB95*$F22*(BB$4&lt;=In_COD)</f>
        <v>0</v>
      </c>
      <c r="BC97" s="48" t="n">
        <f aca="false">BC95*$F22*(BC$4&lt;=In_COD)</f>
        <v>0</v>
      </c>
      <c r="BD97" s="48" t="n">
        <f aca="false">BD95*$F22*(BD$4&lt;=In_COD)</f>
        <v>0</v>
      </c>
      <c r="BE97" s="48" t="n">
        <f aca="false">BE95*$F22*(BE$4&lt;=In_COD)</f>
        <v>0</v>
      </c>
      <c r="BF97" s="48" t="n">
        <f aca="false">BF95*$F22*(BF$4&lt;=In_COD)</f>
        <v>0</v>
      </c>
      <c r="BG97" s="48" t="n">
        <f aca="false">BG95*$F22*(BG$4&lt;=In_COD)</f>
        <v>0</v>
      </c>
      <c r="BH97" s="48" t="n">
        <f aca="false">BH95*$F22*(BH$4&lt;=In_COD)</f>
        <v>0</v>
      </c>
      <c r="BI97" s="48" t="n">
        <f aca="false">BI95*$F22*(BI$4&lt;=In_COD)</f>
        <v>0</v>
      </c>
      <c r="BJ97" s="48" t="n">
        <f aca="false">BJ95*$F22*(BJ$4&lt;=In_COD)</f>
        <v>0</v>
      </c>
      <c r="BK97" s="48" t="n">
        <f aca="false">BK95*$F22*(BK$4&lt;=In_COD)</f>
        <v>0</v>
      </c>
      <c r="BL97" s="48" t="n">
        <f aca="false">BL95*$F22*(BL$4&lt;=In_COD)</f>
        <v>0</v>
      </c>
      <c r="BM97" s="48" t="n">
        <f aca="false">BM95*$F22*(BM$4&lt;=In_COD)</f>
        <v>0</v>
      </c>
      <c r="BN97" s="48" t="n">
        <f aca="false">BN95*$F22*(BN$4&lt;=In_COD)</f>
        <v>0</v>
      </c>
      <c r="BO97" s="48" t="n">
        <f aca="false">BO95*$F22*(BO$4&lt;=In_COD)</f>
        <v>0</v>
      </c>
      <c r="BP97" s="48" t="n">
        <f aca="false">BP95*$F22*(BP$4&lt;=In_COD)</f>
        <v>0</v>
      </c>
      <c r="BQ97" s="48" t="n">
        <f aca="false">BQ95*$F22*(BQ$4&lt;=In_COD)</f>
        <v>0</v>
      </c>
      <c r="BR97" s="48" t="n">
        <f aca="false">BR95*$F22*(BR$4&lt;=In_COD)</f>
        <v>0</v>
      </c>
      <c r="BS97" s="48" t="n">
        <f aca="false">BS95*$F22*(BS$4&lt;=In_COD)</f>
        <v>0</v>
      </c>
      <c r="BT97" s="48" t="n">
        <f aca="false">BT95*$F22*(BT$4&lt;=In_COD)</f>
        <v>0</v>
      </c>
      <c r="BU97" s="48" t="n">
        <f aca="false">BU95*$F22*(BU$4&lt;=In_COD)</f>
        <v>0</v>
      </c>
      <c r="BV97" s="48" t="n">
        <f aca="false">BV95*$F22*(BV$4&lt;=In_COD)</f>
        <v>0</v>
      </c>
      <c r="BW97" s="48" t="n">
        <f aca="false">BW95*$F22*(BW$4&lt;=In_COD)</f>
        <v>0</v>
      </c>
      <c r="BX97" s="48" t="n">
        <f aca="false">BX95*$F22*(BX$4&lt;=In_COD)</f>
        <v>0</v>
      </c>
      <c r="BY97" s="48" t="n">
        <f aca="false">BY95*$F22*(BY$4&lt;=In_COD)</f>
        <v>0</v>
      </c>
      <c r="BZ97" s="48" t="n">
        <f aca="false">BZ95*$F22*(BZ$4&lt;=In_COD)</f>
        <v>0</v>
      </c>
      <c r="CA97" s="48" t="n">
        <f aca="false">CA95*$F22*(CA$4&lt;=In_COD)</f>
        <v>0</v>
      </c>
      <c r="CB97" s="48" t="n">
        <f aca="false">CB95*$F22*(CB$4&lt;=In_COD)</f>
        <v>0</v>
      </c>
      <c r="CC97" s="48" t="n">
        <f aca="false">CC95*$F22*(CC$4&lt;=In_COD)</f>
        <v>0</v>
      </c>
      <c r="CD97" s="48" t="n">
        <f aca="false">CD95*$F22*(CD$4&lt;=In_COD)</f>
        <v>0</v>
      </c>
      <c r="CE97" s="48" t="n">
        <f aca="false">CE95*$F22*(CE$4&lt;=In_COD)</f>
        <v>0</v>
      </c>
      <c r="CF97" s="48" t="n">
        <f aca="false">CF95*$F22*(CF$4&lt;=In_COD)</f>
        <v>0</v>
      </c>
      <c r="CG97" s="48" t="n">
        <f aca="false">CG95*$F22*(CG$4&lt;=In_COD)</f>
        <v>0</v>
      </c>
      <c r="CH97" s="48" t="n">
        <f aca="false">CH95*$F22*(CH$4&lt;=In_COD)</f>
        <v>0</v>
      </c>
      <c r="CI97" s="48" t="n">
        <f aca="false">CI95*$F22*(CI$4&lt;=In_COD)</f>
        <v>0</v>
      </c>
      <c r="CJ97" s="48" t="n">
        <f aca="false">CJ95*$F22*(CJ$4&lt;=In_COD)</f>
        <v>0</v>
      </c>
      <c r="CK97" s="48" t="n">
        <f aca="false">CK95*$F22*(CK$4&lt;=In_COD)</f>
        <v>0</v>
      </c>
      <c r="CL97" s="48" t="n">
        <f aca="false">CL95*$F22*(CL$4&lt;=In_COD)</f>
        <v>0</v>
      </c>
      <c r="CM97" s="48" t="n">
        <f aca="false">CM95*$F22*(CM$4&lt;=In_COD)</f>
        <v>0</v>
      </c>
      <c r="CN97" s="48" t="n">
        <f aca="false">CN95*$F22*(CN$4&lt;=In_COD)</f>
        <v>0</v>
      </c>
      <c r="CO97" s="48" t="n">
        <f aca="false">CO95*$F22*(CO$4&lt;=In_COD)</f>
        <v>0</v>
      </c>
      <c r="CP97" s="48" t="n">
        <f aca="false">CP95*$F22*(CP$4&lt;=In_COD)</f>
        <v>0</v>
      </c>
      <c r="CQ97" s="48" t="n">
        <f aca="false">CQ95*$F22*(CQ$4&lt;=In_COD)</f>
        <v>0</v>
      </c>
      <c r="CR97" s="48" t="n">
        <f aca="false">CR95*$F22*(CR$4&lt;=In_COD)</f>
        <v>0</v>
      </c>
      <c r="CS97" s="48" t="n">
        <f aca="false">CS95*$F22*(CS$4&lt;=In_COD)</f>
        <v>0</v>
      </c>
      <c r="CT97" s="48" t="n">
        <f aca="false">CT95*$F22*(CT$4&lt;=In_COD)</f>
        <v>0</v>
      </c>
      <c r="CU97" s="48" t="n">
        <f aca="false">CU95*$F22*(CU$4&lt;=In_COD)</f>
        <v>0</v>
      </c>
      <c r="CV97" s="48" t="n">
        <f aca="false">CV95*$F22*(CV$4&lt;=In_COD)</f>
        <v>0</v>
      </c>
      <c r="CW97" s="48" t="n">
        <f aca="false">CW95*$F22*(CW$4&lt;=In_COD)</f>
        <v>0</v>
      </c>
      <c r="CX97" s="48" t="n">
        <f aca="false">CX95*$F22*(CX$4&lt;=In_COD)</f>
        <v>0</v>
      </c>
      <c r="CY97" s="48" t="n">
        <f aca="false">CY95*$F22*(CY$4&lt;=In_COD)</f>
        <v>0</v>
      </c>
      <c r="CZ97" s="48" t="n">
        <f aca="false">CZ95*$F22*(CZ$4&lt;=In_COD)</f>
        <v>0</v>
      </c>
      <c r="DA97" s="48" t="n">
        <f aca="false">DA95*$F22*(DA$4&lt;=In_COD)</f>
        <v>0</v>
      </c>
      <c r="DB97" s="48" t="n">
        <f aca="false">DB95*$F22*(DB$4&lt;=In_COD)</f>
        <v>0</v>
      </c>
      <c r="DC97" s="48" t="n">
        <f aca="false">DC95*$F22*(DC$4&lt;=In_COD)</f>
        <v>0</v>
      </c>
      <c r="DD97" s="48" t="n">
        <f aca="false">DD95*$F22*(DD$4&lt;=In_COD)</f>
        <v>0</v>
      </c>
      <c r="DE97" s="48" t="n">
        <f aca="false">DE95*$F22*(DE$4&lt;=In_COD)</f>
        <v>0</v>
      </c>
      <c r="DF97" s="48" t="n">
        <f aca="false">DF95*$F22*(DF$4&lt;=In_COD)</f>
        <v>0</v>
      </c>
      <c r="DG97" s="48" t="n">
        <f aca="false">DG95*$F22*(DG$4&lt;=In_COD)</f>
        <v>0</v>
      </c>
      <c r="DH97" s="48" t="n">
        <f aca="false">DH95*$F22*(DH$4&lt;=In_COD)</f>
        <v>0</v>
      </c>
      <c r="DI97" s="48" t="n">
        <f aca="false">DI95*$F22*(DI$4&lt;=In_COD)</f>
        <v>0</v>
      </c>
      <c r="DJ97" s="48" t="n">
        <f aca="false">DJ95*$F22*(DJ$4&lt;=In_COD)</f>
        <v>0</v>
      </c>
      <c r="DK97" s="48" t="n">
        <f aca="false">DK95*$F22*(DK$4&lt;=In_COD)</f>
        <v>0</v>
      </c>
      <c r="DL97" s="48" t="n">
        <f aca="false">DL95*$F22*(DL$4&lt;=In_COD)</f>
        <v>0</v>
      </c>
      <c r="DM97" s="48" t="n">
        <f aca="false">DM95*$F22*(DM$4&lt;=In_COD)</f>
        <v>0</v>
      </c>
      <c r="DN97" s="48" t="n">
        <f aca="false">DN95*$F22*(DN$4&lt;=In_COD)</f>
        <v>0</v>
      </c>
      <c r="DO97" s="48" t="n">
        <f aca="false">DO95*$F22*(DO$4&lt;=In_COD)</f>
        <v>0</v>
      </c>
      <c r="DP97" s="48" t="n">
        <f aca="false">DP95*$F22*(DP$4&lt;=In_COD)</f>
        <v>0</v>
      </c>
      <c r="DQ97" s="48" t="n">
        <f aca="false">DQ95*$F22*(DQ$4&lt;=In_COD)</f>
        <v>0</v>
      </c>
      <c r="DR97" s="48" t="n">
        <f aca="false">DR95*$F22*(DR$4&lt;=In_COD)</f>
        <v>0</v>
      </c>
      <c r="DS97" s="48" t="n">
        <f aca="false">DS95*$F22*(DS$4&lt;=In_COD)</f>
        <v>0</v>
      </c>
      <c r="DT97" s="48" t="n">
        <f aca="false">DT95*$F22*(DT$4&lt;=In_COD)</f>
        <v>0</v>
      </c>
      <c r="DU97" s="48" t="n">
        <f aca="false">DU95*$F22*(DU$4&lt;=In_COD)</f>
        <v>0</v>
      </c>
      <c r="DV97" s="48" t="n">
        <f aca="false">DV95*$F22*(DV$4&lt;=In_COD)</f>
        <v>0</v>
      </c>
      <c r="DW97" s="48" t="n">
        <f aca="false">DW95*$F22*(DW$4&lt;=In_COD)</f>
        <v>0</v>
      </c>
      <c r="DX97" s="48" t="n">
        <f aca="false">DX95*$F22*(DX$4&lt;=In_COD)</f>
        <v>0</v>
      </c>
      <c r="DY97" s="48" t="n">
        <f aca="false">DY95*$F22*(DY$4&lt;=In_COD)</f>
        <v>0</v>
      </c>
      <c r="DZ97" s="48" t="n">
        <f aca="false">DZ95*$F22*(DZ$4&lt;=In_COD)</f>
        <v>0</v>
      </c>
      <c r="EA97" s="48" t="n">
        <f aca="false">EA95*$F22*(EA$4&lt;=In_COD)</f>
        <v>0</v>
      </c>
      <c r="EB97" s="48" t="n">
        <f aca="false">EB95*$F22*(EB$4&lt;=In_COD)</f>
        <v>0</v>
      </c>
      <c r="EC97" s="48" t="n">
        <f aca="false">EC95*$F22*(EC$4&lt;=In_COD)</f>
        <v>0</v>
      </c>
      <c r="ED97" s="48" t="n">
        <f aca="false">ED95*$F22*(ED$4&lt;=In_COD)</f>
        <v>0</v>
      </c>
      <c r="EE97" s="48" t="n">
        <f aca="false">EE95*$F22*(EE$4&lt;=In_COD)</f>
        <v>0</v>
      </c>
      <c r="EF97" s="48" t="n">
        <f aca="false">EF95*$F22*(EF$4&lt;=In_COD)</f>
        <v>0</v>
      </c>
      <c r="EG97" s="48" t="n">
        <f aca="false">EG95*$F22*(EG$4&lt;=In_COD)</f>
        <v>0</v>
      </c>
      <c r="EH97" s="48" t="n">
        <f aca="false">EH95*$F22*(EH$4&lt;=In_COD)</f>
        <v>0</v>
      </c>
      <c r="EI97" s="48" t="n">
        <f aca="false">EI95*$F22*(EI$4&lt;=In_COD)</f>
        <v>0</v>
      </c>
      <c r="EJ97" s="48" t="n">
        <f aca="false">EJ95*$F22*(EJ$4&lt;=In_COD)</f>
        <v>0</v>
      </c>
      <c r="EK97" s="48" t="n">
        <f aca="false">EK95*$F22*(EK$4&lt;=In_COD)</f>
        <v>0</v>
      </c>
      <c r="EL97" s="48" t="n">
        <f aca="false">EL95*$F22*(EL$4&lt;=In_COD)</f>
        <v>0</v>
      </c>
      <c r="EM97" s="48" t="n">
        <f aca="false">EM95*$F22*(EM$4&lt;=In_COD)</f>
        <v>0</v>
      </c>
      <c r="EN97" s="48" t="n">
        <f aca="false">EN95*$F22*(EN$4&lt;=In_COD)</f>
        <v>0</v>
      </c>
      <c r="EO97" s="48" t="n">
        <f aca="false">EO95*$F22*(EO$4&lt;=In_COD)</f>
        <v>0</v>
      </c>
    </row>
    <row r="98" customFormat="false" ht="15" hidden="false" customHeight="false" outlineLevel="0" collapsed="false">
      <c r="C98" s="0" t="s">
        <v>474</v>
      </c>
      <c r="D98" s="11" t="s">
        <v>33</v>
      </c>
      <c r="I98" s="48" t="n">
        <f aca="false">SUM(J98:EO98)</f>
        <v>-59055.4976513215</v>
      </c>
      <c r="J98" s="48" t="n">
        <f aca="false">J94-J93</f>
        <v>0</v>
      </c>
      <c r="K98" s="48" t="n">
        <f aca="false">K94-K93</f>
        <v>0</v>
      </c>
      <c r="L98" s="48" t="n">
        <f aca="false">L94-L93</f>
        <v>0</v>
      </c>
      <c r="M98" s="48" t="n">
        <f aca="false">M94-M93</f>
        <v>0</v>
      </c>
      <c r="N98" s="48" t="n">
        <f aca="false">N94-N93</f>
        <v>0</v>
      </c>
      <c r="O98" s="48" t="n">
        <f aca="false">O94-O93</f>
        <v>0</v>
      </c>
      <c r="P98" s="48" t="n">
        <f aca="false">P94-P93</f>
        <v>0</v>
      </c>
      <c r="Q98" s="48" t="n">
        <f aca="false">Q94-Q93</f>
        <v>0</v>
      </c>
      <c r="R98" s="48" t="n">
        <f aca="false">R94-R93</f>
        <v>0</v>
      </c>
      <c r="S98" s="48" t="n">
        <f aca="false">S94-S93</f>
        <v>0</v>
      </c>
      <c r="T98" s="48" t="n">
        <f aca="false">T94-T93</f>
        <v>0</v>
      </c>
      <c r="U98" s="48" t="n">
        <f aca="false">U94-U93</f>
        <v>0</v>
      </c>
      <c r="V98" s="48" t="n">
        <f aca="false">V94-V93</f>
        <v>0</v>
      </c>
      <c r="W98" s="48" t="n">
        <f aca="false">W94-W93</f>
        <v>0</v>
      </c>
      <c r="X98" s="48" t="n">
        <f aca="false">X94-X93</f>
        <v>0</v>
      </c>
      <c r="Y98" s="48" t="n">
        <f aca="false">Y94-Y93</f>
        <v>0</v>
      </c>
      <c r="Z98" s="48" t="n">
        <f aca="false">Z94-Z93</f>
        <v>-507.808811590709</v>
      </c>
      <c r="AA98" s="48" t="n">
        <f aca="false">AA94-AA93</f>
        <v>-495.237484603564</v>
      </c>
      <c r="AB98" s="48" t="n">
        <f aca="false">AB94-AB93</f>
        <v>-514.4913240689</v>
      </c>
      <c r="AC98" s="48" t="n">
        <f aca="false">AC94-AC93</f>
        <v>-533.976243089086</v>
      </c>
      <c r="AD98" s="48" t="n">
        <f aca="false">AD94-AD93</f>
        <v>-536.218888921078</v>
      </c>
      <c r="AE98" s="48" t="n">
        <f aca="false">AE94-AE93</f>
        <v>-537.190295550095</v>
      </c>
      <c r="AF98" s="48" t="n">
        <f aca="false">AF94-AF93</f>
        <v>-543.637513238185</v>
      </c>
      <c r="AG98" s="48" t="n">
        <f aca="false">AG94-AG93</f>
        <v>-563.512676534228</v>
      </c>
      <c r="AH98" s="48" t="n">
        <f aca="false">AH94-AH93</f>
        <v>-566.083396277398</v>
      </c>
      <c r="AI98" s="48" t="n">
        <f aca="false">AI94-AI93</f>
        <v>-553.912529298671</v>
      </c>
      <c r="AJ98" s="48" t="n">
        <f aca="false">AJ94-AJ93</f>
        <v>-590.250208168824</v>
      </c>
      <c r="AK98" s="48" t="n">
        <f aca="false">AK94-AK93</f>
        <v>-610.903300120859</v>
      </c>
      <c r="AL98" s="48" t="n">
        <f aca="false">AL94-AL93</f>
        <v>-599.541985862899</v>
      </c>
      <c r="AM98" s="48" t="n">
        <f aca="false">AM94-AM93</f>
        <v>-587.233655063622</v>
      </c>
      <c r="AN98" s="48" t="n">
        <f aca="false">AN94-AN93</f>
        <v>-607.147724379616</v>
      </c>
      <c r="AO98" s="48" t="n">
        <f aca="false">AO94-AO93</f>
        <v>-627.290874751488</v>
      </c>
      <c r="AP98" s="48" t="n">
        <f aca="false">AP94-AP93</f>
        <v>-630.605627437613</v>
      </c>
      <c r="AQ98" s="48" t="n">
        <f aca="false">AQ94-AQ93</f>
        <v>-618.514190410259</v>
      </c>
      <c r="AR98" s="48" t="n">
        <f aca="false">AR94-AR93</f>
        <v>-638.82221479473</v>
      </c>
      <c r="AS98" s="48" t="n">
        <f aca="false">AS94-AS93</f>
        <v>-659.363852088491</v>
      </c>
      <c r="AT98" s="48" t="n">
        <f aca="false">AT94-AT93</f>
        <v>-663.023044021144</v>
      </c>
      <c r="AU98" s="48" t="n">
        <f aca="false">AU94-AU93</f>
        <v>-664.388797354005</v>
      </c>
      <c r="AV98" s="48" t="n">
        <f aca="false">AV94-AV93</f>
        <v>-672.031579187787</v>
      </c>
      <c r="AW98" s="48" t="n">
        <f aca="false">AW94-AW93</f>
        <v>-692.98827106516</v>
      </c>
      <c r="AX98" s="48" t="n">
        <f aca="false">AX94-AX93</f>
        <v>-697.009672347968</v>
      </c>
      <c r="AY98" s="48" t="n">
        <f aca="false">AY94-AY93</f>
        <v>-685.397399804256</v>
      </c>
      <c r="AZ98" s="48" t="n">
        <f aca="false">AZ94-AZ93</f>
        <v>-706.539748448874</v>
      </c>
      <c r="BA98" s="48" t="n">
        <f aca="false">BA94-BA93</f>
        <v>-727.925307633449</v>
      </c>
      <c r="BB98" s="48" t="n">
        <f aca="false">BB94-BB93</f>
        <v>-732.323942481862</v>
      </c>
      <c r="BC98" s="48" t="n">
        <f aca="false">BC94-BC93</f>
        <v>-720.973606360076</v>
      </c>
      <c r="BD98" s="48" t="n">
        <f aca="false">BD94-BD93</f>
        <v>-742.555940036677</v>
      </c>
      <c r="BE98" s="48" t="n">
        <f aca="false">BE94-BE93</f>
        <v>-764.386545611312</v>
      </c>
      <c r="BF98" s="48" t="n">
        <f aca="false">BF94-BF93</f>
        <v>-769.179873662589</v>
      </c>
      <c r="BG98" s="48" t="n">
        <f aca="false">BG94-BG93</f>
        <v>-758.107889458101</v>
      </c>
      <c r="BH98" s="48" t="n">
        <f aca="false">BH94-BH93</f>
        <v>-780.146921605042</v>
      </c>
      <c r="BI98" s="48" t="n">
        <f aca="false">BI94-BI93</f>
        <v>-802.439479270766</v>
      </c>
      <c r="BJ98" s="48" t="n">
        <f aca="false">BJ94-BJ93</f>
        <v>-807.645738107454</v>
      </c>
      <c r="BK98" s="48" t="n">
        <f aca="false">BK94-BK93</f>
        <v>-810.21571654261</v>
      </c>
      <c r="BL98" s="48" t="n">
        <f aca="false">BL94-BL93</f>
        <v>-819.53601511553</v>
      </c>
      <c r="BM98" s="48" t="n">
        <f aca="false">BM94-BM93</f>
        <v>-842.309957010859</v>
      </c>
      <c r="BN98" s="48" t="n">
        <f aca="false">BN94-BN93</f>
        <v>-847.949983839716</v>
      </c>
      <c r="BO98" s="48" t="n">
        <f aca="false">BO94-BO93</f>
        <v>-837.488863221826</v>
      </c>
      <c r="BP98" s="48" t="n">
        <f aca="false">BP94-BP93</f>
        <v>-860.496301900629</v>
      </c>
      <c r="BQ98" s="48" t="n">
        <f aca="false">BQ94-BQ93</f>
        <v>-883.768406141325</v>
      </c>
      <c r="BR98" s="48" t="n">
        <f aca="false">BR94-BR93</f>
        <v>-889.860398924</v>
      </c>
      <c r="BS98" s="48" t="n">
        <f aca="false">BS94-BS93</f>
        <v>-879.731710465132</v>
      </c>
      <c r="BT98" s="48" t="n">
        <f aca="false">BT94-BT93</f>
        <v>-903.250724499738</v>
      </c>
      <c r="BU98" s="48" t="n">
        <f aca="false">BU94-BU93</f>
        <v>-927.040288992026</v>
      </c>
      <c r="BV98" s="48" t="n">
        <f aca="false">BV94-BV93</f>
        <v>-933.605040988853</v>
      </c>
      <c r="BW98" s="48" t="n">
        <f aca="false">BW94-BW93</f>
        <v>-923.828493271142</v>
      </c>
      <c r="BX98" s="48" t="n">
        <f aca="false">BX94-BX93</f>
        <v>-947.879022464725</v>
      </c>
      <c r="BY98" s="48" t="n">
        <f aca="false">BY94-BY93</f>
        <v>-972.206216388863</v>
      </c>
      <c r="BZ98" s="48" t="n">
        <f aca="false">BZ94-BZ93</f>
        <v>-979.265449922746</v>
      </c>
      <c r="CA98" s="48" t="n">
        <f aca="false">CA94-CA93</f>
        <v>-983.30777378665</v>
      </c>
      <c r="CB98" s="48" t="n">
        <f aca="false">CB94-CB93</f>
        <v>-994.619233011038</v>
      </c>
      <c r="CC98" s="48" t="n">
        <f aca="false">CC94-CC93</f>
        <v>-1019.50691658146</v>
      </c>
      <c r="CD98" s="48" t="n">
        <f aca="false">CD94-CD93</f>
        <v>-1027.08512500653</v>
      </c>
      <c r="CE98" s="48" t="n">
        <f aca="false">CE94-CE93</f>
        <v>-1018.0775233919</v>
      </c>
      <c r="CF98" s="48" t="n">
        <f aca="false">CF94-CF93</f>
        <v>-1043.25639096436</v>
      </c>
      <c r="CG98" s="48" t="n">
        <f aca="false">CG94-CG93</f>
        <v>-1068.72490308296</v>
      </c>
      <c r="CH98" s="48" t="n">
        <f aca="false">CH94-CH93</f>
        <v>-1076.84407978442</v>
      </c>
      <c r="CI98" s="48" t="n">
        <f aca="false">CI94-CI93</f>
        <v>-1068.25351502018</v>
      </c>
      <c r="CJ98" s="48" t="n">
        <f aca="false">CJ94-CJ93</f>
        <v>-1094.02938074916</v>
      </c>
      <c r="CK98" s="48" t="n">
        <f aca="false">CK94-CK93</f>
        <v>-1120.10175857937</v>
      </c>
      <c r="CL98" s="48" t="n">
        <f aca="false">CL94-CL93</f>
        <v>-1128.78667793003</v>
      </c>
      <c r="CM98" s="48" t="n">
        <f aca="false">CM94-CM93</f>
        <v>-1120.63680010442</v>
      </c>
      <c r="CN98" s="48" t="n">
        <f aca="false">CN94-CN93</f>
        <v>-1147.03347216395</v>
      </c>
      <c r="CO98" s="48" t="n">
        <f aca="false">CO94-CO93</f>
        <v>-1173.73379775661</v>
      </c>
      <c r="CP98" s="48" t="n">
        <f aca="false">CP94-CP93</f>
        <v>-1183.0103440957</v>
      </c>
      <c r="CQ98" s="48" t="n">
        <f aca="false">CQ94-CQ93</f>
        <v>-1188.84793561741</v>
      </c>
      <c r="CR98" s="48" t="n">
        <f aca="false">CR94-CR93</f>
        <v>-1202.52382154667</v>
      </c>
      <c r="CS98" s="48" t="n">
        <f aca="false">CS94-CS93</f>
        <v>-1229.87905975231</v>
      </c>
      <c r="CT98" s="48" t="n">
        <f aca="false">CT94-CT93</f>
        <v>3.0041746867937E-012</v>
      </c>
      <c r="CU98" s="48" t="n">
        <f aca="false">CU94-CU93</f>
        <v>3.04172687037863E-012</v>
      </c>
      <c r="CV98" s="48" t="n">
        <f aca="false">CV94-CV93</f>
        <v>3.07974845625836E-012</v>
      </c>
      <c r="CW98" s="48" t="n">
        <f aca="false">CW94-CW93</f>
        <v>3.11824531196159E-012</v>
      </c>
      <c r="CX98" s="48" t="n">
        <f aca="false">CX94-CX93</f>
        <v>3.15722337836111E-012</v>
      </c>
      <c r="CY98" s="48" t="n">
        <f aca="false">CY94-CY93</f>
        <v>3.19668867059062E-012</v>
      </c>
      <c r="CZ98" s="48" t="n">
        <f aca="false">CZ94-CZ93</f>
        <v>3.236647278973E-012</v>
      </c>
      <c r="DA98" s="48" t="n">
        <f aca="false">DA94-DA93</f>
        <v>3.27710536996017E-012</v>
      </c>
      <c r="DB98" s="48" t="n">
        <f aca="false">DB94-DB93</f>
        <v>3.31806918708467E-012</v>
      </c>
      <c r="DC98" s="48" t="n">
        <f aca="false">DC94-DC93</f>
        <v>3.35954505192323E-012</v>
      </c>
      <c r="DD98" s="48" t="n">
        <f aca="false">DD94-DD93</f>
        <v>3.40153936507227E-012</v>
      </c>
      <c r="DE98" s="48" t="n">
        <f aca="false">DE94-DE93</f>
        <v>3.44405860713567E-012</v>
      </c>
      <c r="DF98" s="48" t="n">
        <f aca="false">DF94-DF93</f>
        <v>3.48710933972487E-012</v>
      </c>
      <c r="DG98" s="48" t="n">
        <f aca="false">DG94-DG93</f>
        <v>3.53069820647143E-012</v>
      </c>
      <c r="DH98" s="48" t="n">
        <f aca="false">DH94-DH93</f>
        <v>3.57483193405232E-012</v>
      </c>
      <c r="DI98" s="48" t="n">
        <f aca="false">DI94-DI93</f>
        <v>3.61951733322797E-012</v>
      </c>
      <c r="DJ98" s="48" t="n">
        <f aca="false">DJ94-DJ93</f>
        <v>3.66476129989332E-012</v>
      </c>
      <c r="DK98" s="48" t="n">
        <f aca="false">DK94-DK93</f>
        <v>3.71057081614199E-012</v>
      </c>
      <c r="DL98" s="48" t="n">
        <f aca="false">DL94-DL93</f>
        <v>3.75695295134377E-012</v>
      </c>
      <c r="DM98" s="48" t="n">
        <f aca="false">DM94-DM93</f>
        <v>3.80391486323556E-012</v>
      </c>
      <c r="DN98" s="48" t="n">
        <f aca="false">DN94-DN93</f>
        <v>3.85146379902601E-012</v>
      </c>
      <c r="DO98" s="48" t="n">
        <f aca="false">DO94-DO93</f>
        <v>3.89960709651383E-012</v>
      </c>
      <c r="DP98" s="48" t="n">
        <f aca="false">DP94-DP93</f>
        <v>3.94835218522025E-012</v>
      </c>
      <c r="DQ98" s="48" t="n">
        <f aca="false">DQ94-DQ93</f>
        <v>3.99770658753551E-012</v>
      </c>
      <c r="DR98" s="48" t="n">
        <f aca="false">DR94-DR93</f>
        <v>4.0476779198797E-012</v>
      </c>
      <c r="DS98" s="48" t="n">
        <f aca="false">DS94-DS93</f>
        <v>4.0982738938782E-012</v>
      </c>
      <c r="DT98" s="48" t="n">
        <f aca="false">DT94-DT93</f>
        <v>4.14950231755168E-012</v>
      </c>
      <c r="DU98" s="48" t="n">
        <f aca="false">DU94-DU93</f>
        <v>4.20137109652107E-012</v>
      </c>
      <c r="DV98" s="48" t="n">
        <f aca="false">DV94-DV93</f>
        <v>4.25388823522759E-012</v>
      </c>
      <c r="DW98" s="48" t="n">
        <f aca="false">DW94-DW93</f>
        <v>4.30706183816793E-012</v>
      </c>
      <c r="DX98" s="48" t="n">
        <f aca="false">DX94-DX93</f>
        <v>4.36090011114503E-012</v>
      </c>
      <c r="DY98" s="48" t="n">
        <f aca="false">DY94-DY93</f>
        <v>4.41541136253434E-012</v>
      </c>
      <c r="DZ98" s="48" t="n">
        <f aca="false">DZ94-DZ93</f>
        <v>4.47060400456602E-012</v>
      </c>
      <c r="EA98" s="48" t="n">
        <f aca="false">EA94-EA93</f>
        <v>4.5264865546231E-012</v>
      </c>
      <c r="EB98" s="48" t="n">
        <f aca="false">EB94-EB93</f>
        <v>4.58306763655589E-012</v>
      </c>
      <c r="EC98" s="48" t="n">
        <f aca="false">EC94-EC93</f>
        <v>4.64035598201284E-012</v>
      </c>
      <c r="ED98" s="48" t="n">
        <f aca="false">ED94-ED93</f>
        <v>4.698360431788E-012</v>
      </c>
      <c r="EE98" s="48" t="n">
        <f aca="false">EE94-EE93</f>
        <v>4.75708993718535E-012</v>
      </c>
      <c r="EF98" s="48" t="n">
        <f aca="false">EF94-EF93</f>
        <v>4.81655356140016E-012</v>
      </c>
      <c r="EG98" s="48" t="n">
        <f aca="false">EG94-EG93</f>
        <v>4.87676048091766E-012</v>
      </c>
      <c r="EH98" s="48" t="n">
        <f aca="false">EH94-EH93</f>
        <v>4.93771998692913E-012</v>
      </c>
      <c r="EI98" s="48" t="n">
        <f aca="false">EI94-EI93</f>
        <v>4.99944148676575E-012</v>
      </c>
      <c r="EJ98" s="48" t="n">
        <f aca="false">EJ94-EJ93</f>
        <v>5.06193450535032E-012</v>
      </c>
      <c r="EK98" s="48" t="n">
        <f aca="false">EK94-EK93</f>
        <v>5.1252086866672E-012</v>
      </c>
      <c r="EL98" s="48" t="n">
        <f aca="false">EL94-EL93</f>
        <v>5.18927379525054E-012</v>
      </c>
      <c r="EM98" s="48" t="n">
        <f aca="false">EM94-EM93</f>
        <v>5.25413971769117E-012</v>
      </c>
      <c r="EN98" s="48" t="n">
        <f aca="false">EN94-EN93</f>
        <v>5.31981646416231E-012</v>
      </c>
      <c r="EO98" s="48" t="n">
        <f aca="false">EO94-EO93</f>
        <v>5.38631416996434E-012</v>
      </c>
    </row>
    <row r="99" customFormat="false" ht="15" hidden="false" customHeight="false" outlineLevel="0" collapsed="false">
      <c r="C99" s="25" t="s">
        <v>475</v>
      </c>
      <c r="D99" s="11" t="s">
        <v>33</v>
      </c>
      <c r="E99" s="57" t="n">
        <f aca="false">SUMIF($J$4:$EO$4,In_COD,$J99:$EO99)</f>
        <v>59055.4976513219</v>
      </c>
      <c r="I99" s="59"/>
      <c r="J99" s="57" t="n">
        <f aca="false">SUM(J95:J98)</f>
        <v>0</v>
      </c>
      <c r="K99" s="57" t="n">
        <f aca="false">SUM(K95:K98)</f>
        <v>0</v>
      </c>
      <c r="L99" s="57" t="n">
        <f aca="false">SUM(L95:L98)</f>
        <v>0</v>
      </c>
      <c r="M99" s="57" t="n">
        <f aca="false">SUM(M95:M98)</f>
        <v>0</v>
      </c>
      <c r="N99" s="57" t="n">
        <f aca="false">SUM(N95:N98)</f>
        <v>0</v>
      </c>
      <c r="O99" s="57" t="n">
        <f aca="false">SUM(O95:O98)</f>
        <v>0</v>
      </c>
      <c r="P99" s="57" t="n">
        <f aca="false">SUM(P95:P98)</f>
        <v>0</v>
      </c>
      <c r="Q99" s="57" t="n">
        <f aca="false">SUM(Q95:Q98)</f>
        <v>0</v>
      </c>
      <c r="R99" s="57" t="n">
        <f aca="false">SUM(R95:R98)</f>
        <v>6374.47363013699</v>
      </c>
      <c r="S99" s="57" t="n">
        <f aca="false">SUM(S95:S98)</f>
        <v>17175.2053998288</v>
      </c>
      <c r="T99" s="57" t="n">
        <f aca="false">SUM(T95:T98)</f>
        <v>23695.0813406143</v>
      </c>
      <c r="U99" s="57" t="n">
        <f aca="false">SUM(U95:U98)</f>
        <v>30365.743487509</v>
      </c>
      <c r="V99" s="57" t="n">
        <f aca="false">SUM(V95:V98)</f>
        <v>37119.7889112398</v>
      </c>
      <c r="W99" s="57" t="n">
        <f aca="false">SUM(W95:W98)</f>
        <v>43819.6843890687</v>
      </c>
      <c r="X99" s="57" t="n">
        <f aca="false">SUM(X95:X98)</f>
        <v>50672.6163172197</v>
      </c>
      <c r="Y99" s="57" t="n">
        <f aca="false">SUM(Y95:Y98)</f>
        <v>59055.4976513219</v>
      </c>
      <c r="Z99" s="57" t="n">
        <f aca="false">SUM(Z95:Z98)</f>
        <v>58547.6888397312</v>
      </c>
      <c r="AA99" s="57" t="n">
        <f aca="false">SUM(AA95:AA98)</f>
        <v>58052.4513551277</v>
      </c>
      <c r="AB99" s="57" t="n">
        <f aca="false">SUM(AB95:AB98)</f>
        <v>57537.9600310588</v>
      </c>
      <c r="AC99" s="57" t="n">
        <f aca="false">SUM(AC95:AC98)</f>
        <v>57003.9837879697</v>
      </c>
      <c r="AD99" s="57" t="n">
        <f aca="false">SUM(AD95:AD98)</f>
        <v>56467.7648990486</v>
      </c>
      <c r="AE99" s="57" t="n">
        <f aca="false">SUM(AE95:AE98)</f>
        <v>55930.5746034985</v>
      </c>
      <c r="AF99" s="57" t="n">
        <f aca="false">SUM(AF95:AF98)</f>
        <v>55386.9370902603</v>
      </c>
      <c r="AG99" s="57" t="n">
        <f aca="false">SUM(AG95:AG98)</f>
        <v>54823.4244137261</v>
      </c>
      <c r="AH99" s="57" t="n">
        <f aca="false">SUM(AH95:AH98)</f>
        <v>54257.3410174487</v>
      </c>
      <c r="AI99" s="57" t="n">
        <f aca="false">SUM(AI95:AI98)</f>
        <v>53703.42848815</v>
      </c>
      <c r="AJ99" s="57" t="n">
        <f aca="false">SUM(AJ95:AJ98)</f>
        <v>53113.1782799812</v>
      </c>
      <c r="AK99" s="57" t="n">
        <f aca="false">SUM(AK95:AK98)</f>
        <v>52502.2749798604</v>
      </c>
      <c r="AL99" s="57" t="n">
        <f aca="false">SUM(AL95:AL98)</f>
        <v>51902.7329939975</v>
      </c>
      <c r="AM99" s="57" t="n">
        <f aca="false">SUM(AM95:AM98)</f>
        <v>51315.4993389338</v>
      </c>
      <c r="AN99" s="57" t="n">
        <f aca="false">SUM(AN95:AN98)</f>
        <v>50708.3516145542</v>
      </c>
      <c r="AO99" s="57" t="n">
        <f aca="false">SUM(AO95:AO98)</f>
        <v>50081.0607398027</v>
      </c>
      <c r="AP99" s="57" t="n">
        <f aca="false">SUM(AP95:AP98)</f>
        <v>49450.4551123651</v>
      </c>
      <c r="AQ99" s="57" t="n">
        <f aca="false">SUM(AQ95:AQ98)</f>
        <v>48831.9409219549</v>
      </c>
      <c r="AR99" s="57" t="n">
        <f aca="false">SUM(AR95:AR98)</f>
        <v>48193.1187071601</v>
      </c>
      <c r="AS99" s="57" t="n">
        <f aca="false">SUM(AS95:AS98)</f>
        <v>47533.7548550716</v>
      </c>
      <c r="AT99" s="57" t="n">
        <f aca="false">SUM(AT95:AT98)</f>
        <v>46870.7318110505</v>
      </c>
      <c r="AU99" s="57" t="n">
        <f aca="false">SUM(AU95:AU98)</f>
        <v>46206.3430136965</v>
      </c>
      <c r="AV99" s="57" t="n">
        <f aca="false">SUM(AV95:AV98)</f>
        <v>45534.3114345087</v>
      </c>
      <c r="AW99" s="57" t="n">
        <f aca="false">SUM(AW95:AW98)</f>
        <v>44841.3231634435</v>
      </c>
      <c r="AX99" s="57" t="n">
        <f aca="false">SUM(AX95:AX98)</f>
        <v>44144.3134910956</v>
      </c>
      <c r="AY99" s="57" t="n">
        <f aca="false">SUM(AY95:AY98)</f>
        <v>43458.9160912913</v>
      </c>
      <c r="AZ99" s="57" t="n">
        <f aca="false">SUM(AZ95:AZ98)</f>
        <v>42752.3763428424</v>
      </c>
      <c r="BA99" s="57" t="n">
        <f aca="false">SUM(BA95:BA98)</f>
        <v>42024.451035209</v>
      </c>
      <c r="BB99" s="57" t="n">
        <f aca="false">SUM(BB95:BB98)</f>
        <v>41292.1270927271</v>
      </c>
      <c r="BC99" s="57" t="n">
        <f aca="false">SUM(BC95:BC98)</f>
        <v>40571.153486367</v>
      </c>
      <c r="BD99" s="57" t="n">
        <f aca="false">SUM(BD95:BD98)</f>
        <v>39828.5975463304</v>
      </c>
      <c r="BE99" s="57" t="n">
        <f aca="false">SUM(BE95:BE98)</f>
        <v>39064.2110007191</v>
      </c>
      <c r="BF99" s="57" t="n">
        <f aca="false">SUM(BF95:BF98)</f>
        <v>38295.0311270565</v>
      </c>
      <c r="BG99" s="57" t="n">
        <f aca="false">SUM(BG95:BG98)</f>
        <v>37536.9232375984</v>
      </c>
      <c r="BH99" s="57" t="n">
        <f aca="false">SUM(BH95:BH98)</f>
        <v>36756.7763159933</v>
      </c>
      <c r="BI99" s="57" t="n">
        <f aca="false">SUM(BI95:BI98)</f>
        <v>35954.3368367226</v>
      </c>
      <c r="BJ99" s="57" t="n">
        <f aca="false">SUM(BJ95:BJ98)</f>
        <v>35146.6910986151</v>
      </c>
      <c r="BK99" s="57" t="n">
        <f aca="false">SUM(BK95:BK98)</f>
        <v>34336.4753820725</v>
      </c>
      <c r="BL99" s="57" t="n">
        <f aca="false">SUM(BL95:BL98)</f>
        <v>33516.939366957</v>
      </c>
      <c r="BM99" s="57" t="n">
        <f aca="false">SUM(BM95:BM98)</f>
        <v>32674.6294099461</v>
      </c>
      <c r="BN99" s="57" t="n">
        <f aca="false">SUM(BN95:BN98)</f>
        <v>31826.6794261064</v>
      </c>
      <c r="BO99" s="57" t="n">
        <f aca="false">SUM(BO95:BO98)</f>
        <v>30989.1905628846</v>
      </c>
      <c r="BP99" s="57" t="n">
        <f aca="false">SUM(BP95:BP98)</f>
        <v>30128.6942609839</v>
      </c>
      <c r="BQ99" s="57" t="n">
        <f aca="false">SUM(BQ95:BQ98)</f>
        <v>29244.9258548426</v>
      </c>
      <c r="BR99" s="57" t="n">
        <f aca="false">SUM(BR95:BR98)</f>
        <v>28355.0654559186</v>
      </c>
      <c r="BS99" s="57" t="n">
        <f aca="false">SUM(BS95:BS98)</f>
        <v>27475.3337454535</v>
      </c>
      <c r="BT99" s="57" t="n">
        <f aca="false">SUM(BT95:BT98)</f>
        <v>26572.0830209537</v>
      </c>
      <c r="BU99" s="57" t="n">
        <f aca="false">SUM(BU95:BU98)</f>
        <v>25645.0427319617</v>
      </c>
      <c r="BV99" s="57" t="n">
        <f aca="false">SUM(BV95:BV98)</f>
        <v>24711.4376909729</v>
      </c>
      <c r="BW99" s="57" t="n">
        <f aca="false">SUM(BW95:BW98)</f>
        <v>23787.6091977017</v>
      </c>
      <c r="BX99" s="57" t="n">
        <f aca="false">SUM(BX95:BX98)</f>
        <v>22839.730175237</v>
      </c>
      <c r="BY99" s="57" t="n">
        <f aca="false">SUM(BY95:BY98)</f>
        <v>21867.5239588481</v>
      </c>
      <c r="BZ99" s="57" t="n">
        <f aca="false">SUM(BZ95:BZ98)</f>
        <v>20888.2585089254</v>
      </c>
      <c r="CA99" s="57" t="n">
        <f aca="false">SUM(CA95:CA98)</f>
        <v>19904.9507351387</v>
      </c>
      <c r="CB99" s="57" t="n">
        <f aca="false">SUM(CB95:CB98)</f>
        <v>18910.3315021277</v>
      </c>
      <c r="CC99" s="57" t="n">
        <f aca="false">SUM(CC95:CC98)</f>
        <v>17890.8245855462</v>
      </c>
      <c r="CD99" s="57" t="n">
        <f aca="false">SUM(CD95:CD98)</f>
        <v>16863.7394605397</v>
      </c>
      <c r="CE99" s="57" t="n">
        <f aca="false">SUM(CE95:CE98)</f>
        <v>15845.6619371478</v>
      </c>
      <c r="CF99" s="57" t="n">
        <f aca="false">SUM(CF95:CF98)</f>
        <v>14802.4055461834</v>
      </c>
      <c r="CG99" s="57" t="n">
        <f aca="false">SUM(CG95:CG98)</f>
        <v>13733.6806431005</v>
      </c>
      <c r="CH99" s="57" t="n">
        <f aca="false">SUM(CH95:CH98)</f>
        <v>12656.8365633161</v>
      </c>
      <c r="CI99" s="57" t="n">
        <f aca="false">SUM(CI95:CI98)</f>
        <v>11588.5830482959</v>
      </c>
      <c r="CJ99" s="57" t="n">
        <f aca="false">SUM(CJ95:CJ98)</f>
        <v>10494.5536675467</v>
      </c>
      <c r="CK99" s="57" t="n">
        <f aca="false">SUM(CK95:CK98)</f>
        <v>9374.45190896734</v>
      </c>
      <c r="CL99" s="57" t="n">
        <f aca="false">SUM(CL95:CL98)</f>
        <v>8245.66523103731</v>
      </c>
      <c r="CM99" s="57" t="n">
        <f aca="false">SUM(CM95:CM98)</f>
        <v>7125.02843093289</v>
      </c>
      <c r="CN99" s="57" t="n">
        <f aca="false">SUM(CN95:CN98)</f>
        <v>5977.99495876894</v>
      </c>
      <c r="CO99" s="57" t="n">
        <f aca="false">SUM(CO95:CO98)</f>
        <v>4804.26116101233</v>
      </c>
      <c r="CP99" s="57" t="n">
        <f aca="false">SUM(CP95:CP98)</f>
        <v>3621.25081691663</v>
      </c>
      <c r="CQ99" s="57" t="n">
        <f aca="false">SUM(CQ95:CQ98)</f>
        <v>2432.40288129922</v>
      </c>
      <c r="CR99" s="57" t="n">
        <f aca="false">SUM(CR95:CR98)</f>
        <v>1229.87905975255</v>
      </c>
      <c r="CS99" s="57" t="n">
        <f aca="false">SUM(CS95:CS98)</f>
        <v>2.40333974943496E-010</v>
      </c>
      <c r="CT99" s="57" t="n">
        <f aca="false">SUM(CT95:CT98)</f>
        <v>2.4333814963029E-010</v>
      </c>
      <c r="CU99" s="57" t="n">
        <f aca="false">SUM(CU95:CU98)</f>
        <v>2.46379876500669E-010</v>
      </c>
      <c r="CV99" s="57" t="n">
        <f aca="false">SUM(CV95:CV98)</f>
        <v>2.49459624956927E-010</v>
      </c>
      <c r="CW99" s="57" t="n">
        <f aca="false">SUM(CW95:CW98)</f>
        <v>2.52577870268889E-010</v>
      </c>
      <c r="CX99" s="57" t="n">
        <f aca="false">SUM(CX95:CX98)</f>
        <v>2.5573509364725E-010</v>
      </c>
      <c r="CY99" s="57" t="n">
        <f aca="false">SUM(CY95:CY98)</f>
        <v>2.5893178231784E-010</v>
      </c>
      <c r="CZ99" s="57" t="n">
        <f aca="false">SUM(CZ95:CZ98)</f>
        <v>2.62168429596813E-010</v>
      </c>
      <c r="DA99" s="57" t="n">
        <f aca="false">SUM(DA95:DA98)</f>
        <v>2.65445534966773E-010</v>
      </c>
      <c r="DB99" s="57" t="n">
        <f aca="false">SUM(DB95:DB98)</f>
        <v>2.68763604153858E-010</v>
      </c>
      <c r="DC99" s="57" t="n">
        <f aca="false">SUM(DC95:DC98)</f>
        <v>2.72123149205781E-010</v>
      </c>
      <c r="DD99" s="57" t="n">
        <f aca="false">SUM(DD95:DD98)</f>
        <v>2.75524688570854E-010</v>
      </c>
      <c r="DE99" s="57" t="n">
        <f aca="false">SUM(DE95:DE98)</f>
        <v>2.78968747177989E-010</v>
      </c>
      <c r="DF99" s="57" t="n">
        <f aca="false">SUM(DF95:DF98)</f>
        <v>2.82455856517714E-010</v>
      </c>
      <c r="DG99" s="57" t="n">
        <f aca="false">SUM(DG95:DG98)</f>
        <v>2.85986554724186E-010</v>
      </c>
      <c r="DH99" s="57" t="n">
        <f aca="false">SUM(DH95:DH98)</f>
        <v>2.89561386658238E-010</v>
      </c>
      <c r="DI99" s="57" t="n">
        <f aca="false">SUM(DI95:DI98)</f>
        <v>2.93180903991466E-010</v>
      </c>
      <c r="DJ99" s="57" t="n">
        <f aca="false">SUM(DJ95:DJ98)</f>
        <v>2.96845665291359E-010</v>
      </c>
      <c r="DK99" s="57" t="n">
        <f aca="false">SUM(DK95:DK98)</f>
        <v>3.00556236107501E-010</v>
      </c>
      <c r="DL99" s="57" t="n">
        <f aca="false">SUM(DL95:DL98)</f>
        <v>3.04313189058845E-010</v>
      </c>
      <c r="DM99" s="57" t="n">
        <f aca="false">SUM(DM95:DM98)</f>
        <v>3.08117103922081E-010</v>
      </c>
      <c r="DN99" s="57" t="n">
        <f aca="false">SUM(DN95:DN98)</f>
        <v>3.11968567721107E-010</v>
      </c>
      <c r="DO99" s="57" t="n">
        <f aca="false">SUM(DO95:DO98)</f>
        <v>3.1586817481762E-010</v>
      </c>
      <c r="DP99" s="57" t="n">
        <f aca="false">SUM(DP95:DP98)</f>
        <v>3.19816527002841E-010</v>
      </c>
      <c r="DQ99" s="57" t="n">
        <f aca="false">SUM(DQ95:DQ98)</f>
        <v>3.23814233590376E-010</v>
      </c>
      <c r="DR99" s="57" t="n">
        <f aca="false">SUM(DR95:DR98)</f>
        <v>3.27861911510256E-010</v>
      </c>
      <c r="DS99" s="57" t="n">
        <f aca="false">SUM(DS95:DS98)</f>
        <v>3.31960185404134E-010</v>
      </c>
      <c r="DT99" s="57" t="n">
        <f aca="false">SUM(DT95:DT98)</f>
        <v>3.36109687721686E-010</v>
      </c>
      <c r="DU99" s="57" t="n">
        <f aca="false">SUM(DU95:DU98)</f>
        <v>3.40311058818207E-010</v>
      </c>
      <c r="DV99" s="57" t="n">
        <f aca="false">SUM(DV95:DV98)</f>
        <v>3.44564947053434E-010</v>
      </c>
      <c r="DW99" s="57" t="n">
        <f aca="false">SUM(DW95:DW98)</f>
        <v>3.48872008891602E-010</v>
      </c>
      <c r="DX99" s="57" t="n">
        <f aca="false">SUM(DX95:DX98)</f>
        <v>3.53232909002747E-010</v>
      </c>
      <c r="DY99" s="57" t="n">
        <f aca="false">SUM(DY95:DY98)</f>
        <v>3.57648320365282E-010</v>
      </c>
      <c r="DZ99" s="57" t="n">
        <f aca="false">SUM(DZ95:DZ98)</f>
        <v>3.62118924369848E-010</v>
      </c>
      <c r="EA99" s="57" t="n">
        <f aca="false">SUM(EA95:EA98)</f>
        <v>3.66645410924471E-010</v>
      </c>
      <c r="EB99" s="57" t="n">
        <f aca="false">SUM(EB95:EB98)</f>
        <v>3.71228478561027E-010</v>
      </c>
      <c r="EC99" s="57" t="n">
        <f aca="false">SUM(EC95:EC98)</f>
        <v>3.7586883454304E-010</v>
      </c>
      <c r="ED99" s="57" t="n">
        <f aca="false">SUM(ED95:ED98)</f>
        <v>3.80567194974828E-010</v>
      </c>
      <c r="EE99" s="57" t="n">
        <f aca="false">SUM(EE95:EE98)</f>
        <v>3.85324284912013E-010</v>
      </c>
      <c r="EF99" s="57" t="n">
        <f aca="false">SUM(EF95:EF98)</f>
        <v>3.90140838473413E-010</v>
      </c>
      <c r="EG99" s="57" t="n">
        <f aca="false">SUM(EG95:EG98)</f>
        <v>3.95017598954331E-010</v>
      </c>
      <c r="EH99" s="57" t="n">
        <f aca="false">SUM(EH95:EH98)</f>
        <v>3.9995531894126E-010</v>
      </c>
      <c r="EI99" s="57" t="n">
        <f aca="false">SUM(EI95:EI98)</f>
        <v>4.04954760428026E-010</v>
      </c>
      <c r="EJ99" s="57" t="n">
        <f aca="false">SUM(EJ95:EJ98)</f>
        <v>4.10016694933376E-010</v>
      </c>
      <c r="EK99" s="57" t="n">
        <f aca="false">SUM(EK95:EK98)</f>
        <v>4.15141903620043E-010</v>
      </c>
      <c r="EL99" s="57" t="n">
        <f aca="false">SUM(EL95:EL98)</f>
        <v>4.20331177415294E-010</v>
      </c>
      <c r="EM99" s="57" t="n">
        <f aca="false">SUM(EM95:EM98)</f>
        <v>4.25585317132985E-010</v>
      </c>
      <c r="EN99" s="57" t="n">
        <f aca="false">SUM(EN95:EN98)</f>
        <v>4.30905133597147E-010</v>
      </c>
      <c r="EO99" s="57" t="n">
        <f aca="false">SUM(EO95:EO98)</f>
        <v>4.36291447767111E-010</v>
      </c>
    </row>
    <row r="100" customFormat="false" ht="15" hidden="false" customHeight="false" outlineLevel="0" collapsed="false">
      <c r="C100" s="0" t="s">
        <v>476</v>
      </c>
      <c r="D100" s="11" t="s">
        <v>33</v>
      </c>
      <c r="I100" s="48" t="n">
        <f aca="false">SUM(J100:EO100)</f>
        <v>-1033.47120889813</v>
      </c>
      <c r="J100" s="48" t="n">
        <f aca="false">-In_Upfront_Fee*$E99*(J95=0)*(J96&gt;0)</f>
        <v>-0</v>
      </c>
      <c r="K100" s="48" t="n">
        <f aca="false">-In_Upfront_Fee*$E99*(K95=0)*(K96&gt;0)</f>
        <v>-0</v>
      </c>
      <c r="L100" s="48" t="n">
        <f aca="false">-In_Upfront_Fee*$E99*(L95=0)*(L96&gt;0)</f>
        <v>-0</v>
      </c>
      <c r="M100" s="48" t="n">
        <f aca="false">-In_Upfront_Fee*$E99*(M95=0)*(M96&gt;0)</f>
        <v>-0</v>
      </c>
      <c r="N100" s="48" t="n">
        <f aca="false">-In_Upfront_Fee*$E99*(N95=0)*(N96&gt;0)</f>
        <v>-0</v>
      </c>
      <c r="O100" s="48" t="n">
        <f aca="false">-In_Upfront_Fee*$E99*(O95=0)*(O96&gt;0)</f>
        <v>-0</v>
      </c>
      <c r="P100" s="48" t="n">
        <f aca="false">-In_Upfront_Fee*$E99*(P95=0)*(P96&gt;0)</f>
        <v>-0</v>
      </c>
      <c r="Q100" s="48" t="n">
        <f aca="false">-In_Upfront_Fee*$E99*(Q95=0)*(Q96&gt;0)</f>
        <v>-0</v>
      </c>
      <c r="R100" s="48" t="n">
        <f aca="false">-In_Upfront_Fee*$E99*(R95=0)*(R96&gt;0)</f>
        <v>-1033.47120889813</v>
      </c>
      <c r="S100" s="48" t="n">
        <f aca="false">-In_Upfront_Fee*$E99*(S95=0)*(S96&gt;0)</f>
        <v>-0</v>
      </c>
      <c r="T100" s="48" t="n">
        <f aca="false">-In_Upfront_Fee*$E99*(T95=0)*(T96&gt;0)</f>
        <v>-0</v>
      </c>
      <c r="U100" s="48" t="n">
        <f aca="false">-In_Upfront_Fee*$E99*(U95=0)*(U96&gt;0)</f>
        <v>-0</v>
      </c>
      <c r="V100" s="48" t="n">
        <f aca="false">-In_Upfront_Fee*$E99*(V95=0)*(V96&gt;0)</f>
        <v>-0</v>
      </c>
      <c r="W100" s="48" t="n">
        <f aca="false">-In_Upfront_Fee*$E99*(W95=0)*(W96&gt;0)</f>
        <v>-0</v>
      </c>
      <c r="X100" s="48" t="n">
        <f aca="false">-In_Upfront_Fee*$E99*(X95=0)*(X96&gt;0)</f>
        <v>-0</v>
      </c>
      <c r="Y100" s="48" t="n">
        <f aca="false">-In_Upfront_Fee*$E99*(Y95=0)*(Y96&gt;0)</f>
        <v>-0</v>
      </c>
      <c r="Z100" s="48" t="n">
        <f aca="false">-In_Upfront_Fee*$E99*(Z95=0)*(Z96&gt;0)</f>
        <v>-0</v>
      </c>
      <c r="AA100" s="48" t="n">
        <f aca="false">-In_Upfront_Fee*$E99*(AA95=0)*(AA96&gt;0)</f>
        <v>-0</v>
      </c>
      <c r="AB100" s="48" t="n">
        <f aca="false">-In_Upfront_Fee*$E99*(AB95=0)*(AB96&gt;0)</f>
        <v>-0</v>
      </c>
      <c r="AC100" s="48" t="n">
        <f aca="false">-In_Upfront_Fee*$E99*(AC95=0)*(AC96&gt;0)</f>
        <v>-0</v>
      </c>
      <c r="AD100" s="48" t="n">
        <f aca="false">-In_Upfront_Fee*$E99*(AD95=0)*(AD96&gt;0)</f>
        <v>-0</v>
      </c>
      <c r="AE100" s="48" t="n">
        <f aca="false">-In_Upfront_Fee*$E99*(AE95=0)*(AE96&gt;0)</f>
        <v>-0</v>
      </c>
      <c r="AF100" s="48" t="n">
        <f aca="false">-In_Upfront_Fee*$E99*(AF95=0)*(AF96&gt;0)</f>
        <v>-0</v>
      </c>
      <c r="AG100" s="48" t="n">
        <f aca="false">-In_Upfront_Fee*$E99*(AG95=0)*(AG96&gt;0)</f>
        <v>-0</v>
      </c>
      <c r="AH100" s="48" t="n">
        <f aca="false">-In_Upfront_Fee*$E99*(AH95=0)*(AH96&gt;0)</f>
        <v>-0</v>
      </c>
      <c r="AI100" s="48" t="n">
        <f aca="false">-In_Upfront_Fee*$E99*(AI95=0)*(AI96&gt;0)</f>
        <v>-0</v>
      </c>
      <c r="AJ100" s="48" t="n">
        <f aca="false">-In_Upfront_Fee*$E99*(AJ95=0)*(AJ96&gt;0)</f>
        <v>-0</v>
      </c>
      <c r="AK100" s="48" t="n">
        <f aca="false">-In_Upfront_Fee*$E99*(AK95=0)*(AK96&gt;0)</f>
        <v>-0</v>
      </c>
      <c r="AL100" s="48" t="n">
        <f aca="false">-In_Upfront_Fee*$E99*(AL95=0)*(AL96&gt;0)</f>
        <v>-0</v>
      </c>
      <c r="AM100" s="48" t="n">
        <f aca="false">-In_Upfront_Fee*$E99*(AM95=0)*(AM96&gt;0)</f>
        <v>-0</v>
      </c>
      <c r="AN100" s="48" t="n">
        <f aca="false">-In_Upfront_Fee*$E99*(AN95=0)*(AN96&gt;0)</f>
        <v>-0</v>
      </c>
      <c r="AO100" s="48" t="n">
        <f aca="false">-In_Upfront_Fee*$E99*(AO95=0)*(AO96&gt;0)</f>
        <v>-0</v>
      </c>
      <c r="AP100" s="48" t="n">
        <f aca="false">-In_Upfront_Fee*$E99*(AP95=0)*(AP96&gt;0)</f>
        <v>-0</v>
      </c>
      <c r="AQ100" s="48" t="n">
        <f aca="false">-In_Upfront_Fee*$E99*(AQ95=0)*(AQ96&gt;0)</f>
        <v>-0</v>
      </c>
      <c r="AR100" s="48" t="n">
        <f aca="false">-In_Upfront_Fee*$E99*(AR95=0)*(AR96&gt;0)</f>
        <v>-0</v>
      </c>
      <c r="AS100" s="48" t="n">
        <f aca="false">-In_Upfront_Fee*$E99*(AS95=0)*(AS96&gt;0)</f>
        <v>-0</v>
      </c>
      <c r="AT100" s="48" t="n">
        <f aca="false">-In_Upfront_Fee*$E99*(AT95=0)*(AT96&gt;0)</f>
        <v>-0</v>
      </c>
      <c r="AU100" s="48" t="n">
        <f aca="false">-In_Upfront_Fee*$E99*(AU95=0)*(AU96&gt;0)</f>
        <v>-0</v>
      </c>
      <c r="AV100" s="48" t="n">
        <f aca="false">-In_Upfront_Fee*$E99*(AV95=0)*(AV96&gt;0)</f>
        <v>-0</v>
      </c>
      <c r="AW100" s="48" t="n">
        <f aca="false">-In_Upfront_Fee*$E99*(AW95=0)*(AW96&gt;0)</f>
        <v>-0</v>
      </c>
      <c r="AX100" s="48" t="n">
        <f aca="false">-In_Upfront_Fee*$E99*(AX95=0)*(AX96&gt;0)</f>
        <v>-0</v>
      </c>
      <c r="AY100" s="48" t="n">
        <f aca="false">-In_Upfront_Fee*$E99*(AY95=0)*(AY96&gt;0)</f>
        <v>-0</v>
      </c>
      <c r="AZ100" s="48" t="n">
        <f aca="false">-In_Upfront_Fee*$E99*(AZ95=0)*(AZ96&gt;0)</f>
        <v>-0</v>
      </c>
      <c r="BA100" s="48" t="n">
        <f aca="false">-In_Upfront_Fee*$E99*(BA95=0)*(BA96&gt;0)</f>
        <v>-0</v>
      </c>
      <c r="BB100" s="48" t="n">
        <f aca="false">-In_Upfront_Fee*$E99*(BB95=0)*(BB96&gt;0)</f>
        <v>-0</v>
      </c>
      <c r="BC100" s="48" t="n">
        <f aca="false">-In_Upfront_Fee*$E99*(BC95=0)*(BC96&gt;0)</f>
        <v>-0</v>
      </c>
      <c r="BD100" s="48" t="n">
        <f aca="false">-In_Upfront_Fee*$E99*(BD95=0)*(BD96&gt;0)</f>
        <v>-0</v>
      </c>
      <c r="BE100" s="48" t="n">
        <f aca="false">-In_Upfront_Fee*$E99*(BE95=0)*(BE96&gt;0)</f>
        <v>-0</v>
      </c>
      <c r="BF100" s="48" t="n">
        <f aca="false">-In_Upfront_Fee*$E99*(BF95=0)*(BF96&gt;0)</f>
        <v>-0</v>
      </c>
      <c r="BG100" s="48" t="n">
        <f aca="false">-In_Upfront_Fee*$E99*(BG95=0)*(BG96&gt;0)</f>
        <v>-0</v>
      </c>
      <c r="BH100" s="48" t="n">
        <f aca="false">-In_Upfront_Fee*$E99*(BH95=0)*(BH96&gt;0)</f>
        <v>-0</v>
      </c>
      <c r="BI100" s="48" t="n">
        <f aca="false">-In_Upfront_Fee*$E99*(BI95=0)*(BI96&gt;0)</f>
        <v>-0</v>
      </c>
      <c r="BJ100" s="48" t="n">
        <f aca="false">-In_Upfront_Fee*$E99*(BJ95=0)*(BJ96&gt;0)</f>
        <v>-0</v>
      </c>
      <c r="BK100" s="48" t="n">
        <f aca="false">-In_Upfront_Fee*$E99*(BK95=0)*(BK96&gt;0)</f>
        <v>-0</v>
      </c>
      <c r="BL100" s="48" t="n">
        <f aca="false">-In_Upfront_Fee*$E99*(BL95=0)*(BL96&gt;0)</f>
        <v>-0</v>
      </c>
      <c r="BM100" s="48" t="n">
        <f aca="false">-In_Upfront_Fee*$E99*(BM95=0)*(BM96&gt;0)</f>
        <v>-0</v>
      </c>
      <c r="BN100" s="48" t="n">
        <f aca="false">-In_Upfront_Fee*$E99*(BN95=0)*(BN96&gt;0)</f>
        <v>-0</v>
      </c>
      <c r="BO100" s="48" t="n">
        <f aca="false">-In_Upfront_Fee*$E99*(BO95=0)*(BO96&gt;0)</f>
        <v>-0</v>
      </c>
      <c r="BP100" s="48" t="n">
        <f aca="false">-In_Upfront_Fee*$E99*(BP95=0)*(BP96&gt;0)</f>
        <v>-0</v>
      </c>
      <c r="BQ100" s="48" t="n">
        <f aca="false">-In_Upfront_Fee*$E99*(BQ95=0)*(BQ96&gt;0)</f>
        <v>-0</v>
      </c>
      <c r="BR100" s="48" t="n">
        <f aca="false">-In_Upfront_Fee*$E99*(BR95=0)*(BR96&gt;0)</f>
        <v>-0</v>
      </c>
      <c r="BS100" s="48" t="n">
        <f aca="false">-In_Upfront_Fee*$E99*(BS95=0)*(BS96&gt;0)</f>
        <v>-0</v>
      </c>
      <c r="BT100" s="48" t="n">
        <f aca="false">-In_Upfront_Fee*$E99*(BT95=0)*(BT96&gt;0)</f>
        <v>-0</v>
      </c>
      <c r="BU100" s="48" t="n">
        <f aca="false">-In_Upfront_Fee*$E99*(BU95=0)*(BU96&gt;0)</f>
        <v>-0</v>
      </c>
      <c r="BV100" s="48" t="n">
        <f aca="false">-In_Upfront_Fee*$E99*(BV95=0)*(BV96&gt;0)</f>
        <v>-0</v>
      </c>
      <c r="BW100" s="48" t="n">
        <f aca="false">-In_Upfront_Fee*$E99*(BW95=0)*(BW96&gt;0)</f>
        <v>-0</v>
      </c>
      <c r="BX100" s="48" t="n">
        <f aca="false">-In_Upfront_Fee*$E99*(BX95=0)*(BX96&gt;0)</f>
        <v>-0</v>
      </c>
      <c r="BY100" s="48" t="n">
        <f aca="false">-In_Upfront_Fee*$E99*(BY95=0)*(BY96&gt;0)</f>
        <v>-0</v>
      </c>
      <c r="BZ100" s="48" t="n">
        <f aca="false">-In_Upfront_Fee*$E99*(BZ95=0)*(BZ96&gt;0)</f>
        <v>-0</v>
      </c>
      <c r="CA100" s="48" t="n">
        <f aca="false">-In_Upfront_Fee*$E99*(CA95=0)*(CA96&gt;0)</f>
        <v>-0</v>
      </c>
      <c r="CB100" s="48" t="n">
        <f aca="false">-In_Upfront_Fee*$E99*(CB95=0)*(CB96&gt;0)</f>
        <v>-0</v>
      </c>
      <c r="CC100" s="48" t="n">
        <f aca="false">-In_Upfront_Fee*$E99*(CC95=0)*(CC96&gt;0)</f>
        <v>-0</v>
      </c>
      <c r="CD100" s="48" t="n">
        <f aca="false">-In_Upfront_Fee*$E99*(CD95=0)*(CD96&gt;0)</f>
        <v>-0</v>
      </c>
      <c r="CE100" s="48" t="n">
        <f aca="false">-In_Upfront_Fee*$E99*(CE95=0)*(CE96&gt;0)</f>
        <v>-0</v>
      </c>
      <c r="CF100" s="48" t="n">
        <f aca="false">-In_Upfront_Fee*$E99*(CF95=0)*(CF96&gt;0)</f>
        <v>-0</v>
      </c>
      <c r="CG100" s="48" t="n">
        <f aca="false">-In_Upfront_Fee*$E99*(CG95=0)*(CG96&gt;0)</f>
        <v>-0</v>
      </c>
      <c r="CH100" s="48" t="n">
        <f aca="false">-In_Upfront_Fee*$E99*(CH95=0)*(CH96&gt;0)</f>
        <v>-0</v>
      </c>
      <c r="CI100" s="48" t="n">
        <f aca="false">-In_Upfront_Fee*$E99*(CI95=0)*(CI96&gt;0)</f>
        <v>-0</v>
      </c>
      <c r="CJ100" s="48" t="n">
        <f aca="false">-In_Upfront_Fee*$E99*(CJ95=0)*(CJ96&gt;0)</f>
        <v>-0</v>
      </c>
      <c r="CK100" s="48" t="n">
        <f aca="false">-In_Upfront_Fee*$E99*(CK95=0)*(CK96&gt;0)</f>
        <v>-0</v>
      </c>
      <c r="CL100" s="48" t="n">
        <f aca="false">-In_Upfront_Fee*$E99*(CL95=0)*(CL96&gt;0)</f>
        <v>-0</v>
      </c>
      <c r="CM100" s="48" t="n">
        <f aca="false">-In_Upfront_Fee*$E99*(CM95=0)*(CM96&gt;0)</f>
        <v>-0</v>
      </c>
      <c r="CN100" s="48" t="n">
        <f aca="false">-In_Upfront_Fee*$E99*(CN95=0)*(CN96&gt;0)</f>
        <v>-0</v>
      </c>
      <c r="CO100" s="48" t="n">
        <f aca="false">-In_Upfront_Fee*$E99*(CO95=0)*(CO96&gt;0)</f>
        <v>-0</v>
      </c>
      <c r="CP100" s="48" t="n">
        <f aca="false">-In_Upfront_Fee*$E99*(CP95=0)*(CP96&gt;0)</f>
        <v>-0</v>
      </c>
      <c r="CQ100" s="48" t="n">
        <f aca="false">-In_Upfront_Fee*$E99*(CQ95=0)*(CQ96&gt;0)</f>
        <v>-0</v>
      </c>
      <c r="CR100" s="48" t="n">
        <f aca="false">-In_Upfront_Fee*$E99*(CR95=0)*(CR96&gt;0)</f>
        <v>-0</v>
      </c>
      <c r="CS100" s="48" t="n">
        <f aca="false">-In_Upfront_Fee*$E99*(CS95=0)*(CS96&gt;0)</f>
        <v>-0</v>
      </c>
      <c r="CT100" s="48" t="n">
        <f aca="false">-In_Upfront_Fee*$E99*(CT95=0)*(CT96&gt;0)</f>
        <v>-0</v>
      </c>
      <c r="CU100" s="48" t="n">
        <f aca="false">-In_Upfront_Fee*$E99*(CU95=0)*(CU96&gt;0)</f>
        <v>-0</v>
      </c>
      <c r="CV100" s="48" t="n">
        <f aca="false">-In_Upfront_Fee*$E99*(CV95=0)*(CV96&gt;0)</f>
        <v>-0</v>
      </c>
      <c r="CW100" s="48" t="n">
        <f aca="false">-In_Upfront_Fee*$E99*(CW95=0)*(CW96&gt;0)</f>
        <v>-0</v>
      </c>
      <c r="CX100" s="48" t="n">
        <f aca="false">-In_Upfront_Fee*$E99*(CX95=0)*(CX96&gt;0)</f>
        <v>-0</v>
      </c>
      <c r="CY100" s="48" t="n">
        <f aca="false">-In_Upfront_Fee*$E99*(CY95=0)*(CY96&gt;0)</f>
        <v>-0</v>
      </c>
      <c r="CZ100" s="48" t="n">
        <f aca="false">-In_Upfront_Fee*$E99*(CZ95=0)*(CZ96&gt;0)</f>
        <v>-0</v>
      </c>
      <c r="DA100" s="48" t="n">
        <f aca="false">-In_Upfront_Fee*$E99*(DA95=0)*(DA96&gt;0)</f>
        <v>-0</v>
      </c>
      <c r="DB100" s="48" t="n">
        <f aca="false">-In_Upfront_Fee*$E99*(DB95=0)*(DB96&gt;0)</f>
        <v>-0</v>
      </c>
      <c r="DC100" s="48" t="n">
        <f aca="false">-In_Upfront_Fee*$E99*(DC95=0)*(DC96&gt;0)</f>
        <v>-0</v>
      </c>
      <c r="DD100" s="48" t="n">
        <f aca="false">-In_Upfront_Fee*$E99*(DD95=0)*(DD96&gt;0)</f>
        <v>-0</v>
      </c>
      <c r="DE100" s="48" t="n">
        <f aca="false">-In_Upfront_Fee*$E99*(DE95=0)*(DE96&gt;0)</f>
        <v>-0</v>
      </c>
      <c r="DF100" s="48" t="n">
        <f aca="false">-In_Upfront_Fee*$E99*(DF95=0)*(DF96&gt;0)</f>
        <v>-0</v>
      </c>
      <c r="DG100" s="48" t="n">
        <f aca="false">-In_Upfront_Fee*$E99*(DG95=0)*(DG96&gt;0)</f>
        <v>-0</v>
      </c>
      <c r="DH100" s="48" t="n">
        <f aca="false">-In_Upfront_Fee*$E99*(DH95=0)*(DH96&gt;0)</f>
        <v>-0</v>
      </c>
      <c r="DI100" s="48" t="n">
        <f aca="false">-In_Upfront_Fee*$E99*(DI95=0)*(DI96&gt;0)</f>
        <v>-0</v>
      </c>
      <c r="DJ100" s="48" t="n">
        <f aca="false">-In_Upfront_Fee*$E99*(DJ95=0)*(DJ96&gt;0)</f>
        <v>-0</v>
      </c>
      <c r="DK100" s="48" t="n">
        <f aca="false">-In_Upfront_Fee*$E99*(DK95=0)*(DK96&gt;0)</f>
        <v>-0</v>
      </c>
      <c r="DL100" s="48" t="n">
        <f aca="false">-In_Upfront_Fee*$E99*(DL95=0)*(DL96&gt;0)</f>
        <v>-0</v>
      </c>
      <c r="DM100" s="48" t="n">
        <f aca="false">-In_Upfront_Fee*$E99*(DM95=0)*(DM96&gt;0)</f>
        <v>-0</v>
      </c>
      <c r="DN100" s="48" t="n">
        <f aca="false">-In_Upfront_Fee*$E99*(DN95=0)*(DN96&gt;0)</f>
        <v>-0</v>
      </c>
      <c r="DO100" s="48" t="n">
        <f aca="false">-In_Upfront_Fee*$E99*(DO95=0)*(DO96&gt;0)</f>
        <v>-0</v>
      </c>
      <c r="DP100" s="48" t="n">
        <f aca="false">-In_Upfront_Fee*$E99*(DP95=0)*(DP96&gt;0)</f>
        <v>-0</v>
      </c>
      <c r="DQ100" s="48" t="n">
        <f aca="false">-In_Upfront_Fee*$E99*(DQ95=0)*(DQ96&gt;0)</f>
        <v>-0</v>
      </c>
      <c r="DR100" s="48" t="n">
        <f aca="false">-In_Upfront_Fee*$E99*(DR95=0)*(DR96&gt;0)</f>
        <v>-0</v>
      </c>
      <c r="DS100" s="48" t="n">
        <f aca="false">-In_Upfront_Fee*$E99*(DS95=0)*(DS96&gt;0)</f>
        <v>-0</v>
      </c>
      <c r="DT100" s="48" t="n">
        <f aca="false">-In_Upfront_Fee*$E99*(DT95=0)*(DT96&gt;0)</f>
        <v>-0</v>
      </c>
      <c r="DU100" s="48" t="n">
        <f aca="false">-In_Upfront_Fee*$E99*(DU95=0)*(DU96&gt;0)</f>
        <v>-0</v>
      </c>
      <c r="DV100" s="48" t="n">
        <f aca="false">-In_Upfront_Fee*$E99*(DV95=0)*(DV96&gt;0)</f>
        <v>-0</v>
      </c>
      <c r="DW100" s="48" t="n">
        <f aca="false">-In_Upfront_Fee*$E99*(DW95=0)*(DW96&gt;0)</f>
        <v>-0</v>
      </c>
      <c r="DX100" s="48" t="n">
        <f aca="false">-In_Upfront_Fee*$E99*(DX95=0)*(DX96&gt;0)</f>
        <v>-0</v>
      </c>
      <c r="DY100" s="48" t="n">
        <f aca="false">-In_Upfront_Fee*$E99*(DY95=0)*(DY96&gt;0)</f>
        <v>-0</v>
      </c>
      <c r="DZ100" s="48" t="n">
        <f aca="false">-In_Upfront_Fee*$E99*(DZ95=0)*(DZ96&gt;0)</f>
        <v>-0</v>
      </c>
      <c r="EA100" s="48" t="n">
        <f aca="false">-In_Upfront_Fee*$E99*(EA95=0)*(EA96&gt;0)</f>
        <v>-0</v>
      </c>
      <c r="EB100" s="48" t="n">
        <f aca="false">-In_Upfront_Fee*$E99*(EB95=0)*(EB96&gt;0)</f>
        <v>-0</v>
      </c>
      <c r="EC100" s="48" t="n">
        <f aca="false">-In_Upfront_Fee*$E99*(EC95=0)*(EC96&gt;0)</f>
        <v>-0</v>
      </c>
      <c r="ED100" s="48" t="n">
        <f aca="false">-In_Upfront_Fee*$E99*(ED95=0)*(ED96&gt;0)</f>
        <v>-0</v>
      </c>
      <c r="EE100" s="48" t="n">
        <f aca="false">-In_Upfront_Fee*$E99*(EE95=0)*(EE96&gt;0)</f>
        <v>-0</v>
      </c>
      <c r="EF100" s="48" t="n">
        <f aca="false">-In_Upfront_Fee*$E99*(EF95=0)*(EF96&gt;0)</f>
        <v>-0</v>
      </c>
      <c r="EG100" s="48" t="n">
        <f aca="false">-In_Upfront_Fee*$E99*(EG95=0)*(EG96&gt;0)</f>
        <v>-0</v>
      </c>
      <c r="EH100" s="48" t="n">
        <f aca="false">-In_Upfront_Fee*$E99*(EH95=0)*(EH96&gt;0)</f>
        <v>-0</v>
      </c>
      <c r="EI100" s="48" t="n">
        <f aca="false">-In_Upfront_Fee*$E99*(EI95=0)*(EI96&gt;0)</f>
        <v>-0</v>
      </c>
      <c r="EJ100" s="48" t="n">
        <f aca="false">-In_Upfront_Fee*$E99*(EJ95=0)*(EJ96&gt;0)</f>
        <v>-0</v>
      </c>
      <c r="EK100" s="48" t="n">
        <f aca="false">-In_Upfront_Fee*$E99*(EK95=0)*(EK96&gt;0)</f>
        <v>-0</v>
      </c>
      <c r="EL100" s="48" t="n">
        <f aca="false">-In_Upfront_Fee*$E99*(EL95=0)*(EL96&gt;0)</f>
        <v>-0</v>
      </c>
      <c r="EM100" s="48" t="n">
        <f aca="false">-In_Upfront_Fee*$E99*(EM95=0)*(EM96&gt;0)</f>
        <v>-0</v>
      </c>
      <c r="EN100" s="48" t="n">
        <f aca="false">-In_Upfront_Fee*$E99*(EN95=0)*(EN96&gt;0)</f>
        <v>-0</v>
      </c>
      <c r="EO100" s="48" t="n">
        <f aca="false">-In_Upfront_Fee*$E99*(EO95=0)*(EO96&gt;0)</f>
        <v>-0</v>
      </c>
    </row>
    <row r="101" customFormat="false" ht="15" hidden="false" customHeight="false" outlineLevel="0" collapsed="false">
      <c r="C101" s="0" t="s">
        <v>477</v>
      </c>
      <c r="D101" s="11" t="s">
        <v>33</v>
      </c>
      <c r="I101" s="48" t="n">
        <f aca="false">SUM(J101:EO101)</f>
        <v>-557.005721986292</v>
      </c>
      <c r="J101" s="48" t="n">
        <f aca="false">-In_Commitment_Fee*($I96-SUM($J96:J96)+J96)*J$6*(J12&gt;0)</f>
        <v>-0</v>
      </c>
      <c r="K101" s="48" t="n">
        <f aca="false">-In_Commitment_Fee*($I96-SUM($J96:K96)+K96)*K$6*(K12&gt;0)</f>
        <v>-0</v>
      </c>
      <c r="L101" s="48" t="n">
        <f aca="false">-In_Commitment_Fee*($I96-SUM($J96:L96)+L96)*L$6*(L12&gt;0)</f>
        <v>-0</v>
      </c>
      <c r="M101" s="48" t="n">
        <f aca="false">-In_Commitment_Fee*($I96-SUM($J96:M96)+M96)*M$6*(M12&gt;0)</f>
        <v>-0</v>
      </c>
      <c r="N101" s="48" t="n">
        <f aca="false">-In_Commitment_Fee*($I96-SUM($J96:N96)+N96)*N$6*(N12&gt;0)</f>
        <v>-0</v>
      </c>
      <c r="O101" s="48" t="n">
        <f aca="false">-In_Commitment_Fee*($I96-SUM($J96:O96)+O96)*O$6*(O12&gt;0)</f>
        <v>-0</v>
      </c>
      <c r="P101" s="48" t="n">
        <f aca="false">-In_Commitment_Fee*($I96-SUM($J96:P96)+P96)*P$6*(P12&gt;0)</f>
        <v>-0</v>
      </c>
      <c r="Q101" s="48" t="n">
        <f aca="false">-In_Commitment_Fee*($I96-SUM($J96:Q96)+Q96)*Q$6*(Q12&gt;0)</f>
        <v>-0</v>
      </c>
      <c r="R101" s="48" t="n">
        <f aca="false">-In_Commitment_Fee*($I96-SUM($J96:R96)+R96)*R$6*(R12&gt;0)</f>
        <v>-128.034241678964</v>
      </c>
      <c r="S101" s="48" t="n">
        <f aca="false">-In_Commitment_Fee*($I96-SUM($J96:S96)+S96)*S$6*(S12&gt;0)</f>
        <v>-111.104796433477</v>
      </c>
      <c r="T101" s="48" t="n">
        <f aca="false">-In_Commitment_Fee*($I96-SUM($J96:T96)+T96)*T$6*(T12&gt;0)</f>
        <v>-88.2830184302871</v>
      </c>
      <c r="U101" s="48" t="n">
        <f aca="false">-In_Commitment_Fee*($I96-SUM($J96:U96)+U96)*U$6*(U12&gt;0)</f>
        <v>-74.9498905226122</v>
      </c>
      <c r="V101" s="48" t="n">
        <f aca="false">-In_Commitment_Fee*($I96-SUM($J96:V96)+V96)*V$6*(V12&gt;0)</f>
        <v>-60.4894407534247</v>
      </c>
      <c r="W101" s="48" t="n">
        <f aca="false">-In_Commitment_Fee*($I96-SUM($J96:W96)+W96)*W$6*(W12&gt;0)</f>
        <v>-45.0283607454494</v>
      </c>
      <c r="X101" s="48" t="n">
        <f aca="false">-In_Commitment_Fee*($I96-SUM($J96:X96)+X96)*X$6*(X12&gt;0)</f>
        <v>-31.5363455706981</v>
      </c>
      <c r="Y101" s="48" t="n">
        <f aca="false">-In_Commitment_Fee*($I96-SUM($J96:Y96)+Y96)*Y$6*(Y12&gt;0)</f>
        <v>-17.5796278513793</v>
      </c>
      <c r="Z101" s="48" t="n">
        <f aca="false">-In_Commitment_Fee*($I96-SUM($J96:Z96)+Z96)*Z$6*(Z12&gt;0)</f>
        <v>-0</v>
      </c>
      <c r="AA101" s="48" t="n">
        <f aca="false">-In_Commitment_Fee*($I96-SUM($J96:AA96)+AA96)*AA$6*(AA12&gt;0)</f>
        <v>-0</v>
      </c>
      <c r="AB101" s="48" t="n">
        <f aca="false">-In_Commitment_Fee*($I96-SUM($J96:AB96)+AB96)*AB$6*(AB12&gt;0)</f>
        <v>-0</v>
      </c>
      <c r="AC101" s="48" t="n">
        <f aca="false">-In_Commitment_Fee*($I96-SUM($J96:AC96)+AC96)*AC$6*(AC12&gt;0)</f>
        <v>-0</v>
      </c>
      <c r="AD101" s="48" t="n">
        <f aca="false">-In_Commitment_Fee*($I96-SUM($J96:AD96)+AD96)*AD$6*(AD12&gt;0)</f>
        <v>-0</v>
      </c>
      <c r="AE101" s="48" t="n">
        <f aca="false">-In_Commitment_Fee*($I96-SUM($J96:AE96)+AE96)*AE$6*(AE12&gt;0)</f>
        <v>-0</v>
      </c>
      <c r="AF101" s="48" t="n">
        <f aca="false">-In_Commitment_Fee*($I96-SUM($J96:AF96)+AF96)*AF$6*(AF12&gt;0)</f>
        <v>-0</v>
      </c>
      <c r="AG101" s="48" t="n">
        <f aca="false">-In_Commitment_Fee*($I96-SUM($J96:AG96)+AG96)*AG$6*(AG12&gt;0)</f>
        <v>-0</v>
      </c>
      <c r="AH101" s="48" t="n">
        <f aca="false">-In_Commitment_Fee*($I96-SUM($J96:AH96)+AH96)*AH$6*(AH12&gt;0)</f>
        <v>-0</v>
      </c>
      <c r="AI101" s="48" t="n">
        <f aca="false">-In_Commitment_Fee*($I96-SUM($J96:AI96)+AI96)*AI$6*(AI12&gt;0)</f>
        <v>-0</v>
      </c>
      <c r="AJ101" s="48" t="n">
        <f aca="false">-In_Commitment_Fee*($I96-SUM($J96:AJ96)+AJ96)*AJ$6*(AJ12&gt;0)</f>
        <v>-0</v>
      </c>
      <c r="AK101" s="48" t="n">
        <f aca="false">-In_Commitment_Fee*($I96-SUM($J96:AK96)+AK96)*AK$6*(AK12&gt;0)</f>
        <v>-0</v>
      </c>
      <c r="AL101" s="48" t="n">
        <f aca="false">-In_Commitment_Fee*($I96-SUM($J96:AL96)+AL96)*AL$6*(AL12&gt;0)</f>
        <v>-0</v>
      </c>
      <c r="AM101" s="48" t="n">
        <f aca="false">-In_Commitment_Fee*($I96-SUM($J96:AM96)+AM96)*AM$6*(AM12&gt;0)</f>
        <v>-0</v>
      </c>
      <c r="AN101" s="48" t="n">
        <f aca="false">-In_Commitment_Fee*($I96-SUM($J96:AN96)+AN96)*AN$6*(AN12&gt;0)</f>
        <v>-0</v>
      </c>
      <c r="AO101" s="48" t="n">
        <f aca="false">-In_Commitment_Fee*($I96-SUM($J96:AO96)+AO96)*AO$6*(AO12&gt;0)</f>
        <v>-0</v>
      </c>
      <c r="AP101" s="48" t="n">
        <f aca="false">-In_Commitment_Fee*($I96-SUM($J96:AP96)+AP96)*AP$6*(AP12&gt;0)</f>
        <v>-0</v>
      </c>
      <c r="AQ101" s="48" t="n">
        <f aca="false">-In_Commitment_Fee*($I96-SUM($J96:AQ96)+AQ96)*AQ$6*(AQ12&gt;0)</f>
        <v>-0</v>
      </c>
      <c r="AR101" s="48" t="n">
        <f aca="false">-In_Commitment_Fee*($I96-SUM($J96:AR96)+AR96)*AR$6*(AR12&gt;0)</f>
        <v>-0</v>
      </c>
      <c r="AS101" s="48" t="n">
        <f aca="false">-In_Commitment_Fee*($I96-SUM($J96:AS96)+AS96)*AS$6*(AS12&gt;0)</f>
        <v>-0</v>
      </c>
      <c r="AT101" s="48" t="n">
        <f aca="false">-In_Commitment_Fee*($I96-SUM($J96:AT96)+AT96)*AT$6*(AT12&gt;0)</f>
        <v>-0</v>
      </c>
      <c r="AU101" s="48" t="n">
        <f aca="false">-In_Commitment_Fee*($I96-SUM($J96:AU96)+AU96)*AU$6*(AU12&gt;0)</f>
        <v>-0</v>
      </c>
      <c r="AV101" s="48" t="n">
        <f aca="false">-In_Commitment_Fee*($I96-SUM($J96:AV96)+AV96)*AV$6*(AV12&gt;0)</f>
        <v>-0</v>
      </c>
      <c r="AW101" s="48" t="n">
        <f aca="false">-In_Commitment_Fee*($I96-SUM($J96:AW96)+AW96)*AW$6*(AW12&gt;0)</f>
        <v>-0</v>
      </c>
      <c r="AX101" s="48" t="n">
        <f aca="false">-In_Commitment_Fee*($I96-SUM($J96:AX96)+AX96)*AX$6*(AX12&gt;0)</f>
        <v>-0</v>
      </c>
      <c r="AY101" s="48" t="n">
        <f aca="false">-In_Commitment_Fee*($I96-SUM($J96:AY96)+AY96)*AY$6*(AY12&gt;0)</f>
        <v>-0</v>
      </c>
      <c r="AZ101" s="48" t="n">
        <f aca="false">-In_Commitment_Fee*($I96-SUM($J96:AZ96)+AZ96)*AZ$6*(AZ12&gt;0)</f>
        <v>-0</v>
      </c>
      <c r="BA101" s="48" t="n">
        <f aca="false">-In_Commitment_Fee*($I96-SUM($J96:BA96)+BA96)*BA$6*(BA12&gt;0)</f>
        <v>-0</v>
      </c>
      <c r="BB101" s="48" t="n">
        <f aca="false">-In_Commitment_Fee*($I96-SUM($J96:BB96)+BB96)*BB$6*(BB12&gt;0)</f>
        <v>-0</v>
      </c>
      <c r="BC101" s="48" t="n">
        <f aca="false">-In_Commitment_Fee*($I96-SUM($J96:BC96)+BC96)*BC$6*(BC12&gt;0)</f>
        <v>-0</v>
      </c>
      <c r="BD101" s="48" t="n">
        <f aca="false">-In_Commitment_Fee*($I96-SUM($J96:BD96)+BD96)*BD$6*(BD12&gt;0)</f>
        <v>-0</v>
      </c>
      <c r="BE101" s="48" t="n">
        <f aca="false">-In_Commitment_Fee*($I96-SUM($J96:BE96)+BE96)*BE$6*(BE12&gt;0)</f>
        <v>-0</v>
      </c>
      <c r="BF101" s="48" t="n">
        <f aca="false">-In_Commitment_Fee*($I96-SUM($J96:BF96)+BF96)*BF$6*(BF12&gt;0)</f>
        <v>-0</v>
      </c>
      <c r="BG101" s="48" t="n">
        <f aca="false">-In_Commitment_Fee*($I96-SUM($J96:BG96)+BG96)*BG$6*(BG12&gt;0)</f>
        <v>-0</v>
      </c>
      <c r="BH101" s="48" t="n">
        <f aca="false">-In_Commitment_Fee*($I96-SUM($J96:BH96)+BH96)*BH$6*(BH12&gt;0)</f>
        <v>-0</v>
      </c>
      <c r="BI101" s="48" t="n">
        <f aca="false">-In_Commitment_Fee*($I96-SUM($J96:BI96)+BI96)*BI$6*(BI12&gt;0)</f>
        <v>-0</v>
      </c>
      <c r="BJ101" s="48" t="n">
        <f aca="false">-In_Commitment_Fee*($I96-SUM($J96:BJ96)+BJ96)*BJ$6*(BJ12&gt;0)</f>
        <v>-0</v>
      </c>
      <c r="BK101" s="48" t="n">
        <f aca="false">-In_Commitment_Fee*($I96-SUM($J96:BK96)+BK96)*BK$6*(BK12&gt;0)</f>
        <v>-0</v>
      </c>
      <c r="BL101" s="48" t="n">
        <f aca="false">-In_Commitment_Fee*($I96-SUM($J96:BL96)+BL96)*BL$6*(BL12&gt;0)</f>
        <v>-0</v>
      </c>
      <c r="BM101" s="48" t="n">
        <f aca="false">-In_Commitment_Fee*($I96-SUM($J96:BM96)+BM96)*BM$6*(BM12&gt;0)</f>
        <v>-0</v>
      </c>
      <c r="BN101" s="48" t="n">
        <f aca="false">-In_Commitment_Fee*($I96-SUM($J96:BN96)+BN96)*BN$6*(BN12&gt;0)</f>
        <v>-0</v>
      </c>
      <c r="BO101" s="48" t="n">
        <f aca="false">-In_Commitment_Fee*($I96-SUM($J96:BO96)+BO96)*BO$6*(BO12&gt;0)</f>
        <v>-0</v>
      </c>
      <c r="BP101" s="48" t="n">
        <f aca="false">-In_Commitment_Fee*($I96-SUM($J96:BP96)+BP96)*BP$6*(BP12&gt;0)</f>
        <v>-0</v>
      </c>
      <c r="BQ101" s="48" t="n">
        <f aca="false">-In_Commitment_Fee*($I96-SUM($J96:BQ96)+BQ96)*BQ$6*(BQ12&gt;0)</f>
        <v>-0</v>
      </c>
      <c r="BR101" s="48" t="n">
        <f aca="false">-In_Commitment_Fee*($I96-SUM($J96:BR96)+BR96)*BR$6*(BR12&gt;0)</f>
        <v>-0</v>
      </c>
      <c r="BS101" s="48" t="n">
        <f aca="false">-In_Commitment_Fee*($I96-SUM($J96:BS96)+BS96)*BS$6*(BS12&gt;0)</f>
        <v>-0</v>
      </c>
      <c r="BT101" s="48" t="n">
        <f aca="false">-In_Commitment_Fee*($I96-SUM($J96:BT96)+BT96)*BT$6*(BT12&gt;0)</f>
        <v>-0</v>
      </c>
      <c r="BU101" s="48" t="n">
        <f aca="false">-In_Commitment_Fee*($I96-SUM($J96:BU96)+BU96)*BU$6*(BU12&gt;0)</f>
        <v>-0</v>
      </c>
      <c r="BV101" s="48" t="n">
        <f aca="false">-In_Commitment_Fee*($I96-SUM($J96:BV96)+BV96)*BV$6*(BV12&gt;0)</f>
        <v>-0</v>
      </c>
      <c r="BW101" s="48" t="n">
        <f aca="false">-In_Commitment_Fee*($I96-SUM($J96:BW96)+BW96)*BW$6*(BW12&gt;0)</f>
        <v>-0</v>
      </c>
      <c r="BX101" s="48" t="n">
        <f aca="false">-In_Commitment_Fee*($I96-SUM($J96:BX96)+BX96)*BX$6*(BX12&gt;0)</f>
        <v>-0</v>
      </c>
      <c r="BY101" s="48" t="n">
        <f aca="false">-In_Commitment_Fee*($I96-SUM($J96:BY96)+BY96)*BY$6*(BY12&gt;0)</f>
        <v>-0</v>
      </c>
      <c r="BZ101" s="48" t="n">
        <f aca="false">-In_Commitment_Fee*($I96-SUM($J96:BZ96)+BZ96)*BZ$6*(BZ12&gt;0)</f>
        <v>-0</v>
      </c>
      <c r="CA101" s="48" t="n">
        <f aca="false">-In_Commitment_Fee*($I96-SUM($J96:CA96)+CA96)*CA$6*(CA12&gt;0)</f>
        <v>-0</v>
      </c>
      <c r="CB101" s="48" t="n">
        <f aca="false">-In_Commitment_Fee*($I96-SUM($J96:CB96)+CB96)*CB$6*(CB12&gt;0)</f>
        <v>-0</v>
      </c>
      <c r="CC101" s="48" t="n">
        <f aca="false">-In_Commitment_Fee*($I96-SUM($J96:CC96)+CC96)*CC$6*(CC12&gt;0)</f>
        <v>-0</v>
      </c>
      <c r="CD101" s="48" t="n">
        <f aca="false">-In_Commitment_Fee*($I96-SUM($J96:CD96)+CD96)*CD$6*(CD12&gt;0)</f>
        <v>-0</v>
      </c>
      <c r="CE101" s="48" t="n">
        <f aca="false">-In_Commitment_Fee*($I96-SUM($J96:CE96)+CE96)*CE$6*(CE12&gt;0)</f>
        <v>-0</v>
      </c>
      <c r="CF101" s="48" t="n">
        <f aca="false">-In_Commitment_Fee*($I96-SUM($J96:CF96)+CF96)*CF$6*(CF12&gt;0)</f>
        <v>-0</v>
      </c>
      <c r="CG101" s="48" t="n">
        <f aca="false">-In_Commitment_Fee*($I96-SUM($J96:CG96)+CG96)*CG$6*(CG12&gt;0)</f>
        <v>-0</v>
      </c>
      <c r="CH101" s="48" t="n">
        <f aca="false">-In_Commitment_Fee*($I96-SUM($J96:CH96)+CH96)*CH$6*(CH12&gt;0)</f>
        <v>-0</v>
      </c>
      <c r="CI101" s="48" t="n">
        <f aca="false">-In_Commitment_Fee*($I96-SUM($J96:CI96)+CI96)*CI$6*(CI12&gt;0)</f>
        <v>-0</v>
      </c>
      <c r="CJ101" s="48" t="n">
        <f aca="false">-In_Commitment_Fee*($I96-SUM($J96:CJ96)+CJ96)*CJ$6*(CJ12&gt;0)</f>
        <v>-0</v>
      </c>
      <c r="CK101" s="48" t="n">
        <f aca="false">-In_Commitment_Fee*($I96-SUM($J96:CK96)+CK96)*CK$6*(CK12&gt;0)</f>
        <v>-0</v>
      </c>
      <c r="CL101" s="48" t="n">
        <f aca="false">-In_Commitment_Fee*($I96-SUM($J96:CL96)+CL96)*CL$6*(CL12&gt;0)</f>
        <v>-0</v>
      </c>
      <c r="CM101" s="48" t="n">
        <f aca="false">-In_Commitment_Fee*($I96-SUM($J96:CM96)+CM96)*CM$6*(CM12&gt;0)</f>
        <v>-0</v>
      </c>
      <c r="CN101" s="48" t="n">
        <f aca="false">-In_Commitment_Fee*($I96-SUM($J96:CN96)+CN96)*CN$6*(CN12&gt;0)</f>
        <v>-0</v>
      </c>
      <c r="CO101" s="48" t="n">
        <f aca="false">-In_Commitment_Fee*($I96-SUM($J96:CO96)+CO96)*CO$6*(CO12&gt;0)</f>
        <v>-0</v>
      </c>
      <c r="CP101" s="48" t="n">
        <f aca="false">-In_Commitment_Fee*($I96-SUM($J96:CP96)+CP96)*CP$6*(CP12&gt;0)</f>
        <v>-0</v>
      </c>
      <c r="CQ101" s="48" t="n">
        <f aca="false">-In_Commitment_Fee*($I96-SUM($J96:CQ96)+CQ96)*CQ$6*(CQ12&gt;0)</f>
        <v>-0</v>
      </c>
      <c r="CR101" s="48" t="n">
        <f aca="false">-In_Commitment_Fee*($I96-SUM($J96:CR96)+CR96)*CR$6*(CR12&gt;0)</f>
        <v>-0</v>
      </c>
      <c r="CS101" s="48" t="n">
        <f aca="false">-In_Commitment_Fee*($I96-SUM($J96:CS96)+CS96)*CS$6*(CS12&gt;0)</f>
        <v>-0</v>
      </c>
      <c r="CT101" s="48" t="n">
        <f aca="false">-In_Commitment_Fee*($I96-SUM($J96:CT96)+CT96)*CT$6*(CT12&gt;0)</f>
        <v>-0</v>
      </c>
      <c r="CU101" s="48" t="n">
        <f aca="false">-In_Commitment_Fee*($I96-SUM($J96:CU96)+CU96)*CU$6*(CU12&gt;0)</f>
        <v>-0</v>
      </c>
      <c r="CV101" s="48" t="n">
        <f aca="false">-In_Commitment_Fee*($I96-SUM($J96:CV96)+CV96)*CV$6*(CV12&gt;0)</f>
        <v>-0</v>
      </c>
      <c r="CW101" s="48" t="n">
        <f aca="false">-In_Commitment_Fee*($I96-SUM($J96:CW96)+CW96)*CW$6*(CW12&gt;0)</f>
        <v>-0</v>
      </c>
      <c r="CX101" s="48" t="n">
        <f aca="false">-In_Commitment_Fee*($I96-SUM($J96:CX96)+CX96)*CX$6*(CX12&gt;0)</f>
        <v>-0</v>
      </c>
      <c r="CY101" s="48" t="n">
        <f aca="false">-In_Commitment_Fee*($I96-SUM($J96:CY96)+CY96)*CY$6*(CY12&gt;0)</f>
        <v>-0</v>
      </c>
      <c r="CZ101" s="48" t="n">
        <f aca="false">-In_Commitment_Fee*($I96-SUM($J96:CZ96)+CZ96)*CZ$6*(CZ12&gt;0)</f>
        <v>-0</v>
      </c>
      <c r="DA101" s="48" t="n">
        <f aca="false">-In_Commitment_Fee*($I96-SUM($J96:DA96)+DA96)*DA$6*(DA12&gt;0)</f>
        <v>-0</v>
      </c>
      <c r="DB101" s="48" t="n">
        <f aca="false">-In_Commitment_Fee*($I96-SUM($J96:DB96)+DB96)*DB$6*(DB12&gt;0)</f>
        <v>-0</v>
      </c>
      <c r="DC101" s="48" t="n">
        <f aca="false">-In_Commitment_Fee*($I96-SUM($J96:DC96)+DC96)*DC$6*(DC12&gt;0)</f>
        <v>-0</v>
      </c>
      <c r="DD101" s="48" t="n">
        <f aca="false">-In_Commitment_Fee*($I96-SUM($J96:DD96)+DD96)*DD$6*(DD12&gt;0)</f>
        <v>-0</v>
      </c>
      <c r="DE101" s="48" t="n">
        <f aca="false">-In_Commitment_Fee*($I96-SUM($J96:DE96)+DE96)*DE$6*(DE12&gt;0)</f>
        <v>-0</v>
      </c>
      <c r="DF101" s="48" t="n">
        <f aca="false">-In_Commitment_Fee*($I96-SUM($J96:DF96)+DF96)*DF$6*(DF12&gt;0)</f>
        <v>-0</v>
      </c>
      <c r="DG101" s="48" t="n">
        <f aca="false">-In_Commitment_Fee*($I96-SUM($J96:DG96)+DG96)*DG$6*(DG12&gt;0)</f>
        <v>-0</v>
      </c>
      <c r="DH101" s="48" t="n">
        <f aca="false">-In_Commitment_Fee*($I96-SUM($J96:DH96)+DH96)*DH$6*(DH12&gt;0)</f>
        <v>-0</v>
      </c>
      <c r="DI101" s="48" t="n">
        <f aca="false">-In_Commitment_Fee*($I96-SUM($J96:DI96)+DI96)*DI$6*(DI12&gt;0)</f>
        <v>-0</v>
      </c>
      <c r="DJ101" s="48" t="n">
        <f aca="false">-In_Commitment_Fee*($I96-SUM($J96:DJ96)+DJ96)*DJ$6*(DJ12&gt;0)</f>
        <v>-0</v>
      </c>
      <c r="DK101" s="48" t="n">
        <f aca="false">-In_Commitment_Fee*($I96-SUM($J96:DK96)+DK96)*DK$6*(DK12&gt;0)</f>
        <v>-0</v>
      </c>
      <c r="DL101" s="48" t="n">
        <f aca="false">-In_Commitment_Fee*($I96-SUM($J96:DL96)+DL96)*DL$6*(DL12&gt;0)</f>
        <v>-0</v>
      </c>
      <c r="DM101" s="48" t="n">
        <f aca="false">-In_Commitment_Fee*($I96-SUM($J96:DM96)+DM96)*DM$6*(DM12&gt;0)</f>
        <v>-0</v>
      </c>
      <c r="DN101" s="48" t="n">
        <f aca="false">-In_Commitment_Fee*($I96-SUM($J96:DN96)+DN96)*DN$6*(DN12&gt;0)</f>
        <v>-0</v>
      </c>
      <c r="DO101" s="48" t="n">
        <f aca="false">-In_Commitment_Fee*($I96-SUM($J96:DO96)+DO96)*DO$6*(DO12&gt;0)</f>
        <v>-0</v>
      </c>
      <c r="DP101" s="48" t="n">
        <f aca="false">-In_Commitment_Fee*($I96-SUM($J96:DP96)+DP96)*DP$6*(DP12&gt;0)</f>
        <v>-0</v>
      </c>
      <c r="DQ101" s="48" t="n">
        <f aca="false">-In_Commitment_Fee*($I96-SUM($J96:DQ96)+DQ96)*DQ$6*(DQ12&gt;0)</f>
        <v>-0</v>
      </c>
      <c r="DR101" s="48" t="n">
        <f aca="false">-In_Commitment_Fee*($I96-SUM($J96:DR96)+DR96)*DR$6*(DR12&gt;0)</f>
        <v>-0</v>
      </c>
      <c r="DS101" s="48" t="n">
        <f aca="false">-In_Commitment_Fee*($I96-SUM($J96:DS96)+DS96)*DS$6*(DS12&gt;0)</f>
        <v>-0</v>
      </c>
      <c r="DT101" s="48" t="n">
        <f aca="false">-In_Commitment_Fee*($I96-SUM($J96:DT96)+DT96)*DT$6*(DT12&gt;0)</f>
        <v>-0</v>
      </c>
      <c r="DU101" s="48" t="n">
        <f aca="false">-In_Commitment_Fee*($I96-SUM($J96:DU96)+DU96)*DU$6*(DU12&gt;0)</f>
        <v>-0</v>
      </c>
      <c r="DV101" s="48" t="n">
        <f aca="false">-In_Commitment_Fee*($I96-SUM($J96:DV96)+DV96)*DV$6*(DV12&gt;0)</f>
        <v>-0</v>
      </c>
      <c r="DW101" s="48" t="n">
        <f aca="false">-In_Commitment_Fee*($I96-SUM($J96:DW96)+DW96)*DW$6*(DW12&gt;0)</f>
        <v>-0</v>
      </c>
      <c r="DX101" s="48" t="n">
        <f aca="false">-In_Commitment_Fee*($I96-SUM($J96:DX96)+DX96)*DX$6*(DX12&gt;0)</f>
        <v>-0</v>
      </c>
      <c r="DY101" s="48" t="n">
        <f aca="false">-In_Commitment_Fee*($I96-SUM($J96:DY96)+DY96)*DY$6*(DY12&gt;0)</f>
        <v>-0</v>
      </c>
      <c r="DZ101" s="48" t="n">
        <f aca="false">-In_Commitment_Fee*($I96-SUM($J96:DZ96)+DZ96)*DZ$6*(DZ12&gt;0)</f>
        <v>-0</v>
      </c>
      <c r="EA101" s="48" t="n">
        <f aca="false">-In_Commitment_Fee*($I96-SUM($J96:EA96)+EA96)*EA$6*(EA12&gt;0)</f>
        <v>-0</v>
      </c>
      <c r="EB101" s="48" t="n">
        <f aca="false">-In_Commitment_Fee*($I96-SUM($J96:EB96)+EB96)*EB$6*(EB12&gt;0)</f>
        <v>-0</v>
      </c>
      <c r="EC101" s="48" t="n">
        <f aca="false">-In_Commitment_Fee*($I96-SUM($J96:EC96)+EC96)*EC$6*(EC12&gt;0)</f>
        <v>-0</v>
      </c>
      <c r="ED101" s="48" t="n">
        <f aca="false">-In_Commitment_Fee*($I96-SUM($J96:ED96)+ED96)*ED$6*(ED12&gt;0)</f>
        <v>-0</v>
      </c>
      <c r="EE101" s="48" t="n">
        <f aca="false">-In_Commitment_Fee*($I96-SUM($J96:EE96)+EE96)*EE$6*(EE12&gt;0)</f>
        <v>-0</v>
      </c>
      <c r="EF101" s="48" t="n">
        <f aca="false">-In_Commitment_Fee*($I96-SUM($J96:EF96)+EF96)*EF$6*(EF12&gt;0)</f>
        <v>-0</v>
      </c>
      <c r="EG101" s="48" t="n">
        <f aca="false">-In_Commitment_Fee*($I96-SUM($J96:EG96)+EG96)*EG$6*(EG12&gt;0)</f>
        <v>-0</v>
      </c>
      <c r="EH101" s="48" t="n">
        <f aca="false">-In_Commitment_Fee*($I96-SUM($J96:EH96)+EH96)*EH$6*(EH12&gt;0)</f>
        <v>-0</v>
      </c>
      <c r="EI101" s="48" t="n">
        <f aca="false">-In_Commitment_Fee*($I96-SUM($J96:EI96)+EI96)*EI$6*(EI12&gt;0)</f>
        <v>-0</v>
      </c>
      <c r="EJ101" s="48" t="n">
        <f aca="false">-In_Commitment_Fee*($I96-SUM($J96:EJ96)+EJ96)*EJ$6*(EJ12&gt;0)</f>
        <v>-0</v>
      </c>
      <c r="EK101" s="48" t="n">
        <f aca="false">-In_Commitment_Fee*($I96-SUM($J96:EK96)+EK96)*EK$6*(EK12&gt;0)</f>
        <v>-0</v>
      </c>
      <c r="EL101" s="48" t="n">
        <f aca="false">-In_Commitment_Fee*($I96-SUM($J96:EL96)+EL96)*EL$6*(EL12&gt;0)</f>
        <v>-0</v>
      </c>
      <c r="EM101" s="48" t="n">
        <f aca="false">-In_Commitment_Fee*($I96-SUM($J96:EM96)+EM96)*EM$6*(EM12&gt;0)</f>
        <v>-0</v>
      </c>
      <c r="EN101" s="48" t="n">
        <f aca="false">-In_Commitment_Fee*($I96-SUM($J96:EN96)+EN96)*EN$6*(EN12&gt;0)</f>
        <v>-0</v>
      </c>
      <c r="EO101" s="48" t="n">
        <f aca="false">-In_Commitment_Fee*($I96-SUM($J96:EO96)+EO96)*EO$6*(EO12&gt;0)</f>
        <v>-0</v>
      </c>
    </row>
    <row r="102" customFormat="false" ht="15" hidden="false" customHeight="false" outlineLevel="0" collapsed="false">
      <c r="C102" s="0" t="s">
        <v>478</v>
      </c>
      <c r="D102" s="11" t="s">
        <v>33</v>
      </c>
      <c r="E102" s="48" t="n">
        <f aca="false">-SUMIFS($J94:$EO94,$J$4:$EO$4,"&gt;"&amp;In_COD,$J$4:$EO$4,"&lt;="&amp;EDATE(In_COD,In_DSRA_Months))</f>
        <v>1246.00253223223</v>
      </c>
      <c r="I102" s="48" t="n">
        <f aca="false">SUM(J102:EO102)</f>
        <v>0</v>
      </c>
      <c r="J102" s="48" t="n">
        <f aca="false">$E102*(J19-J14)</f>
        <v>0</v>
      </c>
      <c r="K102" s="48" t="n">
        <f aca="false">$E102*(K19-K14)</f>
        <v>0</v>
      </c>
      <c r="L102" s="48" t="n">
        <f aca="false">$E102*(L19-L14)</f>
        <v>0</v>
      </c>
      <c r="M102" s="48" t="n">
        <f aca="false">$E102*(M19-M14)</f>
        <v>0</v>
      </c>
      <c r="N102" s="48" t="n">
        <f aca="false">$E102*(N19-N14)</f>
        <v>0</v>
      </c>
      <c r="O102" s="48" t="n">
        <f aca="false">$E102*(O19-O14)</f>
        <v>0</v>
      </c>
      <c r="P102" s="48" t="n">
        <f aca="false">$E102*(P19-P14)</f>
        <v>0</v>
      </c>
      <c r="Q102" s="48" t="n">
        <f aca="false">$E102*(Q19-Q14)</f>
        <v>0</v>
      </c>
      <c r="R102" s="48" t="n">
        <f aca="false">$E102*(R19-R14)</f>
        <v>0</v>
      </c>
      <c r="S102" s="48" t="n">
        <f aca="false">$E102*(S19-S14)</f>
        <v>0</v>
      </c>
      <c r="T102" s="48" t="n">
        <f aca="false">$E102*(T19-T14)</f>
        <v>0</v>
      </c>
      <c r="U102" s="48" t="n">
        <f aca="false">$E102*(U19-U14)</f>
        <v>0</v>
      </c>
      <c r="V102" s="48" t="n">
        <f aca="false">$E102*(V19-V14)</f>
        <v>0</v>
      </c>
      <c r="W102" s="48" t="n">
        <f aca="false">$E102*(W19-W14)</f>
        <v>0</v>
      </c>
      <c r="X102" s="48" t="n">
        <f aca="false">$E102*(X19-X14)</f>
        <v>0</v>
      </c>
      <c r="Y102" s="48" t="n">
        <f aca="false">$E102*(Y19-Y14)</f>
        <v>-1246.00253223223</v>
      </c>
      <c r="Z102" s="48" t="n">
        <f aca="false">$E102*(Z19-Z14)</f>
        <v>0</v>
      </c>
      <c r="AA102" s="48" t="n">
        <f aca="false">$E102*(AA19-AA14)</f>
        <v>0</v>
      </c>
      <c r="AB102" s="48" t="n">
        <f aca="false">$E102*(AB19-AB14)</f>
        <v>0</v>
      </c>
      <c r="AC102" s="48" t="n">
        <f aca="false">$E102*(AC19-AC14)</f>
        <v>0</v>
      </c>
      <c r="AD102" s="48" t="n">
        <f aca="false">$E102*(AD19-AD14)</f>
        <v>0</v>
      </c>
      <c r="AE102" s="48" t="n">
        <f aca="false">$E102*(AE19-AE14)</f>
        <v>0</v>
      </c>
      <c r="AF102" s="48" t="n">
        <f aca="false">$E102*(AF19-AF14)</f>
        <v>0</v>
      </c>
      <c r="AG102" s="48" t="n">
        <f aca="false">$E102*(AG19-AG14)</f>
        <v>0</v>
      </c>
      <c r="AH102" s="48" t="n">
        <f aca="false">$E102*(AH19-AH14)</f>
        <v>0</v>
      </c>
      <c r="AI102" s="48" t="n">
        <f aca="false">$E102*(AI19-AI14)</f>
        <v>0</v>
      </c>
      <c r="AJ102" s="48" t="n">
        <f aca="false">$E102*(AJ19-AJ14)</f>
        <v>0</v>
      </c>
      <c r="AK102" s="48" t="n">
        <f aca="false">$E102*(AK19-AK14)</f>
        <v>0</v>
      </c>
      <c r="AL102" s="48" t="n">
        <f aca="false">$E102*(AL19-AL14)</f>
        <v>0</v>
      </c>
      <c r="AM102" s="48" t="n">
        <f aca="false">$E102*(AM19-AM14)</f>
        <v>0</v>
      </c>
      <c r="AN102" s="48" t="n">
        <f aca="false">$E102*(AN19-AN14)</f>
        <v>0</v>
      </c>
      <c r="AO102" s="48" t="n">
        <f aca="false">$E102*(AO19-AO14)</f>
        <v>0</v>
      </c>
      <c r="AP102" s="48" t="n">
        <f aca="false">$E102*(AP19-AP14)</f>
        <v>0</v>
      </c>
      <c r="AQ102" s="48" t="n">
        <f aca="false">$E102*(AQ19-AQ14)</f>
        <v>0</v>
      </c>
      <c r="AR102" s="48" t="n">
        <f aca="false">$E102*(AR19-AR14)</f>
        <v>0</v>
      </c>
      <c r="AS102" s="48" t="n">
        <f aca="false">$E102*(AS19-AS14)</f>
        <v>0</v>
      </c>
      <c r="AT102" s="48" t="n">
        <f aca="false">$E102*(AT19-AT14)</f>
        <v>0</v>
      </c>
      <c r="AU102" s="48" t="n">
        <f aca="false">$E102*(AU19-AU14)</f>
        <v>0</v>
      </c>
      <c r="AV102" s="48" t="n">
        <f aca="false">$E102*(AV19-AV14)</f>
        <v>0</v>
      </c>
      <c r="AW102" s="48" t="n">
        <f aca="false">$E102*(AW19-AW14)</f>
        <v>0</v>
      </c>
      <c r="AX102" s="48" t="n">
        <f aca="false">$E102*(AX19-AX14)</f>
        <v>0</v>
      </c>
      <c r="AY102" s="48" t="n">
        <f aca="false">$E102*(AY19-AY14)</f>
        <v>0</v>
      </c>
      <c r="AZ102" s="48" t="n">
        <f aca="false">$E102*(AZ19-AZ14)</f>
        <v>0</v>
      </c>
      <c r="BA102" s="48" t="n">
        <f aca="false">$E102*(BA19-BA14)</f>
        <v>0</v>
      </c>
      <c r="BB102" s="48" t="n">
        <f aca="false">$E102*(BB19-BB14)</f>
        <v>0</v>
      </c>
      <c r="BC102" s="48" t="n">
        <f aca="false">$E102*(BC19-BC14)</f>
        <v>0</v>
      </c>
      <c r="BD102" s="48" t="n">
        <f aca="false">$E102*(BD19-BD14)</f>
        <v>0</v>
      </c>
      <c r="BE102" s="48" t="n">
        <f aca="false">$E102*(BE19-BE14)</f>
        <v>0</v>
      </c>
      <c r="BF102" s="48" t="n">
        <f aca="false">$E102*(BF19-BF14)</f>
        <v>0</v>
      </c>
      <c r="BG102" s="48" t="n">
        <f aca="false">$E102*(BG19-BG14)</f>
        <v>0</v>
      </c>
      <c r="BH102" s="48" t="n">
        <f aca="false">$E102*(BH19-BH14)</f>
        <v>0</v>
      </c>
      <c r="BI102" s="48" t="n">
        <f aca="false">$E102*(BI19-BI14)</f>
        <v>0</v>
      </c>
      <c r="BJ102" s="48" t="n">
        <f aca="false">$E102*(BJ19-BJ14)</f>
        <v>0</v>
      </c>
      <c r="BK102" s="48" t="n">
        <f aca="false">$E102*(BK19-BK14)</f>
        <v>0</v>
      </c>
      <c r="BL102" s="48" t="n">
        <f aca="false">$E102*(BL19-BL14)</f>
        <v>0</v>
      </c>
      <c r="BM102" s="48" t="n">
        <f aca="false">$E102*(BM19-BM14)</f>
        <v>0</v>
      </c>
      <c r="BN102" s="48" t="n">
        <f aca="false">$E102*(BN19-BN14)</f>
        <v>0</v>
      </c>
      <c r="BO102" s="48" t="n">
        <f aca="false">$E102*(BO19-BO14)</f>
        <v>0</v>
      </c>
      <c r="BP102" s="48" t="n">
        <f aca="false">$E102*(BP19-BP14)</f>
        <v>0</v>
      </c>
      <c r="BQ102" s="48" t="n">
        <f aca="false">$E102*(BQ19-BQ14)</f>
        <v>0</v>
      </c>
      <c r="BR102" s="48" t="n">
        <f aca="false">$E102*(BR19-BR14)</f>
        <v>0</v>
      </c>
      <c r="BS102" s="48" t="n">
        <f aca="false">$E102*(BS19-BS14)</f>
        <v>0</v>
      </c>
      <c r="BT102" s="48" t="n">
        <f aca="false">$E102*(BT19-BT14)</f>
        <v>0</v>
      </c>
      <c r="BU102" s="48" t="n">
        <f aca="false">$E102*(BU19-BU14)</f>
        <v>0</v>
      </c>
      <c r="BV102" s="48" t="n">
        <f aca="false">$E102*(BV19-BV14)</f>
        <v>0</v>
      </c>
      <c r="BW102" s="48" t="n">
        <f aca="false">$E102*(BW19-BW14)</f>
        <v>0</v>
      </c>
      <c r="BX102" s="48" t="n">
        <f aca="false">$E102*(BX19-BX14)</f>
        <v>0</v>
      </c>
      <c r="BY102" s="48" t="n">
        <f aca="false">$E102*(BY19-BY14)</f>
        <v>0</v>
      </c>
      <c r="BZ102" s="48" t="n">
        <f aca="false">$E102*(BZ19-BZ14)</f>
        <v>0</v>
      </c>
      <c r="CA102" s="48" t="n">
        <f aca="false">$E102*(CA19-CA14)</f>
        <v>0</v>
      </c>
      <c r="CB102" s="48" t="n">
        <f aca="false">$E102*(CB19-CB14)</f>
        <v>0</v>
      </c>
      <c r="CC102" s="48" t="n">
        <f aca="false">$E102*(CC19-CC14)</f>
        <v>0</v>
      </c>
      <c r="CD102" s="48" t="n">
        <f aca="false">$E102*(CD19-CD14)</f>
        <v>0</v>
      </c>
      <c r="CE102" s="48" t="n">
        <f aca="false">$E102*(CE19-CE14)</f>
        <v>0</v>
      </c>
      <c r="CF102" s="48" t="n">
        <f aca="false">$E102*(CF19-CF14)</f>
        <v>0</v>
      </c>
      <c r="CG102" s="48" t="n">
        <f aca="false">$E102*(CG19-CG14)</f>
        <v>0</v>
      </c>
      <c r="CH102" s="48" t="n">
        <f aca="false">$E102*(CH19-CH14)</f>
        <v>0</v>
      </c>
      <c r="CI102" s="48" t="n">
        <f aca="false">$E102*(CI19-CI14)</f>
        <v>0</v>
      </c>
      <c r="CJ102" s="48" t="n">
        <f aca="false">$E102*(CJ19-CJ14)</f>
        <v>0</v>
      </c>
      <c r="CK102" s="48" t="n">
        <f aca="false">$E102*(CK19-CK14)</f>
        <v>0</v>
      </c>
      <c r="CL102" s="48" t="n">
        <f aca="false">$E102*(CL19-CL14)</f>
        <v>0</v>
      </c>
      <c r="CM102" s="48" t="n">
        <f aca="false">$E102*(CM19-CM14)</f>
        <v>0</v>
      </c>
      <c r="CN102" s="48" t="n">
        <f aca="false">$E102*(CN19-CN14)</f>
        <v>0</v>
      </c>
      <c r="CO102" s="48" t="n">
        <f aca="false">$E102*(CO19-CO14)</f>
        <v>0</v>
      </c>
      <c r="CP102" s="48" t="n">
        <f aca="false">$E102*(CP19-CP14)</f>
        <v>0</v>
      </c>
      <c r="CQ102" s="48" t="n">
        <f aca="false">$E102*(CQ19-CQ14)</f>
        <v>0</v>
      </c>
      <c r="CR102" s="48" t="n">
        <f aca="false">$E102*(CR19-CR14)</f>
        <v>0</v>
      </c>
      <c r="CS102" s="48" t="n">
        <f aca="false">$E102*(CS19-CS14)</f>
        <v>1246.00253223223</v>
      </c>
      <c r="CT102" s="48" t="n">
        <f aca="false">$E102*(CT19-CT14)</f>
        <v>0</v>
      </c>
      <c r="CU102" s="48" t="n">
        <f aca="false">$E102*(CU19-CU14)</f>
        <v>0</v>
      </c>
      <c r="CV102" s="48" t="n">
        <f aca="false">$E102*(CV19-CV14)</f>
        <v>0</v>
      </c>
      <c r="CW102" s="48" t="n">
        <f aca="false">$E102*(CW19-CW14)</f>
        <v>0</v>
      </c>
      <c r="CX102" s="48" t="n">
        <f aca="false">$E102*(CX19-CX14)</f>
        <v>0</v>
      </c>
      <c r="CY102" s="48" t="n">
        <f aca="false">$E102*(CY19-CY14)</f>
        <v>0</v>
      </c>
      <c r="CZ102" s="48" t="n">
        <f aca="false">$E102*(CZ19-CZ14)</f>
        <v>0</v>
      </c>
      <c r="DA102" s="48" t="n">
        <f aca="false">$E102*(DA19-DA14)</f>
        <v>0</v>
      </c>
      <c r="DB102" s="48" t="n">
        <f aca="false">$E102*(DB19-DB14)</f>
        <v>0</v>
      </c>
      <c r="DC102" s="48" t="n">
        <f aca="false">$E102*(DC19-DC14)</f>
        <v>0</v>
      </c>
      <c r="DD102" s="48" t="n">
        <f aca="false">$E102*(DD19-DD14)</f>
        <v>0</v>
      </c>
      <c r="DE102" s="48" t="n">
        <f aca="false">$E102*(DE19-DE14)</f>
        <v>0</v>
      </c>
      <c r="DF102" s="48" t="n">
        <f aca="false">$E102*(DF19-DF14)</f>
        <v>0</v>
      </c>
      <c r="DG102" s="48" t="n">
        <f aca="false">$E102*(DG19-DG14)</f>
        <v>0</v>
      </c>
      <c r="DH102" s="48" t="n">
        <f aca="false">$E102*(DH19-DH14)</f>
        <v>0</v>
      </c>
      <c r="DI102" s="48" t="n">
        <f aca="false">$E102*(DI19-DI14)</f>
        <v>0</v>
      </c>
      <c r="DJ102" s="48" t="n">
        <f aca="false">$E102*(DJ19-DJ14)</f>
        <v>0</v>
      </c>
      <c r="DK102" s="48" t="n">
        <f aca="false">$E102*(DK19-DK14)</f>
        <v>0</v>
      </c>
      <c r="DL102" s="48" t="n">
        <f aca="false">$E102*(DL19-DL14)</f>
        <v>0</v>
      </c>
      <c r="DM102" s="48" t="n">
        <f aca="false">$E102*(DM19-DM14)</f>
        <v>0</v>
      </c>
      <c r="DN102" s="48" t="n">
        <f aca="false">$E102*(DN19-DN14)</f>
        <v>0</v>
      </c>
      <c r="DO102" s="48" t="n">
        <f aca="false">$E102*(DO19-DO14)</f>
        <v>0</v>
      </c>
      <c r="DP102" s="48" t="n">
        <f aca="false">$E102*(DP19-DP14)</f>
        <v>0</v>
      </c>
      <c r="DQ102" s="48" t="n">
        <f aca="false">$E102*(DQ19-DQ14)</f>
        <v>0</v>
      </c>
      <c r="DR102" s="48" t="n">
        <f aca="false">$E102*(DR19-DR14)</f>
        <v>0</v>
      </c>
      <c r="DS102" s="48" t="n">
        <f aca="false">$E102*(DS19-DS14)</f>
        <v>0</v>
      </c>
      <c r="DT102" s="48" t="n">
        <f aca="false">$E102*(DT19-DT14)</f>
        <v>0</v>
      </c>
      <c r="DU102" s="48" t="n">
        <f aca="false">$E102*(DU19-DU14)</f>
        <v>0</v>
      </c>
      <c r="DV102" s="48" t="n">
        <f aca="false">$E102*(DV19-DV14)</f>
        <v>0</v>
      </c>
      <c r="DW102" s="48" t="n">
        <f aca="false">$E102*(DW19-DW14)</f>
        <v>0</v>
      </c>
      <c r="DX102" s="48" t="n">
        <f aca="false">$E102*(DX19-DX14)</f>
        <v>0</v>
      </c>
      <c r="DY102" s="48" t="n">
        <f aca="false">$E102*(DY19-DY14)</f>
        <v>0</v>
      </c>
      <c r="DZ102" s="48" t="n">
        <f aca="false">$E102*(DZ19-DZ14)</f>
        <v>0</v>
      </c>
      <c r="EA102" s="48" t="n">
        <f aca="false">$E102*(EA19-EA14)</f>
        <v>0</v>
      </c>
      <c r="EB102" s="48" t="n">
        <f aca="false">$E102*(EB19-EB14)</f>
        <v>0</v>
      </c>
      <c r="EC102" s="48" t="n">
        <f aca="false">$E102*(EC19-EC14)</f>
        <v>0</v>
      </c>
      <c r="ED102" s="48" t="n">
        <f aca="false">$E102*(ED19-ED14)</f>
        <v>0</v>
      </c>
      <c r="EE102" s="48" t="n">
        <f aca="false">$E102*(EE19-EE14)</f>
        <v>0</v>
      </c>
      <c r="EF102" s="48" t="n">
        <f aca="false">$E102*(EF19-EF14)</f>
        <v>0</v>
      </c>
      <c r="EG102" s="48" t="n">
        <f aca="false">$E102*(EG19-EG14)</f>
        <v>0</v>
      </c>
      <c r="EH102" s="48" t="n">
        <f aca="false">$E102*(EH19-EH14)</f>
        <v>0</v>
      </c>
      <c r="EI102" s="48" t="n">
        <f aca="false">$E102*(EI19-EI14)</f>
        <v>0</v>
      </c>
      <c r="EJ102" s="48" t="n">
        <f aca="false">$E102*(EJ19-EJ14)</f>
        <v>0</v>
      </c>
      <c r="EK102" s="48" t="n">
        <f aca="false">$E102*(EK19-EK14)</f>
        <v>0</v>
      </c>
      <c r="EL102" s="48" t="n">
        <f aca="false">$E102*(EL19-EL14)</f>
        <v>0</v>
      </c>
      <c r="EM102" s="48" t="n">
        <f aca="false">$E102*(EM19-EM14)</f>
        <v>0</v>
      </c>
      <c r="EN102" s="48" t="n">
        <f aca="false">$E102*(EN19-EN14)</f>
        <v>0</v>
      </c>
      <c r="EO102" s="48" t="n">
        <f aca="false">$E102*(EO19-EO14)</f>
        <v>0</v>
      </c>
    </row>
    <row r="103" customFormat="false" ht="15" hidden="false" customHeight="false" outlineLevel="0" collapsed="false">
      <c r="C103" s="0" t="s">
        <v>479</v>
      </c>
      <c r="D103" s="11" t="s">
        <v>13</v>
      </c>
      <c r="E103" s="53" t="n">
        <f aca="false">MIN($J103:$EO103)</f>
        <v>1.88154378240586</v>
      </c>
      <c r="J103" s="53" t="str">
        <f aca="false">IF(J94&lt;0,J87/-J94,"")</f>
        <v/>
      </c>
      <c r="K103" s="53" t="str">
        <f aca="false">IF(K94&lt;0,K87/-K94,"")</f>
        <v/>
      </c>
      <c r="L103" s="53" t="str">
        <f aca="false">IF(L94&lt;0,L87/-L94,"")</f>
        <v/>
      </c>
      <c r="M103" s="53" t="str">
        <f aca="false">IF(M94&lt;0,M87/-M94,"")</f>
        <v/>
      </c>
      <c r="N103" s="53" t="str">
        <f aca="false">IF(N94&lt;0,N87/-N94,"")</f>
        <v/>
      </c>
      <c r="O103" s="53" t="str">
        <f aca="false">IF(O94&lt;0,O87/-O94,"")</f>
        <v/>
      </c>
      <c r="P103" s="53" t="str">
        <f aca="false">IF(P94&lt;0,P87/-P94,"")</f>
        <v/>
      </c>
      <c r="Q103" s="53" t="str">
        <f aca="false">IF(Q94&lt;0,Q87/-Q94,"")</f>
        <v/>
      </c>
      <c r="R103" s="53" t="str">
        <f aca="false">IF(R94&lt;0,R87/-R94,"")</f>
        <v/>
      </c>
      <c r="S103" s="53" t="str">
        <f aca="false">IF(S94&lt;0,S87/-S94,"")</f>
        <v/>
      </c>
      <c r="T103" s="53" t="str">
        <f aca="false">IF(T94&lt;0,T87/-T94,"")</f>
        <v/>
      </c>
      <c r="U103" s="53" t="str">
        <f aca="false">IF(U94&lt;0,U87/-U94,"")</f>
        <v/>
      </c>
      <c r="V103" s="53" t="str">
        <f aca="false">IF(V94&lt;0,V87/-V94,"")</f>
        <v/>
      </c>
      <c r="W103" s="53" t="str">
        <f aca="false">IF(W94&lt;0,W87/-W94,"")</f>
        <v/>
      </c>
      <c r="X103" s="53" t="str">
        <f aca="false">IF(X94&lt;0,X87/-X94,"")</f>
        <v/>
      </c>
      <c r="Y103" s="53" t="str">
        <f aca="false">IF(Y94&lt;0,Y87/-Y94,"")</f>
        <v/>
      </c>
      <c r="Z103" s="53" t="n">
        <f aca="false">IF(Z94&lt;0,Z87/-Z94,"")</f>
        <v>1.88154378240586</v>
      </c>
      <c r="AA103" s="53" t="n">
        <f aca="false">IF(AA94&lt;0,AA87/-AA94,"")</f>
        <v>1.88154378240586</v>
      </c>
      <c r="AB103" s="53" t="n">
        <f aca="false">IF(AB94&lt;0,AB87/-AB94,"")</f>
        <v>1.88154378240586</v>
      </c>
      <c r="AC103" s="53" t="n">
        <f aca="false">IF(AC94&lt;0,AC87/-AC94,"")</f>
        <v>1.88154378240586</v>
      </c>
      <c r="AD103" s="53" t="n">
        <f aca="false">IF(AD94&lt;0,AD87/-AD94,"")</f>
        <v>1.88154378240586</v>
      </c>
      <c r="AE103" s="53" t="n">
        <f aca="false">IF(AE94&lt;0,AE87/-AE94,"")</f>
        <v>1.88154378240586</v>
      </c>
      <c r="AF103" s="53" t="n">
        <f aca="false">IF(AF94&lt;0,AF87/-AF94,"")</f>
        <v>1.88154378240586</v>
      </c>
      <c r="AG103" s="53" t="n">
        <f aca="false">IF(AG94&lt;0,AG87/-AG94,"")</f>
        <v>1.88154378240586</v>
      </c>
      <c r="AH103" s="53" t="n">
        <f aca="false">IF(AH94&lt;0,AH87/-AH94,"")</f>
        <v>1.88154378240586</v>
      </c>
      <c r="AI103" s="53" t="n">
        <f aca="false">IF(AI94&lt;0,AI87/-AI94,"")</f>
        <v>1.88154378240586</v>
      </c>
      <c r="AJ103" s="53" t="n">
        <f aca="false">IF(AJ94&lt;0,AJ87/-AJ94,"")</f>
        <v>1.88154378240586</v>
      </c>
      <c r="AK103" s="53" t="n">
        <f aca="false">IF(AK94&lt;0,AK87/-AK94,"")</f>
        <v>1.88154378240586</v>
      </c>
      <c r="AL103" s="53" t="n">
        <f aca="false">IF(AL94&lt;0,AL87/-AL94,"")</f>
        <v>1.88154378240586</v>
      </c>
      <c r="AM103" s="53" t="n">
        <f aca="false">IF(AM94&lt;0,AM87/-AM94,"")</f>
        <v>1.88154378240586</v>
      </c>
      <c r="AN103" s="53" t="n">
        <f aca="false">IF(AN94&lt;0,AN87/-AN94,"")</f>
        <v>1.88154378240586</v>
      </c>
      <c r="AO103" s="53" t="n">
        <f aca="false">IF(AO94&lt;0,AO87/-AO94,"")</f>
        <v>1.88154378240586</v>
      </c>
      <c r="AP103" s="53" t="n">
        <f aca="false">IF(AP94&lt;0,AP87/-AP94,"")</f>
        <v>1.88154378240586</v>
      </c>
      <c r="AQ103" s="53" t="n">
        <f aca="false">IF(AQ94&lt;0,AQ87/-AQ94,"")</f>
        <v>1.88154378240586</v>
      </c>
      <c r="AR103" s="53" t="n">
        <f aca="false">IF(AR94&lt;0,AR87/-AR94,"")</f>
        <v>1.88154378240586</v>
      </c>
      <c r="AS103" s="53" t="n">
        <f aca="false">IF(AS94&lt;0,AS87/-AS94,"")</f>
        <v>1.88154378240586</v>
      </c>
      <c r="AT103" s="53" t="n">
        <f aca="false">IF(AT94&lt;0,AT87/-AT94,"")</f>
        <v>1.88154378240586</v>
      </c>
      <c r="AU103" s="53" t="n">
        <f aca="false">IF(AU94&lt;0,AU87/-AU94,"")</f>
        <v>1.88154378240586</v>
      </c>
      <c r="AV103" s="53" t="n">
        <f aca="false">IF(AV94&lt;0,AV87/-AV94,"")</f>
        <v>1.88154378240586</v>
      </c>
      <c r="AW103" s="53" t="n">
        <f aca="false">IF(AW94&lt;0,AW87/-AW94,"")</f>
        <v>1.88154378240586</v>
      </c>
      <c r="AX103" s="53" t="n">
        <f aca="false">IF(AX94&lt;0,AX87/-AX94,"")</f>
        <v>1.88154378240586</v>
      </c>
      <c r="AY103" s="53" t="n">
        <f aca="false">IF(AY94&lt;0,AY87/-AY94,"")</f>
        <v>1.88154378240586</v>
      </c>
      <c r="AZ103" s="53" t="n">
        <f aca="false">IF(AZ94&lt;0,AZ87/-AZ94,"")</f>
        <v>1.88154378240586</v>
      </c>
      <c r="BA103" s="53" t="n">
        <f aca="false">IF(BA94&lt;0,BA87/-BA94,"")</f>
        <v>1.88154378240586</v>
      </c>
      <c r="BB103" s="53" t="n">
        <f aca="false">IF(BB94&lt;0,BB87/-BB94,"")</f>
        <v>1.88154378240586</v>
      </c>
      <c r="BC103" s="53" t="n">
        <f aca="false">IF(BC94&lt;0,BC87/-BC94,"")</f>
        <v>1.88154378240586</v>
      </c>
      <c r="BD103" s="53" t="n">
        <f aca="false">IF(BD94&lt;0,BD87/-BD94,"")</f>
        <v>1.88154378240586</v>
      </c>
      <c r="BE103" s="53" t="n">
        <f aca="false">IF(BE94&lt;0,BE87/-BE94,"")</f>
        <v>1.88154378240586</v>
      </c>
      <c r="BF103" s="53" t="n">
        <f aca="false">IF(BF94&lt;0,BF87/-BF94,"")</f>
        <v>1.88154378240586</v>
      </c>
      <c r="BG103" s="53" t="n">
        <f aca="false">IF(BG94&lt;0,BG87/-BG94,"")</f>
        <v>1.88154378240586</v>
      </c>
      <c r="BH103" s="53" t="n">
        <f aca="false">IF(BH94&lt;0,BH87/-BH94,"")</f>
        <v>1.88154378240586</v>
      </c>
      <c r="BI103" s="53" t="n">
        <f aca="false">IF(BI94&lt;0,BI87/-BI94,"")</f>
        <v>1.88154378240586</v>
      </c>
      <c r="BJ103" s="53" t="n">
        <f aca="false">IF(BJ94&lt;0,BJ87/-BJ94,"")</f>
        <v>1.88154378240586</v>
      </c>
      <c r="BK103" s="53" t="n">
        <f aca="false">IF(BK94&lt;0,BK87/-BK94,"")</f>
        <v>1.88154378240586</v>
      </c>
      <c r="BL103" s="53" t="n">
        <f aca="false">IF(BL94&lt;0,BL87/-BL94,"")</f>
        <v>1.88154378240586</v>
      </c>
      <c r="BM103" s="53" t="n">
        <f aca="false">IF(BM94&lt;0,BM87/-BM94,"")</f>
        <v>1.88154378240586</v>
      </c>
      <c r="BN103" s="53" t="n">
        <f aca="false">IF(BN94&lt;0,BN87/-BN94,"")</f>
        <v>1.88154378240586</v>
      </c>
      <c r="BO103" s="53" t="n">
        <f aca="false">IF(BO94&lt;0,BO87/-BO94,"")</f>
        <v>1.88154378240586</v>
      </c>
      <c r="BP103" s="53" t="n">
        <f aca="false">IF(BP94&lt;0,BP87/-BP94,"")</f>
        <v>1.88154378240586</v>
      </c>
      <c r="BQ103" s="53" t="n">
        <f aca="false">IF(BQ94&lt;0,BQ87/-BQ94,"")</f>
        <v>1.88154378240586</v>
      </c>
      <c r="BR103" s="53" t="n">
        <f aca="false">IF(BR94&lt;0,BR87/-BR94,"")</f>
        <v>1.88154378240586</v>
      </c>
      <c r="BS103" s="53" t="n">
        <f aca="false">IF(BS94&lt;0,BS87/-BS94,"")</f>
        <v>1.88154378240586</v>
      </c>
      <c r="BT103" s="53" t="n">
        <f aca="false">IF(BT94&lt;0,BT87/-BT94,"")</f>
        <v>1.88154378240586</v>
      </c>
      <c r="BU103" s="53" t="n">
        <f aca="false">IF(BU94&lt;0,BU87/-BU94,"")</f>
        <v>1.88154378240586</v>
      </c>
      <c r="BV103" s="53" t="n">
        <f aca="false">IF(BV94&lt;0,BV87/-BV94,"")</f>
        <v>1.88154378240586</v>
      </c>
      <c r="BW103" s="53" t="n">
        <f aca="false">IF(BW94&lt;0,BW87/-BW94,"")</f>
        <v>1.88154378240586</v>
      </c>
      <c r="BX103" s="53" t="n">
        <f aca="false">IF(BX94&lt;0,BX87/-BX94,"")</f>
        <v>1.88154378240586</v>
      </c>
      <c r="BY103" s="53" t="n">
        <f aca="false">IF(BY94&lt;0,BY87/-BY94,"")</f>
        <v>1.88154378240586</v>
      </c>
      <c r="BZ103" s="53" t="n">
        <f aca="false">IF(BZ94&lt;0,BZ87/-BZ94,"")</f>
        <v>1.88154378240586</v>
      </c>
      <c r="CA103" s="53" t="n">
        <f aca="false">IF(CA94&lt;0,CA87/-CA94,"")</f>
        <v>1.88154378240586</v>
      </c>
      <c r="CB103" s="53" t="n">
        <f aca="false">IF(CB94&lt;0,CB87/-CB94,"")</f>
        <v>1.88154378240586</v>
      </c>
      <c r="CC103" s="53" t="n">
        <f aca="false">IF(CC94&lt;0,CC87/-CC94,"")</f>
        <v>1.88154378240586</v>
      </c>
      <c r="CD103" s="53" t="n">
        <f aca="false">IF(CD94&lt;0,CD87/-CD94,"")</f>
        <v>1.88154378240586</v>
      </c>
      <c r="CE103" s="53" t="n">
        <f aca="false">IF(CE94&lt;0,CE87/-CE94,"")</f>
        <v>1.88154378240586</v>
      </c>
      <c r="CF103" s="53" t="n">
        <f aca="false">IF(CF94&lt;0,CF87/-CF94,"")</f>
        <v>1.88154378240586</v>
      </c>
      <c r="CG103" s="53" t="n">
        <f aca="false">IF(CG94&lt;0,CG87/-CG94,"")</f>
        <v>1.88154378240586</v>
      </c>
      <c r="CH103" s="53" t="n">
        <f aca="false">IF(CH94&lt;0,CH87/-CH94,"")</f>
        <v>1.88154378240586</v>
      </c>
      <c r="CI103" s="53" t="n">
        <f aca="false">IF(CI94&lt;0,CI87/-CI94,"")</f>
        <v>1.88154378240586</v>
      </c>
      <c r="CJ103" s="53" t="n">
        <f aca="false">IF(CJ94&lt;0,CJ87/-CJ94,"")</f>
        <v>1.88154378240586</v>
      </c>
      <c r="CK103" s="53" t="n">
        <f aca="false">IF(CK94&lt;0,CK87/-CK94,"")</f>
        <v>1.88154378240586</v>
      </c>
      <c r="CL103" s="53" t="n">
        <f aca="false">IF(CL94&lt;0,CL87/-CL94,"")</f>
        <v>1.88154378240586</v>
      </c>
      <c r="CM103" s="53" t="n">
        <f aca="false">IF(CM94&lt;0,CM87/-CM94,"")</f>
        <v>1.88154378240586</v>
      </c>
      <c r="CN103" s="53" t="n">
        <f aca="false">IF(CN94&lt;0,CN87/-CN94,"")</f>
        <v>1.88154378240586</v>
      </c>
      <c r="CO103" s="53" t="n">
        <f aca="false">IF(CO94&lt;0,CO87/-CO94,"")</f>
        <v>1.88154378240586</v>
      </c>
      <c r="CP103" s="53" t="n">
        <f aca="false">IF(CP94&lt;0,CP87/-CP94,"")</f>
        <v>1.88154378240586</v>
      </c>
      <c r="CQ103" s="53" t="n">
        <f aca="false">IF(CQ94&lt;0,CQ87/-CQ94,"")</f>
        <v>1.88154378240586</v>
      </c>
      <c r="CR103" s="53" t="n">
        <f aca="false">IF(CR94&lt;0,CR87/-CR94,"")</f>
        <v>1.88154378240586</v>
      </c>
      <c r="CS103" s="53" t="n">
        <f aca="false">IF(CS94&lt;0,CS87/-CS94,"")</f>
        <v>1.88154378240586</v>
      </c>
      <c r="CT103" s="53" t="str">
        <f aca="false">IF(CT94&lt;0,CT87/-CT94,"")</f>
        <v/>
      </c>
      <c r="CU103" s="53" t="str">
        <f aca="false">IF(CU94&lt;0,CU87/-CU94,"")</f>
        <v/>
      </c>
      <c r="CV103" s="53" t="str">
        <f aca="false">IF(CV94&lt;0,CV87/-CV94,"")</f>
        <v/>
      </c>
      <c r="CW103" s="53" t="str">
        <f aca="false">IF(CW94&lt;0,CW87/-CW94,"")</f>
        <v/>
      </c>
      <c r="CX103" s="53" t="str">
        <f aca="false">IF(CX94&lt;0,CX87/-CX94,"")</f>
        <v/>
      </c>
      <c r="CY103" s="53" t="str">
        <f aca="false">IF(CY94&lt;0,CY87/-CY94,"")</f>
        <v/>
      </c>
      <c r="CZ103" s="53" t="str">
        <f aca="false">IF(CZ94&lt;0,CZ87/-CZ94,"")</f>
        <v/>
      </c>
      <c r="DA103" s="53" t="str">
        <f aca="false">IF(DA94&lt;0,DA87/-DA94,"")</f>
        <v/>
      </c>
      <c r="DB103" s="53" t="str">
        <f aca="false">IF(DB94&lt;0,DB87/-DB94,"")</f>
        <v/>
      </c>
      <c r="DC103" s="53" t="str">
        <f aca="false">IF(DC94&lt;0,DC87/-DC94,"")</f>
        <v/>
      </c>
      <c r="DD103" s="53" t="str">
        <f aca="false">IF(DD94&lt;0,DD87/-DD94,"")</f>
        <v/>
      </c>
      <c r="DE103" s="53" t="str">
        <f aca="false">IF(DE94&lt;0,DE87/-DE94,"")</f>
        <v/>
      </c>
      <c r="DF103" s="53" t="str">
        <f aca="false">IF(DF94&lt;0,DF87/-DF94,"")</f>
        <v/>
      </c>
      <c r="DG103" s="53" t="str">
        <f aca="false">IF(DG94&lt;0,DG87/-DG94,"")</f>
        <v/>
      </c>
      <c r="DH103" s="53" t="str">
        <f aca="false">IF(DH94&lt;0,DH87/-DH94,"")</f>
        <v/>
      </c>
      <c r="DI103" s="53" t="str">
        <f aca="false">IF(DI94&lt;0,DI87/-DI94,"")</f>
        <v/>
      </c>
      <c r="DJ103" s="53" t="str">
        <f aca="false">IF(DJ94&lt;0,DJ87/-DJ94,"")</f>
        <v/>
      </c>
      <c r="DK103" s="53" t="str">
        <f aca="false">IF(DK94&lt;0,DK87/-DK94,"")</f>
        <v/>
      </c>
      <c r="DL103" s="53" t="str">
        <f aca="false">IF(DL94&lt;0,DL87/-DL94,"")</f>
        <v/>
      </c>
      <c r="DM103" s="53" t="str">
        <f aca="false">IF(DM94&lt;0,DM87/-DM94,"")</f>
        <v/>
      </c>
      <c r="DN103" s="53" t="str">
        <f aca="false">IF(DN94&lt;0,DN87/-DN94,"")</f>
        <v/>
      </c>
      <c r="DO103" s="53" t="str">
        <f aca="false">IF(DO94&lt;0,DO87/-DO94,"")</f>
        <v/>
      </c>
      <c r="DP103" s="53" t="str">
        <f aca="false">IF(DP94&lt;0,DP87/-DP94,"")</f>
        <v/>
      </c>
      <c r="DQ103" s="53" t="str">
        <f aca="false">IF(DQ94&lt;0,DQ87/-DQ94,"")</f>
        <v/>
      </c>
      <c r="DR103" s="53" t="str">
        <f aca="false">IF(DR94&lt;0,DR87/-DR94,"")</f>
        <v/>
      </c>
      <c r="DS103" s="53" t="str">
        <f aca="false">IF(DS94&lt;0,DS87/-DS94,"")</f>
        <v/>
      </c>
      <c r="DT103" s="53" t="str">
        <f aca="false">IF(DT94&lt;0,DT87/-DT94,"")</f>
        <v/>
      </c>
      <c r="DU103" s="53" t="str">
        <f aca="false">IF(DU94&lt;0,DU87/-DU94,"")</f>
        <v/>
      </c>
      <c r="DV103" s="53" t="str">
        <f aca="false">IF(DV94&lt;0,DV87/-DV94,"")</f>
        <v/>
      </c>
      <c r="DW103" s="53" t="str">
        <f aca="false">IF(DW94&lt;0,DW87/-DW94,"")</f>
        <v/>
      </c>
      <c r="DX103" s="53" t="str">
        <f aca="false">IF(DX94&lt;0,DX87/-DX94,"")</f>
        <v/>
      </c>
      <c r="DY103" s="53" t="str">
        <f aca="false">IF(DY94&lt;0,DY87/-DY94,"")</f>
        <v/>
      </c>
      <c r="DZ103" s="53" t="str">
        <f aca="false">IF(DZ94&lt;0,DZ87/-DZ94,"")</f>
        <v/>
      </c>
      <c r="EA103" s="53" t="str">
        <f aca="false">IF(EA94&lt;0,EA87/-EA94,"")</f>
        <v/>
      </c>
      <c r="EB103" s="53" t="str">
        <f aca="false">IF(EB94&lt;0,EB87/-EB94,"")</f>
        <v/>
      </c>
      <c r="EC103" s="53" t="str">
        <f aca="false">IF(EC94&lt;0,EC87/-EC94,"")</f>
        <v/>
      </c>
      <c r="ED103" s="53" t="str">
        <f aca="false">IF(ED94&lt;0,ED87/-ED94,"")</f>
        <v/>
      </c>
      <c r="EE103" s="53" t="str">
        <f aca="false">IF(EE94&lt;0,EE87/-EE94,"")</f>
        <v/>
      </c>
      <c r="EF103" s="53" t="str">
        <f aca="false">IF(EF94&lt;0,EF87/-EF94,"")</f>
        <v/>
      </c>
      <c r="EG103" s="53" t="str">
        <f aca="false">IF(EG94&lt;0,EG87/-EG94,"")</f>
        <v/>
      </c>
      <c r="EH103" s="53" t="str">
        <f aca="false">IF(EH94&lt;0,EH87/-EH94,"")</f>
        <v/>
      </c>
      <c r="EI103" s="53" t="str">
        <f aca="false">IF(EI94&lt;0,EI87/-EI94,"")</f>
        <v/>
      </c>
      <c r="EJ103" s="53" t="str">
        <f aca="false">IF(EJ94&lt;0,EJ87/-EJ94,"")</f>
        <v/>
      </c>
      <c r="EK103" s="53" t="str">
        <f aca="false">IF(EK94&lt;0,EK87/-EK94,"")</f>
        <v/>
      </c>
      <c r="EL103" s="53" t="str">
        <f aca="false">IF(EL94&lt;0,EL87/-EL94,"")</f>
        <v/>
      </c>
      <c r="EM103" s="53" t="str">
        <f aca="false">IF(EM94&lt;0,EM87/-EM94,"")</f>
        <v/>
      </c>
      <c r="EN103" s="53" t="str">
        <f aca="false">IF(EN94&lt;0,EN87/-EN94,"")</f>
        <v/>
      </c>
      <c r="EO103" s="53" t="str">
        <f aca="false">IF(EO94&lt;0,EO87/-EO94,"")</f>
        <v/>
      </c>
    </row>
    <row r="105" customFormat="false" ht="15" hidden="false" customHeight="false" outlineLevel="0" collapsed="false">
      <c r="A105" s="9" t="s">
        <v>13</v>
      </c>
      <c r="B105" s="9"/>
      <c r="C105" s="9" t="s">
        <v>480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</row>
    <row r="106" customFormat="false" ht="15" hidden="false" customHeight="false" outlineLevel="0" collapsed="false">
      <c r="C106" s="0" t="s">
        <v>481</v>
      </c>
      <c r="D106" s="11" t="s">
        <v>33</v>
      </c>
      <c r="E106" s="48" t="n">
        <f aca="false">$I97-($I68+$I58+$I69+$I55+$I48+$I49+$I50)</f>
        <v>111000.293925295</v>
      </c>
      <c r="I106" s="48" t="n">
        <f aca="false">SUM(J106:EO106)</f>
        <v>-111000.293925295</v>
      </c>
      <c r="J106" s="48" t="n">
        <f aca="false">-$E106*J20</f>
        <v>-0</v>
      </c>
      <c r="K106" s="48" t="n">
        <f aca="false">-$E106*K20</f>
        <v>-0</v>
      </c>
      <c r="L106" s="48" t="n">
        <f aca="false">-$E106*L20</f>
        <v>-0</v>
      </c>
      <c r="M106" s="48" t="n">
        <f aca="false">-$E106*M20</f>
        <v>-0</v>
      </c>
      <c r="N106" s="48" t="n">
        <f aca="false">-$E106*N20</f>
        <v>-0</v>
      </c>
      <c r="O106" s="48" t="n">
        <f aca="false">-$E106*O20</f>
        <v>-0</v>
      </c>
      <c r="P106" s="48" t="n">
        <f aca="false">-$E106*P20</f>
        <v>-0</v>
      </c>
      <c r="Q106" s="48" t="n">
        <f aca="false">-$E106*Q20</f>
        <v>-0</v>
      </c>
      <c r="R106" s="48" t="n">
        <f aca="false">-$E106*R20</f>
        <v>-0</v>
      </c>
      <c r="S106" s="48" t="n">
        <f aca="false">-$E106*S20</f>
        <v>-0</v>
      </c>
      <c r="T106" s="48" t="n">
        <f aca="false">-$E106*T20</f>
        <v>-0</v>
      </c>
      <c r="U106" s="48" t="n">
        <f aca="false">-$E106*U20</f>
        <v>-0</v>
      </c>
      <c r="V106" s="48" t="n">
        <f aca="false">-$E106*V20</f>
        <v>-0</v>
      </c>
      <c r="W106" s="48" t="n">
        <f aca="false">-$E106*W20</f>
        <v>-0</v>
      </c>
      <c r="X106" s="48" t="n">
        <f aca="false">-$E106*X20</f>
        <v>-0</v>
      </c>
      <c r="Y106" s="48" t="n">
        <f aca="false">-$E106*Y20</f>
        <v>-0</v>
      </c>
      <c r="Z106" s="48" t="n">
        <f aca="false">-$E106*Z20</f>
        <v>-1397.95031363821</v>
      </c>
      <c r="AA106" s="48" t="n">
        <f aca="false">-$E106*AA20</f>
        <v>-1367.56008942868</v>
      </c>
      <c r="AB106" s="48" t="n">
        <f aca="false">-$E106*AB20</f>
        <v>-1382.75520153344</v>
      </c>
      <c r="AC106" s="48" t="n">
        <f aca="false">-$E106*AC20</f>
        <v>-1397.95031363821</v>
      </c>
      <c r="AD106" s="48" t="n">
        <f aca="false">-$E106*AD20</f>
        <v>-1397.95031363821</v>
      </c>
      <c r="AE106" s="48" t="n">
        <f aca="false">-$E106*AE20</f>
        <v>-1382.75520153344</v>
      </c>
      <c r="AF106" s="48" t="n">
        <f aca="false">-$E106*AF20</f>
        <v>-1382.75520153344</v>
      </c>
      <c r="AG106" s="48" t="n">
        <f aca="false">-$E106*AG20</f>
        <v>-1397.95031363821</v>
      </c>
      <c r="AH106" s="48" t="n">
        <f aca="false">-$E106*AH20</f>
        <v>-1397.95031363821</v>
      </c>
      <c r="AI106" s="48" t="n">
        <f aca="false">-$E106*AI20</f>
        <v>-1367.56008942868</v>
      </c>
      <c r="AJ106" s="48" t="n">
        <f aca="false">-$E106*AJ20</f>
        <v>-1382.75520153344</v>
      </c>
      <c r="AK106" s="48" t="n">
        <f aca="false">-$E106*AK20</f>
        <v>-1397.95031363821</v>
      </c>
      <c r="AL106" s="48" t="n">
        <f aca="false">-$E106*AL20</f>
        <v>-1397.95031363821</v>
      </c>
      <c r="AM106" s="48" t="n">
        <f aca="false">-$E106*AM20</f>
        <v>-1367.56008942868</v>
      </c>
      <c r="AN106" s="48" t="n">
        <f aca="false">-$E106*AN20</f>
        <v>-1382.75520153344</v>
      </c>
      <c r="AO106" s="48" t="n">
        <f aca="false">-$E106*AO20</f>
        <v>-1397.95031363821</v>
      </c>
      <c r="AP106" s="48" t="n">
        <f aca="false">-$E106*AP20</f>
        <v>-1397.95031363821</v>
      </c>
      <c r="AQ106" s="48" t="n">
        <f aca="false">-$E106*AQ20</f>
        <v>-1367.56008942868</v>
      </c>
      <c r="AR106" s="48" t="n">
        <f aca="false">-$E106*AR20</f>
        <v>-1382.75520153344</v>
      </c>
      <c r="AS106" s="48" t="n">
        <f aca="false">-$E106*AS20</f>
        <v>-1397.95031363821</v>
      </c>
      <c r="AT106" s="48" t="n">
        <f aca="false">-$E106*AT20</f>
        <v>-1397.95031363821</v>
      </c>
      <c r="AU106" s="48" t="n">
        <f aca="false">-$E106*AU20</f>
        <v>-1382.75520153344</v>
      </c>
      <c r="AV106" s="48" t="n">
        <f aca="false">-$E106*AV20</f>
        <v>-1382.75520153344</v>
      </c>
      <c r="AW106" s="48" t="n">
        <f aca="false">-$E106*AW20</f>
        <v>-1397.95031363821</v>
      </c>
      <c r="AX106" s="48" t="n">
        <f aca="false">-$E106*AX20</f>
        <v>-1397.95031363821</v>
      </c>
      <c r="AY106" s="48" t="n">
        <f aca="false">-$E106*AY20</f>
        <v>-1367.56008942868</v>
      </c>
      <c r="AZ106" s="48" t="n">
        <f aca="false">-$E106*AZ20</f>
        <v>-1382.75520153344</v>
      </c>
      <c r="BA106" s="48" t="n">
        <f aca="false">-$E106*BA20</f>
        <v>-1397.95031363821</v>
      </c>
      <c r="BB106" s="48" t="n">
        <f aca="false">-$E106*BB20</f>
        <v>-1397.95031363821</v>
      </c>
      <c r="BC106" s="48" t="n">
        <f aca="false">-$E106*BC20</f>
        <v>-1367.56008942868</v>
      </c>
      <c r="BD106" s="48" t="n">
        <f aca="false">-$E106*BD20</f>
        <v>-1382.75520153344</v>
      </c>
      <c r="BE106" s="48" t="n">
        <f aca="false">-$E106*BE20</f>
        <v>-1397.95031363821</v>
      </c>
      <c r="BF106" s="48" t="n">
        <f aca="false">-$E106*BF20</f>
        <v>-1397.95031363821</v>
      </c>
      <c r="BG106" s="48" t="n">
        <f aca="false">-$E106*BG20</f>
        <v>-1367.56008942868</v>
      </c>
      <c r="BH106" s="48" t="n">
        <f aca="false">-$E106*BH20</f>
        <v>-1382.75520153344</v>
      </c>
      <c r="BI106" s="48" t="n">
        <f aca="false">-$E106*BI20</f>
        <v>-1397.95031363821</v>
      </c>
      <c r="BJ106" s="48" t="n">
        <f aca="false">-$E106*BJ20</f>
        <v>-1397.95031363821</v>
      </c>
      <c r="BK106" s="48" t="n">
        <f aca="false">-$E106*BK20</f>
        <v>-1382.75520153344</v>
      </c>
      <c r="BL106" s="48" t="n">
        <f aca="false">-$E106*BL20</f>
        <v>-1382.75520153344</v>
      </c>
      <c r="BM106" s="48" t="n">
        <f aca="false">-$E106*BM20</f>
        <v>-1397.95031363821</v>
      </c>
      <c r="BN106" s="48" t="n">
        <f aca="false">-$E106*BN20</f>
        <v>-1397.95031363821</v>
      </c>
      <c r="BO106" s="48" t="n">
        <f aca="false">-$E106*BO20</f>
        <v>-1367.56008942868</v>
      </c>
      <c r="BP106" s="48" t="n">
        <f aca="false">-$E106*BP20</f>
        <v>-1382.75520153344</v>
      </c>
      <c r="BQ106" s="48" t="n">
        <f aca="false">-$E106*BQ20</f>
        <v>-1397.95031363821</v>
      </c>
      <c r="BR106" s="48" t="n">
        <f aca="false">-$E106*BR20</f>
        <v>-1397.95031363821</v>
      </c>
      <c r="BS106" s="48" t="n">
        <f aca="false">-$E106*BS20</f>
        <v>-1367.56008942868</v>
      </c>
      <c r="BT106" s="48" t="n">
        <f aca="false">-$E106*BT20</f>
        <v>-1382.75520153344</v>
      </c>
      <c r="BU106" s="48" t="n">
        <f aca="false">-$E106*BU20</f>
        <v>-1397.95031363821</v>
      </c>
      <c r="BV106" s="48" t="n">
        <f aca="false">-$E106*BV20</f>
        <v>-1397.95031363821</v>
      </c>
      <c r="BW106" s="48" t="n">
        <f aca="false">-$E106*BW20</f>
        <v>-1367.56008942868</v>
      </c>
      <c r="BX106" s="48" t="n">
        <f aca="false">-$E106*BX20</f>
        <v>-1382.75520153344</v>
      </c>
      <c r="BY106" s="48" t="n">
        <f aca="false">-$E106*BY20</f>
        <v>-1397.95031363821</v>
      </c>
      <c r="BZ106" s="48" t="n">
        <f aca="false">-$E106*BZ20</f>
        <v>-1397.95031363821</v>
      </c>
      <c r="CA106" s="48" t="n">
        <f aca="false">-$E106*CA20</f>
        <v>-1382.75520153344</v>
      </c>
      <c r="CB106" s="48" t="n">
        <f aca="false">-$E106*CB20</f>
        <v>-1382.75520153344</v>
      </c>
      <c r="CC106" s="48" t="n">
        <f aca="false">-$E106*CC20</f>
        <v>-1397.95031363821</v>
      </c>
      <c r="CD106" s="48" t="n">
        <f aca="false">-$E106*CD20</f>
        <v>-1397.95031363821</v>
      </c>
      <c r="CE106" s="48" t="n">
        <f aca="false">-$E106*CE20</f>
        <v>-1367.56008942868</v>
      </c>
      <c r="CF106" s="48" t="n">
        <f aca="false">-$E106*CF20</f>
        <v>-1382.75520153344</v>
      </c>
      <c r="CG106" s="48" t="n">
        <f aca="false">-$E106*CG20</f>
        <v>-1397.95031363821</v>
      </c>
      <c r="CH106" s="48" t="n">
        <f aca="false">-$E106*CH20</f>
        <v>-1397.95031363821</v>
      </c>
      <c r="CI106" s="48" t="n">
        <f aca="false">-$E106*CI20</f>
        <v>-1367.56008942868</v>
      </c>
      <c r="CJ106" s="48" t="n">
        <f aca="false">-$E106*CJ20</f>
        <v>-1382.75520153344</v>
      </c>
      <c r="CK106" s="48" t="n">
        <f aca="false">-$E106*CK20</f>
        <v>-1397.95031363821</v>
      </c>
      <c r="CL106" s="48" t="n">
        <f aca="false">-$E106*CL20</f>
        <v>-1397.95031363821</v>
      </c>
      <c r="CM106" s="48" t="n">
        <f aca="false">-$E106*CM20</f>
        <v>-1367.56008942868</v>
      </c>
      <c r="CN106" s="48" t="n">
        <f aca="false">-$E106*CN20</f>
        <v>-1382.75520153344</v>
      </c>
      <c r="CO106" s="48" t="n">
        <f aca="false">-$E106*CO20</f>
        <v>-1397.95031363821</v>
      </c>
      <c r="CP106" s="48" t="n">
        <f aca="false">-$E106*CP20</f>
        <v>-1397.95031363821</v>
      </c>
      <c r="CQ106" s="48" t="n">
        <f aca="false">-$E106*CQ20</f>
        <v>-1382.75520153344</v>
      </c>
      <c r="CR106" s="48" t="n">
        <f aca="false">-$E106*CR20</f>
        <v>-1382.75520153344</v>
      </c>
      <c r="CS106" s="48" t="n">
        <f aca="false">-$E106*CS20</f>
        <v>-1397.95031363821</v>
      </c>
      <c r="CT106" s="48" t="n">
        <f aca="false">-$E106*CT20</f>
        <v>-1397.95031363821</v>
      </c>
      <c r="CU106" s="48" t="n">
        <f aca="false">-$E106*CU20</f>
        <v>-1367.56008942868</v>
      </c>
      <c r="CV106" s="48" t="n">
        <f aca="false">-$E106*CV20</f>
        <v>-1382.75520153344</v>
      </c>
      <c r="CW106" s="48" t="n">
        <f aca="false">-$E106*CW20</f>
        <v>-1397.95031363821</v>
      </c>
      <c r="CX106" s="48" t="n">
        <f aca="false">-$E106*CX20</f>
        <v>-1397.95031363821</v>
      </c>
      <c r="CY106" s="48" t="n">
        <f aca="false">-$E106*CY20</f>
        <v>-1367.56008942868</v>
      </c>
      <c r="CZ106" s="48" t="n">
        <f aca="false">-$E106*CZ20</f>
        <v>-1382.75520153344</v>
      </c>
      <c r="DA106" s="48" t="n">
        <f aca="false">-$E106*DA20</f>
        <v>-1397.95031363821</v>
      </c>
      <c r="DB106" s="48" t="n">
        <f aca="false">-$E106*DB20</f>
        <v>-0</v>
      </c>
      <c r="DC106" s="48" t="n">
        <f aca="false">-$E106*DC20</f>
        <v>-0</v>
      </c>
      <c r="DD106" s="48" t="n">
        <f aca="false">-$E106*DD20</f>
        <v>-0</v>
      </c>
      <c r="DE106" s="48" t="n">
        <f aca="false">-$E106*DE20</f>
        <v>-0</v>
      </c>
      <c r="DF106" s="48" t="n">
        <f aca="false">-$E106*DF20</f>
        <v>-0</v>
      </c>
      <c r="DG106" s="48" t="n">
        <f aca="false">-$E106*DG20</f>
        <v>-0</v>
      </c>
      <c r="DH106" s="48" t="n">
        <f aca="false">-$E106*DH20</f>
        <v>-0</v>
      </c>
      <c r="DI106" s="48" t="n">
        <f aca="false">-$E106*DI20</f>
        <v>-0</v>
      </c>
      <c r="DJ106" s="48" t="n">
        <f aca="false">-$E106*DJ20</f>
        <v>-0</v>
      </c>
      <c r="DK106" s="48" t="n">
        <f aca="false">-$E106*DK20</f>
        <v>-0</v>
      </c>
      <c r="DL106" s="48" t="n">
        <f aca="false">-$E106*DL20</f>
        <v>-0</v>
      </c>
      <c r="DM106" s="48" t="n">
        <f aca="false">-$E106*DM20</f>
        <v>-0</v>
      </c>
      <c r="DN106" s="48" t="n">
        <f aca="false">-$E106*DN20</f>
        <v>-0</v>
      </c>
      <c r="DO106" s="48" t="n">
        <f aca="false">-$E106*DO20</f>
        <v>-0</v>
      </c>
      <c r="DP106" s="48" t="n">
        <f aca="false">-$E106*DP20</f>
        <v>-0</v>
      </c>
      <c r="DQ106" s="48" t="n">
        <f aca="false">-$E106*DQ20</f>
        <v>-0</v>
      </c>
      <c r="DR106" s="48" t="n">
        <f aca="false">-$E106*DR20</f>
        <v>-0</v>
      </c>
      <c r="DS106" s="48" t="n">
        <f aca="false">-$E106*DS20</f>
        <v>-0</v>
      </c>
      <c r="DT106" s="48" t="n">
        <f aca="false">-$E106*DT20</f>
        <v>-0</v>
      </c>
      <c r="DU106" s="48" t="n">
        <f aca="false">-$E106*DU20</f>
        <v>-0</v>
      </c>
      <c r="DV106" s="48" t="n">
        <f aca="false">-$E106*DV20</f>
        <v>-0</v>
      </c>
      <c r="DW106" s="48" t="n">
        <f aca="false">-$E106*DW20</f>
        <v>-0</v>
      </c>
      <c r="DX106" s="48" t="n">
        <f aca="false">-$E106*DX20</f>
        <v>-0</v>
      </c>
      <c r="DY106" s="48" t="n">
        <f aca="false">-$E106*DY20</f>
        <v>-0</v>
      </c>
      <c r="DZ106" s="48" t="n">
        <f aca="false">-$E106*DZ20</f>
        <v>-0</v>
      </c>
      <c r="EA106" s="48" t="n">
        <f aca="false">-$E106*EA20</f>
        <v>-0</v>
      </c>
      <c r="EB106" s="48" t="n">
        <f aca="false">-$E106*EB20</f>
        <v>-0</v>
      </c>
      <c r="EC106" s="48" t="n">
        <f aca="false">-$E106*EC20</f>
        <v>-0</v>
      </c>
      <c r="ED106" s="48" t="n">
        <f aca="false">-$E106*ED20</f>
        <v>-0</v>
      </c>
      <c r="EE106" s="48" t="n">
        <f aca="false">-$E106*EE20</f>
        <v>-0</v>
      </c>
      <c r="EF106" s="48" t="n">
        <f aca="false">-$E106*EF20</f>
        <v>-0</v>
      </c>
      <c r="EG106" s="48" t="n">
        <f aca="false">-$E106*EG20</f>
        <v>-0</v>
      </c>
      <c r="EH106" s="48" t="n">
        <f aca="false">-$E106*EH20</f>
        <v>-0</v>
      </c>
      <c r="EI106" s="48" t="n">
        <f aca="false">-$E106*EI20</f>
        <v>-0</v>
      </c>
      <c r="EJ106" s="48" t="n">
        <f aca="false">-$E106*EJ20</f>
        <v>-0</v>
      </c>
      <c r="EK106" s="48" t="n">
        <f aca="false">-$E106*EK20</f>
        <v>-0</v>
      </c>
      <c r="EL106" s="48" t="n">
        <f aca="false">-$E106*EL20</f>
        <v>-0</v>
      </c>
      <c r="EM106" s="48" t="n">
        <f aca="false">-$E106*EM20</f>
        <v>-0</v>
      </c>
      <c r="EN106" s="48" t="n">
        <f aca="false">-$E106*EN20</f>
        <v>-0</v>
      </c>
      <c r="EO106" s="48" t="n">
        <f aca="false">-$E106*EO20</f>
        <v>-0</v>
      </c>
    </row>
    <row r="107" customFormat="false" ht="15" hidden="false" customHeight="false" outlineLevel="0" collapsed="false">
      <c r="C107" s="0" t="s">
        <v>482</v>
      </c>
      <c r="D107" s="11" t="s">
        <v>33</v>
      </c>
      <c r="I107" s="48" t="n">
        <f aca="false">SUM(J107:EO107)</f>
        <v>151138.423811451</v>
      </c>
      <c r="J107" s="48" t="n">
        <f aca="false">J83+J106+J93+J100+J101+J52+J59</f>
        <v>-12.8099380746857</v>
      </c>
      <c r="K107" s="48" t="n">
        <f aca="false">K83+K106+K93+K100+K101+K52+K59</f>
        <v>-19.6746856821167</v>
      </c>
      <c r="L107" s="48" t="n">
        <f aca="false">L83+L106+L93+L100+L101+L52+L59</f>
        <v>-33.1554888346782</v>
      </c>
      <c r="M107" s="48" t="n">
        <f aca="false">M83+M106+M93+M100+M101+M52+M59</f>
        <v>-33.5198348658285</v>
      </c>
      <c r="N107" s="48" t="n">
        <f aca="false">N83+N106+N93+N100+N101+N52+N59</f>
        <v>-33.5198348658285</v>
      </c>
      <c r="O107" s="48" t="n">
        <f aca="false">O83+O106+O93+O100+O101+O52+O59</f>
        <v>-33.1554888346782</v>
      </c>
      <c r="P107" s="48" t="n">
        <f aca="false">P83+P106+P93+P100+P101+P52+P59</f>
        <v>-33.1554888346782</v>
      </c>
      <c r="Q107" s="48" t="n">
        <f aca="false">Q83+Q106+Q93+Q100+Q101+Q52+Q59</f>
        <v>-33.5198348658285</v>
      </c>
      <c r="R107" s="48" t="n">
        <f aca="false">R83+R106+R93+R100+R101+R52+R59</f>
        <v>-1236.58958588379</v>
      </c>
      <c r="S107" s="48" t="n">
        <f aca="false">S83+S106+S93+S100+S101+S52+S59</f>
        <v>-185.573186146461</v>
      </c>
      <c r="T107" s="48" t="n">
        <f aca="false">T83+T106+T93+T100+T101+T52+T59</f>
        <v>-163.578834695637</v>
      </c>
      <c r="U107" s="48" t="n">
        <f aca="false">U83+U106+U93+U100+U101+U52+U59</f>
        <v>-151.073133340328</v>
      </c>
      <c r="V107" s="48" t="n">
        <f aca="false">V83+V106+V93+V100+V101+V52+V59</f>
        <v>-136.612683571141</v>
      </c>
      <c r="W107" s="48" t="n">
        <f aca="false">W83+W106+W93+W100+W101+W52+W59</f>
        <v>-120.538681631169</v>
      </c>
      <c r="X107" s="48" t="n">
        <f aca="false">X83+X106+X93+X100+X101+X52+X59</f>
        <v>-107.885670021815</v>
      </c>
      <c r="Y107" s="48" t="n">
        <f aca="false">Y83+Y106+Y93+Y100+Y101+Y52+Y59</f>
        <v>-94.7679558678927</v>
      </c>
      <c r="Z107" s="48" t="n">
        <f aca="false">Z83+Z106+Z93+Z100+Z101+Z52+Z59</f>
        <v>225.150576328414</v>
      </c>
      <c r="AA107" s="48" t="n">
        <f aca="false">AA83+AA106+AA93+AA100+AA101+AA52+AA59</f>
        <v>226.384117759782</v>
      </c>
      <c r="AB107" s="48" t="n">
        <f aca="false">AB83+AB106+AB93+AB100+AB101+AB52+AB59</f>
        <v>243.221588853509</v>
      </c>
      <c r="AC107" s="48" t="n">
        <f aca="false">AC83+AC106+AC93+AC100+AC101+AC52+AC59</f>
        <v>260.299732940553</v>
      </c>
      <c r="AD107" s="48" t="n">
        <f aca="false">AD83+AD106+AD93+AD100+AD101+AD52+AD59</f>
        <v>258.500374409011</v>
      </c>
      <c r="AE107" s="48" t="n">
        <f aca="false">AE83+AE106+AE93+AE100+AE101+AE52+AE59</f>
        <v>270.515618585941</v>
      </c>
      <c r="AF107" s="48" t="n">
        <f aca="false">AF83+AF106+AF93+AF100+AF101+AF52+AF59</f>
        <v>277.230497280318</v>
      </c>
      <c r="AG107" s="48" t="n">
        <f aca="false">AG83+AG106+AG93+AG100+AG101+AG52+AG59</f>
        <v>294.755226413641</v>
      </c>
      <c r="AH107" s="48" t="n">
        <f aca="false">AH83+AH106+AH93+AH100+AH101+AH52+AH59</f>
        <v>293.271343219408</v>
      </c>
      <c r="AI107" s="48" t="n">
        <f aca="false">AI83+AI106+AI93+AI100+AI101+AI52+AI59</f>
        <v>294.625250127951</v>
      </c>
      <c r="AJ107" s="48" t="n">
        <f aca="false">AJ83+AJ106+AJ93+AJ100+AJ101+AJ52+AJ59</f>
        <v>345.514001277153</v>
      </c>
      <c r="AK107" s="48" t="n">
        <f aca="false">AK83+AK106+AK93+AK100+AK101+AK52+AK59</f>
        <v>364.065830608703</v>
      </c>
      <c r="AL107" s="48" t="n">
        <f aca="false">AL83+AL106+AL93+AL100+AL101+AL52+AL59</f>
        <v>363.120421222067</v>
      </c>
      <c r="AM107" s="48" t="n">
        <f aca="false">AM83+AM106+AM93+AM100+AM101+AM52+AM59</f>
        <v>363.855750102396</v>
      </c>
      <c r="AN107" s="48" t="n">
        <f aca="false">AN83+AN106+AN93+AN100+AN101+AN52+AN59</f>
        <v>382.447725374329</v>
      </c>
      <c r="AO107" s="48" t="n">
        <f aca="false">AO83+AO106+AO93+AO100+AO101+AO52+AO59</f>
        <v>401.288626512713</v>
      </c>
      <c r="AP107" s="48" t="n">
        <f aca="false">AP83+AP106+AP93+AP100+AP101+AP52+AP59</f>
        <v>400.493976720704</v>
      </c>
      <c r="AQ107" s="48" t="n">
        <f aca="false">AQ83+AQ106+AQ93+AQ100+AQ101+AQ52+AQ59</f>
        <v>401.306712220791</v>
      </c>
      <c r="AR107" s="48" t="n">
        <f aca="false">AR83+AR106+AR93+AR100+AR101+AR52+AR59</f>
        <v>420.365221835646</v>
      </c>
      <c r="AS107" s="48" t="n">
        <f aca="false">AS83+AS106+AS93+AS100+AS101+AS52+AS59</f>
        <v>439.677581755306</v>
      </c>
      <c r="AT107" s="48" t="n">
        <f aca="false">AT83+AT106+AT93+AT100+AT101+AT52+AT59</f>
        <v>439.2295859053</v>
      </c>
      <c r="AU107" s="48" t="n">
        <f aca="false">AU83+AU106+AU93+AU100+AU101+AU52+AU59</f>
        <v>451.534043282666</v>
      </c>
      <c r="AV107" s="48" t="n">
        <f aca="false">AV83+AV106+AV93+AV100+AV101+AV52+AV59</f>
        <v>459.838903249591</v>
      </c>
      <c r="AW107" s="48" t="n">
        <f aca="false">AW83+AW106+AW93+AW100+AW101+AW52+AW59</f>
        <v>479.639497889668</v>
      </c>
      <c r="AX107" s="48" t="n">
        <f aca="false">AX83+AX106+AX93+AX100+AX101+AX52+AX59</f>
        <v>479.557378842105</v>
      </c>
      <c r="AY107" s="48" t="n">
        <f aca="false">AY83+AY106+AY93+AY100+AY101+AY52+AY59</f>
        <v>480.569929687303</v>
      </c>
      <c r="AZ107" s="48" t="n">
        <f aca="false">AZ83+AZ106+AZ93+AZ100+AZ101+AZ52+AZ59</f>
        <v>500.608217721811</v>
      </c>
      <c r="BA107" s="48" t="n">
        <f aca="false">BA83+BA106+BA93+BA100+BA101+BA52+BA59</f>
        <v>520.910785114378</v>
      </c>
      <c r="BB107" s="48" t="n">
        <f aca="false">BB83+BB106+BB93+BB100+BB101+BB52+BB59</f>
        <v>521.21078357012</v>
      </c>
      <c r="BC107" s="48" t="n">
        <f aca="false">BC83+BC106+BC93+BC100+BC101+BC52+BC59</f>
        <v>522.345341950839</v>
      </c>
      <c r="BD107" s="48" t="n">
        <f aca="false">BD83+BD106+BD93+BD100+BD101+BD52+BD59</f>
        <v>542.896366814895</v>
      </c>
      <c r="BE107" s="48" t="n">
        <f aca="false">BE83+BE106+BE93+BE100+BE101+BE52+BE59</f>
        <v>563.717170849907</v>
      </c>
      <c r="BF107" s="48" t="n">
        <f aca="false">BF83+BF106+BF93+BF100+BF101+BF52+BF59</f>
        <v>564.418175566022</v>
      </c>
      <c r="BG107" s="48" t="n">
        <f aca="false">BG83+BG106+BG93+BG100+BG101+BG52+BG59</f>
        <v>565.691092602141</v>
      </c>
      <c r="BH107" s="48" t="n">
        <f aca="false">BH83+BH106+BH93+BH100+BH101+BH52+BH59</f>
        <v>586.771652128038</v>
      </c>
      <c r="BI107" s="48" t="n">
        <f aca="false">BI83+BI106+BI93+BI100+BI101+BI52+BI59</f>
        <v>608.127699555772</v>
      </c>
      <c r="BJ107" s="48" t="n">
        <f aca="false">BJ83+BJ106+BJ93+BJ100+BJ101+BJ52+BJ59</f>
        <v>609.249446346585</v>
      </c>
      <c r="BK107" s="48" t="n">
        <f aca="false">BK83+BK106+BK93+BK100+BK101+BK52+BK59</f>
        <v>622.34468230534</v>
      </c>
      <c r="BL107" s="48" t="n">
        <f aca="false">BL83+BL106+BL93+BL100+BL101+BL52+BL59</f>
        <v>632.472378762123</v>
      </c>
      <c r="BM107" s="48" t="n">
        <f aca="false">BM83+BM106+BM93+BM100+BM101+BM52+BM59</f>
        <v>654.383373687749</v>
      </c>
      <c r="BN107" s="48" t="n">
        <f aca="false">BN83+BN106+BN93+BN100+BN101+BN52+BN59</f>
        <v>655.94842497479</v>
      </c>
      <c r="BO107" s="48" t="n">
        <f aca="false">BO83+BO106+BO93+BO100+BO101+BO52+BO59</f>
        <v>657.552371802086</v>
      </c>
      <c r="BP107" s="48" t="n">
        <f aca="false">BP83+BP106+BP93+BP100+BP101+BP52+BP59</f>
        <v>679.747492199342</v>
      </c>
      <c r="BQ107" s="48" t="n">
        <f aca="false">BQ83+BQ106+BQ93+BQ100+BQ101+BQ52+BQ59</f>
        <v>702.230205580083</v>
      </c>
      <c r="BR107" s="48" t="n">
        <f aca="false">BR83+BR106+BR93+BR100+BR101+BR52+BR59</f>
        <v>704.258257754868</v>
      </c>
      <c r="BS107" s="48" t="n">
        <f aca="false">BS83+BS106+BS93+BS100+BS101+BS52+BS59</f>
        <v>706.054748510396</v>
      </c>
      <c r="BT107" s="48" t="n">
        <f aca="false">BT83+BT106+BT93+BT100+BT101+BT52+BT59</f>
        <v>728.834651187982</v>
      </c>
      <c r="BU107" s="48" t="n">
        <f aca="false">BU83+BU106+BU93+BU100+BU101+BU52+BU59</f>
        <v>751.908541541</v>
      </c>
      <c r="BV107" s="48" t="n">
        <f aca="false">BV83+BV106+BV93+BV100+BV101+BV52+BV59</f>
        <v>754.422113032297</v>
      </c>
      <c r="BW107" s="48" t="n">
        <f aca="false">BW83+BW106+BW93+BW100+BW101+BW52+BW59</f>
        <v>756.430995560539</v>
      </c>
      <c r="BX107" s="48" t="n">
        <f aca="false">BX83+BX106+BX93+BX100+BX101+BX52+BX59</f>
        <v>779.815784689737</v>
      </c>
      <c r="BY107" s="48" t="n">
        <f aca="false">BY83+BY106+BY93+BY100+BY101+BY52+BY59</f>
        <v>803.501205433853</v>
      </c>
      <c r="BZ107" s="48" t="n">
        <f aca="false">BZ83+BZ106+BZ93+BZ100+BZ101+BZ52+BZ59</f>
        <v>806.523826196592</v>
      </c>
      <c r="CA107" s="48" t="n">
        <f aca="false">CA83+CA106+CA93+CA100+CA101+CA52+CA59</f>
        <v>820.653360700829</v>
      </c>
      <c r="CB107" s="48" t="n">
        <f aca="false">CB83+CB106+CB93+CB100+CB101+CB52+CB59</f>
        <v>832.944707873162</v>
      </c>
      <c r="CC107" s="48" t="n">
        <f aca="false">CC83+CC106+CC93+CC100+CC101+CC52+CC59</f>
        <v>857.26488336341</v>
      </c>
      <c r="CD107" s="48" t="n">
        <f aca="false">CD83+CD106+CD93+CD100+CD101+CD52+CD59</f>
        <v>860.823096482424</v>
      </c>
      <c r="CE107" s="48" t="n">
        <f aca="false">CE83+CE106+CE93+CE100+CE101+CE52+CE59</f>
        <v>863.322238921068</v>
      </c>
      <c r="CF107" s="48" t="n">
        <f aca="false">CF83+CF106+CF93+CF100+CF101+CF52+CF59</f>
        <v>887.982863320998</v>
      </c>
      <c r="CG107" s="48" t="n">
        <f aca="false">CG83+CG106+CG93+CG100+CG101+CG52+CG59</f>
        <v>912.958223565584</v>
      </c>
      <c r="CH107" s="48" t="n">
        <f aca="false">CH83+CH106+CH93+CH100+CH101+CH52+CH59</f>
        <v>917.075857710712</v>
      </c>
      <c r="CI107" s="48" t="n">
        <f aca="false">CI83+CI106+CI93+CI100+CI101+CI52+CI59</f>
        <v>919.853075888082</v>
      </c>
      <c r="CJ107" s="48" t="n">
        <f aca="false">CJ83+CJ106+CJ93+CJ100+CJ101+CJ52+CJ59</f>
        <v>945.184728525052</v>
      </c>
      <c r="CK107" s="48" t="n">
        <f aca="false">CK83+CK106+CK93+CK100+CK101+CK52+CK59</f>
        <v>970.838579483633</v>
      </c>
      <c r="CL107" s="48" t="n">
        <f aca="false">CL83+CL106+CL93+CL100+CL101+CL52+CL59</f>
        <v>975.542487417065</v>
      </c>
      <c r="CM107" s="48" t="n">
        <f aca="false">CM83+CM106+CM93+CM100+CM101+CM52+CM59</f>
        <v>978.621824228475</v>
      </c>
      <c r="CN107" s="48" t="n">
        <f aca="false">CN83+CN106+CN93+CN100+CN101+CN52+CN59</f>
        <v>1004.64859133663</v>
      </c>
      <c r="CO107" s="48" t="n">
        <f aca="false">CO83+CO106+CO93+CO100+CO101+CO52+CO59</f>
        <v>1031.00531684553</v>
      </c>
      <c r="CP107" s="48" t="n">
        <f aca="false">CP83+CP106+CP93+CP100+CP101+CP52+CP59</f>
        <v>1036.323559718</v>
      </c>
      <c r="CQ107" s="48" t="n">
        <f aca="false">CQ83+CQ106+CQ93+CQ100+CQ101+CQ52+CQ59</f>
        <v>1051.78574027082</v>
      </c>
      <c r="CR107" s="48" t="n">
        <f aca="false">CR83+CR106+CR93+CR100+CR101+CR52+CR59</f>
        <v>1066.64633946604</v>
      </c>
      <c r="CS107" s="48" t="n">
        <f aca="false">CS83+CS106+CS93+CS100+CS101+CS52+CS59</f>
        <v>1093.73339685606</v>
      </c>
      <c r="CT107" s="48" t="n">
        <f aca="false">CT83+CT106+CT93+CT100+CT101+CT52+CT59</f>
        <v>1099.69726591222</v>
      </c>
      <c r="CU107" s="48" t="n">
        <f aca="false">CU83+CU106+CU93+CU100+CU101+CU52+CU59</f>
        <v>1087.96250189823</v>
      </c>
      <c r="CV107" s="48" t="n">
        <f aca="false">CV83+CV106+CV93+CV100+CV101+CV52+CV59</f>
        <v>1100.05097414154</v>
      </c>
      <c r="CW107" s="48" t="n">
        <f aca="false">CW83+CW106+CW93+CW100+CW101+CW52+CW59</f>
        <v>1112.13944638485</v>
      </c>
      <c r="CX107" s="48" t="n">
        <f aca="false">CX83+CX106+CX93+CX100+CX101+CX52+CX59</f>
        <v>1102.67351832041</v>
      </c>
      <c r="CY107" s="48" t="n">
        <f aca="false">CY83+CY106+CY93+CY100+CY101+CY52+CY59</f>
        <v>1090.58155777033</v>
      </c>
      <c r="CZ107" s="48" t="n">
        <f aca="false">CZ83+CZ106+CZ93+CZ100+CZ101+CZ52+CZ59</f>
        <v>1102.69913063445</v>
      </c>
      <c r="DA107" s="48" t="n">
        <f aca="false">DA83+DA106+DA93+DA100+DA101+DA52+DA59</f>
        <v>1114.81670349856</v>
      </c>
      <c r="DB107" s="48" t="n">
        <f aca="false">DB83+DB106+DB93+DB100+DB101+DB52+DB59</f>
        <v>2503.24466583137</v>
      </c>
      <c r="DC107" s="48" t="n">
        <f aca="false">DC83+DC106+DC93+DC100+DC101+DC52+DC59</f>
        <v>2460.4018457948</v>
      </c>
      <c r="DD107" s="48" t="n">
        <f aca="false">DD83+DD106+DD93+DD100+DD101+DD52+DD59</f>
        <v>2487.7396440814</v>
      </c>
      <c r="DE107" s="48" t="n">
        <f aca="false">DE83+DE106+DE93+DE100+DE101+DE52+DE59</f>
        <v>2515.07744236801</v>
      </c>
      <c r="DF107" s="48" t="n">
        <f aca="false">DF83+DF106+DF93+DF100+DF101+DF52+DF59</f>
        <v>2505.49855853058</v>
      </c>
      <c r="DG107" s="48" t="n">
        <f aca="false">DG83+DG106+DG93+DG100+DG101+DG52+DG59</f>
        <v>2489.65041143909</v>
      </c>
      <c r="DH107" s="48" t="n">
        <f aca="false">DH83+DH106+DH93+DH100+DH101+DH52+DH59</f>
        <v>2489.65041143909</v>
      </c>
      <c r="DI107" s="48" t="n">
        <f aca="false">DI83+DI106+DI93+DI100+DI101+DI52+DI59</f>
        <v>2517.00920716919</v>
      </c>
      <c r="DJ107" s="48" t="n">
        <f aca="false">DJ83+DJ106+DJ93+DJ100+DJ101+DJ52+DJ59</f>
        <v>2507.37368674959</v>
      </c>
      <c r="DK107" s="48" t="n">
        <f aca="false">DK83+DK106+DK93+DK100+DK101+DK52+DK59</f>
        <v>2463.79908392978</v>
      </c>
      <c r="DL107" s="48" t="n">
        <f aca="false">DL83+DL106+DL93+DL100+DL101+DL52+DL59</f>
        <v>2491.17462930677</v>
      </c>
      <c r="DM107" s="48" t="n">
        <f aca="false">DM83+DM106+DM93+DM100+DM101+DM52+DM59</f>
        <v>2518.55017468377</v>
      </c>
      <c r="DN107" s="48" t="n">
        <f aca="false">DN83+DN106+DN93+DN100+DN101+DN52+DN59</f>
        <v>2508.85791904168</v>
      </c>
      <c r="DO107" s="48" t="n">
        <f aca="false">DO83+DO106+DO93+DO100+DO101+DO52+DO59</f>
        <v>2464.91206834605</v>
      </c>
      <c r="DP107" s="48" t="n">
        <f aca="false">DP83+DP106+DP93+DP100+DP101+DP52+DP59</f>
        <v>2492.29998021657</v>
      </c>
      <c r="DQ107" s="48" t="n">
        <f aca="false">DQ83+DQ106+DQ93+DQ100+DQ101+DQ52+DQ59</f>
        <v>2519.68789208708</v>
      </c>
      <c r="DR107" s="48" t="n">
        <f aca="false">DR83+DR106+DR93+DR100+DR101+DR52+DR59</f>
        <v>2509.93880816482</v>
      </c>
      <c r="DS107" s="48" t="n">
        <f aca="false">DS83+DS106+DS93+DS100+DS101+DS52+DS59</f>
        <v>2465.61807007058</v>
      </c>
      <c r="DT107" s="48" t="n">
        <f aca="false">DT83+DT106+DT93+DT100+DT101+DT52+DT59</f>
        <v>2493.0138264047</v>
      </c>
      <c r="DU107" s="48" t="n">
        <f aca="false">DU83+DU106+DU93+DU100+DU101+DU52+DU59</f>
        <v>2520.40958273882</v>
      </c>
      <c r="DV107" s="48" t="n">
        <f aca="false">DV83+DV106+DV93+DV100+DV101+DV52+DV59</f>
        <v>2510.60358323846</v>
      </c>
      <c r="DW107" s="48" t="n">
        <f aca="false">DW83+DW106+DW93+DW100+DW101+DW52+DW59</f>
        <v>2493.30320185874</v>
      </c>
      <c r="DX107" s="48" t="n">
        <f aca="false">DX83+DX106+DX93+DX100+DX101+DX52+DX59</f>
        <v>2493.30320185874</v>
      </c>
      <c r="DY107" s="48" t="n">
        <f aca="false">DY83+DY106+DY93+DY100+DY101+DY52+DY59</f>
        <v>2520.7021381429</v>
      </c>
      <c r="DZ107" s="48" t="n">
        <f aca="false">DZ83+DZ106+DZ93+DZ100+DZ101+DZ52+DZ59</f>
        <v>2510.83914170752</v>
      </c>
      <c r="EA107" s="48" t="n">
        <f aca="false">EA83+EA106+EA93+EA100+EA101+EA52+EA59</f>
        <v>2465.75749862902</v>
      </c>
      <c r="EB107" s="48" t="n">
        <f aca="false">EB83+EB106+EB93+EB100+EB101+EB52+EB59</f>
        <v>2493.15480416934</v>
      </c>
      <c r="EC107" s="48" t="n">
        <f aca="false">EC83+EC106+EC93+EC100+EC101+EC52+EC59</f>
        <v>2520.55210970967</v>
      </c>
      <c r="ED107" s="48" t="n">
        <f aca="false">ED83+ED106+ED93+ED100+ED101+ED52+ED59</f>
        <v>2510.63204110906</v>
      </c>
      <c r="EE107" s="48" t="n">
        <f aca="false">EE83+EE106+EE93+EE100+EE101+EE52+EE59</f>
        <v>2465.16427204806</v>
      </c>
      <c r="EF107" s="48" t="n">
        <f aca="false">EF83+EF106+EF93+EF100+EF101+EF52+EF59</f>
        <v>2492.55498618193</v>
      </c>
      <c r="EG107" s="48" t="n">
        <f aca="false">EG83+EG106+EG93+EG100+EG101+EG52+EG59</f>
        <v>2519.9457003158</v>
      </c>
      <c r="EH107" s="48" t="n">
        <f aca="false">EH83+EH106+EH93+EH100+EH101+EH52+EH59</f>
        <v>2509.96849063659</v>
      </c>
      <c r="EI107" s="48" t="n">
        <f aca="false">EI83+EI106+EI93+EI100+EI101+EI52+EI59</f>
        <v>2464.11073922955</v>
      </c>
      <c r="EJ107" s="48" t="n">
        <f aca="false">EJ83+EJ106+EJ93+EJ100+EJ101+EJ52+EJ59</f>
        <v>2491.48974744322</v>
      </c>
      <c r="EK107" s="48" t="n">
        <f aca="false">EK83+EK106+EK93+EK100+EK101+EK52+EK59</f>
        <v>2518.86875565688</v>
      </c>
      <c r="EL107" s="48" t="n">
        <f aca="false">EL83+EL106+EL93+EL100+EL101+EL52+EL59</f>
        <v>2508.83434249719</v>
      </c>
      <c r="EM107" s="48" t="n">
        <f aca="false">EM83+EM106+EM93+EM100+EM101+EM52+EM59</f>
        <v>2489.94472543768</v>
      </c>
      <c r="EN107" s="48" t="n">
        <f aca="false">EN83+EN106+EN93+EN100+EN101+EN52+EN59</f>
        <v>2489.94472543768</v>
      </c>
      <c r="EO107" s="48" t="n">
        <f aca="false">EO83+EO106+EO93+EO100+EO101+EO52+EO59</f>
        <v>2517.30675538754</v>
      </c>
    </row>
    <row r="108" customFormat="false" ht="15" hidden="false" customHeight="false" outlineLevel="0" collapsed="false">
      <c r="C108" s="0" t="s">
        <v>483</v>
      </c>
      <c r="D108" s="11" t="s">
        <v>33</v>
      </c>
      <c r="J108" s="18" t="n">
        <f aca="false">I112</f>
        <v>0</v>
      </c>
      <c r="K108" s="18" t="n">
        <f aca="false">J112</f>
        <v>12.8099380746857</v>
      </c>
      <c r="L108" s="18" t="n">
        <f aca="false">K112</f>
        <v>32.4846237568024</v>
      </c>
      <c r="M108" s="18" t="n">
        <f aca="false">L112</f>
        <v>65.6401125914806</v>
      </c>
      <c r="N108" s="18" t="n">
        <f aca="false">M112</f>
        <v>99.1599474573091</v>
      </c>
      <c r="O108" s="18" t="n">
        <f aca="false">N112</f>
        <v>132.679782323138</v>
      </c>
      <c r="P108" s="18" t="n">
        <f aca="false">O112</f>
        <v>165.835271157816</v>
      </c>
      <c r="Q108" s="18" t="n">
        <f aca="false">P112</f>
        <v>198.990759992494</v>
      </c>
      <c r="R108" s="18" t="n">
        <f aca="false">Q112</f>
        <v>232.510594858322</v>
      </c>
      <c r="S108" s="18" t="n">
        <f aca="false">R112</f>
        <v>1469.10018074212</v>
      </c>
      <c r="T108" s="18" t="n">
        <f aca="false">S112</f>
        <v>1654.67336688858</v>
      </c>
      <c r="U108" s="18" t="n">
        <f aca="false">T112</f>
        <v>1818.25220158421</v>
      </c>
      <c r="V108" s="18" t="n">
        <f aca="false">U112</f>
        <v>1969.32533492454</v>
      </c>
      <c r="W108" s="18" t="n">
        <f aca="false">V112</f>
        <v>2105.93801849568</v>
      </c>
      <c r="X108" s="18" t="n">
        <f aca="false">W112</f>
        <v>2226.47670012685</v>
      </c>
      <c r="Y108" s="18" t="n">
        <f aca="false">X112</f>
        <v>2334.36237014867</v>
      </c>
      <c r="Z108" s="18" t="n">
        <f aca="false">Y112</f>
        <v>2429.13032601656</v>
      </c>
      <c r="AA108" s="18" t="n">
        <f aca="false">Z112</f>
        <v>2316.55503785235</v>
      </c>
      <c r="AB108" s="18" t="n">
        <f aca="false">AA112</f>
        <v>2203.36297897246</v>
      </c>
      <c r="AC108" s="18" t="n">
        <f aca="false">AB112</f>
        <v>2081.75218454571</v>
      </c>
      <c r="AD108" s="18" t="n">
        <f aca="false">AC112</f>
        <v>1951.60231807543</v>
      </c>
      <c r="AE108" s="18" t="n">
        <f aca="false">AD112</f>
        <v>1822.35213087092</v>
      </c>
      <c r="AF108" s="18" t="n">
        <f aca="false">AE112</f>
        <v>1687.09432157795</v>
      </c>
      <c r="AG108" s="18" t="n">
        <f aca="false">AF112</f>
        <v>1548.47907293779</v>
      </c>
      <c r="AH108" s="18" t="n">
        <f aca="false">AG112</f>
        <v>1401.10145973097</v>
      </c>
      <c r="AI108" s="18" t="n">
        <f aca="false">AH112</f>
        <v>1254.46578812127</v>
      </c>
      <c r="AJ108" s="18" t="n">
        <f aca="false">AI112</f>
        <v>1107.15316305729</v>
      </c>
      <c r="AK108" s="18" t="n">
        <f aca="false">AJ112</f>
        <v>934.396162418718</v>
      </c>
      <c r="AL108" s="18" t="n">
        <f aca="false">AK112</f>
        <v>0</v>
      </c>
      <c r="AM108" s="18" t="n">
        <f aca="false">AL112</f>
        <v>0</v>
      </c>
      <c r="AN108" s="18" t="n">
        <f aca="false">AM112</f>
        <v>0</v>
      </c>
      <c r="AO108" s="18" t="n">
        <f aca="false">AN112</f>
        <v>0</v>
      </c>
      <c r="AP108" s="18" t="n">
        <f aca="false">AO112</f>
        <v>0</v>
      </c>
      <c r="AQ108" s="18" t="n">
        <f aca="false">AP112</f>
        <v>0</v>
      </c>
      <c r="AR108" s="18" t="n">
        <f aca="false">AQ112</f>
        <v>0</v>
      </c>
      <c r="AS108" s="18" t="n">
        <f aca="false">AR112</f>
        <v>0</v>
      </c>
      <c r="AT108" s="18" t="n">
        <f aca="false">AS112</f>
        <v>0</v>
      </c>
      <c r="AU108" s="18" t="n">
        <f aca="false">AT112</f>
        <v>0</v>
      </c>
      <c r="AV108" s="18" t="n">
        <f aca="false">AU112</f>
        <v>0</v>
      </c>
      <c r="AW108" s="18" t="n">
        <f aca="false">AV112</f>
        <v>0</v>
      </c>
      <c r="AX108" s="18" t="n">
        <f aca="false">AW112</f>
        <v>0</v>
      </c>
      <c r="AY108" s="18" t="n">
        <f aca="false">AX112</f>
        <v>0</v>
      </c>
      <c r="AZ108" s="18" t="n">
        <f aca="false">AY112</f>
        <v>0</v>
      </c>
      <c r="BA108" s="18" t="n">
        <f aca="false">AZ112</f>
        <v>0</v>
      </c>
      <c r="BB108" s="18" t="n">
        <f aca="false">BA112</f>
        <v>0</v>
      </c>
      <c r="BC108" s="18" t="n">
        <f aca="false">BB112</f>
        <v>0</v>
      </c>
      <c r="BD108" s="18" t="n">
        <f aca="false">BC112</f>
        <v>0</v>
      </c>
      <c r="BE108" s="18" t="n">
        <f aca="false">BD112</f>
        <v>0</v>
      </c>
      <c r="BF108" s="18" t="n">
        <f aca="false">BE112</f>
        <v>0</v>
      </c>
      <c r="BG108" s="18" t="n">
        <f aca="false">BF112</f>
        <v>0</v>
      </c>
      <c r="BH108" s="18" t="n">
        <f aca="false">BG112</f>
        <v>0</v>
      </c>
      <c r="BI108" s="18" t="n">
        <f aca="false">BH112</f>
        <v>0</v>
      </c>
      <c r="BJ108" s="18" t="n">
        <f aca="false">BI112</f>
        <v>0</v>
      </c>
      <c r="BK108" s="18" t="n">
        <f aca="false">BJ112</f>
        <v>0</v>
      </c>
      <c r="BL108" s="18" t="n">
        <f aca="false">BK112</f>
        <v>0</v>
      </c>
      <c r="BM108" s="18" t="n">
        <f aca="false">BL112</f>
        <v>0</v>
      </c>
      <c r="BN108" s="18" t="n">
        <f aca="false">BM112</f>
        <v>0</v>
      </c>
      <c r="BO108" s="18" t="n">
        <f aca="false">BN112</f>
        <v>0</v>
      </c>
      <c r="BP108" s="18" t="n">
        <f aca="false">BO112</f>
        <v>0</v>
      </c>
      <c r="BQ108" s="18" t="n">
        <f aca="false">BP112</f>
        <v>0</v>
      </c>
      <c r="BR108" s="18" t="n">
        <f aca="false">BQ112</f>
        <v>0</v>
      </c>
      <c r="BS108" s="18" t="n">
        <f aca="false">BR112</f>
        <v>0</v>
      </c>
      <c r="BT108" s="18" t="n">
        <f aca="false">BS112</f>
        <v>0</v>
      </c>
      <c r="BU108" s="18" t="n">
        <f aca="false">BT112</f>
        <v>0</v>
      </c>
      <c r="BV108" s="18" t="n">
        <f aca="false">BU112</f>
        <v>0</v>
      </c>
      <c r="BW108" s="18" t="n">
        <f aca="false">BV112</f>
        <v>0</v>
      </c>
      <c r="BX108" s="18" t="n">
        <f aca="false">BW112</f>
        <v>0</v>
      </c>
      <c r="BY108" s="18" t="n">
        <f aca="false">BX112</f>
        <v>0</v>
      </c>
      <c r="BZ108" s="18" t="n">
        <f aca="false">BY112</f>
        <v>0</v>
      </c>
      <c r="CA108" s="18" t="n">
        <f aca="false">BZ112</f>
        <v>0</v>
      </c>
      <c r="CB108" s="18" t="n">
        <f aca="false">CA112</f>
        <v>0</v>
      </c>
      <c r="CC108" s="18" t="n">
        <f aca="false">CB112</f>
        <v>0</v>
      </c>
      <c r="CD108" s="18" t="n">
        <f aca="false">CC112</f>
        <v>0</v>
      </c>
      <c r="CE108" s="18" t="n">
        <f aca="false">CD112</f>
        <v>0</v>
      </c>
      <c r="CF108" s="18" t="n">
        <f aca="false">CE112</f>
        <v>0</v>
      </c>
      <c r="CG108" s="18" t="n">
        <f aca="false">CF112</f>
        <v>0</v>
      </c>
      <c r="CH108" s="18" t="n">
        <f aca="false">CG112</f>
        <v>0</v>
      </c>
      <c r="CI108" s="18" t="n">
        <f aca="false">CH112</f>
        <v>0</v>
      </c>
      <c r="CJ108" s="18" t="n">
        <f aca="false">CI112</f>
        <v>0</v>
      </c>
      <c r="CK108" s="18" t="n">
        <f aca="false">CJ112</f>
        <v>0</v>
      </c>
      <c r="CL108" s="18" t="n">
        <f aca="false">CK112</f>
        <v>0</v>
      </c>
      <c r="CM108" s="18" t="n">
        <f aca="false">CL112</f>
        <v>0</v>
      </c>
      <c r="CN108" s="18" t="n">
        <f aca="false">CM112</f>
        <v>0</v>
      </c>
      <c r="CO108" s="18" t="n">
        <f aca="false">CN112</f>
        <v>0</v>
      </c>
      <c r="CP108" s="18" t="n">
        <f aca="false">CO112</f>
        <v>0</v>
      </c>
      <c r="CQ108" s="18" t="n">
        <f aca="false">CP112</f>
        <v>0</v>
      </c>
      <c r="CR108" s="18" t="n">
        <f aca="false">CQ112</f>
        <v>0</v>
      </c>
      <c r="CS108" s="18" t="n">
        <f aca="false">CR112</f>
        <v>0</v>
      </c>
      <c r="CT108" s="18" t="n">
        <f aca="false">CS112</f>
        <v>0</v>
      </c>
      <c r="CU108" s="18" t="n">
        <f aca="false">CT112</f>
        <v>0</v>
      </c>
      <c r="CV108" s="18" t="n">
        <f aca="false">CU112</f>
        <v>0</v>
      </c>
      <c r="CW108" s="18" t="n">
        <f aca="false">CV112</f>
        <v>0</v>
      </c>
      <c r="CX108" s="18" t="n">
        <f aca="false">CW112</f>
        <v>0</v>
      </c>
      <c r="CY108" s="18" t="n">
        <f aca="false">CX112</f>
        <v>0</v>
      </c>
      <c r="CZ108" s="18" t="n">
        <f aca="false">CY112</f>
        <v>0</v>
      </c>
      <c r="DA108" s="18" t="n">
        <f aca="false">CZ112</f>
        <v>0</v>
      </c>
      <c r="DB108" s="18" t="n">
        <f aca="false">DA112</f>
        <v>0</v>
      </c>
      <c r="DC108" s="18" t="n">
        <f aca="false">DB112</f>
        <v>0</v>
      </c>
      <c r="DD108" s="18" t="n">
        <f aca="false">DC112</f>
        <v>0</v>
      </c>
      <c r="DE108" s="18" t="n">
        <f aca="false">DD112</f>
        <v>0</v>
      </c>
      <c r="DF108" s="18" t="n">
        <f aca="false">DE112</f>
        <v>0</v>
      </c>
      <c r="DG108" s="18" t="n">
        <f aca="false">DF112</f>
        <v>0</v>
      </c>
      <c r="DH108" s="18" t="n">
        <f aca="false">DG112</f>
        <v>0</v>
      </c>
      <c r="DI108" s="18" t="n">
        <f aca="false">DH112</f>
        <v>0</v>
      </c>
      <c r="DJ108" s="18" t="n">
        <f aca="false">DI112</f>
        <v>0</v>
      </c>
      <c r="DK108" s="18" t="n">
        <f aca="false">DJ112</f>
        <v>0</v>
      </c>
      <c r="DL108" s="18" t="n">
        <f aca="false">DK112</f>
        <v>0</v>
      </c>
      <c r="DM108" s="18" t="n">
        <f aca="false">DL112</f>
        <v>0</v>
      </c>
      <c r="DN108" s="18" t="n">
        <f aca="false">DM112</f>
        <v>0</v>
      </c>
      <c r="DO108" s="18" t="n">
        <f aca="false">DN112</f>
        <v>0</v>
      </c>
      <c r="DP108" s="18" t="n">
        <f aca="false">DO112</f>
        <v>0</v>
      </c>
      <c r="DQ108" s="18" t="n">
        <f aca="false">DP112</f>
        <v>0</v>
      </c>
      <c r="DR108" s="18" t="n">
        <f aca="false">DQ112</f>
        <v>0</v>
      </c>
      <c r="DS108" s="18" t="n">
        <f aca="false">DR112</f>
        <v>0</v>
      </c>
      <c r="DT108" s="18" t="n">
        <f aca="false">DS112</f>
        <v>0</v>
      </c>
      <c r="DU108" s="18" t="n">
        <f aca="false">DT112</f>
        <v>0</v>
      </c>
      <c r="DV108" s="18" t="n">
        <f aca="false">DU112</f>
        <v>0</v>
      </c>
      <c r="DW108" s="18" t="n">
        <f aca="false">DV112</f>
        <v>0</v>
      </c>
      <c r="DX108" s="18" t="n">
        <f aca="false">DW112</f>
        <v>0</v>
      </c>
      <c r="DY108" s="18" t="n">
        <f aca="false">DX112</f>
        <v>0</v>
      </c>
      <c r="DZ108" s="18" t="n">
        <f aca="false">DY112</f>
        <v>0</v>
      </c>
      <c r="EA108" s="18" t="n">
        <f aca="false">DZ112</f>
        <v>0</v>
      </c>
      <c r="EB108" s="18" t="n">
        <f aca="false">EA112</f>
        <v>0</v>
      </c>
      <c r="EC108" s="18" t="n">
        <f aca="false">EB112</f>
        <v>0</v>
      </c>
      <c r="ED108" s="18" t="n">
        <f aca="false">EC112</f>
        <v>0</v>
      </c>
      <c r="EE108" s="18" t="n">
        <f aca="false">ED112</f>
        <v>0</v>
      </c>
      <c r="EF108" s="18" t="n">
        <f aca="false">EE112</f>
        <v>0</v>
      </c>
      <c r="EG108" s="18" t="n">
        <f aca="false">EF112</f>
        <v>0</v>
      </c>
      <c r="EH108" s="18" t="n">
        <f aca="false">EG112</f>
        <v>0</v>
      </c>
      <c r="EI108" s="18" t="n">
        <f aca="false">EH112</f>
        <v>0</v>
      </c>
      <c r="EJ108" s="18" t="n">
        <f aca="false">EI112</f>
        <v>0</v>
      </c>
      <c r="EK108" s="18" t="n">
        <f aca="false">EJ112</f>
        <v>0</v>
      </c>
      <c r="EL108" s="18" t="n">
        <f aca="false">EK112</f>
        <v>0</v>
      </c>
      <c r="EM108" s="18" t="n">
        <f aca="false">EL112</f>
        <v>0</v>
      </c>
      <c r="EN108" s="18" t="n">
        <f aca="false">EM112</f>
        <v>0</v>
      </c>
      <c r="EO108" s="18" t="n">
        <f aca="false">EN112</f>
        <v>0</v>
      </c>
    </row>
    <row r="109" customFormat="false" ht="15" hidden="false" customHeight="false" outlineLevel="0" collapsed="false">
      <c r="C109" s="0" t="s">
        <v>484</v>
      </c>
      <c r="D109" s="11" t="s">
        <v>33</v>
      </c>
      <c r="I109" s="48" t="n">
        <f aca="false">SUM(J109:EO109)</f>
        <v>2429.13032601656</v>
      </c>
      <c r="J109" s="48" t="n">
        <f aca="false">MAX(0,-J107)</f>
        <v>12.8099380746857</v>
      </c>
      <c r="K109" s="48" t="n">
        <f aca="false">MAX(0,-K107)</f>
        <v>19.6746856821167</v>
      </c>
      <c r="L109" s="48" t="n">
        <f aca="false">MAX(0,-L107)</f>
        <v>33.1554888346782</v>
      </c>
      <c r="M109" s="48" t="n">
        <f aca="false">MAX(0,-M107)</f>
        <v>33.5198348658285</v>
      </c>
      <c r="N109" s="48" t="n">
        <f aca="false">MAX(0,-N107)</f>
        <v>33.5198348658285</v>
      </c>
      <c r="O109" s="48" t="n">
        <f aca="false">MAX(0,-O107)</f>
        <v>33.1554888346782</v>
      </c>
      <c r="P109" s="48" t="n">
        <f aca="false">MAX(0,-P107)</f>
        <v>33.1554888346782</v>
      </c>
      <c r="Q109" s="48" t="n">
        <f aca="false">MAX(0,-Q107)</f>
        <v>33.5198348658285</v>
      </c>
      <c r="R109" s="48" t="n">
        <f aca="false">MAX(0,-R107)</f>
        <v>1236.58958588379</v>
      </c>
      <c r="S109" s="48" t="n">
        <f aca="false">MAX(0,-S107)</f>
        <v>185.573186146461</v>
      </c>
      <c r="T109" s="48" t="n">
        <f aca="false">MAX(0,-T107)</f>
        <v>163.578834695637</v>
      </c>
      <c r="U109" s="48" t="n">
        <f aca="false">MAX(0,-U107)</f>
        <v>151.073133340328</v>
      </c>
      <c r="V109" s="48" t="n">
        <f aca="false">MAX(0,-V107)</f>
        <v>136.612683571141</v>
      </c>
      <c r="W109" s="48" t="n">
        <f aca="false">MAX(0,-W107)</f>
        <v>120.538681631169</v>
      </c>
      <c r="X109" s="48" t="n">
        <f aca="false">MAX(0,-X107)</f>
        <v>107.885670021815</v>
      </c>
      <c r="Y109" s="48" t="n">
        <f aca="false">MAX(0,-Y107)</f>
        <v>94.7679558678927</v>
      </c>
      <c r="Z109" s="48" t="n">
        <f aca="false">MAX(0,-Z107)</f>
        <v>0</v>
      </c>
      <c r="AA109" s="48" t="n">
        <f aca="false">MAX(0,-AA107)</f>
        <v>0</v>
      </c>
      <c r="AB109" s="48" t="n">
        <f aca="false">MAX(0,-AB107)</f>
        <v>0</v>
      </c>
      <c r="AC109" s="48" t="n">
        <f aca="false">MAX(0,-AC107)</f>
        <v>0</v>
      </c>
      <c r="AD109" s="48" t="n">
        <f aca="false">MAX(0,-AD107)</f>
        <v>0</v>
      </c>
      <c r="AE109" s="48" t="n">
        <f aca="false">MAX(0,-AE107)</f>
        <v>0</v>
      </c>
      <c r="AF109" s="48" t="n">
        <f aca="false">MAX(0,-AF107)</f>
        <v>0</v>
      </c>
      <c r="AG109" s="48" t="n">
        <f aca="false">MAX(0,-AG107)</f>
        <v>0</v>
      </c>
      <c r="AH109" s="48" t="n">
        <f aca="false">MAX(0,-AH107)</f>
        <v>0</v>
      </c>
      <c r="AI109" s="48" t="n">
        <f aca="false">MAX(0,-AI107)</f>
        <v>0</v>
      </c>
      <c r="AJ109" s="48" t="n">
        <f aca="false">MAX(0,-AJ107)</f>
        <v>0</v>
      </c>
      <c r="AK109" s="48" t="n">
        <f aca="false">MAX(0,-AK107)</f>
        <v>0</v>
      </c>
      <c r="AL109" s="48" t="n">
        <f aca="false">MAX(0,-AL107)</f>
        <v>0</v>
      </c>
      <c r="AM109" s="48" t="n">
        <f aca="false">MAX(0,-AM107)</f>
        <v>0</v>
      </c>
      <c r="AN109" s="48" t="n">
        <f aca="false">MAX(0,-AN107)</f>
        <v>0</v>
      </c>
      <c r="AO109" s="48" t="n">
        <f aca="false">MAX(0,-AO107)</f>
        <v>0</v>
      </c>
      <c r="AP109" s="48" t="n">
        <f aca="false">MAX(0,-AP107)</f>
        <v>0</v>
      </c>
      <c r="AQ109" s="48" t="n">
        <f aca="false">MAX(0,-AQ107)</f>
        <v>0</v>
      </c>
      <c r="AR109" s="48" t="n">
        <f aca="false">MAX(0,-AR107)</f>
        <v>0</v>
      </c>
      <c r="AS109" s="48" t="n">
        <f aca="false">MAX(0,-AS107)</f>
        <v>0</v>
      </c>
      <c r="AT109" s="48" t="n">
        <f aca="false">MAX(0,-AT107)</f>
        <v>0</v>
      </c>
      <c r="AU109" s="48" t="n">
        <f aca="false">MAX(0,-AU107)</f>
        <v>0</v>
      </c>
      <c r="AV109" s="48" t="n">
        <f aca="false">MAX(0,-AV107)</f>
        <v>0</v>
      </c>
      <c r="AW109" s="48" t="n">
        <f aca="false">MAX(0,-AW107)</f>
        <v>0</v>
      </c>
      <c r="AX109" s="48" t="n">
        <f aca="false">MAX(0,-AX107)</f>
        <v>0</v>
      </c>
      <c r="AY109" s="48" t="n">
        <f aca="false">MAX(0,-AY107)</f>
        <v>0</v>
      </c>
      <c r="AZ109" s="48" t="n">
        <f aca="false">MAX(0,-AZ107)</f>
        <v>0</v>
      </c>
      <c r="BA109" s="48" t="n">
        <f aca="false">MAX(0,-BA107)</f>
        <v>0</v>
      </c>
      <c r="BB109" s="48" t="n">
        <f aca="false">MAX(0,-BB107)</f>
        <v>0</v>
      </c>
      <c r="BC109" s="48" t="n">
        <f aca="false">MAX(0,-BC107)</f>
        <v>0</v>
      </c>
      <c r="BD109" s="48" t="n">
        <f aca="false">MAX(0,-BD107)</f>
        <v>0</v>
      </c>
      <c r="BE109" s="48" t="n">
        <f aca="false">MAX(0,-BE107)</f>
        <v>0</v>
      </c>
      <c r="BF109" s="48" t="n">
        <f aca="false">MAX(0,-BF107)</f>
        <v>0</v>
      </c>
      <c r="BG109" s="48" t="n">
        <f aca="false">MAX(0,-BG107)</f>
        <v>0</v>
      </c>
      <c r="BH109" s="48" t="n">
        <f aca="false">MAX(0,-BH107)</f>
        <v>0</v>
      </c>
      <c r="BI109" s="48" t="n">
        <f aca="false">MAX(0,-BI107)</f>
        <v>0</v>
      </c>
      <c r="BJ109" s="48" t="n">
        <f aca="false">MAX(0,-BJ107)</f>
        <v>0</v>
      </c>
      <c r="BK109" s="48" t="n">
        <f aca="false">MAX(0,-BK107)</f>
        <v>0</v>
      </c>
      <c r="BL109" s="48" t="n">
        <f aca="false">MAX(0,-BL107)</f>
        <v>0</v>
      </c>
      <c r="BM109" s="48" t="n">
        <f aca="false">MAX(0,-BM107)</f>
        <v>0</v>
      </c>
      <c r="BN109" s="48" t="n">
        <f aca="false">MAX(0,-BN107)</f>
        <v>0</v>
      </c>
      <c r="BO109" s="48" t="n">
        <f aca="false">MAX(0,-BO107)</f>
        <v>0</v>
      </c>
      <c r="BP109" s="48" t="n">
        <f aca="false">MAX(0,-BP107)</f>
        <v>0</v>
      </c>
      <c r="BQ109" s="48" t="n">
        <f aca="false">MAX(0,-BQ107)</f>
        <v>0</v>
      </c>
      <c r="BR109" s="48" t="n">
        <f aca="false">MAX(0,-BR107)</f>
        <v>0</v>
      </c>
      <c r="BS109" s="48" t="n">
        <f aca="false">MAX(0,-BS107)</f>
        <v>0</v>
      </c>
      <c r="BT109" s="48" t="n">
        <f aca="false">MAX(0,-BT107)</f>
        <v>0</v>
      </c>
      <c r="BU109" s="48" t="n">
        <f aca="false">MAX(0,-BU107)</f>
        <v>0</v>
      </c>
      <c r="BV109" s="48" t="n">
        <f aca="false">MAX(0,-BV107)</f>
        <v>0</v>
      </c>
      <c r="BW109" s="48" t="n">
        <f aca="false">MAX(0,-BW107)</f>
        <v>0</v>
      </c>
      <c r="BX109" s="48" t="n">
        <f aca="false">MAX(0,-BX107)</f>
        <v>0</v>
      </c>
      <c r="BY109" s="48" t="n">
        <f aca="false">MAX(0,-BY107)</f>
        <v>0</v>
      </c>
      <c r="BZ109" s="48" t="n">
        <f aca="false">MAX(0,-BZ107)</f>
        <v>0</v>
      </c>
      <c r="CA109" s="48" t="n">
        <f aca="false">MAX(0,-CA107)</f>
        <v>0</v>
      </c>
      <c r="CB109" s="48" t="n">
        <f aca="false">MAX(0,-CB107)</f>
        <v>0</v>
      </c>
      <c r="CC109" s="48" t="n">
        <f aca="false">MAX(0,-CC107)</f>
        <v>0</v>
      </c>
      <c r="CD109" s="48" t="n">
        <f aca="false">MAX(0,-CD107)</f>
        <v>0</v>
      </c>
      <c r="CE109" s="48" t="n">
        <f aca="false">MAX(0,-CE107)</f>
        <v>0</v>
      </c>
      <c r="CF109" s="48" t="n">
        <f aca="false">MAX(0,-CF107)</f>
        <v>0</v>
      </c>
      <c r="CG109" s="48" t="n">
        <f aca="false">MAX(0,-CG107)</f>
        <v>0</v>
      </c>
      <c r="CH109" s="48" t="n">
        <f aca="false">MAX(0,-CH107)</f>
        <v>0</v>
      </c>
      <c r="CI109" s="48" t="n">
        <f aca="false">MAX(0,-CI107)</f>
        <v>0</v>
      </c>
      <c r="CJ109" s="48" t="n">
        <f aca="false">MAX(0,-CJ107)</f>
        <v>0</v>
      </c>
      <c r="CK109" s="48" t="n">
        <f aca="false">MAX(0,-CK107)</f>
        <v>0</v>
      </c>
      <c r="CL109" s="48" t="n">
        <f aca="false">MAX(0,-CL107)</f>
        <v>0</v>
      </c>
      <c r="CM109" s="48" t="n">
        <f aca="false">MAX(0,-CM107)</f>
        <v>0</v>
      </c>
      <c r="CN109" s="48" t="n">
        <f aca="false">MAX(0,-CN107)</f>
        <v>0</v>
      </c>
      <c r="CO109" s="48" t="n">
        <f aca="false">MAX(0,-CO107)</f>
        <v>0</v>
      </c>
      <c r="CP109" s="48" t="n">
        <f aca="false">MAX(0,-CP107)</f>
        <v>0</v>
      </c>
      <c r="CQ109" s="48" t="n">
        <f aca="false">MAX(0,-CQ107)</f>
        <v>0</v>
      </c>
      <c r="CR109" s="48" t="n">
        <f aca="false">MAX(0,-CR107)</f>
        <v>0</v>
      </c>
      <c r="CS109" s="48" t="n">
        <f aca="false">MAX(0,-CS107)</f>
        <v>0</v>
      </c>
      <c r="CT109" s="48" t="n">
        <f aca="false">MAX(0,-CT107)</f>
        <v>0</v>
      </c>
      <c r="CU109" s="48" t="n">
        <f aca="false">MAX(0,-CU107)</f>
        <v>0</v>
      </c>
      <c r="CV109" s="48" t="n">
        <f aca="false">MAX(0,-CV107)</f>
        <v>0</v>
      </c>
      <c r="CW109" s="48" t="n">
        <f aca="false">MAX(0,-CW107)</f>
        <v>0</v>
      </c>
      <c r="CX109" s="48" t="n">
        <f aca="false">MAX(0,-CX107)</f>
        <v>0</v>
      </c>
      <c r="CY109" s="48" t="n">
        <f aca="false">MAX(0,-CY107)</f>
        <v>0</v>
      </c>
      <c r="CZ109" s="48" t="n">
        <f aca="false">MAX(0,-CZ107)</f>
        <v>0</v>
      </c>
      <c r="DA109" s="48" t="n">
        <f aca="false">MAX(0,-DA107)</f>
        <v>0</v>
      </c>
      <c r="DB109" s="48" t="n">
        <f aca="false">MAX(0,-DB107)</f>
        <v>0</v>
      </c>
      <c r="DC109" s="48" t="n">
        <f aca="false">MAX(0,-DC107)</f>
        <v>0</v>
      </c>
      <c r="DD109" s="48" t="n">
        <f aca="false">MAX(0,-DD107)</f>
        <v>0</v>
      </c>
      <c r="DE109" s="48" t="n">
        <f aca="false">MAX(0,-DE107)</f>
        <v>0</v>
      </c>
      <c r="DF109" s="48" t="n">
        <f aca="false">MAX(0,-DF107)</f>
        <v>0</v>
      </c>
      <c r="DG109" s="48" t="n">
        <f aca="false">MAX(0,-DG107)</f>
        <v>0</v>
      </c>
      <c r="DH109" s="48" t="n">
        <f aca="false">MAX(0,-DH107)</f>
        <v>0</v>
      </c>
      <c r="DI109" s="48" t="n">
        <f aca="false">MAX(0,-DI107)</f>
        <v>0</v>
      </c>
      <c r="DJ109" s="48" t="n">
        <f aca="false">MAX(0,-DJ107)</f>
        <v>0</v>
      </c>
      <c r="DK109" s="48" t="n">
        <f aca="false">MAX(0,-DK107)</f>
        <v>0</v>
      </c>
      <c r="DL109" s="48" t="n">
        <f aca="false">MAX(0,-DL107)</f>
        <v>0</v>
      </c>
      <c r="DM109" s="48" t="n">
        <f aca="false">MAX(0,-DM107)</f>
        <v>0</v>
      </c>
      <c r="DN109" s="48" t="n">
        <f aca="false">MAX(0,-DN107)</f>
        <v>0</v>
      </c>
      <c r="DO109" s="48" t="n">
        <f aca="false">MAX(0,-DO107)</f>
        <v>0</v>
      </c>
      <c r="DP109" s="48" t="n">
        <f aca="false">MAX(0,-DP107)</f>
        <v>0</v>
      </c>
      <c r="DQ109" s="48" t="n">
        <f aca="false">MAX(0,-DQ107)</f>
        <v>0</v>
      </c>
      <c r="DR109" s="48" t="n">
        <f aca="false">MAX(0,-DR107)</f>
        <v>0</v>
      </c>
      <c r="DS109" s="48" t="n">
        <f aca="false">MAX(0,-DS107)</f>
        <v>0</v>
      </c>
      <c r="DT109" s="48" t="n">
        <f aca="false">MAX(0,-DT107)</f>
        <v>0</v>
      </c>
      <c r="DU109" s="48" t="n">
        <f aca="false">MAX(0,-DU107)</f>
        <v>0</v>
      </c>
      <c r="DV109" s="48" t="n">
        <f aca="false">MAX(0,-DV107)</f>
        <v>0</v>
      </c>
      <c r="DW109" s="48" t="n">
        <f aca="false">MAX(0,-DW107)</f>
        <v>0</v>
      </c>
      <c r="DX109" s="48" t="n">
        <f aca="false">MAX(0,-DX107)</f>
        <v>0</v>
      </c>
      <c r="DY109" s="48" t="n">
        <f aca="false">MAX(0,-DY107)</f>
        <v>0</v>
      </c>
      <c r="DZ109" s="48" t="n">
        <f aca="false">MAX(0,-DZ107)</f>
        <v>0</v>
      </c>
      <c r="EA109" s="48" t="n">
        <f aca="false">MAX(0,-EA107)</f>
        <v>0</v>
      </c>
      <c r="EB109" s="48" t="n">
        <f aca="false">MAX(0,-EB107)</f>
        <v>0</v>
      </c>
      <c r="EC109" s="48" t="n">
        <f aca="false">MAX(0,-EC107)</f>
        <v>0</v>
      </c>
      <c r="ED109" s="48" t="n">
        <f aca="false">MAX(0,-ED107)</f>
        <v>0</v>
      </c>
      <c r="EE109" s="48" t="n">
        <f aca="false">MAX(0,-EE107)</f>
        <v>0</v>
      </c>
      <c r="EF109" s="48" t="n">
        <f aca="false">MAX(0,-EF107)</f>
        <v>0</v>
      </c>
      <c r="EG109" s="48" t="n">
        <f aca="false">MAX(0,-EG107)</f>
        <v>0</v>
      </c>
      <c r="EH109" s="48" t="n">
        <f aca="false">MAX(0,-EH107)</f>
        <v>0</v>
      </c>
      <c r="EI109" s="48" t="n">
        <f aca="false">MAX(0,-EI107)</f>
        <v>0</v>
      </c>
      <c r="EJ109" s="48" t="n">
        <f aca="false">MAX(0,-EJ107)</f>
        <v>0</v>
      </c>
      <c r="EK109" s="48" t="n">
        <f aca="false">MAX(0,-EK107)</f>
        <v>0</v>
      </c>
      <c r="EL109" s="48" t="n">
        <f aca="false">MAX(0,-EL107)</f>
        <v>0</v>
      </c>
      <c r="EM109" s="48" t="n">
        <f aca="false">MAX(0,-EM107)</f>
        <v>0</v>
      </c>
      <c r="EN109" s="48" t="n">
        <f aca="false">MAX(0,-EN107)</f>
        <v>0</v>
      </c>
      <c r="EO109" s="48" t="n">
        <f aca="false">MAX(0,-EO107)</f>
        <v>0</v>
      </c>
    </row>
    <row r="110" customFormat="false" ht="15" hidden="false" customHeight="false" outlineLevel="0" collapsed="false">
      <c r="C110" s="0" t="s">
        <v>485</v>
      </c>
      <c r="D110" s="11" t="s">
        <v>33</v>
      </c>
      <c r="I110" s="48" t="n">
        <f aca="false">SUM(J110:EO110)</f>
        <v>-1676.76707890219</v>
      </c>
      <c r="J110" s="48" t="n">
        <f aca="false">-MIN(J108,In_Loss_Cap*MAX(0,J107))</f>
        <v>-0</v>
      </c>
      <c r="K110" s="48" t="n">
        <f aca="false">-MIN(K108,In_Loss_Cap*MAX(0,K107))</f>
        <v>-0</v>
      </c>
      <c r="L110" s="48" t="n">
        <f aca="false">-MIN(L108,In_Loss_Cap*MAX(0,L107))</f>
        <v>-0</v>
      </c>
      <c r="M110" s="48" t="n">
        <f aca="false">-MIN(M108,In_Loss_Cap*MAX(0,M107))</f>
        <v>-0</v>
      </c>
      <c r="N110" s="48" t="n">
        <f aca="false">-MIN(N108,In_Loss_Cap*MAX(0,N107))</f>
        <v>-0</v>
      </c>
      <c r="O110" s="48" t="n">
        <f aca="false">-MIN(O108,In_Loss_Cap*MAX(0,O107))</f>
        <v>-0</v>
      </c>
      <c r="P110" s="48" t="n">
        <f aca="false">-MIN(P108,In_Loss_Cap*MAX(0,P107))</f>
        <v>-0</v>
      </c>
      <c r="Q110" s="48" t="n">
        <f aca="false">-MIN(Q108,In_Loss_Cap*MAX(0,Q107))</f>
        <v>-0</v>
      </c>
      <c r="R110" s="48" t="n">
        <f aca="false">-MIN(R108,In_Loss_Cap*MAX(0,R107))</f>
        <v>-0</v>
      </c>
      <c r="S110" s="48" t="n">
        <f aca="false">-MIN(S108,In_Loss_Cap*MAX(0,S107))</f>
        <v>-0</v>
      </c>
      <c r="T110" s="48" t="n">
        <f aca="false">-MIN(T108,In_Loss_Cap*MAX(0,T107))</f>
        <v>-0</v>
      </c>
      <c r="U110" s="48" t="n">
        <f aca="false">-MIN(U108,In_Loss_Cap*MAX(0,U107))</f>
        <v>-0</v>
      </c>
      <c r="V110" s="48" t="n">
        <f aca="false">-MIN(V108,In_Loss_Cap*MAX(0,V107))</f>
        <v>-0</v>
      </c>
      <c r="W110" s="48" t="n">
        <f aca="false">-MIN(W108,In_Loss_Cap*MAX(0,W107))</f>
        <v>-0</v>
      </c>
      <c r="X110" s="48" t="n">
        <f aca="false">-MIN(X108,In_Loss_Cap*MAX(0,X107))</f>
        <v>-0</v>
      </c>
      <c r="Y110" s="48" t="n">
        <f aca="false">-MIN(Y108,In_Loss_Cap*MAX(0,Y107))</f>
        <v>-0</v>
      </c>
      <c r="Z110" s="48" t="n">
        <f aca="false">-MIN(Z108,In_Loss_Cap*MAX(0,Z107))</f>
        <v>-112.575288164207</v>
      </c>
      <c r="AA110" s="48" t="n">
        <f aca="false">-MIN(AA108,In_Loss_Cap*MAX(0,AA107))</f>
        <v>-113.192058879891</v>
      </c>
      <c r="AB110" s="48" t="n">
        <f aca="false">-MIN(AB108,In_Loss_Cap*MAX(0,AB107))</f>
        <v>-121.610794426754</v>
      </c>
      <c r="AC110" s="48" t="n">
        <f aca="false">-MIN(AC108,In_Loss_Cap*MAX(0,AC107))</f>
        <v>-130.149866470277</v>
      </c>
      <c r="AD110" s="48" t="n">
        <f aca="false">-MIN(AD108,In_Loss_Cap*MAX(0,AD107))</f>
        <v>-129.250187204505</v>
      </c>
      <c r="AE110" s="48" t="n">
        <f aca="false">-MIN(AE108,In_Loss_Cap*MAX(0,AE107))</f>
        <v>-135.257809292971</v>
      </c>
      <c r="AF110" s="48" t="n">
        <f aca="false">-MIN(AF108,In_Loss_Cap*MAX(0,AF107))</f>
        <v>-138.615248640159</v>
      </c>
      <c r="AG110" s="48" t="n">
        <f aca="false">-MIN(AG108,In_Loss_Cap*MAX(0,AG107))</f>
        <v>-147.377613206821</v>
      </c>
      <c r="AH110" s="48" t="n">
        <f aca="false">-MIN(AH108,In_Loss_Cap*MAX(0,AH107))</f>
        <v>-146.635671609704</v>
      </c>
      <c r="AI110" s="48" t="n">
        <f aca="false">-MIN(AI108,In_Loss_Cap*MAX(0,AI107))</f>
        <v>-147.312625063976</v>
      </c>
      <c r="AJ110" s="48" t="n">
        <f aca="false">-MIN(AJ108,In_Loss_Cap*MAX(0,AJ107))</f>
        <v>-172.757000638576</v>
      </c>
      <c r="AK110" s="48" t="n">
        <f aca="false">-MIN(AK108,In_Loss_Cap*MAX(0,AK107))</f>
        <v>-182.032915304352</v>
      </c>
      <c r="AL110" s="48" t="n">
        <f aca="false">-MIN(AL108,In_Loss_Cap*MAX(0,AL107))</f>
        <v>-0</v>
      </c>
      <c r="AM110" s="48" t="n">
        <f aca="false">-MIN(AM108,In_Loss_Cap*MAX(0,AM107))</f>
        <v>-0</v>
      </c>
      <c r="AN110" s="48" t="n">
        <f aca="false">-MIN(AN108,In_Loss_Cap*MAX(0,AN107))</f>
        <v>-0</v>
      </c>
      <c r="AO110" s="48" t="n">
        <f aca="false">-MIN(AO108,In_Loss_Cap*MAX(0,AO107))</f>
        <v>-0</v>
      </c>
      <c r="AP110" s="48" t="n">
        <f aca="false">-MIN(AP108,In_Loss_Cap*MAX(0,AP107))</f>
        <v>-0</v>
      </c>
      <c r="AQ110" s="48" t="n">
        <f aca="false">-MIN(AQ108,In_Loss_Cap*MAX(0,AQ107))</f>
        <v>-0</v>
      </c>
      <c r="AR110" s="48" t="n">
        <f aca="false">-MIN(AR108,In_Loss_Cap*MAX(0,AR107))</f>
        <v>-0</v>
      </c>
      <c r="AS110" s="48" t="n">
        <f aca="false">-MIN(AS108,In_Loss_Cap*MAX(0,AS107))</f>
        <v>-0</v>
      </c>
      <c r="AT110" s="48" t="n">
        <f aca="false">-MIN(AT108,In_Loss_Cap*MAX(0,AT107))</f>
        <v>-0</v>
      </c>
      <c r="AU110" s="48" t="n">
        <f aca="false">-MIN(AU108,In_Loss_Cap*MAX(0,AU107))</f>
        <v>-0</v>
      </c>
      <c r="AV110" s="48" t="n">
        <f aca="false">-MIN(AV108,In_Loss_Cap*MAX(0,AV107))</f>
        <v>-0</v>
      </c>
      <c r="AW110" s="48" t="n">
        <f aca="false">-MIN(AW108,In_Loss_Cap*MAX(0,AW107))</f>
        <v>-0</v>
      </c>
      <c r="AX110" s="48" t="n">
        <f aca="false">-MIN(AX108,In_Loss_Cap*MAX(0,AX107))</f>
        <v>-0</v>
      </c>
      <c r="AY110" s="48" t="n">
        <f aca="false">-MIN(AY108,In_Loss_Cap*MAX(0,AY107))</f>
        <v>-0</v>
      </c>
      <c r="AZ110" s="48" t="n">
        <f aca="false">-MIN(AZ108,In_Loss_Cap*MAX(0,AZ107))</f>
        <v>-0</v>
      </c>
      <c r="BA110" s="48" t="n">
        <f aca="false">-MIN(BA108,In_Loss_Cap*MAX(0,BA107))</f>
        <v>-0</v>
      </c>
      <c r="BB110" s="48" t="n">
        <f aca="false">-MIN(BB108,In_Loss_Cap*MAX(0,BB107))</f>
        <v>-0</v>
      </c>
      <c r="BC110" s="48" t="n">
        <f aca="false">-MIN(BC108,In_Loss_Cap*MAX(0,BC107))</f>
        <v>-0</v>
      </c>
      <c r="BD110" s="48" t="n">
        <f aca="false">-MIN(BD108,In_Loss_Cap*MAX(0,BD107))</f>
        <v>-0</v>
      </c>
      <c r="BE110" s="48" t="n">
        <f aca="false">-MIN(BE108,In_Loss_Cap*MAX(0,BE107))</f>
        <v>-0</v>
      </c>
      <c r="BF110" s="48" t="n">
        <f aca="false">-MIN(BF108,In_Loss_Cap*MAX(0,BF107))</f>
        <v>-0</v>
      </c>
      <c r="BG110" s="48" t="n">
        <f aca="false">-MIN(BG108,In_Loss_Cap*MAX(0,BG107))</f>
        <v>-0</v>
      </c>
      <c r="BH110" s="48" t="n">
        <f aca="false">-MIN(BH108,In_Loss_Cap*MAX(0,BH107))</f>
        <v>-0</v>
      </c>
      <c r="BI110" s="48" t="n">
        <f aca="false">-MIN(BI108,In_Loss_Cap*MAX(0,BI107))</f>
        <v>-0</v>
      </c>
      <c r="BJ110" s="48" t="n">
        <f aca="false">-MIN(BJ108,In_Loss_Cap*MAX(0,BJ107))</f>
        <v>-0</v>
      </c>
      <c r="BK110" s="48" t="n">
        <f aca="false">-MIN(BK108,In_Loss_Cap*MAX(0,BK107))</f>
        <v>-0</v>
      </c>
      <c r="BL110" s="48" t="n">
        <f aca="false">-MIN(BL108,In_Loss_Cap*MAX(0,BL107))</f>
        <v>-0</v>
      </c>
      <c r="BM110" s="48" t="n">
        <f aca="false">-MIN(BM108,In_Loss_Cap*MAX(0,BM107))</f>
        <v>-0</v>
      </c>
      <c r="BN110" s="48" t="n">
        <f aca="false">-MIN(BN108,In_Loss_Cap*MAX(0,BN107))</f>
        <v>-0</v>
      </c>
      <c r="BO110" s="48" t="n">
        <f aca="false">-MIN(BO108,In_Loss_Cap*MAX(0,BO107))</f>
        <v>-0</v>
      </c>
      <c r="BP110" s="48" t="n">
        <f aca="false">-MIN(BP108,In_Loss_Cap*MAX(0,BP107))</f>
        <v>-0</v>
      </c>
      <c r="BQ110" s="48" t="n">
        <f aca="false">-MIN(BQ108,In_Loss_Cap*MAX(0,BQ107))</f>
        <v>-0</v>
      </c>
      <c r="BR110" s="48" t="n">
        <f aca="false">-MIN(BR108,In_Loss_Cap*MAX(0,BR107))</f>
        <v>-0</v>
      </c>
      <c r="BS110" s="48" t="n">
        <f aca="false">-MIN(BS108,In_Loss_Cap*MAX(0,BS107))</f>
        <v>-0</v>
      </c>
      <c r="BT110" s="48" t="n">
        <f aca="false">-MIN(BT108,In_Loss_Cap*MAX(0,BT107))</f>
        <v>-0</v>
      </c>
      <c r="BU110" s="48" t="n">
        <f aca="false">-MIN(BU108,In_Loss_Cap*MAX(0,BU107))</f>
        <v>-0</v>
      </c>
      <c r="BV110" s="48" t="n">
        <f aca="false">-MIN(BV108,In_Loss_Cap*MAX(0,BV107))</f>
        <v>-0</v>
      </c>
      <c r="BW110" s="48" t="n">
        <f aca="false">-MIN(BW108,In_Loss_Cap*MAX(0,BW107))</f>
        <v>-0</v>
      </c>
      <c r="BX110" s="48" t="n">
        <f aca="false">-MIN(BX108,In_Loss_Cap*MAX(0,BX107))</f>
        <v>-0</v>
      </c>
      <c r="BY110" s="48" t="n">
        <f aca="false">-MIN(BY108,In_Loss_Cap*MAX(0,BY107))</f>
        <v>-0</v>
      </c>
      <c r="BZ110" s="48" t="n">
        <f aca="false">-MIN(BZ108,In_Loss_Cap*MAX(0,BZ107))</f>
        <v>-0</v>
      </c>
      <c r="CA110" s="48" t="n">
        <f aca="false">-MIN(CA108,In_Loss_Cap*MAX(0,CA107))</f>
        <v>-0</v>
      </c>
      <c r="CB110" s="48" t="n">
        <f aca="false">-MIN(CB108,In_Loss_Cap*MAX(0,CB107))</f>
        <v>-0</v>
      </c>
      <c r="CC110" s="48" t="n">
        <f aca="false">-MIN(CC108,In_Loss_Cap*MAX(0,CC107))</f>
        <v>-0</v>
      </c>
      <c r="CD110" s="48" t="n">
        <f aca="false">-MIN(CD108,In_Loss_Cap*MAX(0,CD107))</f>
        <v>-0</v>
      </c>
      <c r="CE110" s="48" t="n">
        <f aca="false">-MIN(CE108,In_Loss_Cap*MAX(0,CE107))</f>
        <v>-0</v>
      </c>
      <c r="CF110" s="48" t="n">
        <f aca="false">-MIN(CF108,In_Loss_Cap*MAX(0,CF107))</f>
        <v>-0</v>
      </c>
      <c r="CG110" s="48" t="n">
        <f aca="false">-MIN(CG108,In_Loss_Cap*MAX(0,CG107))</f>
        <v>-0</v>
      </c>
      <c r="CH110" s="48" t="n">
        <f aca="false">-MIN(CH108,In_Loss_Cap*MAX(0,CH107))</f>
        <v>-0</v>
      </c>
      <c r="CI110" s="48" t="n">
        <f aca="false">-MIN(CI108,In_Loss_Cap*MAX(0,CI107))</f>
        <v>-0</v>
      </c>
      <c r="CJ110" s="48" t="n">
        <f aca="false">-MIN(CJ108,In_Loss_Cap*MAX(0,CJ107))</f>
        <v>-0</v>
      </c>
      <c r="CK110" s="48" t="n">
        <f aca="false">-MIN(CK108,In_Loss_Cap*MAX(0,CK107))</f>
        <v>-0</v>
      </c>
      <c r="CL110" s="48" t="n">
        <f aca="false">-MIN(CL108,In_Loss_Cap*MAX(0,CL107))</f>
        <v>-0</v>
      </c>
      <c r="CM110" s="48" t="n">
        <f aca="false">-MIN(CM108,In_Loss_Cap*MAX(0,CM107))</f>
        <v>-0</v>
      </c>
      <c r="CN110" s="48" t="n">
        <f aca="false">-MIN(CN108,In_Loss_Cap*MAX(0,CN107))</f>
        <v>-0</v>
      </c>
      <c r="CO110" s="48" t="n">
        <f aca="false">-MIN(CO108,In_Loss_Cap*MAX(0,CO107))</f>
        <v>-0</v>
      </c>
      <c r="CP110" s="48" t="n">
        <f aca="false">-MIN(CP108,In_Loss_Cap*MAX(0,CP107))</f>
        <v>-0</v>
      </c>
      <c r="CQ110" s="48" t="n">
        <f aca="false">-MIN(CQ108,In_Loss_Cap*MAX(0,CQ107))</f>
        <v>-0</v>
      </c>
      <c r="CR110" s="48" t="n">
        <f aca="false">-MIN(CR108,In_Loss_Cap*MAX(0,CR107))</f>
        <v>-0</v>
      </c>
      <c r="CS110" s="48" t="n">
        <f aca="false">-MIN(CS108,In_Loss_Cap*MAX(0,CS107))</f>
        <v>-0</v>
      </c>
      <c r="CT110" s="48" t="n">
        <f aca="false">-MIN(CT108,In_Loss_Cap*MAX(0,CT107))</f>
        <v>-0</v>
      </c>
      <c r="CU110" s="48" t="n">
        <f aca="false">-MIN(CU108,In_Loss_Cap*MAX(0,CU107))</f>
        <v>-0</v>
      </c>
      <c r="CV110" s="48" t="n">
        <f aca="false">-MIN(CV108,In_Loss_Cap*MAX(0,CV107))</f>
        <v>-0</v>
      </c>
      <c r="CW110" s="48" t="n">
        <f aca="false">-MIN(CW108,In_Loss_Cap*MAX(0,CW107))</f>
        <v>-0</v>
      </c>
      <c r="CX110" s="48" t="n">
        <f aca="false">-MIN(CX108,In_Loss_Cap*MAX(0,CX107))</f>
        <v>-0</v>
      </c>
      <c r="CY110" s="48" t="n">
        <f aca="false">-MIN(CY108,In_Loss_Cap*MAX(0,CY107))</f>
        <v>-0</v>
      </c>
      <c r="CZ110" s="48" t="n">
        <f aca="false">-MIN(CZ108,In_Loss_Cap*MAX(0,CZ107))</f>
        <v>-0</v>
      </c>
      <c r="DA110" s="48" t="n">
        <f aca="false">-MIN(DA108,In_Loss_Cap*MAX(0,DA107))</f>
        <v>-0</v>
      </c>
      <c r="DB110" s="48" t="n">
        <f aca="false">-MIN(DB108,In_Loss_Cap*MAX(0,DB107))</f>
        <v>-0</v>
      </c>
      <c r="DC110" s="48" t="n">
        <f aca="false">-MIN(DC108,In_Loss_Cap*MAX(0,DC107))</f>
        <v>-0</v>
      </c>
      <c r="DD110" s="48" t="n">
        <f aca="false">-MIN(DD108,In_Loss_Cap*MAX(0,DD107))</f>
        <v>-0</v>
      </c>
      <c r="DE110" s="48" t="n">
        <f aca="false">-MIN(DE108,In_Loss_Cap*MAX(0,DE107))</f>
        <v>-0</v>
      </c>
      <c r="DF110" s="48" t="n">
        <f aca="false">-MIN(DF108,In_Loss_Cap*MAX(0,DF107))</f>
        <v>-0</v>
      </c>
      <c r="DG110" s="48" t="n">
        <f aca="false">-MIN(DG108,In_Loss_Cap*MAX(0,DG107))</f>
        <v>-0</v>
      </c>
      <c r="DH110" s="48" t="n">
        <f aca="false">-MIN(DH108,In_Loss_Cap*MAX(0,DH107))</f>
        <v>-0</v>
      </c>
      <c r="DI110" s="48" t="n">
        <f aca="false">-MIN(DI108,In_Loss_Cap*MAX(0,DI107))</f>
        <v>-0</v>
      </c>
      <c r="DJ110" s="48" t="n">
        <f aca="false">-MIN(DJ108,In_Loss_Cap*MAX(0,DJ107))</f>
        <v>-0</v>
      </c>
      <c r="DK110" s="48" t="n">
        <f aca="false">-MIN(DK108,In_Loss_Cap*MAX(0,DK107))</f>
        <v>-0</v>
      </c>
      <c r="DL110" s="48" t="n">
        <f aca="false">-MIN(DL108,In_Loss_Cap*MAX(0,DL107))</f>
        <v>-0</v>
      </c>
      <c r="DM110" s="48" t="n">
        <f aca="false">-MIN(DM108,In_Loss_Cap*MAX(0,DM107))</f>
        <v>-0</v>
      </c>
      <c r="DN110" s="48" t="n">
        <f aca="false">-MIN(DN108,In_Loss_Cap*MAX(0,DN107))</f>
        <v>-0</v>
      </c>
      <c r="DO110" s="48" t="n">
        <f aca="false">-MIN(DO108,In_Loss_Cap*MAX(0,DO107))</f>
        <v>-0</v>
      </c>
      <c r="DP110" s="48" t="n">
        <f aca="false">-MIN(DP108,In_Loss_Cap*MAX(0,DP107))</f>
        <v>-0</v>
      </c>
      <c r="DQ110" s="48" t="n">
        <f aca="false">-MIN(DQ108,In_Loss_Cap*MAX(0,DQ107))</f>
        <v>-0</v>
      </c>
      <c r="DR110" s="48" t="n">
        <f aca="false">-MIN(DR108,In_Loss_Cap*MAX(0,DR107))</f>
        <v>-0</v>
      </c>
      <c r="DS110" s="48" t="n">
        <f aca="false">-MIN(DS108,In_Loss_Cap*MAX(0,DS107))</f>
        <v>-0</v>
      </c>
      <c r="DT110" s="48" t="n">
        <f aca="false">-MIN(DT108,In_Loss_Cap*MAX(0,DT107))</f>
        <v>-0</v>
      </c>
      <c r="DU110" s="48" t="n">
        <f aca="false">-MIN(DU108,In_Loss_Cap*MAX(0,DU107))</f>
        <v>-0</v>
      </c>
      <c r="DV110" s="48" t="n">
        <f aca="false">-MIN(DV108,In_Loss_Cap*MAX(0,DV107))</f>
        <v>-0</v>
      </c>
      <c r="DW110" s="48" t="n">
        <f aca="false">-MIN(DW108,In_Loss_Cap*MAX(0,DW107))</f>
        <v>-0</v>
      </c>
      <c r="DX110" s="48" t="n">
        <f aca="false">-MIN(DX108,In_Loss_Cap*MAX(0,DX107))</f>
        <v>-0</v>
      </c>
      <c r="DY110" s="48" t="n">
        <f aca="false">-MIN(DY108,In_Loss_Cap*MAX(0,DY107))</f>
        <v>-0</v>
      </c>
      <c r="DZ110" s="48" t="n">
        <f aca="false">-MIN(DZ108,In_Loss_Cap*MAX(0,DZ107))</f>
        <v>-0</v>
      </c>
      <c r="EA110" s="48" t="n">
        <f aca="false">-MIN(EA108,In_Loss_Cap*MAX(0,EA107))</f>
        <v>-0</v>
      </c>
      <c r="EB110" s="48" t="n">
        <f aca="false">-MIN(EB108,In_Loss_Cap*MAX(0,EB107))</f>
        <v>-0</v>
      </c>
      <c r="EC110" s="48" t="n">
        <f aca="false">-MIN(EC108,In_Loss_Cap*MAX(0,EC107))</f>
        <v>-0</v>
      </c>
      <c r="ED110" s="48" t="n">
        <f aca="false">-MIN(ED108,In_Loss_Cap*MAX(0,ED107))</f>
        <v>-0</v>
      </c>
      <c r="EE110" s="48" t="n">
        <f aca="false">-MIN(EE108,In_Loss_Cap*MAX(0,EE107))</f>
        <v>-0</v>
      </c>
      <c r="EF110" s="48" t="n">
        <f aca="false">-MIN(EF108,In_Loss_Cap*MAX(0,EF107))</f>
        <v>-0</v>
      </c>
      <c r="EG110" s="48" t="n">
        <f aca="false">-MIN(EG108,In_Loss_Cap*MAX(0,EG107))</f>
        <v>-0</v>
      </c>
      <c r="EH110" s="48" t="n">
        <f aca="false">-MIN(EH108,In_Loss_Cap*MAX(0,EH107))</f>
        <v>-0</v>
      </c>
      <c r="EI110" s="48" t="n">
        <f aca="false">-MIN(EI108,In_Loss_Cap*MAX(0,EI107))</f>
        <v>-0</v>
      </c>
      <c r="EJ110" s="48" t="n">
        <f aca="false">-MIN(EJ108,In_Loss_Cap*MAX(0,EJ107))</f>
        <v>-0</v>
      </c>
      <c r="EK110" s="48" t="n">
        <f aca="false">-MIN(EK108,In_Loss_Cap*MAX(0,EK107))</f>
        <v>-0</v>
      </c>
      <c r="EL110" s="48" t="n">
        <f aca="false">-MIN(EL108,In_Loss_Cap*MAX(0,EL107))</f>
        <v>-0</v>
      </c>
      <c r="EM110" s="48" t="n">
        <f aca="false">-MIN(EM108,In_Loss_Cap*MAX(0,EM107))</f>
        <v>-0</v>
      </c>
      <c r="EN110" s="48" t="n">
        <f aca="false">-MIN(EN108,In_Loss_Cap*MAX(0,EN107))</f>
        <v>-0</v>
      </c>
      <c r="EO110" s="48" t="n">
        <f aca="false">-MIN(EO108,In_Loss_Cap*MAX(0,EO107))</f>
        <v>-0</v>
      </c>
    </row>
    <row r="111" customFormat="false" ht="15" hidden="false" customHeight="false" outlineLevel="0" collapsed="false">
      <c r="C111" s="0" t="s">
        <v>486</v>
      </c>
      <c r="D111" s="11" t="s">
        <v>33</v>
      </c>
      <c r="E111" s="46" t="n">
        <f aca="false">EDATE(In_NTP,In_Loss_Years*Months_In_Year)</f>
        <v>48852</v>
      </c>
      <c r="I111" s="48" t="n">
        <f aca="false">SUM(J111:EO111)</f>
        <v>-752.363247114366</v>
      </c>
      <c r="J111" s="48" t="n">
        <f aca="false">-(J108+J109+J110)*N(AND(J$3&lt;=$E111,J$4&gt;=$E111))</f>
        <v>-0</v>
      </c>
      <c r="K111" s="48" t="n">
        <f aca="false">-(K108+K109+K110)*N(AND(K$3&lt;=$E111,K$4&gt;=$E111))</f>
        <v>-0</v>
      </c>
      <c r="L111" s="48" t="n">
        <f aca="false">-(L108+L109+L110)*N(AND(L$3&lt;=$E111,L$4&gt;=$E111))</f>
        <v>-0</v>
      </c>
      <c r="M111" s="48" t="n">
        <f aca="false">-(M108+M109+M110)*N(AND(M$3&lt;=$E111,M$4&gt;=$E111))</f>
        <v>-0</v>
      </c>
      <c r="N111" s="48" t="n">
        <f aca="false">-(N108+N109+N110)*N(AND(N$3&lt;=$E111,N$4&gt;=$E111))</f>
        <v>-0</v>
      </c>
      <c r="O111" s="48" t="n">
        <f aca="false">-(O108+O109+O110)*N(AND(O$3&lt;=$E111,O$4&gt;=$E111))</f>
        <v>-0</v>
      </c>
      <c r="P111" s="48" t="n">
        <f aca="false">-(P108+P109+P110)*N(AND(P$3&lt;=$E111,P$4&gt;=$E111))</f>
        <v>-0</v>
      </c>
      <c r="Q111" s="48" t="n">
        <f aca="false">-(Q108+Q109+Q110)*N(AND(Q$3&lt;=$E111,Q$4&gt;=$E111))</f>
        <v>-0</v>
      </c>
      <c r="R111" s="48" t="n">
        <f aca="false">-(R108+R109+R110)*N(AND(R$3&lt;=$E111,R$4&gt;=$E111))</f>
        <v>-0</v>
      </c>
      <c r="S111" s="48" t="n">
        <f aca="false">-(S108+S109+S110)*N(AND(S$3&lt;=$E111,S$4&gt;=$E111))</f>
        <v>-0</v>
      </c>
      <c r="T111" s="48" t="n">
        <f aca="false">-(T108+T109+T110)*N(AND(T$3&lt;=$E111,T$4&gt;=$E111))</f>
        <v>-0</v>
      </c>
      <c r="U111" s="48" t="n">
        <f aca="false">-(U108+U109+U110)*N(AND(U$3&lt;=$E111,U$4&gt;=$E111))</f>
        <v>-0</v>
      </c>
      <c r="V111" s="48" t="n">
        <f aca="false">-(V108+V109+V110)*N(AND(V$3&lt;=$E111,V$4&gt;=$E111))</f>
        <v>-0</v>
      </c>
      <c r="W111" s="48" t="n">
        <f aca="false">-(W108+W109+W110)*N(AND(W$3&lt;=$E111,W$4&gt;=$E111))</f>
        <v>-0</v>
      </c>
      <c r="X111" s="48" t="n">
        <f aca="false">-(X108+X109+X110)*N(AND(X$3&lt;=$E111,X$4&gt;=$E111))</f>
        <v>-0</v>
      </c>
      <c r="Y111" s="48" t="n">
        <f aca="false">-(Y108+Y109+Y110)*N(AND(Y$3&lt;=$E111,Y$4&gt;=$E111))</f>
        <v>-0</v>
      </c>
      <c r="Z111" s="48" t="n">
        <f aca="false">-(Z108+Z109+Z110)*N(AND(Z$3&lt;=$E111,Z$4&gt;=$E111))</f>
        <v>-0</v>
      </c>
      <c r="AA111" s="48" t="n">
        <f aca="false">-(AA108+AA109+AA110)*N(AND(AA$3&lt;=$E111,AA$4&gt;=$E111))</f>
        <v>-0</v>
      </c>
      <c r="AB111" s="48" t="n">
        <f aca="false">-(AB108+AB109+AB110)*N(AND(AB$3&lt;=$E111,AB$4&gt;=$E111))</f>
        <v>-0</v>
      </c>
      <c r="AC111" s="48" t="n">
        <f aca="false">-(AC108+AC109+AC110)*N(AND(AC$3&lt;=$E111,AC$4&gt;=$E111))</f>
        <v>-0</v>
      </c>
      <c r="AD111" s="48" t="n">
        <f aca="false">-(AD108+AD109+AD110)*N(AND(AD$3&lt;=$E111,AD$4&gt;=$E111))</f>
        <v>-0</v>
      </c>
      <c r="AE111" s="48" t="n">
        <f aca="false">-(AE108+AE109+AE110)*N(AND(AE$3&lt;=$E111,AE$4&gt;=$E111))</f>
        <v>-0</v>
      </c>
      <c r="AF111" s="48" t="n">
        <f aca="false">-(AF108+AF109+AF110)*N(AND(AF$3&lt;=$E111,AF$4&gt;=$E111))</f>
        <v>-0</v>
      </c>
      <c r="AG111" s="48" t="n">
        <f aca="false">-(AG108+AG109+AG110)*N(AND(AG$3&lt;=$E111,AG$4&gt;=$E111))</f>
        <v>-0</v>
      </c>
      <c r="AH111" s="48" t="n">
        <f aca="false">-(AH108+AH109+AH110)*N(AND(AH$3&lt;=$E111,AH$4&gt;=$E111))</f>
        <v>-0</v>
      </c>
      <c r="AI111" s="48" t="n">
        <f aca="false">-(AI108+AI109+AI110)*N(AND(AI$3&lt;=$E111,AI$4&gt;=$E111))</f>
        <v>-0</v>
      </c>
      <c r="AJ111" s="48" t="n">
        <f aca="false">-(AJ108+AJ109+AJ110)*N(AND(AJ$3&lt;=$E111,AJ$4&gt;=$E111))</f>
        <v>-0</v>
      </c>
      <c r="AK111" s="48" t="n">
        <f aca="false">-(AK108+AK109+AK110)*N(AND(AK$3&lt;=$E111,AK$4&gt;=$E111))</f>
        <v>-752.363247114366</v>
      </c>
      <c r="AL111" s="48" t="n">
        <f aca="false">-(AL108+AL109+AL110)*N(AND(AL$3&lt;=$E111,AL$4&gt;=$E111))</f>
        <v>-0</v>
      </c>
      <c r="AM111" s="48" t="n">
        <f aca="false">-(AM108+AM109+AM110)*N(AND(AM$3&lt;=$E111,AM$4&gt;=$E111))</f>
        <v>-0</v>
      </c>
      <c r="AN111" s="48" t="n">
        <f aca="false">-(AN108+AN109+AN110)*N(AND(AN$3&lt;=$E111,AN$4&gt;=$E111))</f>
        <v>-0</v>
      </c>
      <c r="AO111" s="48" t="n">
        <f aca="false">-(AO108+AO109+AO110)*N(AND(AO$3&lt;=$E111,AO$4&gt;=$E111))</f>
        <v>-0</v>
      </c>
      <c r="AP111" s="48" t="n">
        <f aca="false">-(AP108+AP109+AP110)*N(AND(AP$3&lt;=$E111,AP$4&gt;=$E111))</f>
        <v>-0</v>
      </c>
      <c r="AQ111" s="48" t="n">
        <f aca="false">-(AQ108+AQ109+AQ110)*N(AND(AQ$3&lt;=$E111,AQ$4&gt;=$E111))</f>
        <v>-0</v>
      </c>
      <c r="AR111" s="48" t="n">
        <f aca="false">-(AR108+AR109+AR110)*N(AND(AR$3&lt;=$E111,AR$4&gt;=$E111))</f>
        <v>-0</v>
      </c>
      <c r="AS111" s="48" t="n">
        <f aca="false">-(AS108+AS109+AS110)*N(AND(AS$3&lt;=$E111,AS$4&gt;=$E111))</f>
        <v>-0</v>
      </c>
      <c r="AT111" s="48" t="n">
        <f aca="false">-(AT108+AT109+AT110)*N(AND(AT$3&lt;=$E111,AT$4&gt;=$E111))</f>
        <v>-0</v>
      </c>
      <c r="AU111" s="48" t="n">
        <f aca="false">-(AU108+AU109+AU110)*N(AND(AU$3&lt;=$E111,AU$4&gt;=$E111))</f>
        <v>-0</v>
      </c>
      <c r="AV111" s="48" t="n">
        <f aca="false">-(AV108+AV109+AV110)*N(AND(AV$3&lt;=$E111,AV$4&gt;=$E111))</f>
        <v>-0</v>
      </c>
      <c r="AW111" s="48" t="n">
        <f aca="false">-(AW108+AW109+AW110)*N(AND(AW$3&lt;=$E111,AW$4&gt;=$E111))</f>
        <v>-0</v>
      </c>
      <c r="AX111" s="48" t="n">
        <f aca="false">-(AX108+AX109+AX110)*N(AND(AX$3&lt;=$E111,AX$4&gt;=$E111))</f>
        <v>-0</v>
      </c>
      <c r="AY111" s="48" t="n">
        <f aca="false">-(AY108+AY109+AY110)*N(AND(AY$3&lt;=$E111,AY$4&gt;=$E111))</f>
        <v>-0</v>
      </c>
      <c r="AZ111" s="48" t="n">
        <f aca="false">-(AZ108+AZ109+AZ110)*N(AND(AZ$3&lt;=$E111,AZ$4&gt;=$E111))</f>
        <v>-0</v>
      </c>
      <c r="BA111" s="48" t="n">
        <f aca="false">-(BA108+BA109+BA110)*N(AND(BA$3&lt;=$E111,BA$4&gt;=$E111))</f>
        <v>-0</v>
      </c>
      <c r="BB111" s="48" t="n">
        <f aca="false">-(BB108+BB109+BB110)*N(AND(BB$3&lt;=$E111,BB$4&gt;=$E111))</f>
        <v>-0</v>
      </c>
      <c r="BC111" s="48" t="n">
        <f aca="false">-(BC108+BC109+BC110)*N(AND(BC$3&lt;=$E111,BC$4&gt;=$E111))</f>
        <v>-0</v>
      </c>
      <c r="BD111" s="48" t="n">
        <f aca="false">-(BD108+BD109+BD110)*N(AND(BD$3&lt;=$E111,BD$4&gt;=$E111))</f>
        <v>-0</v>
      </c>
      <c r="BE111" s="48" t="n">
        <f aca="false">-(BE108+BE109+BE110)*N(AND(BE$3&lt;=$E111,BE$4&gt;=$E111))</f>
        <v>-0</v>
      </c>
      <c r="BF111" s="48" t="n">
        <f aca="false">-(BF108+BF109+BF110)*N(AND(BF$3&lt;=$E111,BF$4&gt;=$E111))</f>
        <v>-0</v>
      </c>
      <c r="BG111" s="48" t="n">
        <f aca="false">-(BG108+BG109+BG110)*N(AND(BG$3&lt;=$E111,BG$4&gt;=$E111))</f>
        <v>-0</v>
      </c>
      <c r="BH111" s="48" t="n">
        <f aca="false">-(BH108+BH109+BH110)*N(AND(BH$3&lt;=$E111,BH$4&gt;=$E111))</f>
        <v>-0</v>
      </c>
      <c r="BI111" s="48" t="n">
        <f aca="false">-(BI108+BI109+BI110)*N(AND(BI$3&lt;=$E111,BI$4&gt;=$E111))</f>
        <v>-0</v>
      </c>
      <c r="BJ111" s="48" t="n">
        <f aca="false">-(BJ108+BJ109+BJ110)*N(AND(BJ$3&lt;=$E111,BJ$4&gt;=$E111))</f>
        <v>-0</v>
      </c>
      <c r="BK111" s="48" t="n">
        <f aca="false">-(BK108+BK109+BK110)*N(AND(BK$3&lt;=$E111,BK$4&gt;=$E111))</f>
        <v>-0</v>
      </c>
      <c r="BL111" s="48" t="n">
        <f aca="false">-(BL108+BL109+BL110)*N(AND(BL$3&lt;=$E111,BL$4&gt;=$E111))</f>
        <v>-0</v>
      </c>
      <c r="BM111" s="48" t="n">
        <f aca="false">-(BM108+BM109+BM110)*N(AND(BM$3&lt;=$E111,BM$4&gt;=$E111))</f>
        <v>-0</v>
      </c>
      <c r="BN111" s="48" t="n">
        <f aca="false">-(BN108+BN109+BN110)*N(AND(BN$3&lt;=$E111,BN$4&gt;=$E111))</f>
        <v>-0</v>
      </c>
      <c r="BO111" s="48" t="n">
        <f aca="false">-(BO108+BO109+BO110)*N(AND(BO$3&lt;=$E111,BO$4&gt;=$E111))</f>
        <v>-0</v>
      </c>
      <c r="BP111" s="48" t="n">
        <f aca="false">-(BP108+BP109+BP110)*N(AND(BP$3&lt;=$E111,BP$4&gt;=$E111))</f>
        <v>-0</v>
      </c>
      <c r="BQ111" s="48" t="n">
        <f aca="false">-(BQ108+BQ109+BQ110)*N(AND(BQ$3&lt;=$E111,BQ$4&gt;=$E111))</f>
        <v>-0</v>
      </c>
      <c r="BR111" s="48" t="n">
        <f aca="false">-(BR108+BR109+BR110)*N(AND(BR$3&lt;=$E111,BR$4&gt;=$E111))</f>
        <v>-0</v>
      </c>
      <c r="BS111" s="48" t="n">
        <f aca="false">-(BS108+BS109+BS110)*N(AND(BS$3&lt;=$E111,BS$4&gt;=$E111))</f>
        <v>-0</v>
      </c>
      <c r="BT111" s="48" t="n">
        <f aca="false">-(BT108+BT109+BT110)*N(AND(BT$3&lt;=$E111,BT$4&gt;=$E111))</f>
        <v>-0</v>
      </c>
      <c r="BU111" s="48" t="n">
        <f aca="false">-(BU108+BU109+BU110)*N(AND(BU$3&lt;=$E111,BU$4&gt;=$E111))</f>
        <v>-0</v>
      </c>
      <c r="BV111" s="48" t="n">
        <f aca="false">-(BV108+BV109+BV110)*N(AND(BV$3&lt;=$E111,BV$4&gt;=$E111))</f>
        <v>-0</v>
      </c>
      <c r="BW111" s="48" t="n">
        <f aca="false">-(BW108+BW109+BW110)*N(AND(BW$3&lt;=$E111,BW$4&gt;=$E111))</f>
        <v>-0</v>
      </c>
      <c r="BX111" s="48" t="n">
        <f aca="false">-(BX108+BX109+BX110)*N(AND(BX$3&lt;=$E111,BX$4&gt;=$E111))</f>
        <v>-0</v>
      </c>
      <c r="BY111" s="48" t="n">
        <f aca="false">-(BY108+BY109+BY110)*N(AND(BY$3&lt;=$E111,BY$4&gt;=$E111))</f>
        <v>-0</v>
      </c>
      <c r="BZ111" s="48" t="n">
        <f aca="false">-(BZ108+BZ109+BZ110)*N(AND(BZ$3&lt;=$E111,BZ$4&gt;=$E111))</f>
        <v>-0</v>
      </c>
      <c r="CA111" s="48" t="n">
        <f aca="false">-(CA108+CA109+CA110)*N(AND(CA$3&lt;=$E111,CA$4&gt;=$E111))</f>
        <v>-0</v>
      </c>
      <c r="CB111" s="48" t="n">
        <f aca="false">-(CB108+CB109+CB110)*N(AND(CB$3&lt;=$E111,CB$4&gt;=$E111))</f>
        <v>-0</v>
      </c>
      <c r="CC111" s="48" t="n">
        <f aca="false">-(CC108+CC109+CC110)*N(AND(CC$3&lt;=$E111,CC$4&gt;=$E111))</f>
        <v>-0</v>
      </c>
      <c r="CD111" s="48" t="n">
        <f aca="false">-(CD108+CD109+CD110)*N(AND(CD$3&lt;=$E111,CD$4&gt;=$E111))</f>
        <v>-0</v>
      </c>
      <c r="CE111" s="48" t="n">
        <f aca="false">-(CE108+CE109+CE110)*N(AND(CE$3&lt;=$E111,CE$4&gt;=$E111))</f>
        <v>-0</v>
      </c>
      <c r="CF111" s="48" t="n">
        <f aca="false">-(CF108+CF109+CF110)*N(AND(CF$3&lt;=$E111,CF$4&gt;=$E111))</f>
        <v>-0</v>
      </c>
      <c r="CG111" s="48" t="n">
        <f aca="false">-(CG108+CG109+CG110)*N(AND(CG$3&lt;=$E111,CG$4&gt;=$E111))</f>
        <v>-0</v>
      </c>
      <c r="CH111" s="48" t="n">
        <f aca="false">-(CH108+CH109+CH110)*N(AND(CH$3&lt;=$E111,CH$4&gt;=$E111))</f>
        <v>-0</v>
      </c>
      <c r="CI111" s="48" t="n">
        <f aca="false">-(CI108+CI109+CI110)*N(AND(CI$3&lt;=$E111,CI$4&gt;=$E111))</f>
        <v>-0</v>
      </c>
      <c r="CJ111" s="48" t="n">
        <f aca="false">-(CJ108+CJ109+CJ110)*N(AND(CJ$3&lt;=$E111,CJ$4&gt;=$E111))</f>
        <v>-0</v>
      </c>
      <c r="CK111" s="48" t="n">
        <f aca="false">-(CK108+CK109+CK110)*N(AND(CK$3&lt;=$E111,CK$4&gt;=$E111))</f>
        <v>-0</v>
      </c>
      <c r="CL111" s="48" t="n">
        <f aca="false">-(CL108+CL109+CL110)*N(AND(CL$3&lt;=$E111,CL$4&gt;=$E111))</f>
        <v>-0</v>
      </c>
      <c r="CM111" s="48" t="n">
        <f aca="false">-(CM108+CM109+CM110)*N(AND(CM$3&lt;=$E111,CM$4&gt;=$E111))</f>
        <v>-0</v>
      </c>
      <c r="CN111" s="48" t="n">
        <f aca="false">-(CN108+CN109+CN110)*N(AND(CN$3&lt;=$E111,CN$4&gt;=$E111))</f>
        <v>-0</v>
      </c>
      <c r="CO111" s="48" t="n">
        <f aca="false">-(CO108+CO109+CO110)*N(AND(CO$3&lt;=$E111,CO$4&gt;=$E111))</f>
        <v>-0</v>
      </c>
      <c r="CP111" s="48" t="n">
        <f aca="false">-(CP108+CP109+CP110)*N(AND(CP$3&lt;=$E111,CP$4&gt;=$E111))</f>
        <v>-0</v>
      </c>
      <c r="CQ111" s="48" t="n">
        <f aca="false">-(CQ108+CQ109+CQ110)*N(AND(CQ$3&lt;=$E111,CQ$4&gt;=$E111))</f>
        <v>-0</v>
      </c>
      <c r="CR111" s="48" t="n">
        <f aca="false">-(CR108+CR109+CR110)*N(AND(CR$3&lt;=$E111,CR$4&gt;=$E111))</f>
        <v>-0</v>
      </c>
      <c r="CS111" s="48" t="n">
        <f aca="false">-(CS108+CS109+CS110)*N(AND(CS$3&lt;=$E111,CS$4&gt;=$E111))</f>
        <v>-0</v>
      </c>
      <c r="CT111" s="48" t="n">
        <f aca="false">-(CT108+CT109+CT110)*N(AND(CT$3&lt;=$E111,CT$4&gt;=$E111))</f>
        <v>-0</v>
      </c>
      <c r="CU111" s="48" t="n">
        <f aca="false">-(CU108+CU109+CU110)*N(AND(CU$3&lt;=$E111,CU$4&gt;=$E111))</f>
        <v>-0</v>
      </c>
      <c r="CV111" s="48" t="n">
        <f aca="false">-(CV108+CV109+CV110)*N(AND(CV$3&lt;=$E111,CV$4&gt;=$E111))</f>
        <v>-0</v>
      </c>
      <c r="CW111" s="48" t="n">
        <f aca="false">-(CW108+CW109+CW110)*N(AND(CW$3&lt;=$E111,CW$4&gt;=$E111))</f>
        <v>-0</v>
      </c>
      <c r="CX111" s="48" t="n">
        <f aca="false">-(CX108+CX109+CX110)*N(AND(CX$3&lt;=$E111,CX$4&gt;=$E111))</f>
        <v>-0</v>
      </c>
      <c r="CY111" s="48" t="n">
        <f aca="false">-(CY108+CY109+CY110)*N(AND(CY$3&lt;=$E111,CY$4&gt;=$E111))</f>
        <v>-0</v>
      </c>
      <c r="CZ111" s="48" t="n">
        <f aca="false">-(CZ108+CZ109+CZ110)*N(AND(CZ$3&lt;=$E111,CZ$4&gt;=$E111))</f>
        <v>-0</v>
      </c>
      <c r="DA111" s="48" t="n">
        <f aca="false">-(DA108+DA109+DA110)*N(AND(DA$3&lt;=$E111,DA$4&gt;=$E111))</f>
        <v>-0</v>
      </c>
      <c r="DB111" s="48" t="n">
        <f aca="false">-(DB108+DB109+DB110)*N(AND(DB$3&lt;=$E111,DB$4&gt;=$E111))</f>
        <v>-0</v>
      </c>
      <c r="DC111" s="48" t="n">
        <f aca="false">-(DC108+DC109+DC110)*N(AND(DC$3&lt;=$E111,DC$4&gt;=$E111))</f>
        <v>-0</v>
      </c>
      <c r="DD111" s="48" t="n">
        <f aca="false">-(DD108+DD109+DD110)*N(AND(DD$3&lt;=$E111,DD$4&gt;=$E111))</f>
        <v>-0</v>
      </c>
      <c r="DE111" s="48" t="n">
        <f aca="false">-(DE108+DE109+DE110)*N(AND(DE$3&lt;=$E111,DE$4&gt;=$E111))</f>
        <v>-0</v>
      </c>
      <c r="DF111" s="48" t="n">
        <f aca="false">-(DF108+DF109+DF110)*N(AND(DF$3&lt;=$E111,DF$4&gt;=$E111))</f>
        <v>-0</v>
      </c>
      <c r="DG111" s="48" t="n">
        <f aca="false">-(DG108+DG109+DG110)*N(AND(DG$3&lt;=$E111,DG$4&gt;=$E111))</f>
        <v>-0</v>
      </c>
      <c r="DH111" s="48" t="n">
        <f aca="false">-(DH108+DH109+DH110)*N(AND(DH$3&lt;=$E111,DH$4&gt;=$E111))</f>
        <v>-0</v>
      </c>
      <c r="DI111" s="48" t="n">
        <f aca="false">-(DI108+DI109+DI110)*N(AND(DI$3&lt;=$E111,DI$4&gt;=$E111))</f>
        <v>-0</v>
      </c>
      <c r="DJ111" s="48" t="n">
        <f aca="false">-(DJ108+DJ109+DJ110)*N(AND(DJ$3&lt;=$E111,DJ$4&gt;=$E111))</f>
        <v>-0</v>
      </c>
      <c r="DK111" s="48" t="n">
        <f aca="false">-(DK108+DK109+DK110)*N(AND(DK$3&lt;=$E111,DK$4&gt;=$E111))</f>
        <v>-0</v>
      </c>
      <c r="DL111" s="48" t="n">
        <f aca="false">-(DL108+DL109+DL110)*N(AND(DL$3&lt;=$E111,DL$4&gt;=$E111))</f>
        <v>-0</v>
      </c>
      <c r="DM111" s="48" t="n">
        <f aca="false">-(DM108+DM109+DM110)*N(AND(DM$3&lt;=$E111,DM$4&gt;=$E111))</f>
        <v>-0</v>
      </c>
      <c r="DN111" s="48" t="n">
        <f aca="false">-(DN108+DN109+DN110)*N(AND(DN$3&lt;=$E111,DN$4&gt;=$E111))</f>
        <v>-0</v>
      </c>
      <c r="DO111" s="48" t="n">
        <f aca="false">-(DO108+DO109+DO110)*N(AND(DO$3&lt;=$E111,DO$4&gt;=$E111))</f>
        <v>-0</v>
      </c>
      <c r="DP111" s="48" t="n">
        <f aca="false">-(DP108+DP109+DP110)*N(AND(DP$3&lt;=$E111,DP$4&gt;=$E111))</f>
        <v>-0</v>
      </c>
      <c r="DQ111" s="48" t="n">
        <f aca="false">-(DQ108+DQ109+DQ110)*N(AND(DQ$3&lt;=$E111,DQ$4&gt;=$E111))</f>
        <v>-0</v>
      </c>
      <c r="DR111" s="48" t="n">
        <f aca="false">-(DR108+DR109+DR110)*N(AND(DR$3&lt;=$E111,DR$4&gt;=$E111))</f>
        <v>-0</v>
      </c>
      <c r="DS111" s="48" t="n">
        <f aca="false">-(DS108+DS109+DS110)*N(AND(DS$3&lt;=$E111,DS$4&gt;=$E111))</f>
        <v>-0</v>
      </c>
      <c r="DT111" s="48" t="n">
        <f aca="false">-(DT108+DT109+DT110)*N(AND(DT$3&lt;=$E111,DT$4&gt;=$E111))</f>
        <v>-0</v>
      </c>
      <c r="DU111" s="48" t="n">
        <f aca="false">-(DU108+DU109+DU110)*N(AND(DU$3&lt;=$E111,DU$4&gt;=$E111))</f>
        <v>-0</v>
      </c>
      <c r="DV111" s="48" t="n">
        <f aca="false">-(DV108+DV109+DV110)*N(AND(DV$3&lt;=$E111,DV$4&gt;=$E111))</f>
        <v>-0</v>
      </c>
      <c r="DW111" s="48" t="n">
        <f aca="false">-(DW108+DW109+DW110)*N(AND(DW$3&lt;=$E111,DW$4&gt;=$E111))</f>
        <v>-0</v>
      </c>
      <c r="DX111" s="48" t="n">
        <f aca="false">-(DX108+DX109+DX110)*N(AND(DX$3&lt;=$E111,DX$4&gt;=$E111))</f>
        <v>-0</v>
      </c>
      <c r="DY111" s="48" t="n">
        <f aca="false">-(DY108+DY109+DY110)*N(AND(DY$3&lt;=$E111,DY$4&gt;=$E111))</f>
        <v>-0</v>
      </c>
      <c r="DZ111" s="48" t="n">
        <f aca="false">-(DZ108+DZ109+DZ110)*N(AND(DZ$3&lt;=$E111,DZ$4&gt;=$E111))</f>
        <v>-0</v>
      </c>
      <c r="EA111" s="48" t="n">
        <f aca="false">-(EA108+EA109+EA110)*N(AND(EA$3&lt;=$E111,EA$4&gt;=$E111))</f>
        <v>-0</v>
      </c>
      <c r="EB111" s="48" t="n">
        <f aca="false">-(EB108+EB109+EB110)*N(AND(EB$3&lt;=$E111,EB$4&gt;=$E111))</f>
        <v>-0</v>
      </c>
      <c r="EC111" s="48" t="n">
        <f aca="false">-(EC108+EC109+EC110)*N(AND(EC$3&lt;=$E111,EC$4&gt;=$E111))</f>
        <v>-0</v>
      </c>
      <c r="ED111" s="48" t="n">
        <f aca="false">-(ED108+ED109+ED110)*N(AND(ED$3&lt;=$E111,ED$4&gt;=$E111))</f>
        <v>-0</v>
      </c>
      <c r="EE111" s="48" t="n">
        <f aca="false">-(EE108+EE109+EE110)*N(AND(EE$3&lt;=$E111,EE$4&gt;=$E111))</f>
        <v>-0</v>
      </c>
      <c r="EF111" s="48" t="n">
        <f aca="false">-(EF108+EF109+EF110)*N(AND(EF$3&lt;=$E111,EF$4&gt;=$E111))</f>
        <v>-0</v>
      </c>
      <c r="EG111" s="48" t="n">
        <f aca="false">-(EG108+EG109+EG110)*N(AND(EG$3&lt;=$E111,EG$4&gt;=$E111))</f>
        <v>-0</v>
      </c>
      <c r="EH111" s="48" t="n">
        <f aca="false">-(EH108+EH109+EH110)*N(AND(EH$3&lt;=$E111,EH$4&gt;=$E111))</f>
        <v>-0</v>
      </c>
      <c r="EI111" s="48" t="n">
        <f aca="false">-(EI108+EI109+EI110)*N(AND(EI$3&lt;=$E111,EI$4&gt;=$E111))</f>
        <v>-0</v>
      </c>
      <c r="EJ111" s="48" t="n">
        <f aca="false">-(EJ108+EJ109+EJ110)*N(AND(EJ$3&lt;=$E111,EJ$4&gt;=$E111))</f>
        <v>-0</v>
      </c>
      <c r="EK111" s="48" t="n">
        <f aca="false">-(EK108+EK109+EK110)*N(AND(EK$3&lt;=$E111,EK$4&gt;=$E111))</f>
        <v>-0</v>
      </c>
      <c r="EL111" s="48" t="n">
        <f aca="false">-(EL108+EL109+EL110)*N(AND(EL$3&lt;=$E111,EL$4&gt;=$E111))</f>
        <v>-0</v>
      </c>
      <c r="EM111" s="48" t="n">
        <f aca="false">-(EM108+EM109+EM110)*N(AND(EM$3&lt;=$E111,EM$4&gt;=$E111))</f>
        <v>-0</v>
      </c>
      <c r="EN111" s="48" t="n">
        <f aca="false">-(EN108+EN109+EN110)*N(AND(EN$3&lt;=$E111,EN$4&gt;=$E111))</f>
        <v>-0</v>
      </c>
      <c r="EO111" s="48" t="n">
        <f aca="false">-(EO108+EO109+EO110)*N(AND(EO$3&lt;=$E111,EO$4&gt;=$E111))</f>
        <v>-0</v>
      </c>
    </row>
    <row r="112" customFormat="false" ht="15" hidden="false" customHeight="false" outlineLevel="0" collapsed="false">
      <c r="C112" s="0" t="s">
        <v>487</v>
      </c>
      <c r="D112" s="11" t="s">
        <v>33</v>
      </c>
      <c r="I112" s="59"/>
      <c r="J112" s="48" t="n">
        <f aca="false">SUM(J108:J111)</f>
        <v>12.8099380746857</v>
      </c>
      <c r="K112" s="48" t="n">
        <f aca="false">SUM(K108:K111)</f>
        <v>32.4846237568024</v>
      </c>
      <c r="L112" s="48" t="n">
        <f aca="false">SUM(L108:L111)</f>
        <v>65.6401125914806</v>
      </c>
      <c r="M112" s="48" t="n">
        <f aca="false">SUM(M108:M111)</f>
        <v>99.1599474573091</v>
      </c>
      <c r="N112" s="48" t="n">
        <f aca="false">SUM(N108:N111)</f>
        <v>132.679782323138</v>
      </c>
      <c r="O112" s="48" t="n">
        <f aca="false">SUM(O108:O111)</f>
        <v>165.835271157816</v>
      </c>
      <c r="P112" s="48" t="n">
        <f aca="false">SUM(P108:P111)</f>
        <v>198.990759992494</v>
      </c>
      <c r="Q112" s="48" t="n">
        <f aca="false">SUM(Q108:Q111)</f>
        <v>232.510594858322</v>
      </c>
      <c r="R112" s="48" t="n">
        <f aca="false">SUM(R108:R111)</f>
        <v>1469.10018074212</v>
      </c>
      <c r="S112" s="48" t="n">
        <f aca="false">SUM(S108:S111)</f>
        <v>1654.67336688858</v>
      </c>
      <c r="T112" s="48" t="n">
        <f aca="false">SUM(T108:T111)</f>
        <v>1818.25220158421</v>
      </c>
      <c r="U112" s="48" t="n">
        <f aca="false">SUM(U108:U111)</f>
        <v>1969.32533492454</v>
      </c>
      <c r="V112" s="48" t="n">
        <f aca="false">SUM(V108:V111)</f>
        <v>2105.93801849568</v>
      </c>
      <c r="W112" s="48" t="n">
        <f aca="false">SUM(W108:W111)</f>
        <v>2226.47670012685</v>
      </c>
      <c r="X112" s="48" t="n">
        <f aca="false">SUM(X108:X111)</f>
        <v>2334.36237014867</v>
      </c>
      <c r="Y112" s="48" t="n">
        <f aca="false">SUM(Y108:Y111)</f>
        <v>2429.13032601656</v>
      </c>
      <c r="Z112" s="48" t="n">
        <f aca="false">SUM(Z108:Z111)</f>
        <v>2316.55503785235</v>
      </c>
      <c r="AA112" s="48" t="n">
        <f aca="false">SUM(AA108:AA111)</f>
        <v>2203.36297897246</v>
      </c>
      <c r="AB112" s="48" t="n">
        <f aca="false">SUM(AB108:AB111)</f>
        <v>2081.75218454571</v>
      </c>
      <c r="AC112" s="48" t="n">
        <f aca="false">SUM(AC108:AC111)</f>
        <v>1951.60231807543</v>
      </c>
      <c r="AD112" s="48" t="n">
        <f aca="false">SUM(AD108:AD111)</f>
        <v>1822.35213087092</v>
      </c>
      <c r="AE112" s="48" t="n">
        <f aca="false">SUM(AE108:AE111)</f>
        <v>1687.09432157795</v>
      </c>
      <c r="AF112" s="48" t="n">
        <f aca="false">SUM(AF108:AF111)</f>
        <v>1548.47907293779</v>
      </c>
      <c r="AG112" s="48" t="n">
        <f aca="false">SUM(AG108:AG111)</f>
        <v>1401.10145973097</v>
      </c>
      <c r="AH112" s="48" t="n">
        <f aca="false">SUM(AH108:AH111)</f>
        <v>1254.46578812127</v>
      </c>
      <c r="AI112" s="48" t="n">
        <f aca="false">SUM(AI108:AI111)</f>
        <v>1107.15316305729</v>
      </c>
      <c r="AJ112" s="48" t="n">
        <f aca="false">SUM(AJ108:AJ111)</f>
        <v>934.396162418718</v>
      </c>
      <c r="AK112" s="48" t="n">
        <f aca="false">SUM(AK108:AK111)</f>
        <v>0</v>
      </c>
      <c r="AL112" s="48" t="n">
        <f aca="false">SUM(AL108:AL111)</f>
        <v>0</v>
      </c>
      <c r="AM112" s="48" t="n">
        <f aca="false">SUM(AM108:AM111)</f>
        <v>0</v>
      </c>
      <c r="AN112" s="48" t="n">
        <f aca="false">SUM(AN108:AN111)</f>
        <v>0</v>
      </c>
      <c r="AO112" s="48" t="n">
        <f aca="false">SUM(AO108:AO111)</f>
        <v>0</v>
      </c>
      <c r="AP112" s="48" t="n">
        <f aca="false">SUM(AP108:AP111)</f>
        <v>0</v>
      </c>
      <c r="AQ112" s="48" t="n">
        <f aca="false">SUM(AQ108:AQ111)</f>
        <v>0</v>
      </c>
      <c r="AR112" s="48" t="n">
        <f aca="false">SUM(AR108:AR111)</f>
        <v>0</v>
      </c>
      <c r="AS112" s="48" t="n">
        <f aca="false">SUM(AS108:AS111)</f>
        <v>0</v>
      </c>
      <c r="AT112" s="48" t="n">
        <f aca="false">SUM(AT108:AT111)</f>
        <v>0</v>
      </c>
      <c r="AU112" s="48" t="n">
        <f aca="false">SUM(AU108:AU111)</f>
        <v>0</v>
      </c>
      <c r="AV112" s="48" t="n">
        <f aca="false">SUM(AV108:AV111)</f>
        <v>0</v>
      </c>
      <c r="AW112" s="48" t="n">
        <f aca="false">SUM(AW108:AW111)</f>
        <v>0</v>
      </c>
      <c r="AX112" s="48" t="n">
        <f aca="false">SUM(AX108:AX111)</f>
        <v>0</v>
      </c>
      <c r="AY112" s="48" t="n">
        <f aca="false">SUM(AY108:AY111)</f>
        <v>0</v>
      </c>
      <c r="AZ112" s="48" t="n">
        <f aca="false">SUM(AZ108:AZ111)</f>
        <v>0</v>
      </c>
      <c r="BA112" s="48" t="n">
        <f aca="false">SUM(BA108:BA111)</f>
        <v>0</v>
      </c>
      <c r="BB112" s="48" t="n">
        <f aca="false">SUM(BB108:BB111)</f>
        <v>0</v>
      </c>
      <c r="BC112" s="48" t="n">
        <f aca="false">SUM(BC108:BC111)</f>
        <v>0</v>
      </c>
      <c r="BD112" s="48" t="n">
        <f aca="false">SUM(BD108:BD111)</f>
        <v>0</v>
      </c>
      <c r="BE112" s="48" t="n">
        <f aca="false">SUM(BE108:BE111)</f>
        <v>0</v>
      </c>
      <c r="BF112" s="48" t="n">
        <f aca="false">SUM(BF108:BF111)</f>
        <v>0</v>
      </c>
      <c r="BG112" s="48" t="n">
        <f aca="false">SUM(BG108:BG111)</f>
        <v>0</v>
      </c>
      <c r="BH112" s="48" t="n">
        <f aca="false">SUM(BH108:BH111)</f>
        <v>0</v>
      </c>
      <c r="BI112" s="48" t="n">
        <f aca="false">SUM(BI108:BI111)</f>
        <v>0</v>
      </c>
      <c r="BJ112" s="48" t="n">
        <f aca="false">SUM(BJ108:BJ111)</f>
        <v>0</v>
      </c>
      <c r="BK112" s="48" t="n">
        <f aca="false">SUM(BK108:BK111)</f>
        <v>0</v>
      </c>
      <c r="BL112" s="48" t="n">
        <f aca="false">SUM(BL108:BL111)</f>
        <v>0</v>
      </c>
      <c r="BM112" s="48" t="n">
        <f aca="false">SUM(BM108:BM111)</f>
        <v>0</v>
      </c>
      <c r="BN112" s="48" t="n">
        <f aca="false">SUM(BN108:BN111)</f>
        <v>0</v>
      </c>
      <c r="BO112" s="48" t="n">
        <f aca="false">SUM(BO108:BO111)</f>
        <v>0</v>
      </c>
      <c r="BP112" s="48" t="n">
        <f aca="false">SUM(BP108:BP111)</f>
        <v>0</v>
      </c>
      <c r="BQ112" s="48" t="n">
        <f aca="false">SUM(BQ108:BQ111)</f>
        <v>0</v>
      </c>
      <c r="BR112" s="48" t="n">
        <f aca="false">SUM(BR108:BR111)</f>
        <v>0</v>
      </c>
      <c r="BS112" s="48" t="n">
        <f aca="false">SUM(BS108:BS111)</f>
        <v>0</v>
      </c>
      <c r="BT112" s="48" t="n">
        <f aca="false">SUM(BT108:BT111)</f>
        <v>0</v>
      </c>
      <c r="BU112" s="48" t="n">
        <f aca="false">SUM(BU108:BU111)</f>
        <v>0</v>
      </c>
      <c r="BV112" s="48" t="n">
        <f aca="false">SUM(BV108:BV111)</f>
        <v>0</v>
      </c>
      <c r="BW112" s="48" t="n">
        <f aca="false">SUM(BW108:BW111)</f>
        <v>0</v>
      </c>
      <c r="BX112" s="48" t="n">
        <f aca="false">SUM(BX108:BX111)</f>
        <v>0</v>
      </c>
      <c r="BY112" s="48" t="n">
        <f aca="false">SUM(BY108:BY111)</f>
        <v>0</v>
      </c>
      <c r="BZ112" s="48" t="n">
        <f aca="false">SUM(BZ108:BZ111)</f>
        <v>0</v>
      </c>
      <c r="CA112" s="48" t="n">
        <f aca="false">SUM(CA108:CA111)</f>
        <v>0</v>
      </c>
      <c r="CB112" s="48" t="n">
        <f aca="false">SUM(CB108:CB111)</f>
        <v>0</v>
      </c>
      <c r="CC112" s="48" t="n">
        <f aca="false">SUM(CC108:CC111)</f>
        <v>0</v>
      </c>
      <c r="CD112" s="48" t="n">
        <f aca="false">SUM(CD108:CD111)</f>
        <v>0</v>
      </c>
      <c r="CE112" s="48" t="n">
        <f aca="false">SUM(CE108:CE111)</f>
        <v>0</v>
      </c>
      <c r="CF112" s="48" t="n">
        <f aca="false">SUM(CF108:CF111)</f>
        <v>0</v>
      </c>
      <c r="CG112" s="48" t="n">
        <f aca="false">SUM(CG108:CG111)</f>
        <v>0</v>
      </c>
      <c r="CH112" s="48" t="n">
        <f aca="false">SUM(CH108:CH111)</f>
        <v>0</v>
      </c>
      <c r="CI112" s="48" t="n">
        <f aca="false">SUM(CI108:CI111)</f>
        <v>0</v>
      </c>
      <c r="CJ112" s="48" t="n">
        <f aca="false">SUM(CJ108:CJ111)</f>
        <v>0</v>
      </c>
      <c r="CK112" s="48" t="n">
        <f aca="false">SUM(CK108:CK111)</f>
        <v>0</v>
      </c>
      <c r="CL112" s="48" t="n">
        <f aca="false">SUM(CL108:CL111)</f>
        <v>0</v>
      </c>
      <c r="CM112" s="48" t="n">
        <f aca="false">SUM(CM108:CM111)</f>
        <v>0</v>
      </c>
      <c r="CN112" s="48" t="n">
        <f aca="false">SUM(CN108:CN111)</f>
        <v>0</v>
      </c>
      <c r="CO112" s="48" t="n">
        <f aca="false">SUM(CO108:CO111)</f>
        <v>0</v>
      </c>
      <c r="CP112" s="48" t="n">
        <f aca="false">SUM(CP108:CP111)</f>
        <v>0</v>
      </c>
      <c r="CQ112" s="48" t="n">
        <f aca="false">SUM(CQ108:CQ111)</f>
        <v>0</v>
      </c>
      <c r="CR112" s="48" t="n">
        <f aca="false">SUM(CR108:CR111)</f>
        <v>0</v>
      </c>
      <c r="CS112" s="48" t="n">
        <f aca="false">SUM(CS108:CS111)</f>
        <v>0</v>
      </c>
      <c r="CT112" s="48" t="n">
        <f aca="false">SUM(CT108:CT111)</f>
        <v>0</v>
      </c>
      <c r="CU112" s="48" t="n">
        <f aca="false">SUM(CU108:CU111)</f>
        <v>0</v>
      </c>
      <c r="CV112" s="48" t="n">
        <f aca="false">SUM(CV108:CV111)</f>
        <v>0</v>
      </c>
      <c r="CW112" s="48" t="n">
        <f aca="false">SUM(CW108:CW111)</f>
        <v>0</v>
      </c>
      <c r="CX112" s="48" t="n">
        <f aca="false">SUM(CX108:CX111)</f>
        <v>0</v>
      </c>
      <c r="CY112" s="48" t="n">
        <f aca="false">SUM(CY108:CY111)</f>
        <v>0</v>
      </c>
      <c r="CZ112" s="48" t="n">
        <f aca="false">SUM(CZ108:CZ111)</f>
        <v>0</v>
      </c>
      <c r="DA112" s="48" t="n">
        <f aca="false">SUM(DA108:DA111)</f>
        <v>0</v>
      </c>
      <c r="DB112" s="48" t="n">
        <f aca="false">SUM(DB108:DB111)</f>
        <v>0</v>
      </c>
      <c r="DC112" s="48" t="n">
        <f aca="false">SUM(DC108:DC111)</f>
        <v>0</v>
      </c>
      <c r="DD112" s="48" t="n">
        <f aca="false">SUM(DD108:DD111)</f>
        <v>0</v>
      </c>
      <c r="DE112" s="48" t="n">
        <f aca="false">SUM(DE108:DE111)</f>
        <v>0</v>
      </c>
      <c r="DF112" s="48" t="n">
        <f aca="false">SUM(DF108:DF111)</f>
        <v>0</v>
      </c>
      <c r="DG112" s="48" t="n">
        <f aca="false">SUM(DG108:DG111)</f>
        <v>0</v>
      </c>
      <c r="DH112" s="48" t="n">
        <f aca="false">SUM(DH108:DH111)</f>
        <v>0</v>
      </c>
      <c r="DI112" s="48" t="n">
        <f aca="false">SUM(DI108:DI111)</f>
        <v>0</v>
      </c>
      <c r="DJ112" s="48" t="n">
        <f aca="false">SUM(DJ108:DJ111)</f>
        <v>0</v>
      </c>
      <c r="DK112" s="48" t="n">
        <f aca="false">SUM(DK108:DK111)</f>
        <v>0</v>
      </c>
      <c r="DL112" s="48" t="n">
        <f aca="false">SUM(DL108:DL111)</f>
        <v>0</v>
      </c>
      <c r="DM112" s="48" t="n">
        <f aca="false">SUM(DM108:DM111)</f>
        <v>0</v>
      </c>
      <c r="DN112" s="48" t="n">
        <f aca="false">SUM(DN108:DN111)</f>
        <v>0</v>
      </c>
      <c r="DO112" s="48" t="n">
        <f aca="false">SUM(DO108:DO111)</f>
        <v>0</v>
      </c>
      <c r="DP112" s="48" t="n">
        <f aca="false">SUM(DP108:DP111)</f>
        <v>0</v>
      </c>
      <c r="DQ112" s="48" t="n">
        <f aca="false">SUM(DQ108:DQ111)</f>
        <v>0</v>
      </c>
      <c r="DR112" s="48" t="n">
        <f aca="false">SUM(DR108:DR111)</f>
        <v>0</v>
      </c>
      <c r="DS112" s="48" t="n">
        <f aca="false">SUM(DS108:DS111)</f>
        <v>0</v>
      </c>
      <c r="DT112" s="48" t="n">
        <f aca="false">SUM(DT108:DT111)</f>
        <v>0</v>
      </c>
      <c r="DU112" s="48" t="n">
        <f aca="false">SUM(DU108:DU111)</f>
        <v>0</v>
      </c>
      <c r="DV112" s="48" t="n">
        <f aca="false">SUM(DV108:DV111)</f>
        <v>0</v>
      </c>
      <c r="DW112" s="48" t="n">
        <f aca="false">SUM(DW108:DW111)</f>
        <v>0</v>
      </c>
      <c r="DX112" s="48" t="n">
        <f aca="false">SUM(DX108:DX111)</f>
        <v>0</v>
      </c>
      <c r="DY112" s="48" t="n">
        <f aca="false">SUM(DY108:DY111)</f>
        <v>0</v>
      </c>
      <c r="DZ112" s="48" t="n">
        <f aca="false">SUM(DZ108:DZ111)</f>
        <v>0</v>
      </c>
      <c r="EA112" s="48" t="n">
        <f aca="false">SUM(EA108:EA111)</f>
        <v>0</v>
      </c>
      <c r="EB112" s="48" t="n">
        <f aca="false">SUM(EB108:EB111)</f>
        <v>0</v>
      </c>
      <c r="EC112" s="48" t="n">
        <f aca="false">SUM(EC108:EC111)</f>
        <v>0</v>
      </c>
      <c r="ED112" s="48" t="n">
        <f aca="false">SUM(ED108:ED111)</f>
        <v>0</v>
      </c>
      <c r="EE112" s="48" t="n">
        <f aca="false">SUM(EE108:EE111)</f>
        <v>0</v>
      </c>
      <c r="EF112" s="48" t="n">
        <f aca="false">SUM(EF108:EF111)</f>
        <v>0</v>
      </c>
      <c r="EG112" s="48" t="n">
        <f aca="false">SUM(EG108:EG111)</f>
        <v>0</v>
      </c>
      <c r="EH112" s="48" t="n">
        <f aca="false">SUM(EH108:EH111)</f>
        <v>0</v>
      </c>
      <c r="EI112" s="48" t="n">
        <f aca="false">SUM(EI108:EI111)</f>
        <v>0</v>
      </c>
      <c r="EJ112" s="48" t="n">
        <f aca="false">SUM(EJ108:EJ111)</f>
        <v>0</v>
      </c>
      <c r="EK112" s="48" t="n">
        <f aca="false">SUM(EK108:EK111)</f>
        <v>0</v>
      </c>
      <c r="EL112" s="48" t="n">
        <f aca="false">SUM(EL108:EL111)</f>
        <v>0</v>
      </c>
      <c r="EM112" s="48" t="n">
        <f aca="false">SUM(EM108:EM111)</f>
        <v>0</v>
      </c>
      <c r="EN112" s="48" t="n">
        <f aca="false">SUM(EN108:EN111)</f>
        <v>0</v>
      </c>
      <c r="EO112" s="48" t="n">
        <f aca="false">SUM(EO108:EO111)</f>
        <v>0</v>
      </c>
    </row>
    <row r="113" customFormat="false" ht="15" hidden="false" customHeight="false" outlineLevel="0" collapsed="false">
      <c r="C113" s="0" t="s">
        <v>488</v>
      </c>
      <c r="D113" s="11" t="s">
        <v>33</v>
      </c>
      <c r="J113" s="48" t="n">
        <f aca="false">-In_CIT*(MAX(0,J107)+J110)-In_RH_On*In_RH_Rate*MAX(0,J107)</f>
        <v>-0</v>
      </c>
      <c r="K113" s="48" t="n">
        <f aca="false">-In_CIT*(MAX(0,K107)+K110)-In_RH_On*In_RH_Rate*MAX(0,K107)</f>
        <v>-0</v>
      </c>
      <c r="L113" s="48" t="n">
        <f aca="false">-In_CIT*(MAX(0,L107)+L110)-In_RH_On*In_RH_Rate*MAX(0,L107)</f>
        <v>-0</v>
      </c>
      <c r="M113" s="48" t="n">
        <f aca="false">-In_CIT*(MAX(0,M107)+M110)-In_RH_On*In_RH_Rate*MAX(0,M107)</f>
        <v>-0</v>
      </c>
      <c r="N113" s="48" t="n">
        <f aca="false">-In_CIT*(MAX(0,N107)+N110)-In_RH_On*In_RH_Rate*MAX(0,N107)</f>
        <v>-0</v>
      </c>
      <c r="O113" s="48" t="n">
        <f aca="false">-In_CIT*(MAX(0,O107)+O110)-In_RH_On*In_RH_Rate*MAX(0,O107)</f>
        <v>-0</v>
      </c>
      <c r="P113" s="48" t="n">
        <f aca="false">-In_CIT*(MAX(0,P107)+P110)-In_RH_On*In_RH_Rate*MAX(0,P107)</f>
        <v>-0</v>
      </c>
      <c r="Q113" s="48" t="n">
        <f aca="false">-In_CIT*(MAX(0,Q107)+Q110)-In_RH_On*In_RH_Rate*MAX(0,Q107)</f>
        <v>-0</v>
      </c>
      <c r="R113" s="48" t="n">
        <f aca="false">-In_CIT*(MAX(0,R107)+R110)-In_RH_On*In_RH_Rate*MAX(0,R107)</f>
        <v>-0</v>
      </c>
      <c r="S113" s="48" t="n">
        <f aca="false">-In_CIT*(MAX(0,S107)+S110)-In_RH_On*In_RH_Rate*MAX(0,S107)</f>
        <v>-0</v>
      </c>
      <c r="T113" s="48" t="n">
        <f aca="false">-In_CIT*(MAX(0,T107)+T110)-In_RH_On*In_RH_Rate*MAX(0,T107)</f>
        <v>-0</v>
      </c>
      <c r="U113" s="48" t="n">
        <f aca="false">-In_CIT*(MAX(0,U107)+U110)-In_RH_On*In_RH_Rate*MAX(0,U107)</f>
        <v>-0</v>
      </c>
      <c r="V113" s="48" t="n">
        <f aca="false">-In_CIT*(MAX(0,V107)+V110)-In_RH_On*In_RH_Rate*MAX(0,V107)</f>
        <v>-0</v>
      </c>
      <c r="W113" s="48" t="n">
        <f aca="false">-In_CIT*(MAX(0,W107)+W110)-In_RH_On*In_RH_Rate*MAX(0,W107)</f>
        <v>-0</v>
      </c>
      <c r="X113" s="48" t="n">
        <f aca="false">-In_CIT*(MAX(0,X107)+X110)-In_RH_On*In_RH_Rate*MAX(0,X107)</f>
        <v>-0</v>
      </c>
      <c r="Y113" s="48" t="n">
        <f aca="false">-In_CIT*(MAX(0,Y107)+Y110)-In_RH_On*In_RH_Rate*MAX(0,Y107)</f>
        <v>-0</v>
      </c>
      <c r="Z113" s="48" t="n">
        <f aca="false">-In_CIT*(MAX(0,Z107)+Z110)-In_RH_On*In_RH_Rate*MAX(0,Z107)</f>
        <v>-16.886293224631</v>
      </c>
      <c r="AA113" s="48" t="n">
        <f aca="false">-In_CIT*(MAX(0,AA107)+AA110)-In_RH_On*In_RH_Rate*MAX(0,AA107)</f>
        <v>-16.9788088319837</v>
      </c>
      <c r="AB113" s="48" t="n">
        <f aca="false">-In_CIT*(MAX(0,AB107)+AB110)-In_RH_On*In_RH_Rate*MAX(0,AB107)</f>
        <v>-18.2416191640132</v>
      </c>
      <c r="AC113" s="48" t="n">
        <f aca="false">-In_CIT*(MAX(0,AC107)+AC110)-In_RH_On*In_RH_Rate*MAX(0,AC107)</f>
        <v>-19.5224799705415</v>
      </c>
      <c r="AD113" s="48" t="n">
        <f aca="false">-In_CIT*(MAX(0,AD107)+AD110)-In_RH_On*In_RH_Rate*MAX(0,AD107)</f>
        <v>-19.3875280806758</v>
      </c>
      <c r="AE113" s="48" t="n">
        <f aca="false">-In_CIT*(MAX(0,AE107)+AE110)-In_RH_On*In_RH_Rate*MAX(0,AE107)</f>
        <v>-20.2886713939456</v>
      </c>
      <c r="AF113" s="48" t="n">
        <f aca="false">-In_CIT*(MAX(0,AF107)+AF110)-In_RH_On*In_RH_Rate*MAX(0,AF107)</f>
        <v>-20.7922872960238</v>
      </c>
      <c r="AG113" s="48" t="n">
        <f aca="false">-In_CIT*(MAX(0,AG107)+AG110)-In_RH_On*In_RH_Rate*MAX(0,AG107)</f>
        <v>-22.1066419810231</v>
      </c>
      <c r="AH113" s="48" t="n">
        <f aca="false">-In_CIT*(MAX(0,AH107)+AH110)-In_RH_On*In_RH_Rate*MAX(0,AH107)</f>
        <v>-21.9953507414556</v>
      </c>
      <c r="AI113" s="48" t="n">
        <f aca="false">-In_CIT*(MAX(0,AI107)+AI110)-In_RH_On*In_RH_Rate*MAX(0,AI107)</f>
        <v>-22.0968937595963</v>
      </c>
      <c r="AJ113" s="48" t="n">
        <f aca="false">-In_CIT*(MAX(0,AJ107)+AJ110)-In_RH_On*In_RH_Rate*MAX(0,AJ107)</f>
        <v>-25.9135500957864</v>
      </c>
      <c r="AK113" s="48" t="n">
        <f aca="false">-In_CIT*(MAX(0,AK107)+AK110)-In_RH_On*In_RH_Rate*MAX(0,AK107)</f>
        <v>-27.3049372956527</v>
      </c>
      <c r="AL113" s="48" t="n">
        <f aca="false">-In_CIT*(MAX(0,AL107)+AL110)-In_RH_On*In_RH_Rate*MAX(0,AL107)</f>
        <v>-54.4680631833101</v>
      </c>
      <c r="AM113" s="48" t="n">
        <f aca="false">-In_CIT*(MAX(0,AM107)+AM110)-In_RH_On*In_RH_Rate*MAX(0,AM107)</f>
        <v>-54.5783625153595</v>
      </c>
      <c r="AN113" s="48" t="n">
        <f aca="false">-In_CIT*(MAX(0,AN107)+AN110)-In_RH_On*In_RH_Rate*MAX(0,AN107)</f>
        <v>-57.3671588061494</v>
      </c>
      <c r="AO113" s="48" t="n">
        <f aca="false">-In_CIT*(MAX(0,AO107)+AO110)-In_RH_On*In_RH_Rate*MAX(0,AO107)</f>
        <v>-60.1932939769069</v>
      </c>
      <c r="AP113" s="48" t="n">
        <f aca="false">-In_CIT*(MAX(0,AP107)+AP110)-In_RH_On*In_RH_Rate*MAX(0,AP107)</f>
        <v>-60.0740965081056</v>
      </c>
      <c r="AQ113" s="48" t="n">
        <f aca="false">-In_CIT*(MAX(0,AQ107)+AQ110)-In_RH_On*In_RH_Rate*MAX(0,AQ107)</f>
        <v>-60.1960068331187</v>
      </c>
      <c r="AR113" s="48" t="n">
        <f aca="false">-In_CIT*(MAX(0,AR107)+AR110)-In_RH_On*In_RH_Rate*MAX(0,AR107)</f>
        <v>-63.0547832753469</v>
      </c>
      <c r="AS113" s="48" t="n">
        <f aca="false">-In_CIT*(MAX(0,AS107)+AS110)-In_RH_On*In_RH_Rate*MAX(0,AS107)</f>
        <v>-65.9516372632958</v>
      </c>
      <c r="AT113" s="48" t="n">
        <f aca="false">-In_CIT*(MAX(0,AT107)+AT110)-In_RH_On*In_RH_Rate*MAX(0,AT107)</f>
        <v>-65.8844378857949</v>
      </c>
      <c r="AU113" s="48" t="n">
        <f aca="false">-In_CIT*(MAX(0,AU107)+AU110)-In_RH_On*In_RH_Rate*MAX(0,AU107)</f>
        <v>-67.7301064924</v>
      </c>
      <c r="AV113" s="48" t="n">
        <f aca="false">-In_CIT*(MAX(0,AV107)+AV110)-In_RH_On*In_RH_Rate*MAX(0,AV107)</f>
        <v>-68.9758354874387</v>
      </c>
      <c r="AW113" s="48" t="n">
        <f aca="false">-In_CIT*(MAX(0,AW107)+AW110)-In_RH_On*In_RH_Rate*MAX(0,AW107)</f>
        <v>-71.9459246834502</v>
      </c>
      <c r="AX113" s="48" t="n">
        <f aca="false">-In_CIT*(MAX(0,AX107)+AX110)-In_RH_On*In_RH_Rate*MAX(0,AX107)</f>
        <v>-71.9336068263158</v>
      </c>
      <c r="AY113" s="48" t="n">
        <f aca="false">-In_CIT*(MAX(0,AY107)+AY110)-In_RH_On*In_RH_Rate*MAX(0,AY107)</f>
        <v>-72.0854894530954</v>
      </c>
      <c r="AZ113" s="48" t="n">
        <f aca="false">-In_CIT*(MAX(0,AZ107)+AZ110)-In_RH_On*In_RH_Rate*MAX(0,AZ107)</f>
        <v>-75.0912326582717</v>
      </c>
      <c r="BA113" s="48" t="n">
        <f aca="false">-In_CIT*(MAX(0,BA107)+BA110)-In_RH_On*In_RH_Rate*MAX(0,BA107)</f>
        <v>-78.1366177671567</v>
      </c>
      <c r="BB113" s="48" t="n">
        <f aca="false">-In_CIT*(MAX(0,BB107)+BB110)-In_RH_On*In_RH_Rate*MAX(0,BB107)</f>
        <v>-78.1816175355179</v>
      </c>
      <c r="BC113" s="48" t="n">
        <f aca="false">-In_CIT*(MAX(0,BC107)+BC110)-In_RH_On*In_RH_Rate*MAX(0,BC107)</f>
        <v>-78.3518012926258</v>
      </c>
      <c r="BD113" s="48" t="n">
        <f aca="false">-In_CIT*(MAX(0,BD107)+BD110)-In_RH_On*In_RH_Rate*MAX(0,BD107)</f>
        <v>-81.4344550222342</v>
      </c>
      <c r="BE113" s="48" t="n">
        <f aca="false">-In_CIT*(MAX(0,BE107)+BE110)-In_RH_On*In_RH_Rate*MAX(0,BE107)</f>
        <v>-84.5575756274861</v>
      </c>
      <c r="BF113" s="48" t="n">
        <f aca="false">-In_CIT*(MAX(0,BF107)+BF110)-In_RH_On*In_RH_Rate*MAX(0,BF107)</f>
        <v>-84.6627263349033</v>
      </c>
      <c r="BG113" s="48" t="n">
        <f aca="false">-In_CIT*(MAX(0,BG107)+BG110)-In_RH_On*In_RH_Rate*MAX(0,BG107)</f>
        <v>-84.8536638903212</v>
      </c>
      <c r="BH113" s="48" t="n">
        <f aca="false">-In_CIT*(MAX(0,BH107)+BH110)-In_RH_On*In_RH_Rate*MAX(0,BH107)</f>
        <v>-88.0157478192056</v>
      </c>
      <c r="BI113" s="48" t="n">
        <f aca="false">-In_CIT*(MAX(0,BI107)+BI110)-In_RH_On*In_RH_Rate*MAX(0,BI107)</f>
        <v>-91.2191549333657</v>
      </c>
      <c r="BJ113" s="48" t="n">
        <f aca="false">-In_CIT*(MAX(0,BJ107)+BJ110)-In_RH_On*In_RH_Rate*MAX(0,BJ107)</f>
        <v>-91.3874169519877</v>
      </c>
      <c r="BK113" s="48" t="n">
        <f aca="false">-In_CIT*(MAX(0,BK107)+BK110)-In_RH_On*In_RH_Rate*MAX(0,BK107)</f>
        <v>-93.351702345801</v>
      </c>
      <c r="BL113" s="48" t="n">
        <f aca="false">-In_CIT*(MAX(0,BL107)+BL110)-In_RH_On*In_RH_Rate*MAX(0,BL107)</f>
        <v>-94.8708568143184</v>
      </c>
      <c r="BM113" s="48" t="n">
        <f aca="false">-In_CIT*(MAX(0,BM107)+BM110)-In_RH_On*In_RH_Rate*MAX(0,BM107)</f>
        <v>-98.1575060531624</v>
      </c>
      <c r="BN113" s="48" t="n">
        <f aca="false">-In_CIT*(MAX(0,BN107)+BN110)-In_RH_On*In_RH_Rate*MAX(0,BN107)</f>
        <v>-98.3922637462185</v>
      </c>
      <c r="BO113" s="48" t="n">
        <f aca="false">-In_CIT*(MAX(0,BO107)+BO110)-In_RH_On*In_RH_Rate*MAX(0,BO107)</f>
        <v>-98.6328557703129</v>
      </c>
      <c r="BP113" s="48" t="n">
        <f aca="false">-In_CIT*(MAX(0,BP107)+BP110)-In_RH_On*In_RH_Rate*MAX(0,BP107)</f>
        <v>-101.962123829901</v>
      </c>
      <c r="BQ113" s="48" t="n">
        <f aca="false">-In_CIT*(MAX(0,BQ107)+BQ110)-In_RH_On*In_RH_Rate*MAX(0,BQ107)</f>
        <v>-105.334530837012</v>
      </c>
      <c r="BR113" s="48" t="n">
        <f aca="false">-In_CIT*(MAX(0,BR107)+BR110)-In_RH_On*In_RH_Rate*MAX(0,BR107)</f>
        <v>-105.63873866323</v>
      </c>
      <c r="BS113" s="48" t="n">
        <f aca="false">-In_CIT*(MAX(0,BS107)+BS110)-In_RH_On*In_RH_Rate*MAX(0,BS107)</f>
        <v>-105.908212276559</v>
      </c>
      <c r="BT113" s="48" t="n">
        <f aca="false">-In_CIT*(MAX(0,BT107)+BT110)-In_RH_On*In_RH_Rate*MAX(0,BT107)</f>
        <v>-109.325197678197</v>
      </c>
      <c r="BU113" s="48" t="n">
        <f aca="false">-In_CIT*(MAX(0,BU107)+BU110)-In_RH_On*In_RH_Rate*MAX(0,BU107)</f>
        <v>-112.78628123115</v>
      </c>
      <c r="BV113" s="48" t="n">
        <f aca="false">-In_CIT*(MAX(0,BV107)+BV110)-In_RH_On*In_RH_Rate*MAX(0,BV107)</f>
        <v>-113.163316954845</v>
      </c>
      <c r="BW113" s="48" t="n">
        <f aca="false">-In_CIT*(MAX(0,BW107)+BW110)-In_RH_On*In_RH_Rate*MAX(0,BW107)</f>
        <v>-113.464649334081</v>
      </c>
      <c r="BX113" s="48" t="n">
        <f aca="false">-In_CIT*(MAX(0,BX107)+BX110)-In_RH_On*In_RH_Rate*MAX(0,BX107)</f>
        <v>-116.97236770346</v>
      </c>
      <c r="BY113" s="48" t="n">
        <f aca="false">-In_CIT*(MAX(0,BY107)+BY110)-In_RH_On*In_RH_Rate*MAX(0,BY107)</f>
        <v>-120.525180815078</v>
      </c>
      <c r="BZ113" s="48" t="n">
        <f aca="false">-In_CIT*(MAX(0,BZ107)+BZ110)-In_RH_On*In_RH_Rate*MAX(0,BZ107)</f>
        <v>-120.978573929489</v>
      </c>
      <c r="CA113" s="48" t="n">
        <f aca="false">-In_CIT*(MAX(0,CA107)+CA110)-In_RH_On*In_RH_Rate*MAX(0,CA107)</f>
        <v>-123.098004105124</v>
      </c>
      <c r="CB113" s="48" t="n">
        <f aca="false">-In_CIT*(MAX(0,CB107)+CB110)-In_RH_On*In_RH_Rate*MAX(0,CB107)</f>
        <v>-124.941706180974</v>
      </c>
      <c r="CC113" s="48" t="n">
        <f aca="false">-In_CIT*(MAX(0,CC107)+CC110)-In_RH_On*In_RH_Rate*MAX(0,CC107)</f>
        <v>-128.589732504511</v>
      </c>
      <c r="CD113" s="48" t="n">
        <f aca="false">-In_CIT*(MAX(0,CD107)+CD110)-In_RH_On*In_RH_Rate*MAX(0,CD107)</f>
        <v>-129.123464472364</v>
      </c>
      <c r="CE113" s="48" t="n">
        <f aca="false">-In_CIT*(MAX(0,CE107)+CE110)-In_RH_On*In_RH_Rate*MAX(0,CE107)</f>
        <v>-129.49833583816</v>
      </c>
      <c r="CF113" s="48" t="n">
        <f aca="false">-In_CIT*(MAX(0,CF107)+CF110)-In_RH_On*In_RH_Rate*MAX(0,CF107)</f>
        <v>-133.19742949815</v>
      </c>
      <c r="CG113" s="48" t="n">
        <f aca="false">-In_CIT*(MAX(0,CG107)+CG110)-In_RH_On*In_RH_Rate*MAX(0,CG107)</f>
        <v>-136.943733534838</v>
      </c>
      <c r="CH113" s="48" t="n">
        <f aca="false">-In_CIT*(MAX(0,CH107)+CH110)-In_RH_On*In_RH_Rate*MAX(0,CH107)</f>
        <v>-137.561378656607</v>
      </c>
      <c r="CI113" s="48" t="n">
        <f aca="false">-In_CIT*(MAX(0,CI107)+CI110)-In_RH_On*In_RH_Rate*MAX(0,CI107)</f>
        <v>-137.977961383212</v>
      </c>
      <c r="CJ113" s="48" t="n">
        <f aca="false">-In_CIT*(MAX(0,CJ107)+CJ110)-In_RH_On*In_RH_Rate*MAX(0,CJ107)</f>
        <v>-141.777709278758</v>
      </c>
      <c r="CK113" s="48" t="n">
        <f aca="false">-In_CIT*(MAX(0,CK107)+CK110)-In_RH_On*In_RH_Rate*MAX(0,CK107)</f>
        <v>-145.625786922545</v>
      </c>
      <c r="CL113" s="48" t="n">
        <f aca="false">-In_CIT*(MAX(0,CL107)+CL110)-In_RH_On*In_RH_Rate*MAX(0,CL107)</f>
        <v>-146.33137311256</v>
      </c>
      <c r="CM113" s="48" t="n">
        <f aca="false">-In_CIT*(MAX(0,CM107)+CM110)-In_RH_On*In_RH_Rate*MAX(0,CM107)</f>
        <v>-146.793273634271</v>
      </c>
      <c r="CN113" s="48" t="n">
        <f aca="false">-In_CIT*(MAX(0,CN107)+CN110)-In_RH_On*In_RH_Rate*MAX(0,CN107)</f>
        <v>-150.697288700494</v>
      </c>
      <c r="CO113" s="48" t="n">
        <f aca="false">-In_CIT*(MAX(0,CO107)+CO110)-In_RH_On*In_RH_Rate*MAX(0,CO107)</f>
        <v>-154.650797526829</v>
      </c>
      <c r="CP113" s="48" t="n">
        <f aca="false">-In_CIT*(MAX(0,CP107)+CP110)-In_RH_On*In_RH_Rate*MAX(0,CP107)</f>
        <v>-155.448533957699</v>
      </c>
      <c r="CQ113" s="48" t="n">
        <f aca="false">-In_CIT*(MAX(0,CQ107)+CQ110)-In_RH_On*In_RH_Rate*MAX(0,CQ107)</f>
        <v>-157.767861040623</v>
      </c>
      <c r="CR113" s="48" t="n">
        <f aca="false">-In_CIT*(MAX(0,CR107)+CR110)-In_RH_On*In_RH_Rate*MAX(0,CR107)</f>
        <v>-159.996950919906</v>
      </c>
      <c r="CS113" s="48" t="n">
        <f aca="false">-In_CIT*(MAX(0,CS107)+CS110)-In_RH_On*In_RH_Rate*MAX(0,CS107)</f>
        <v>-164.060009528408</v>
      </c>
      <c r="CT113" s="48" t="n">
        <f aca="false">-In_CIT*(MAX(0,CT107)+CT110)-In_RH_On*In_RH_Rate*MAX(0,CT107)</f>
        <v>-164.954589886834</v>
      </c>
      <c r="CU113" s="48" t="n">
        <f aca="false">-In_CIT*(MAX(0,CU107)+CU110)-In_RH_On*In_RH_Rate*MAX(0,CU107)</f>
        <v>-163.194375284734</v>
      </c>
      <c r="CV113" s="48" t="n">
        <f aca="false">-In_CIT*(MAX(0,CV107)+CV110)-In_RH_On*In_RH_Rate*MAX(0,CV107)</f>
        <v>-165.007646121231</v>
      </c>
      <c r="CW113" s="48" t="n">
        <f aca="false">-In_CIT*(MAX(0,CW107)+CW110)-In_RH_On*In_RH_Rate*MAX(0,CW107)</f>
        <v>-166.820916957728</v>
      </c>
      <c r="CX113" s="48" t="n">
        <f aca="false">-In_CIT*(MAX(0,CX107)+CX110)-In_RH_On*In_RH_Rate*MAX(0,CX107)</f>
        <v>-165.401027748062</v>
      </c>
      <c r="CY113" s="48" t="n">
        <f aca="false">-In_CIT*(MAX(0,CY107)+CY110)-In_RH_On*In_RH_Rate*MAX(0,CY107)</f>
        <v>-163.58723366555</v>
      </c>
      <c r="CZ113" s="48" t="n">
        <f aca="false">-In_CIT*(MAX(0,CZ107)+CZ110)-In_RH_On*In_RH_Rate*MAX(0,CZ107)</f>
        <v>-165.404869595167</v>
      </c>
      <c r="DA113" s="48" t="n">
        <f aca="false">-In_CIT*(MAX(0,DA107)+DA110)-In_RH_On*In_RH_Rate*MAX(0,DA107)</f>
        <v>-167.222505524784</v>
      </c>
      <c r="DB113" s="48" t="n">
        <f aca="false">-In_CIT*(MAX(0,DB107)+DB110)-In_RH_On*In_RH_Rate*MAX(0,DB107)</f>
        <v>-375.486699874706</v>
      </c>
      <c r="DC113" s="48" t="n">
        <f aca="false">-In_CIT*(MAX(0,DC107)+DC110)-In_RH_On*In_RH_Rate*MAX(0,DC107)</f>
        <v>-369.060276869219</v>
      </c>
      <c r="DD113" s="48" t="n">
        <f aca="false">-In_CIT*(MAX(0,DD107)+DD110)-In_RH_On*In_RH_Rate*MAX(0,DD107)</f>
        <v>-373.160946612211</v>
      </c>
      <c r="DE113" s="48" t="n">
        <f aca="false">-In_CIT*(MAX(0,DE107)+DE110)-In_RH_On*In_RH_Rate*MAX(0,DE107)</f>
        <v>-377.261616355202</v>
      </c>
      <c r="DF113" s="48" t="n">
        <f aca="false">-In_CIT*(MAX(0,DF107)+DF110)-In_RH_On*In_RH_Rate*MAX(0,DF107)</f>
        <v>-375.824783779586</v>
      </c>
      <c r="DG113" s="48" t="n">
        <f aca="false">-In_CIT*(MAX(0,DG107)+DG110)-In_RH_On*In_RH_Rate*MAX(0,DG107)</f>
        <v>-373.447561715863</v>
      </c>
      <c r="DH113" s="48" t="n">
        <f aca="false">-In_CIT*(MAX(0,DH107)+DH110)-In_RH_On*In_RH_Rate*MAX(0,DH107)</f>
        <v>-373.447561715863</v>
      </c>
      <c r="DI113" s="48" t="n">
        <f aca="false">-In_CIT*(MAX(0,DI107)+DI110)-In_RH_On*In_RH_Rate*MAX(0,DI107)</f>
        <v>-377.551381075378</v>
      </c>
      <c r="DJ113" s="48" t="n">
        <f aca="false">-In_CIT*(MAX(0,DJ107)+DJ110)-In_RH_On*In_RH_Rate*MAX(0,DJ107)</f>
        <v>-376.106053012438</v>
      </c>
      <c r="DK113" s="48" t="n">
        <f aca="false">-In_CIT*(MAX(0,DK107)+DK110)-In_RH_On*In_RH_Rate*MAX(0,DK107)</f>
        <v>-369.569862589467</v>
      </c>
      <c r="DL113" s="48" t="n">
        <f aca="false">-In_CIT*(MAX(0,DL107)+DL110)-In_RH_On*In_RH_Rate*MAX(0,DL107)</f>
        <v>-373.676194396016</v>
      </c>
      <c r="DM113" s="48" t="n">
        <f aca="false">-In_CIT*(MAX(0,DM107)+DM110)-In_RH_On*In_RH_Rate*MAX(0,DM107)</f>
        <v>-377.782526202566</v>
      </c>
      <c r="DN113" s="48" t="n">
        <f aca="false">-In_CIT*(MAX(0,DN107)+DN110)-In_RH_On*In_RH_Rate*MAX(0,DN107)</f>
        <v>-376.328687856252</v>
      </c>
      <c r="DO113" s="48" t="n">
        <f aca="false">-In_CIT*(MAX(0,DO107)+DO110)-In_RH_On*In_RH_Rate*MAX(0,DO107)</f>
        <v>-369.736810251908</v>
      </c>
      <c r="DP113" s="48" t="n">
        <f aca="false">-In_CIT*(MAX(0,DP107)+DP110)-In_RH_On*In_RH_Rate*MAX(0,DP107)</f>
        <v>-373.844997032485</v>
      </c>
      <c r="DQ113" s="48" t="n">
        <f aca="false">-In_CIT*(MAX(0,DQ107)+DQ110)-In_RH_On*In_RH_Rate*MAX(0,DQ107)</f>
        <v>-377.953183813062</v>
      </c>
      <c r="DR113" s="48" t="n">
        <f aca="false">-In_CIT*(MAX(0,DR107)+DR110)-In_RH_On*In_RH_Rate*MAX(0,DR107)</f>
        <v>-376.490821224723</v>
      </c>
      <c r="DS113" s="48" t="n">
        <f aca="false">-In_CIT*(MAX(0,DS107)+DS110)-In_RH_On*In_RH_Rate*MAX(0,DS107)</f>
        <v>-369.842710510588</v>
      </c>
      <c r="DT113" s="48" t="n">
        <f aca="false">-In_CIT*(MAX(0,DT107)+DT110)-In_RH_On*In_RH_Rate*MAX(0,DT107)</f>
        <v>-373.952073960705</v>
      </c>
      <c r="DU113" s="48" t="n">
        <f aca="false">-In_CIT*(MAX(0,DU107)+DU110)-In_RH_On*In_RH_Rate*MAX(0,DU107)</f>
        <v>-378.061437410823</v>
      </c>
      <c r="DV113" s="48" t="n">
        <f aca="false">-In_CIT*(MAX(0,DV107)+DV110)-In_RH_On*In_RH_Rate*MAX(0,DV107)</f>
        <v>-376.590537485769</v>
      </c>
      <c r="DW113" s="48" t="n">
        <f aca="false">-In_CIT*(MAX(0,DW107)+DW110)-In_RH_On*In_RH_Rate*MAX(0,DW107)</f>
        <v>-373.995480278811</v>
      </c>
      <c r="DX113" s="48" t="n">
        <f aca="false">-In_CIT*(MAX(0,DX107)+DX110)-In_RH_On*In_RH_Rate*MAX(0,DX107)</f>
        <v>-373.995480278811</v>
      </c>
      <c r="DY113" s="48" t="n">
        <f aca="false">-In_CIT*(MAX(0,DY107)+DY110)-In_RH_On*In_RH_Rate*MAX(0,DY107)</f>
        <v>-378.105320721435</v>
      </c>
      <c r="DZ113" s="48" t="n">
        <f aca="false">-In_CIT*(MAX(0,DZ107)+DZ110)-In_RH_On*In_RH_Rate*MAX(0,DZ107)</f>
        <v>-376.625871256129</v>
      </c>
      <c r="EA113" s="48" t="n">
        <f aca="false">-In_CIT*(MAX(0,EA107)+EA110)-In_RH_On*In_RH_Rate*MAX(0,EA107)</f>
        <v>-369.863624794353</v>
      </c>
      <c r="EB113" s="48" t="n">
        <f aca="false">-In_CIT*(MAX(0,EB107)+EB110)-In_RH_On*In_RH_Rate*MAX(0,EB107)</f>
        <v>-373.973220625401</v>
      </c>
      <c r="EC113" s="48" t="n">
        <f aca="false">-In_CIT*(MAX(0,EC107)+EC110)-In_RH_On*In_RH_Rate*MAX(0,EC107)</f>
        <v>-378.08281645645</v>
      </c>
      <c r="ED113" s="48" t="n">
        <f aca="false">-In_CIT*(MAX(0,ED107)+ED110)-In_RH_On*In_RH_Rate*MAX(0,ED107)</f>
        <v>-376.59480616636</v>
      </c>
      <c r="EE113" s="48" t="n">
        <f aca="false">-In_CIT*(MAX(0,EE107)+EE110)-In_RH_On*In_RH_Rate*MAX(0,EE107)</f>
        <v>-369.774640807209</v>
      </c>
      <c r="EF113" s="48" t="n">
        <f aca="false">-In_CIT*(MAX(0,EF107)+EF110)-In_RH_On*In_RH_Rate*MAX(0,EF107)</f>
        <v>-373.883247927289</v>
      </c>
      <c r="EG113" s="48" t="n">
        <f aca="false">-In_CIT*(MAX(0,EG107)+EG110)-In_RH_On*In_RH_Rate*MAX(0,EG107)</f>
        <v>-377.991855047369</v>
      </c>
      <c r="EH113" s="48" t="n">
        <f aca="false">-In_CIT*(MAX(0,EH107)+EH110)-In_RH_On*In_RH_Rate*MAX(0,EH107)</f>
        <v>-376.495273595488</v>
      </c>
      <c r="EI113" s="48" t="n">
        <f aca="false">-In_CIT*(MAX(0,EI107)+EI110)-In_RH_On*In_RH_Rate*MAX(0,EI107)</f>
        <v>-369.616610884433</v>
      </c>
      <c r="EJ113" s="48" t="n">
        <f aca="false">-In_CIT*(MAX(0,EJ107)+EJ110)-In_RH_On*In_RH_Rate*MAX(0,EJ107)</f>
        <v>-373.723462116482</v>
      </c>
      <c r="EK113" s="48" t="n">
        <f aca="false">-In_CIT*(MAX(0,EK107)+EK110)-In_RH_On*In_RH_Rate*MAX(0,EK107)</f>
        <v>-377.830313348532</v>
      </c>
      <c r="EL113" s="48" t="n">
        <f aca="false">-In_CIT*(MAX(0,EL107)+EL110)-In_RH_On*In_RH_Rate*MAX(0,EL107)</f>
        <v>-376.325151374579</v>
      </c>
      <c r="EM113" s="48" t="n">
        <f aca="false">-In_CIT*(MAX(0,EM107)+EM110)-In_RH_On*In_RH_Rate*MAX(0,EM107)</f>
        <v>-373.491708815651</v>
      </c>
      <c r="EN113" s="48" t="n">
        <f aca="false">-In_CIT*(MAX(0,EN107)+EN110)-In_RH_On*In_RH_Rate*MAX(0,EN107)</f>
        <v>-373.491708815651</v>
      </c>
      <c r="EO113" s="48" t="n">
        <f aca="false">-In_CIT*(MAX(0,EO107)+EO110)-In_RH_On*In_RH_Rate*MAX(0,EO107)</f>
        <v>-377.596013308131</v>
      </c>
    </row>
    <row r="114" customFormat="false" ht="15" hidden="false" customHeight="false" outlineLevel="0" collapsed="false">
      <c r="C114" s="0" t="s">
        <v>489</v>
      </c>
      <c r="D114" s="11" t="s">
        <v>33</v>
      </c>
      <c r="I114" s="48" t="n">
        <f aca="false">SUM(J114:EO114)</f>
        <v>1.23663312479039E-007</v>
      </c>
      <c r="J114" s="48" t="n">
        <f aca="false">ABS(J113-J86)</f>
        <v>0</v>
      </c>
      <c r="K114" s="48" t="n">
        <f aca="false">ABS(K113-K86)</f>
        <v>0</v>
      </c>
      <c r="L114" s="48" t="n">
        <f aca="false">ABS(L113-L86)</f>
        <v>0</v>
      </c>
      <c r="M114" s="48" t="n">
        <f aca="false">ABS(M113-M86)</f>
        <v>0</v>
      </c>
      <c r="N114" s="48" t="n">
        <f aca="false">ABS(N113-N86)</f>
        <v>0</v>
      </c>
      <c r="O114" s="48" t="n">
        <f aca="false">ABS(O113-O86)</f>
        <v>0</v>
      </c>
      <c r="P114" s="48" t="n">
        <f aca="false">ABS(P113-P86)</f>
        <v>0</v>
      </c>
      <c r="Q114" s="48" t="n">
        <f aca="false">ABS(Q113-Q86)</f>
        <v>0</v>
      </c>
      <c r="R114" s="48" t="n">
        <f aca="false">ABS(R113-R86)</f>
        <v>0</v>
      </c>
      <c r="S114" s="48" t="n">
        <f aca="false">ABS(S113-S86)</f>
        <v>0</v>
      </c>
      <c r="T114" s="48" t="n">
        <f aca="false">ABS(T113-T86)</f>
        <v>0</v>
      </c>
      <c r="U114" s="48" t="n">
        <f aca="false">ABS(U113-U86)</f>
        <v>0</v>
      </c>
      <c r="V114" s="48" t="n">
        <f aca="false">ABS(V113-V86)</f>
        <v>0</v>
      </c>
      <c r="W114" s="48" t="n">
        <f aca="false">ABS(W113-W86)</f>
        <v>0</v>
      </c>
      <c r="X114" s="48" t="n">
        <f aca="false">ABS(X113-X86)</f>
        <v>0</v>
      </c>
      <c r="Y114" s="48" t="n">
        <f aca="false">ABS(Y113-Y86)</f>
        <v>0</v>
      </c>
      <c r="Z114" s="48" t="n">
        <f aca="false">ABS(Z113-Z86)</f>
        <v>0</v>
      </c>
      <c r="AA114" s="48" t="n">
        <f aca="false">ABS(AA113-AA86)</f>
        <v>1.02925667988529E-010</v>
      </c>
      <c r="AB114" s="48" t="n">
        <f aca="false">ABS(AB113-AB86)</f>
        <v>2.02454941700125E-010</v>
      </c>
      <c r="AC114" s="48" t="n">
        <f aca="false">ABS(AC113-AC86)</f>
        <v>3.01017877291088E-010</v>
      </c>
      <c r="AD114" s="48" t="n">
        <f aca="false">ABS(AD113-AD86)</f>
        <v>3.98376442944937E-010</v>
      </c>
      <c r="AE114" s="48" t="n">
        <f aca="false">ABS(AE113-AE86)</f>
        <v>4.92814677954812E-010</v>
      </c>
      <c r="AF114" s="48" t="n">
        <f aca="false">ABS(AF113-AF86)</f>
        <v>5.84023496230657E-010</v>
      </c>
      <c r="AG114" s="48" t="n">
        <f aca="false">ABS(AG113-AG86)</f>
        <v>6.72237376875273E-010</v>
      </c>
      <c r="AH114" s="48" t="n">
        <f aca="false">ABS(AH113-AH86)</f>
        <v>7.58372920017791E-010</v>
      </c>
      <c r="AI114" s="48" t="n">
        <f aca="false">ABS(AI113-AI86)</f>
        <v>8.40756797515496E-010</v>
      </c>
      <c r="AJ114" s="48" t="n">
        <f aca="false">ABS(AJ113-AJ86)</f>
        <v>9.18007003747334E-010</v>
      </c>
      <c r="AK114" s="48" t="n">
        <f aca="false">ABS(AK113-AK86)</f>
        <v>9.93988891195841E-010</v>
      </c>
      <c r="AL114" s="48" t="n">
        <f aca="false">ABS(AL113-AL86)</f>
        <v>2.13430695339412E-009</v>
      </c>
      <c r="AM114" s="48" t="n">
        <f aca="false">ABS(AM113-AM86)</f>
        <v>2.17028173210565E-009</v>
      </c>
      <c r="AN114" s="48" t="n">
        <f aca="false">ABS(AN113-AN86)</f>
        <v>2.1781829673273E-009</v>
      </c>
      <c r="AO114" s="48" t="n">
        <f aca="false">ABS(AO113-AO86)</f>
        <v>2.16411422115925E-009</v>
      </c>
      <c r="AP114" s="48" t="n">
        <f aca="false">ABS(AP113-AP86)</f>
        <v>2.1287291929184E-009</v>
      </c>
      <c r="AQ114" s="48" t="n">
        <f aca="false">ABS(AQ113-AQ86)</f>
        <v>2.06996730867104E-009</v>
      </c>
      <c r="AR114" s="48" t="n">
        <f aca="false">ABS(AR113-AR86)</f>
        <v>1.98625116354378E-009</v>
      </c>
      <c r="AS114" s="48" t="n">
        <f aca="false">ABS(AS113-AS86)</f>
        <v>1.88421722668863E-009</v>
      </c>
      <c r="AT114" s="48" t="n">
        <f aca="false">ABS(AT113-AT86)</f>
        <v>1.76493131220923E-009</v>
      </c>
      <c r="AU114" s="48" t="n">
        <f aca="false">ABS(AU113-AU86)</f>
        <v>1.62675917181332E-009</v>
      </c>
      <c r="AV114" s="48" t="n">
        <f aca="false">ABS(AV113-AV86)</f>
        <v>1.47062451105739E-009</v>
      </c>
      <c r="AW114" s="48" t="n">
        <f aca="false">ABS(AW113-AW86)</f>
        <v>1.29902844037133E-009</v>
      </c>
      <c r="AX114" s="48" t="n">
        <f aca="false">ABS(AX113-AX86)</f>
        <v>1.11567999283579E-009</v>
      </c>
      <c r="AY114" s="48" t="n">
        <f aca="false">ABS(AY113-AY86)</f>
        <v>9.1914387212455E-010</v>
      </c>
      <c r="AZ114" s="48" t="n">
        <f aca="false">ABS(AZ113-AZ86)</f>
        <v>7.0843952926225E-010</v>
      </c>
      <c r="BA114" s="48" t="n">
        <f aca="false">ABS(BA113-BA86)</f>
        <v>4.90786078444216E-010</v>
      </c>
      <c r="BB114" s="48" t="n">
        <f aca="false">ABS(BB113-BB86)</f>
        <v>2.67760924543836E-010</v>
      </c>
      <c r="BC114" s="48" t="n">
        <f aca="false">ABS(BC113-BC86)</f>
        <v>3.80424580725958E-011</v>
      </c>
      <c r="BD114" s="48" t="n">
        <f aca="false">ABS(BD113-BD86)</f>
        <v>1.99207761397702E-010</v>
      </c>
      <c r="BE114" s="48" t="n">
        <f aca="false">ABS(BE113-BE86)</f>
        <v>4.36685354543442E-010</v>
      </c>
      <c r="BF114" s="48" t="n">
        <f aca="false">ABS(BF113-BF86)</f>
        <v>6.72841338200669E-010</v>
      </c>
      <c r="BG114" s="48" t="n">
        <f aca="false">ABS(BG113-BG86)</f>
        <v>9.08883635020175E-010</v>
      </c>
      <c r="BH114" s="48" t="n">
        <f aca="false">ABS(BH113-BH86)</f>
        <v>1.14580700483202E-009</v>
      </c>
      <c r="BI114" s="48" t="n">
        <f aca="false">ABS(BI113-BI86)</f>
        <v>1.37632127916731E-009</v>
      </c>
      <c r="BJ114" s="48" t="n">
        <f aca="false">ABS(BJ113-BJ86)</f>
        <v>1.59893431828095E-009</v>
      </c>
      <c r="BK114" s="48" t="n">
        <f aca="false">ABS(BK113-BK86)</f>
        <v>1.8150103642256E-009</v>
      </c>
      <c r="BL114" s="48" t="n">
        <f aca="false">ABS(BL113-BL86)</f>
        <v>2.02359728973534E-009</v>
      </c>
      <c r="BM114" s="48" t="n">
        <f aca="false">ABS(BM113-BM86)</f>
        <v>2.22203766497842E-009</v>
      </c>
      <c r="BN114" s="48" t="n">
        <f aca="false">ABS(BN113-BN86)</f>
        <v>2.40679298713076E-009</v>
      </c>
      <c r="BO114" s="48" t="n">
        <f aca="false">ABS(BO113-BO86)</f>
        <v>2.57954013704875E-009</v>
      </c>
      <c r="BP114" s="48" t="n">
        <f aca="false">ABS(BP113-BP86)</f>
        <v>2.7417712544775E-009</v>
      </c>
      <c r="BQ114" s="48" t="n">
        <f aca="false">ABS(BQ113-BQ86)</f>
        <v>2.88663670744427E-009</v>
      </c>
      <c r="BR114" s="48" t="n">
        <f aca="false">ABS(BR113-BR86)</f>
        <v>3.01322700124729E-009</v>
      </c>
      <c r="BS114" s="48" t="n">
        <f aca="false">ABS(BS113-BS86)</f>
        <v>3.1237306075127E-009</v>
      </c>
      <c r="BT114" s="48" t="n">
        <f aca="false">ABS(BT113-BT86)</f>
        <v>3.21990967222519E-009</v>
      </c>
      <c r="BU114" s="48" t="n">
        <f aca="false">ABS(BU113-BU86)</f>
        <v>3.29546878674591E-009</v>
      </c>
      <c r="BV114" s="48" t="n">
        <f aca="false">ABS(BV113-BV86)</f>
        <v>3.34983951688628E-009</v>
      </c>
      <c r="BW114" s="48" t="n">
        <f aca="false">ABS(BW113-BW86)</f>
        <v>3.38573613589688E-009</v>
      </c>
      <c r="BX114" s="48" t="n">
        <f aca="false">ABS(BX113-BX86)</f>
        <v>3.40550343480572E-009</v>
      </c>
      <c r="BY114" s="48" t="n">
        <f aca="false">ABS(BY113-BY86)</f>
        <v>3.40327233061544E-009</v>
      </c>
      <c r="BZ114" s="48" t="n">
        <f aca="false">ABS(BZ113-BZ86)</f>
        <v>3.37908545589016E-009</v>
      </c>
      <c r="CA114" s="48" t="n">
        <f aca="false">ABS(CA113-CA86)</f>
        <v>3.33614025294082E-009</v>
      </c>
      <c r="CB114" s="48" t="n">
        <f aca="false">ABS(CB113-CB86)</f>
        <v>3.27517568621261E-009</v>
      </c>
      <c r="CC114" s="48" t="n">
        <f aca="false">ABS(CC113-CC86)</f>
        <v>3.19536752613203E-009</v>
      </c>
      <c r="CD114" s="48" t="n">
        <f aca="false">ABS(CD113-CD86)</f>
        <v>3.09506731355214E-009</v>
      </c>
      <c r="CE114" s="48" t="n">
        <f aca="false">ABS(CE113-CE86)</f>
        <v>2.97805513582716E-009</v>
      </c>
      <c r="CF114" s="48" t="n">
        <f aca="false">ABS(CF113-CF86)</f>
        <v>2.84788370663591E-009</v>
      </c>
      <c r="CG114" s="48" t="n">
        <f aca="false">ABS(CG113-CG86)</f>
        <v>2.69972133537522E-009</v>
      </c>
      <c r="CH114" s="48" t="n">
        <f aca="false">ABS(CH113-CH86)</f>
        <v>2.53476173384115E-009</v>
      </c>
      <c r="CI114" s="48" t="n">
        <f aca="false">ABS(CI113-CI86)</f>
        <v>2.35732500186714E-009</v>
      </c>
      <c r="CJ114" s="48" t="n">
        <f aca="false">ABS(CJ113-CJ86)</f>
        <v>2.17156070903002E-009</v>
      </c>
      <c r="CK114" s="48" t="n">
        <f aca="false">ABS(CK113-CK86)</f>
        <v>1.97303506865865E-009</v>
      </c>
      <c r="CL114" s="48" t="n">
        <f aca="false">ABS(CL113-CL86)</f>
        <v>1.76353864844714E-009</v>
      </c>
      <c r="CM114" s="48" t="n">
        <f aca="false">ABS(CM113-CM86)</f>
        <v>1.54770418703265E-009</v>
      </c>
      <c r="CN114" s="48" t="n">
        <f aca="false">ABS(CN113-CN86)</f>
        <v>1.33013600134291E-009</v>
      </c>
      <c r="CO114" s="48" t="n">
        <f aca="false">ABS(CO113-CO86)</f>
        <v>1.10679820863879E-009</v>
      </c>
      <c r="CP114" s="48" t="n">
        <f aca="false">ABS(CP113-CP86)</f>
        <v>8.79737171999295E-010</v>
      </c>
      <c r="CQ114" s="48" t="n">
        <f aca="false">ABS(CQ113-CQ86)</f>
        <v>6.53813003737014E-010</v>
      </c>
      <c r="CR114" s="48" t="n">
        <f aca="false">ABS(CR113-CR86)</f>
        <v>4.31612079410115E-010</v>
      </c>
      <c r="CS114" s="48" t="n">
        <f aca="false">ABS(CS113-CS86)</f>
        <v>2.13816520044929E-010</v>
      </c>
      <c r="CT114" s="48" t="n">
        <f aca="false">ABS(CT113-CT86)</f>
        <v>0</v>
      </c>
      <c r="CU114" s="48" t="n">
        <f aca="false">ABS(CU113-CU86)</f>
        <v>0</v>
      </c>
      <c r="CV114" s="48" t="n">
        <f aca="false">ABS(CV113-CV86)</f>
        <v>0</v>
      </c>
      <c r="CW114" s="48" t="n">
        <f aca="false">ABS(CW113-CW86)</f>
        <v>0</v>
      </c>
      <c r="CX114" s="48" t="n">
        <f aca="false">ABS(CX113-CX86)</f>
        <v>0</v>
      </c>
      <c r="CY114" s="48" t="n">
        <f aca="false">ABS(CY113-CY86)</f>
        <v>0</v>
      </c>
      <c r="CZ114" s="48" t="n">
        <f aca="false">ABS(CZ113-CZ86)</f>
        <v>0</v>
      </c>
      <c r="DA114" s="48" t="n">
        <f aca="false">ABS(DA113-DA86)</f>
        <v>0</v>
      </c>
      <c r="DB114" s="48" t="n">
        <f aca="false">ABS(DB113-DB86)</f>
        <v>0</v>
      </c>
      <c r="DC114" s="48" t="n">
        <f aca="false">ABS(DC113-DC86)</f>
        <v>0</v>
      </c>
      <c r="DD114" s="48" t="n">
        <f aca="false">ABS(DD113-DD86)</f>
        <v>0</v>
      </c>
      <c r="DE114" s="48" t="n">
        <f aca="false">ABS(DE113-DE86)</f>
        <v>0</v>
      </c>
      <c r="DF114" s="48" t="n">
        <f aca="false">ABS(DF113-DF86)</f>
        <v>0</v>
      </c>
      <c r="DG114" s="48" t="n">
        <f aca="false">ABS(DG113-DG86)</f>
        <v>0</v>
      </c>
      <c r="DH114" s="48" t="n">
        <f aca="false">ABS(DH113-DH86)</f>
        <v>0</v>
      </c>
      <c r="DI114" s="48" t="n">
        <f aca="false">ABS(DI113-DI86)</f>
        <v>0</v>
      </c>
      <c r="DJ114" s="48" t="n">
        <f aca="false">ABS(DJ113-DJ86)</f>
        <v>0</v>
      </c>
      <c r="DK114" s="48" t="n">
        <f aca="false">ABS(DK113-DK86)</f>
        <v>0</v>
      </c>
      <c r="DL114" s="48" t="n">
        <f aca="false">ABS(DL113-DL86)</f>
        <v>0</v>
      </c>
      <c r="DM114" s="48" t="n">
        <f aca="false">ABS(DM113-DM86)</f>
        <v>0</v>
      </c>
      <c r="DN114" s="48" t="n">
        <f aca="false">ABS(DN113-DN86)</f>
        <v>0</v>
      </c>
      <c r="DO114" s="48" t="n">
        <f aca="false">ABS(DO113-DO86)</f>
        <v>0</v>
      </c>
      <c r="DP114" s="48" t="n">
        <f aca="false">ABS(DP113-DP86)</f>
        <v>0</v>
      </c>
      <c r="DQ114" s="48" t="n">
        <f aca="false">ABS(DQ113-DQ86)</f>
        <v>0</v>
      </c>
      <c r="DR114" s="48" t="n">
        <f aca="false">ABS(DR113-DR86)</f>
        <v>0</v>
      </c>
      <c r="DS114" s="48" t="n">
        <f aca="false">ABS(DS113-DS86)</f>
        <v>0</v>
      </c>
      <c r="DT114" s="48" t="n">
        <f aca="false">ABS(DT113-DT86)</f>
        <v>0</v>
      </c>
      <c r="DU114" s="48" t="n">
        <f aca="false">ABS(DU113-DU86)</f>
        <v>0</v>
      </c>
      <c r="DV114" s="48" t="n">
        <f aca="false">ABS(DV113-DV86)</f>
        <v>0</v>
      </c>
      <c r="DW114" s="48" t="n">
        <f aca="false">ABS(DW113-DW86)</f>
        <v>0</v>
      </c>
      <c r="DX114" s="48" t="n">
        <f aca="false">ABS(DX113-DX86)</f>
        <v>0</v>
      </c>
      <c r="DY114" s="48" t="n">
        <f aca="false">ABS(DY113-DY86)</f>
        <v>0</v>
      </c>
      <c r="DZ114" s="48" t="n">
        <f aca="false">ABS(DZ113-DZ86)</f>
        <v>0</v>
      </c>
      <c r="EA114" s="48" t="n">
        <f aca="false">ABS(EA113-EA86)</f>
        <v>0</v>
      </c>
      <c r="EB114" s="48" t="n">
        <f aca="false">ABS(EB113-EB86)</f>
        <v>0</v>
      </c>
      <c r="EC114" s="48" t="n">
        <f aca="false">ABS(EC113-EC86)</f>
        <v>0</v>
      </c>
      <c r="ED114" s="48" t="n">
        <f aca="false">ABS(ED113-ED86)</f>
        <v>0</v>
      </c>
      <c r="EE114" s="48" t="n">
        <f aca="false">ABS(EE113-EE86)</f>
        <v>0</v>
      </c>
      <c r="EF114" s="48" t="n">
        <f aca="false">ABS(EF113-EF86)</f>
        <v>0</v>
      </c>
      <c r="EG114" s="48" t="n">
        <f aca="false">ABS(EG113-EG86)</f>
        <v>0</v>
      </c>
      <c r="EH114" s="48" t="n">
        <f aca="false">ABS(EH113-EH86)</f>
        <v>0</v>
      </c>
      <c r="EI114" s="48" t="n">
        <f aca="false">ABS(EI113-EI86)</f>
        <v>0</v>
      </c>
      <c r="EJ114" s="48" t="n">
        <f aca="false">ABS(EJ113-EJ86)</f>
        <v>0</v>
      </c>
      <c r="EK114" s="48" t="n">
        <f aca="false">ABS(EK113-EK86)</f>
        <v>0</v>
      </c>
      <c r="EL114" s="48" t="n">
        <f aca="false">ABS(EL113-EL86)</f>
        <v>0</v>
      </c>
      <c r="EM114" s="48" t="n">
        <f aca="false">ABS(EM113-EM86)</f>
        <v>0</v>
      </c>
      <c r="EN114" s="48" t="n">
        <f aca="false">ABS(EN113-EN86)</f>
        <v>0</v>
      </c>
      <c r="EO114" s="48" t="n">
        <f aca="false">ABS(EO113-EO86)</f>
        <v>0</v>
      </c>
    </row>
    <row r="116" customFormat="false" ht="15" hidden="false" customHeight="false" outlineLevel="0" collapsed="false">
      <c r="A116" s="9" t="s">
        <v>13</v>
      </c>
      <c r="B116" s="9"/>
      <c r="C116" s="9" t="s">
        <v>490</v>
      </c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</row>
    <row r="117" customFormat="false" ht="15" hidden="false" customHeight="false" outlineLevel="0" collapsed="false">
      <c r="C117" s="0" t="s">
        <v>96</v>
      </c>
      <c r="D117" s="11" t="s">
        <v>33</v>
      </c>
      <c r="E117" s="48" t="n">
        <f aca="false">-($I48+$I49+$I50)</f>
        <v>5150</v>
      </c>
    </row>
    <row r="118" customFormat="false" ht="15" hidden="false" customHeight="false" outlineLevel="0" collapsed="false">
      <c r="C118" s="0" t="s">
        <v>97</v>
      </c>
      <c r="D118" s="11" t="s">
        <v>33</v>
      </c>
      <c r="E118" s="48" t="n">
        <f aca="false">-($I52+$I55+$E59)</f>
        <v>1114.92155376243</v>
      </c>
    </row>
    <row r="119" customFormat="false" ht="15" hidden="false" customHeight="false" outlineLevel="0" collapsed="false">
      <c r="C119" s="0" t="s">
        <v>98</v>
      </c>
      <c r="D119" s="11" t="s">
        <v>33</v>
      </c>
      <c r="E119" s="48" t="n">
        <f aca="false">-$I68</f>
        <v>91963.75</v>
      </c>
    </row>
    <row r="120" customFormat="false" ht="15" hidden="false" customHeight="false" outlineLevel="0" collapsed="false">
      <c r="C120" s="0" t="s">
        <v>99</v>
      </c>
      <c r="D120" s="11" t="s">
        <v>33</v>
      </c>
      <c r="E120" s="48" t="n">
        <f aca="false">-$I58</f>
        <v>8154.82315068493</v>
      </c>
    </row>
    <row r="121" customFormat="false" ht="15" hidden="false" customHeight="false" outlineLevel="0" collapsed="false">
      <c r="C121" s="0" t="s">
        <v>100</v>
      </c>
      <c r="D121" s="11" t="s">
        <v>33</v>
      </c>
      <c r="E121" s="48" t="n">
        <f aca="false">-$I69</f>
        <v>2500</v>
      </c>
    </row>
    <row r="122" customFormat="false" ht="15" hidden="false" customHeight="false" outlineLevel="0" collapsed="false">
      <c r="C122" s="0" t="s">
        <v>101</v>
      </c>
      <c r="D122" s="11" t="s">
        <v>33</v>
      </c>
      <c r="E122" s="48" t="n">
        <f aca="false">$I97-$I100-$I101</f>
        <v>4205.75934932964</v>
      </c>
    </row>
    <row r="123" customFormat="false" ht="15" hidden="false" customHeight="false" outlineLevel="0" collapsed="false">
      <c r="C123" s="0" t="s">
        <v>102</v>
      </c>
      <c r="D123" s="11" t="s">
        <v>33</v>
      </c>
      <c r="E123" s="48" t="n">
        <f aca="false">-SUMIF($J$4:$EO$4,"&lt;="&amp;In_COD,$J83:$EO83)</f>
        <v>340.170197534084</v>
      </c>
    </row>
    <row r="124" customFormat="false" ht="15" hidden="false" customHeight="false" outlineLevel="0" collapsed="false">
      <c r="C124" s="25" t="s">
        <v>103</v>
      </c>
      <c r="D124" s="11" t="s">
        <v>33</v>
      </c>
      <c r="E124" s="57" t="n">
        <f aca="false">SUM($E117:$E123)</f>
        <v>113429.424251311</v>
      </c>
    </row>
    <row r="125" customFormat="false" ht="15" hidden="false" customHeight="false" outlineLevel="0" collapsed="false">
      <c r="C125" s="0" t="s">
        <v>491</v>
      </c>
      <c r="D125" s="11" t="s">
        <v>33</v>
      </c>
      <c r="E125" s="48" t="n">
        <f aca="false">$E124-$E99</f>
        <v>54373.9265999892</v>
      </c>
      <c r="F125" s="48" t="n">
        <f aca="false">$E125+$E102</f>
        <v>55619.9291322214</v>
      </c>
    </row>
    <row r="126" customFormat="false" ht="15" hidden="false" customHeight="false" outlineLevel="0" collapsed="false">
      <c r="C126" s="0" t="s">
        <v>107</v>
      </c>
      <c r="D126" s="11" t="s">
        <v>27</v>
      </c>
      <c r="E126" s="49" t="n">
        <f aca="false">$E99/$E124</f>
        <v>0.520636493053868</v>
      </c>
    </row>
    <row r="127" customFormat="false" ht="15" hidden="false" customHeight="false" outlineLevel="0" collapsed="false">
      <c r="C127" s="0" t="s">
        <v>492</v>
      </c>
      <c r="D127" s="11" t="s">
        <v>33</v>
      </c>
      <c r="E127" s="48" t="n">
        <f aca="false">$E88*In_DSCR/In_DSCR_Max_Low</f>
        <v>101014.094929753</v>
      </c>
      <c r="F127" s="48" t="n">
        <f aca="false">$E88*In_DSCR/In_DSCR_Max_High</f>
        <v>92596.2536856071</v>
      </c>
    </row>
    <row r="128" customFormat="false" ht="15" hidden="false" customHeight="false" outlineLevel="0" collapsed="false">
      <c r="C128" s="0" t="s">
        <v>493</v>
      </c>
      <c r="D128" s="11" t="s">
        <v>27</v>
      </c>
      <c r="E128" s="49" t="n">
        <f aca="false">$E127/$E124</f>
        <v>0.890545778544632</v>
      </c>
      <c r="F128" s="49" t="n">
        <f aca="false">$F127/$E124</f>
        <v>0.816333630332579</v>
      </c>
    </row>
    <row r="130" customFormat="false" ht="15" hidden="false" customHeight="false" outlineLevel="0" collapsed="false">
      <c r="A130" s="9" t="s">
        <v>13</v>
      </c>
      <c r="B130" s="9"/>
      <c r="C130" s="9" t="s">
        <v>123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</row>
    <row r="131" customFormat="false" ht="15" hidden="false" customHeight="false" outlineLevel="0" collapsed="false">
      <c r="C131" s="0" t="s">
        <v>494</v>
      </c>
      <c r="D131" s="11" t="s">
        <v>33</v>
      </c>
      <c r="I131" s="48" t="n">
        <f aca="false">SUM(J131:EO131)</f>
        <v>-54373.9265999892</v>
      </c>
      <c r="J131" s="48" t="n">
        <f aca="false">(J63+J70+J96+J100+J101+J83)*(J$4&lt;=In_COD)</f>
        <v>-4662.80993807469</v>
      </c>
      <c r="K131" s="48" t="n">
        <f aca="false">(K63+K70+K96+K100+K101+K83)*(K$4&lt;=In_COD)</f>
        <v>-706.535577057768</v>
      </c>
      <c r="L131" s="48" t="n">
        <f aca="false">(L63+L70+L96+L100+L101+L83)*(L$4&lt;=In_COD)</f>
        <v>-104.360496659404</v>
      </c>
      <c r="M131" s="48" t="n">
        <f aca="false">(M63+M70+M96+M100+M101+M83)*(M$4&lt;=In_COD)</f>
        <v>-105.507315304013</v>
      </c>
      <c r="N131" s="48" t="n">
        <f aca="false">(N63+N70+N96+N100+N101+N83)*(N$4&lt;=In_COD)</f>
        <v>-105.507315304013</v>
      </c>
      <c r="O131" s="48" t="n">
        <f aca="false">(O63+O70+O96+O100+O101+O83)*(O$4&lt;=In_COD)</f>
        <v>-104.360496659404</v>
      </c>
      <c r="P131" s="48" t="n">
        <f aca="false">(P63+P70+P96+P100+P101+P83)*(P$4&lt;=In_COD)</f>
        <v>-104.360496659404</v>
      </c>
      <c r="Q131" s="48" t="n">
        <f aca="false">(Q63+Q70+Q96+Q100+Q101+Q83)*(Q$4&lt;=In_COD)</f>
        <v>-105.507315304013</v>
      </c>
      <c r="R131" s="48" t="n">
        <f aca="false">(R63+R70+R96+R100+R101+R83)*(R$4&lt;=In_COD)</f>
        <v>-6452.06801054133</v>
      </c>
      <c r="S131" s="48" t="n">
        <f aca="false">(S63+S70+S96+S100+S101+S83)*(S$4&lt;=In_COD)</f>
        <v>-8957.34206285879</v>
      </c>
      <c r="T131" s="48" t="n">
        <f aca="false">(T63+T70+T96+T100+T101+T83)*(T$4&lt;=In_COD)</f>
        <v>-5322.36727647646</v>
      </c>
      <c r="U131" s="48" t="n">
        <f aca="false">(U63+U70+U96+U100+U101+U83)*(U$4&lt;=In_COD)</f>
        <v>-5366.55155799786</v>
      </c>
      <c r="V131" s="48" t="n">
        <f aca="false">(V63+V70+V96+V100+V101+V83)*(V$4&lt;=In_COD)</f>
        <v>-5352.09110822868</v>
      </c>
      <c r="W131" s="48" t="n">
        <f aca="false">(W63+W70+W96+W100+W101+W83)*(W$4&lt;=In_COD)</f>
        <v>-5222.63714053528</v>
      </c>
      <c r="X131" s="48" t="n">
        <f aca="false">(X63+X70+X96+X100+X101+X83)*(X$4&lt;=In_COD)</f>
        <v>-5266.67411180264</v>
      </c>
      <c r="Y131" s="48" t="n">
        <f aca="false">(Y63+Y70+Y96+Y100+Y101+Y83)*(Y$4&lt;=In_COD)</f>
        <v>-6435.24638052543</v>
      </c>
      <c r="Z131" s="48" t="n">
        <f aca="false">(Z63+Z70+Z96+Z100+Z101+Z83)*(Z$4&lt;=In_COD)</f>
        <v>0</v>
      </c>
      <c r="AA131" s="48" t="n">
        <f aca="false">(AA63+AA70+AA96+AA100+AA101+AA83)*(AA$4&lt;=In_COD)</f>
        <v>0</v>
      </c>
      <c r="AB131" s="48" t="n">
        <f aca="false">(AB63+AB70+AB96+AB100+AB101+AB83)*(AB$4&lt;=In_COD)</f>
        <v>0</v>
      </c>
      <c r="AC131" s="48" t="n">
        <f aca="false">(AC63+AC70+AC96+AC100+AC101+AC83)*(AC$4&lt;=In_COD)</f>
        <v>0</v>
      </c>
      <c r="AD131" s="48" t="n">
        <f aca="false">(AD63+AD70+AD96+AD100+AD101+AD83)*(AD$4&lt;=In_COD)</f>
        <v>0</v>
      </c>
      <c r="AE131" s="48" t="n">
        <f aca="false">(AE63+AE70+AE96+AE100+AE101+AE83)*(AE$4&lt;=In_COD)</f>
        <v>0</v>
      </c>
      <c r="AF131" s="48" t="n">
        <f aca="false">(AF63+AF70+AF96+AF100+AF101+AF83)*(AF$4&lt;=In_COD)</f>
        <v>0</v>
      </c>
      <c r="AG131" s="48" t="n">
        <f aca="false">(AG63+AG70+AG96+AG100+AG101+AG83)*(AG$4&lt;=In_COD)</f>
        <v>0</v>
      </c>
      <c r="AH131" s="48" t="n">
        <f aca="false">(AH63+AH70+AH96+AH100+AH101+AH83)*(AH$4&lt;=In_COD)</f>
        <v>0</v>
      </c>
      <c r="AI131" s="48" t="n">
        <f aca="false">(AI63+AI70+AI96+AI100+AI101+AI83)*(AI$4&lt;=In_COD)</f>
        <v>0</v>
      </c>
      <c r="AJ131" s="48" t="n">
        <f aca="false">(AJ63+AJ70+AJ96+AJ100+AJ101+AJ83)*(AJ$4&lt;=In_COD)</f>
        <v>0</v>
      </c>
      <c r="AK131" s="48" t="n">
        <f aca="false">(AK63+AK70+AK96+AK100+AK101+AK83)*(AK$4&lt;=In_COD)</f>
        <v>0</v>
      </c>
      <c r="AL131" s="48" t="n">
        <f aca="false">(AL63+AL70+AL96+AL100+AL101+AL83)*(AL$4&lt;=In_COD)</f>
        <v>0</v>
      </c>
      <c r="AM131" s="48" t="n">
        <f aca="false">(AM63+AM70+AM96+AM100+AM101+AM83)*(AM$4&lt;=In_COD)</f>
        <v>0</v>
      </c>
      <c r="AN131" s="48" t="n">
        <f aca="false">(AN63+AN70+AN96+AN100+AN101+AN83)*(AN$4&lt;=In_COD)</f>
        <v>0</v>
      </c>
      <c r="AO131" s="48" t="n">
        <f aca="false">(AO63+AO70+AO96+AO100+AO101+AO83)*(AO$4&lt;=In_COD)</f>
        <v>0</v>
      </c>
      <c r="AP131" s="48" t="n">
        <f aca="false">(AP63+AP70+AP96+AP100+AP101+AP83)*(AP$4&lt;=In_COD)</f>
        <v>0</v>
      </c>
      <c r="AQ131" s="48" t="n">
        <f aca="false">(AQ63+AQ70+AQ96+AQ100+AQ101+AQ83)*(AQ$4&lt;=In_COD)</f>
        <v>0</v>
      </c>
      <c r="AR131" s="48" t="n">
        <f aca="false">(AR63+AR70+AR96+AR100+AR101+AR83)*(AR$4&lt;=In_COD)</f>
        <v>0</v>
      </c>
      <c r="AS131" s="48" t="n">
        <f aca="false">(AS63+AS70+AS96+AS100+AS101+AS83)*(AS$4&lt;=In_COD)</f>
        <v>0</v>
      </c>
      <c r="AT131" s="48" t="n">
        <f aca="false">(AT63+AT70+AT96+AT100+AT101+AT83)*(AT$4&lt;=In_COD)</f>
        <v>0</v>
      </c>
      <c r="AU131" s="48" t="n">
        <f aca="false">(AU63+AU70+AU96+AU100+AU101+AU83)*(AU$4&lt;=In_COD)</f>
        <v>0</v>
      </c>
      <c r="AV131" s="48" t="n">
        <f aca="false">(AV63+AV70+AV96+AV100+AV101+AV83)*(AV$4&lt;=In_COD)</f>
        <v>0</v>
      </c>
      <c r="AW131" s="48" t="n">
        <f aca="false">(AW63+AW70+AW96+AW100+AW101+AW83)*(AW$4&lt;=In_COD)</f>
        <v>0</v>
      </c>
      <c r="AX131" s="48" t="n">
        <f aca="false">(AX63+AX70+AX96+AX100+AX101+AX83)*(AX$4&lt;=In_COD)</f>
        <v>0</v>
      </c>
      <c r="AY131" s="48" t="n">
        <f aca="false">(AY63+AY70+AY96+AY100+AY101+AY83)*(AY$4&lt;=In_COD)</f>
        <v>0</v>
      </c>
      <c r="AZ131" s="48" t="n">
        <f aca="false">(AZ63+AZ70+AZ96+AZ100+AZ101+AZ83)*(AZ$4&lt;=In_COD)</f>
        <v>0</v>
      </c>
      <c r="BA131" s="48" t="n">
        <f aca="false">(BA63+BA70+BA96+BA100+BA101+BA83)*(BA$4&lt;=In_COD)</f>
        <v>0</v>
      </c>
      <c r="BB131" s="48" t="n">
        <f aca="false">(BB63+BB70+BB96+BB100+BB101+BB83)*(BB$4&lt;=In_COD)</f>
        <v>0</v>
      </c>
      <c r="BC131" s="48" t="n">
        <f aca="false">(BC63+BC70+BC96+BC100+BC101+BC83)*(BC$4&lt;=In_COD)</f>
        <v>0</v>
      </c>
      <c r="BD131" s="48" t="n">
        <f aca="false">(BD63+BD70+BD96+BD100+BD101+BD83)*(BD$4&lt;=In_COD)</f>
        <v>0</v>
      </c>
      <c r="BE131" s="48" t="n">
        <f aca="false">(BE63+BE70+BE96+BE100+BE101+BE83)*(BE$4&lt;=In_COD)</f>
        <v>0</v>
      </c>
      <c r="BF131" s="48" t="n">
        <f aca="false">(BF63+BF70+BF96+BF100+BF101+BF83)*(BF$4&lt;=In_COD)</f>
        <v>0</v>
      </c>
      <c r="BG131" s="48" t="n">
        <f aca="false">(BG63+BG70+BG96+BG100+BG101+BG83)*(BG$4&lt;=In_COD)</f>
        <v>0</v>
      </c>
      <c r="BH131" s="48" t="n">
        <f aca="false">(BH63+BH70+BH96+BH100+BH101+BH83)*(BH$4&lt;=In_COD)</f>
        <v>0</v>
      </c>
      <c r="BI131" s="48" t="n">
        <f aca="false">(BI63+BI70+BI96+BI100+BI101+BI83)*(BI$4&lt;=In_COD)</f>
        <v>0</v>
      </c>
      <c r="BJ131" s="48" t="n">
        <f aca="false">(BJ63+BJ70+BJ96+BJ100+BJ101+BJ83)*(BJ$4&lt;=In_COD)</f>
        <v>0</v>
      </c>
      <c r="BK131" s="48" t="n">
        <f aca="false">(BK63+BK70+BK96+BK100+BK101+BK83)*(BK$4&lt;=In_COD)</f>
        <v>0</v>
      </c>
      <c r="BL131" s="48" t="n">
        <f aca="false">(BL63+BL70+BL96+BL100+BL101+BL83)*(BL$4&lt;=In_COD)</f>
        <v>0</v>
      </c>
      <c r="BM131" s="48" t="n">
        <f aca="false">(BM63+BM70+BM96+BM100+BM101+BM83)*(BM$4&lt;=In_COD)</f>
        <v>0</v>
      </c>
      <c r="BN131" s="48" t="n">
        <f aca="false">(BN63+BN70+BN96+BN100+BN101+BN83)*(BN$4&lt;=In_COD)</f>
        <v>0</v>
      </c>
      <c r="BO131" s="48" t="n">
        <f aca="false">(BO63+BO70+BO96+BO100+BO101+BO83)*(BO$4&lt;=In_COD)</f>
        <v>0</v>
      </c>
      <c r="BP131" s="48" t="n">
        <f aca="false">(BP63+BP70+BP96+BP100+BP101+BP83)*(BP$4&lt;=In_COD)</f>
        <v>0</v>
      </c>
      <c r="BQ131" s="48" t="n">
        <f aca="false">(BQ63+BQ70+BQ96+BQ100+BQ101+BQ83)*(BQ$4&lt;=In_COD)</f>
        <v>0</v>
      </c>
      <c r="BR131" s="48" t="n">
        <f aca="false">(BR63+BR70+BR96+BR100+BR101+BR83)*(BR$4&lt;=In_COD)</f>
        <v>0</v>
      </c>
      <c r="BS131" s="48" t="n">
        <f aca="false">(BS63+BS70+BS96+BS100+BS101+BS83)*(BS$4&lt;=In_COD)</f>
        <v>0</v>
      </c>
      <c r="BT131" s="48" t="n">
        <f aca="false">(BT63+BT70+BT96+BT100+BT101+BT83)*(BT$4&lt;=In_COD)</f>
        <v>0</v>
      </c>
      <c r="BU131" s="48" t="n">
        <f aca="false">(BU63+BU70+BU96+BU100+BU101+BU83)*(BU$4&lt;=In_COD)</f>
        <v>0</v>
      </c>
      <c r="BV131" s="48" t="n">
        <f aca="false">(BV63+BV70+BV96+BV100+BV101+BV83)*(BV$4&lt;=In_COD)</f>
        <v>0</v>
      </c>
      <c r="BW131" s="48" t="n">
        <f aca="false">(BW63+BW70+BW96+BW100+BW101+BW83)*(BW$4&lt;=In_COD)</f>
        <v>0</v>
      </c>
      <c r="BX131" s="48" t="n">
        <f aca="false">(BX63+BX70+BX96+BX100+BX101+BX83)*(BX$4&lt;=In_COD)</f>
        <v>0</v>
      </c>
      <c r="BY131" s="48" t="n">
        <f aca="false">(BY63+BY70+BY96+BY100+BY101+BY83)*(BY$4&lt;=In_COD)</f>
        <v>0</v>
      </c>
      <c r="BZ131" s="48" t="n">
        <f aca="false">(BZ63+BZ70+BZ96+BZ100+BZ101+BZ83)*(BZ$4&lt;=In_COD)</f>
        <v>0</v>
      </c>
      <c r="CA131" s="48" t="n">
        <f aca="false">(CA63+CA70+CA96+CA100+CA101+CA83)*(CA$4&lt;=In_COD)</f>
        <v>0</v>
      </c>
      <c r="CB131" s="48" t="n">
        <f aca="false">(CB63+CB70+CB96+CB100+CB101+CB83)*(CB$4&lt;=In_COD)</f>
        <v>0</v>
      </c>
      <c r="CC131" s="48" t="n">
        <f aca="false">(CC63+CC70+CC96+CC100+CC101+CC83)*(CC$4&lt;=In_COD)</f>
        <v>0</v>
      </c>
      <c r="CD131" s="48" t="n">
        <f aca="false">(CD63+CD70+CD96+CD100+CD101+CD83)*(CD$4&lt;=In_COD)</f>
        <v>0</v>
      </c>
      <c r="CE131" s="48" t="n">
        <f aca="false">(CE63+CE70+CE96+CE100+CE101+CE83)*(CE$4&lt;=In_COD)</f>
        <v>0</v>
      </c>
      <c r="CF131" s="48" t="n">
        <f aca="false">(CF63+CF70+CF96+CF100+CF101+CF83)*(CF$4&lt;=In_COD)</f>
        <v>0</v>
      </c>
      <c r="CG131" s="48" t="n">
        <f aca="false">(CG63+CG70+CG96+CG100+CG101+CG83)*(CG$4&lt;=In_COD)</f>
        <v>0</v>
      </c>
      <c r="CH131" s="48" t="n">
        <f aca="false">(CH63+CH70+CH96+CH100+CH101+CH83)*(CH$4&lt;=In_COD)</f>
        <v>0</v>
      </c>
      <c r="CI131" s="48" t="n">
        <f aca="false">(CI63+CI70+CI96+CI100+CI101+CI83)*(CI$4&lt;=In_COD)</f>
        <v>0</v>
      </c>
      <c r="CJ131" s="48" t="n">
        <f aca="false">(CJ63+CJ70+CJ96+CJ100+CJ101+CJ83)*(CJ$4&lt;=In_COD)</f>
        <v>0</v>
      </c>
      <c r="CK131" s="48" t="n">
        <f aca="false">(CK63+CK70+CK96+CK100+CK101+CK83)*(CK$4&lt;=In_COD)</f>
        <v>0</v>
      </c>
      <c r="CL131" s="48" t="n">
        <f aca="false">(CL63+CL70+CL96+CL100+CL101+CL83)*(CL$4&lt;=In_COD)</f>
        <v>0</v>
      </c>
      <c r="CM131" s="48" t="n">
        <f aca="false">(CM63+CM70+CM96+CM100+CM101+CM83)*(CM$4&lt;=In_COD)</f>
        <v>0</v>
      </c>
      <c r="CN131" s="48" t="n">
        <f aca="false">(CN63+CN70+CN96+CN100+CN101+CN83)*(CN$4&lt;=In_COD)</f>
        <v>0</v>
      </c>
      <c r="CO131" s="48" t="n">
        <f aca="false">(CO63+CO70+CO96+CO100+CO101+CO83)*(CO$4&lt;=In_COD)</f>
        <v>0</v>
      </c>
      <c r="CP131" s="48" t="n">
        <f aca="false">(CP63+CP70+CP96+CP100+CP101+CP83)*(CP$4&lt;=In_COD)</f>
        <v>0</v>
      </c>
      <c r="CQ131" s="48" t="n">
        <f aca="false">(CQ63+CQ70+CQ96+CQ100+CQ101+CQ83)*(CQ$4&lt;=In_COD)</f>
        <v>0</v>
      </c>
      <c r="CR131" s="48" t="n">
        <f aca="false">(CR63+CR70+CR96+CR100+CR101+CR83)*(CR$4&lt;=In_COD)</f>
        <v>0</v>
      </c>
      <c r="CS131" s="48" t="n">
        <f aca="false">(CS63+CS70+CS96+CS100+CS101+CS83)*(CS$4&lt;=In_COD)</f>
        <v>0</v>
      </c>
      <c r="CT131" s="48" t="n">
        <f aca="false">(CT63+CT70+CT96+CT100+CT101+CT83)*(CT$4&lt;=In_COD)</f>
        <v>0</v>
      </c>
      <c r="CU131" s="48" t="n">
        <f aca="false">(CU63+CU70+CU96+CU100+CU101+CU83)*(CU$4&lt;=In_COD)</f>
        <v>0</v>
      </c>
      <c r="CV131" s="48" t="n">
        <f aca="false">(CV63+CV70+CV96+CV100+CV101+CV83)*(CV$4&lt;=In_COD)</f>
        <v>0</v>
      </c>
      <c r="CW131" s="48" t="n">
        <f aca="false">(CW63+CW70+CW96+CW100+CW101+CW83)*(CW$4&lt;=In_COD)</f>
        <v>0</v>
      </c>
      <c r="CX131" s="48" t="n">
        <f aca="false">(CX63+CX70+CX96+CX100+CX101+CX83)*(CX$4&lt;=In_COD)</f>
        <v>0</v>
      </c>
      <c r="CY131" s="48" t="n">
        <f aca="false">(CY63+CY70+CY96+CY100+CY101+CY83)*(CY$4&lt;=In_COD)</f>
        <v>0</v>
      </c>
      <c r="CZ131" s="48" t="n">
        <f aca="false">(CZ63+CZ70+CZ96+CZ100+CZ101+CZ83)*(CZ$4&lt;=In_COD)</f>
        <v>0</v>
      </c>
      <c r="DA131" s="48" t="n">
        <f aca="false">(DA63+DA70+DA96+DA100+DA101+DA83)*(DA$4&lt;=In_COD)</f>
        <v>0</v>
      </c>
      <c r="DB131" s="48" t="n">
        <f aca="false">(DB63+DB70+DB96+DB100+DB101+DB83)*(DB$4&lt;=In_COD)</f>
        <v>0</v>
      </c>
      <c r="DC131" s="48" t="n">
        <f aca="false">(DC63+DC70+DC96+DC100+DC101+DC83)*(DC$4&lt;=In_COD)</f>
        <v>0</v>
      </c>
      <c r="DD131" s="48" t="n">
        <f aca="false">(DD63+DD70+DD96+DD100+DD101+DD83)*(DD$4&lt;=In_COD)</f>
        <v>0</v>
      </c>
      <c r="DE131" s="48" t="n">
        <f aca="false">(DE63+DE70+DE96+DE100+DE101+DE83)*(DE$4&lt;=In_COD)</f>
        <v>0</v>
      </c>
      <c r="DF131" s="48" t="n">
        <f aca="false">(DF63+DF70+DF96+DF100+DF101+DF83)*(DF$4&lt;=In_COD)</f>
        <v>0</v>
      </c>
      <c r="DG131" s="48" t="n">
        <f aca="false">(DG63+DG70+DG96+DG100+DG101+DG83)*(DG$4&lt;=In_COD)</f>
        <v>0</v>
      </c>
      <c r="DH131" s="48" t="n">
        <f aca="false">(DH63+DH70+DH96+DH100+DH101+DH83)*(DH$4&lt;=In_COD)</f>
        <v>0</v>
      </c>
      <c r="DI131" s="48" t="n">
        <f aca="false">(DI63+DI70+DI96+DI100+DI101+DI83)*(DI$4&lt;=In_COD)</f>
        <v>0</v>
      </c>
      <c r="DJ131" s="48" t="n">
        <f aca="false">(DJ63+DJ70+DJ96+DJ100+DJ101+DJ83)*(DJ$4&lt;=In_COD)</f>
        <v>0</v>
      </c>
      <c r="DK131" s="48" t="n">
        <f aca="false">(DK63+DK70+DK96+DK100+DK101+DK83)*(DK$4&lt;=In_COD)</f>
        <v>0</v>
      </c>
      <c r="DL131" s="48" t="n">
        <f aca="false">(DL63+DL70+DL96+DL100+DL101+DL83)*(DL$4&lt;=In_COD)</f>
        <v>0</v>
      </c>
      <c r="DM131" s="48" t="n">
        <f aca="false">(DM63+DM70+DM96+DM100+DM101+DM83)*(DM$4&lt;=In_COD)</f>
        <v>0</v>
      </c>
      <c r="DN131" s="48" t="n">
        <f aca="false">(DN63+DN70+DN96+DN100+DN101+DN83)*(DN$4&lt;=In_COD)</f>
        <v>0</v>
      </c>
      <c r="DO131" s="48" t="n">
        <f aca="false">(DO63+DO70+DO96+DO100+DO101+DO83)*(DO$4&lt;=In_COD)</f>
        <v>0</v>
      </c>
      <c r="DP131" s="48" t="n">
        <f aca="false">(DP63+DP70+DP96+DP100+DP101+DP83)*(DP$4&lt;=In_COD)</f>
        <v>0</v>
      </c>
      <c r="DQ131" s="48" t="n">
        <f aca="false">(DQ63+DQ70+DQ96+DQ100+DQ101+DQ83)*(DQ$4&lt;=In_COD)</f>
        <v>0</v>
      </c>
      <c r="DR131" s="48" t="n">
        <f aca="false">(DR63+DR70+DR96+DR100+DR101+DR83)*(DR$4&lt;=In_COD)</f>
        <v>0</v>
      </c>
      <c r="DS131" s="48" t="n">
        <f aca="false">(DS63+DS70+DS96+DS100+DS101+DS83)*(DS$4&lt;=In_COD)</f>
        <v>0</v>
      </c>
      <c r="DT131" s="48" t="n">
        <f aca="false">(DT63+DT70+DT96+DT100+DT101+DT83)*(DT$4&lt;=In_COD)</f>
        <v>0</v>
      </c>
      <c r="DU131" s="48" t="n">
        <f aca="false">(DU63+DU70+DU96+DU100+DU101+DU83)*(DU$4&lt;=In_COD)</f>
        <v>0</v>
      </c>
      <c r="DV131" s="48" t="n">
        <f aca="false">(DV63+DV70+DV96+DV100+DV101+DV83)*(DV$4&lt;=In_COD)</f>
        <v>0</v>
      </c>
      <c r="DW131" s="48" t="n">
        <f aca="false">(DW63+DW70+DW96+DW100+DW101+DW83)*(DW$4&lt;=In_COD)</f>
        <v>0</v>
      </c>
      <c r="DX131" s="48" t="n">
        <f aca="false">(DX63+DX70+DX96+DX100+DX101+DX83)*(DX$4&lt;=In_COD)</f>
        <v>0</v>
      </c>
      <c r="DY131" s="48" t="n">
        <f aca="false">(DY63+DY70+DY96+DY100+DY101+DY83)*(DY$4&lt;=In_COD)</f>
        <v>0</v>
      </c>
      <c r="DZ131" s="48" t="n">
        <f aca="false">(DZ63+DZ70+DZ96+DZ100+DZ101+DZ83)*(DZ$4&lt;=In_COD)</f>
        <v>0</v>
      </c>
      <c r="EA131" s="48" t="n">
        <f aca="false">(EA63+EA70+EA96+EA100+EA101+EA83)*(EA$4&lt;=In_COD)</f>
        <v>0</v>
      </c>
      <c r="EB131" s="48" t="n">
        <f aca="false">(EB63+EB70+EB96+EB100+EB101+EB83)*(EB$4&lt;=In_COD)</f>
        <v>0</v>
      </c>
      <c r="EC131" s="48" t="n">
        <f aca="false">(EC63+EC70+EC96+EC100+EC101+EC83)*(EC$4&lt;=In_COD)</f>
        <v>0</v>
      </c>
      <c r="ED131" s="48" t="n">
        <f aca="false">(ED63+ED70+ED96+ED100+ED101+ED83)*(ED$4&lt;=In_COD)</f>
        <v>0</v>
      </c>
      <c r="EE131" s="48" t="n">
        <f aca="false">(EE63+EE70+EE96+EE100+EE101+EE83)*(EE$4&lt;=In_COD)</f>
        <v>0</v>
      </c>
      <c r="EF131" s="48" t="n">
        <f aca="false">(EF63+EF70+EF96+EF100+EF101+EF83)*(EF$4&lt;=In_COD)</f>
        <v>0</v>
      </c>
      <c r="EG131" s="48" t="n">
        <f aca="false">(EG63+EG70+EG96+EG100+EG101+EG83)*(EG$4&lt;=In_COD)</f>
        <v>0</v>
      </c>
      <c r="EH131" s="48" t="n">
        <f aca="false">(EH63+EH70+EH96+EH100+EH101+EH83)*(EH$4&lt;=In_COD)</f>
        <v>0</v>
      </c>
      <c r="EI131" s="48" t="n">
        <f aca="false">(EI63+EI70+EI96+EI100+EI101+EI83)*(EI$4&lt;=In_COD)</f>
        <v>0</v>
      </c>
      <c r="EJ131" s="48" t="n">
        <f aca="false">(EJ63+EJ70+EJ96+EJ100+EJ101+EJ83)*(EJ$4&lt;=In_COD)</f>
        <v>0</v>
      </c>
      <c r="EK131" s="48" t="n">
        <f aca="false">(EK63+EK70+EK96+EK100+EK101+EK83)*(EK$4&lt;=In_COD)</f>
        <v>0</v>
      </c>
      <c r="EL131" s="48" t="n">
        <f aca="false">(EL63+EL70+EL96+EL100+EL101+EL83)*(EL$4&lt;=In_COD)</f>
        <v>0</v>
      </c>
      <c r="EM131" s="48" t="n">
        <f aca="false">(EM63+EM70+EM96+EM100+EM101+EM83)*(EM$4&lt;=In_COD)</f>
        <v>0</v>
      </c>
      <c r="EN131" s="48" t="n">
        <f aca="false">(EN63+EN70+EN96+EN100+EN101+EN83)*(EN$4&lt;=In_COD)</f>
        <v>0</v>
      </c>
      <c r="EO131" s="48" t="n">
        <f aca="false">(EO63+EO70+EO96+EO100+EO101+EO83)*(EO$4&lt;=In_COD)</f>
        <v>0</v>
      </c>
    </row>
    <row r="132" customFormat="false" ht="15" hidden="false" customHeight="false" outlineLevel="0" collapsed="false">
      <c r="C132" s="0" t="s">
        <v>495</v>
      </c>
      <c r="D132" s="11" t="s">
        <v>33</v>
      </c>
      <c r="E132" s="48" t="n">
        <f aca="false">IF($E44=1,In_COD_Price,In_COD_Price_CN)*$F25*(1-$E29)</f>
        <v>134137.5</v>
      </c>
    </row>
    <row r="133" customFormat="false" ht="15" hidden="false" customHeight="false" outlineLevel="0" collapsed="false">
      <c r="C133" s="0" t="s">
        <v>496</v>
      </c>
      <c r="D133" s="11" t="s">
        <v>33</v>
      </c>
      <c r="E133" s="48" t="n">
        <f aca="false">$E132+$I62-$E99-In_Sale_Costs</f>
        <v>74582.0023486781</v>
      </c>
    </row>
    <row r="134" customFormat="false" ht="15" hidden="false" customHeight="false" outlineLevel="0" collapsed="false">
      <c r="C134" s="0" t="s">
        <v>126</v>
      </c>
      <c r="D134" s="11" t="s">
        <v>33</v>
      </c>
      <c r="E134" s="48" t="n">
        <f aca="false">-In_CIT*In_Sale_Gain_Taxed*MAX(0,$E133+$I131)</f>
        <v>-0</v>
      </c>
    </row>
    <row r="135" customFormat="false" ht="15" hidden="false" customHeight="false" outlineLevel="0" collapsed="false">
      <c r="C135" s="25" t="s">
        <v>497</v>
      </c>
      <c r="D135" s="11" t="s">
        <v>33</v>
      </c>
      <c r="I135" s="57" t="n">
        <f aca="false">SUM(J135:EO135)</f>
        <v>20208.0757486889</v>
      </c>
      <c r="J135" s="57" t="n">
        <f aca="false">J131+($E133+$E134)*J14</f>
        <v>-4662.80993807469</v>
      </c>
      <c r="K135" s="57" t="n">
        <f aca="false">K131+($E133+$E134)*K14</f>
        <v>-706.535577057768</v>
      </c>
      <c r="L135" s="57" t="n">
        <f aca="false">L131+($E133+$E134)*L14</f>
        <v>-104.360496659404</v>
      </c>
      <c r="M135" s="57" t="n">
        <f aca="false">M131+($E133+$E134)*M14</f>
        <v>-105.507315304013</v>
      </c>
      <c r="N135" s="57" t="n">
        <f aca="false">N131+($E133+$E134)*N14</f>
        <v>-105.507315304013</v>
      </c>
      <c r="O135" s="57" t="n">
        <f aca="false">O131+($E133+$E134)*O14</f>
        <v>-104.360496659404</v>
      </c>
      <c r="P135" s="57" t="n">
        <f aca="false">P131+($E133+$E134)*P14</f>
        <v>-104.360496659404</v>
      </c>
      <c r="Q135" s="57" t="n">
        <f aca="false">Q131+($E133+$E134)*Q14</f>
        <v>-105.507315304013</v>
      </c>
      <c r="R135" s="57" t="n">
        <f aca="false">R131+($E133+$E134)*R14</f>
        <v>-6452.06801054133</v>
      </c>
      <c r="S135" s="57" t="n">
        <f aca="false">S131+($E133+$E134)*S14</f>
        <v>-8957.34206285879</v>
      </c>
      <c r="T135" s="57" t="n">
        <f aca="false">T131+($E133+$E134)*T14</f>
        <v>-5322.36727647646</v>
      </c>
      <c r="U135" s="57" t="n">
        <f aca="false">U131+($E133+$E134)*U14</f>
        <v>-5366.55155799786</v>
      </c>
      <c r="V135" s="57" t="n">
        <f aca="false">V131+($E133+$E134)*V14</f>
        <v>-5352.09110822868</v>
      </c>
      <c r="W135" s="57" t="n">
        <f aca="false">W131+($E133+$E134)*W14</f>
        <v>-5222.63714053528</v>
      </c>
      <c r="X135" s="57" t="n">
        <f aca="false">X131+($E133+$E134)*X14</f>
        <v>-5266.67411180264</v>
      </c>
      <c r="Y135" s="57" t="n">
        <f aca="false">Y131+($E133+$E134)*Y14</f>
        <v>68146.7559681527</v>
      </c>
      <c r="Z135" s="57" t="n">
        <f aca="false">Z131+($E133+$E134)*Z14</f>
        <v>0</v>
      </c>
      <c r="AA135" s="57" t="n">
        <f aca="false">AA131+($E133+$E134)*AA14</f>
        <v>0</v>
      </c>
      <c r="AB135" s="57" t="n">
        <f aca="false">AB131+($E133+$E134)*AB14</f>
        <v>0</v>
      </c>
      <c r="AC135" s="57" t="n">
        <f aca="false">AC131+($E133+$E134)*AC14</f>
        <v>0</v>
      </c>
      <c r="AD135" s="57" t="n">
        <f aca="false">AD131+($E133+$E134)*AD14</f>
        <v>0</v>
      </c>
      <c r="AE135" s="57" t="n">
        <f aca="false">AE131+($E133+$E134)*AE14</f>
        <v>0</v>
      </c>
      <c r="AF135" s="57" t="n">
        <f aca="false">AF131+($E133+$E134)*AF14</f>
        <v>0</v>
      </c>
      <c r="AG135" s="57" t="n">
        <f aca="false">AG131+($E133+$E134)*AG14</f>
        <v>0</v>
      </c>
      <c r="AH135" s="57" t="n">
        <f aca="false">AH131+($E133+$E134)*AH14</f>
        <v>0</v>
      </c>
      <c r="AI135" s="57" t="n">
        <f aca="false">AI131+($E133+$E134)*AI14</f>
        <v>0</v>
      </c>
      <c r="AJ135" s="57" t="n">
        <f aca="false">AJ131+($E133+$E134)*AJ14</f>
        <v>0</v>
      </c>
      <c r="AK135" s="57" t="n">
        <f aca="false">AK131+($E133+$E134)*AK14</f>
        <v>0</v>
      </c>
      <c r="AL135" s="57" t="n">
        <f aca="false">AL131+($E133+$E134)*AL14</f>
        <v>0</v>
      </c>
      <c r="AM135" s="57" t="n">
        <f aca="false">AM131+($E133+$E134)*AM14</f>
        <v>0</v>
      </c>
      <c r="AN135" s="57" t="n">
        <f aca="false">AN131+($E133+$E134)*AN14</f>
        <v>0</v>
      </c>
      <c r="AO135" s="57" t="n">
        <f aca="false">AO131+($E133+$E134)*AO14</f>
        <v>0</v>
      </c>
      <c r="AP135" s="57" t="n">
        <f aca="false">AP131+($E133+$E134)*AP14</f>
        <v>0</v>
      </c>
      <c r="AQ135" s="57" t="n">
        <f aca="false">AQ131+($E133+$E134)*AQ14</f>
        <v>0</v>
      </c>
      <c r="AR135" s="57" t="n">
        <f aca="false">AR131+($E133+$E134)*AR14</f>
        <v>0</v>
      </c>
      <c r="AS135" s="57" t="n">
        <f aca="false">AS131+($E133+$E134)*AS14</f>
        <v>0</v>
      </c>
      <c r="AT135" s="57" t="n">
        <f aca="false">AT131+($E133+$E134)*AT14</f>
        <v>0</v>
      </c>
      <c r="AU135" s="57" t="n">
        <f aca="false">AU131+($E133+$E134)*AU14</f>
        <v>0</v>
      </c>
      <c r="AV135" s="57" t="n">
        <f aca="false">AV131+($E133+$E134)*AV14</f>
        <v>0</v>
      </c>
      <c r="AW135" s="57" t="n">
        <f aca="false">AW131+($E133+$E134)*AW14</f>
        <v>0</v>
      </c>
      <c r="AX135" s="57" t="n">
        <f aca="false">AX131+($E133+$E134)*AX14</f>
        <v>0</v>
      </c>
      <c r="AY135" s="57" t="n">
        <f aca="false">AY131+($E133+$E134)*AY14</f>
        <v>0</v>
      </c>
      <c r="AZ135" s="57" t="n">
        <f aca="false">AZ131+($E133+$E134)*AZ14</f>
        <v>0</v>
      </c>
      <c r="BA135" s="57" t="n">
        <f aca="false">BA131+($E133+$E134)*BA14</f>
        <v>0</v>
      </c>
      <c r="BB135" s="57" t="n">
        <f aca="false">BB131+($E133+$E134)*BB14</f>
        <v>0</v>
      </c>
      <c r="BC135" s="57" t="n">
        <f aca="false">BC131+($E133+$E134)*BC14</f>
        <v>0</v>
      </c>
      <c r="BD135" s="57" t="n">
        <f aca="false">BD131+($E133+$E134)*BD14</f>
        <v>0</v>
      </c>
      <c r="BE135" s="57" t="n">
        <f aca="false">BE131+($E133+$E134)*BE14</f>
        <v>0</v>
      </c>
      <c r="BF135" s="57" t="n">
        <f aca="false">BF131+($E133+$E134)*BF14</f>
        <v>0</v>
      </c>
      <c r="BG135" s="57" t="n">
        <f aca="false">BG131+($E133+$E134)*BG14</f>
        <v>0</v>
      </c>
      <c r="BH135" s="57" t="n">
        <f aca="false">BH131+($E133+$E134)*BH14</f>
        <v>0</v>
      </c>
      <c r="BI135" s="57" t="n">
        <f aca="false">BI131+($E133+$E134)*BI14</f>
        <v>0</v>
      </c>
      <c r="BJ135" s="57" t="n">
        <f aca="false">BJ131+($E133+$E134)*BJ14</f>
        <v>0</v>
      </c>
      <c r="BK135" s="57" t="n">
        <f aca="false">BK131+($E133+$E134)*BK14</f>
        <v>0</v>
      </c>
      <c r="BL135" s="57" t="n">
        <f aca="false">BL131+($E133+$E134)*BL14</f>
        <v>0</v>
      </c>
      <c r="BM135" s="57" t="n">
        <f aca="false">BM131+($E133+$E134)*BM14</f>
        <v>0</v>
      </c>
      <c r="BN135" s="57" t="n">
        <f aca="false">BN131+($E133+$E134)*BN14</f>
        <v>0</v>
      </c>
      <c r="BO135" s="57" t="n">
        <f aca="false">BO131+($E133+$E134)*BO14</f>
        <v>0</v>
      </c>
      <c r="BP135" s="57" t="n">
        <f aca="false">BP131+($E133+$E134)*BP14</f>
        <v>0</v>
      </c>
      <c r="BQ135" s="57" t="n">
        <f aca="false">BQ131+($E133+$E134)*BQ14</f>
        <v>0</v>
      </c>
      <c r="BR135" s="57" t="n">
        <f aca="false">BR131+($E133+$E134)*BR14</f>
        <v>0</v>
      </c>
      <c r="BS135" s="57" t="n">
        <f aca="false">BS131+($E133+$E134)*BS14</f>
        <v>0</v>
      </c>
      <c r="BT135" s="57" t="n">
        <f aca="false">BT131+($E133+$E134)*BT14</f>
        <v>0</v>
      </c>
      <c r="BU135" s="57" t="n">
        <f aca="false">BU131+($E133+$E134)*BU14</f>
        <v>0</v>
      </c>
      <c r="BV135" s="57" t="n">
        <f aca="false">BV131+($E133+$E134)*BV14</f>
        <v>0</v>
      </c>
      <c r="BW135" s="57" t="n">
        <f aca="false">BW131+($E133+$E134)*BW14</f>
        <v>0</v>
      </c>
      <c r="BX135" s="57" t="n">
        <f aca="false">BX131+($E133+$E134)*BX14</f>
        <v>0</v>
      </c>
      <c r="BY135" s="57" t="n">
        <f aca="false">BY131+($E133+$E134)*BY14</f>
        <v>0</v>
      </c>
      <c r="BZ135" s="57" t="n">
        <f aca="false">BZ131+($E133+$E134)*BZ14</f>
        <v>0</v>
      </c>
      <c r="CA135" s="57" t="n">
        <f aca="false">CA131+($E133+$E134)*CA14</f>
        <v>0</v>
      </c>
      <c r="CB135" s="57" t="n">
        <f aca="false">CB131+($E133+$E134)*CB14</f>
        <v>0</v>
      </c>
      <c r="CC135" s="57" t="n">
        <f aca="false">CC131+($E133+$E134)*CC14</f>
        <v>0</v>
      </c>
      <c r="CD135" s="57" t="n">
        <f aca="false">CD131+($E133+$E134)*CD14</f>
        <v>0</v>
      </c>
      <c r="CE135" s="57" t="n">
        <f aca="false">CE131+($E133+$E134)*CE14</f>
        <v>0</v>
      </c>
      <c r="CF135" s="57" t="n">
        <f aca="false">CF131+($E133+$E134)*CF14</f>
        <v>0</v>
      </c>
      <c r="CG135" s="57" t="n">
        <f aca="false">CG131+($E133+$E134)*CG14</f>
        <v>0</v>
      </c>
      <c r="CH135" s="57" t="n">
        <f aca="false">CH131+($E133+$E134)*CH14</f>
        <v>0</v>
      </c>
      <c r="CI135" s="57" t="n">
        <f aca="false">CI131+($E133+$E134)*CI14</f>
        <v>0</v>
      </c>
      <c r="CJ135" s="57" t="n">
        <f aca="false">CJ131+($E133+$E134)*CJ14</f>
        <v>0</v>
      </c>
      <c r="CK135" s="57" t="n">
        <f aca="false">CK131+($E133+$E134)*CK14</f>
        <v>0</v>
      </c>
      <c r="CL135" s="57" t="n">
        <f aca="false">CL131+($E133+$E134)*CL14</f>
        <v>0</v>
      </c>
      <c r="CM135" s="57" t="n">
        <f aca="false">CM131+($E133+$E134)*CM14</f>
        <v>0</v>
      </c>
      <c r="CN135" s="57" t="n">
        <f aca="false">CN131+($E133+$E134)*CN14</f>
        <v>0</v>
      </c>
      <c r="CO135" s="57" t="n">
        <f aca="false">CO131+($E133+$E134)*CO14</f>
        <v>0</v>
      </c>
      <c r="CP135" s="57" t="n">
        <f aca="false">CP131+($E133+$E134)*CP14</f>
        <v>0</v>
      </c>
      <c r="CQ135" s="57" t="n">
        <f aca="false">CQ131+($E133+$E134)*CQ14</f>
        <v>0</v>
      </c>
      <c r="CR135" s="57" t="n">
        <f aca="false">CR131+($E133+$E134)*CR14</f>
        <v>0</v>
      </c>
      <c r="CS135" s="57" t="n">
        <f aca="false">CS131+($E133+$E134)*CS14</f>
        <v>0</v>
      </c>
      <c r="CT135" s="57" t="n">
        <f aca="false">CT131+($E133+$E134)*CT14</f>
        <v>0</v>
      </c>
      <c r="CU135" s="57" t="n">
        <f aca="false">CU131+($E133+$E134)*CU14</f>
        <v>0</v>
      </c>
      <c r="CV135" s="57" t="n">
        <f aca="false">CV131+($E133+$E134)*CV14</f>
        <v>0</v>
      </c>
      <c r="CW135" s="57" t="n">
        <f aca="false">CW131+($E133+$E134)*CW14</f>
        <v>0</v>
      </c>
      <c r="CX135" s="57" t="n">
        <f aca="false">CX131+($E133+$E134)*CX14</f>
        <v>0</v>
      </c>
      <c r="CY135" s="57" t="n">
        <f aca="false">CY131+($E133+$E134)*CY14</f>
        <v>0</v>
      </c>
      <c r="CZ135" s="57" t="n">
        <f aca="false">CZ131+($E133+$E134)*CZ14</f>
        <v>0</v>
      </c>
      <c r="DA135" s="57" t="n">
        <f aca="false">DA131+($E133+$E134)*DA14</f>
        <v>0</v>
      </c>
      <c r="DB135" s="57" t="n">
        <f aca="false">DB131+($E133+$E134)*DB14</f>
        <v>0</v>
      </c>
      <c r="DC135" s="57" t="n">
        <f aca="false">DC131+($E133+$E134)*DC14</f>
        <v>0</v>
      </c>
      <c r="DD135" s="57" t="n">
        <f aca="false">DD131+($E133+$E134)*DD14</f>
        <v>0</v>
      </c>
      <c r="DE135" s="57" t="n">
        <f aca="false">DE131+($E133+$E134)*DE14</f>
        <v>0</v>
      </c>
      <c r="DF135" s="57" t="n">
        <f aca="false">DF131+($E133+$E134)*DF14</f>
        <v>0</v>
      </c>
      <c r="DG135" s="57" t="n">
        <f aca="false">DG131+($E133+$E134)*DG14</f>
        <v>0</v>
      </c>
      <c r="DH135" s="57" t="n">
        <f aca="false">DH131+($E133+$E134)*DH14</f>
        <v>0</v>
      </c>
      <c r="DI135" s="57" t="n">
        <f aca="false">DI131+($E133+$E134)*DI14</f>
        <v>0</v>
      </c>
      <c r="DJ135" s="57" t="n">
        <f aca="false">DJ131+($E133+$E134)*DJ14</f>
        <v>0</v>
      </c>
      <c r="DK135" s="57" t="n">
        <f aca="false">DK131+($E133+$E134)*DK14</f>
        <v>0</v>
      </c>
      <c r="DL135" s="57" t="n">
        <f aca="false">DL131+($E133+$E134)*DL14</f>
        <v>0</v>
      </c>
      <c r="DM135" s="57" t="n">
        <f aca="false">DM131+($E133+$E134)*DM14</f>
        <v>0</v>
      </c>
      <c r="DN135" s="57" t="n">
        <f aca="false">DN131+($E133+$E134)*DN14</f>
        <v>0</v>
      </c>
      <c r="DO135" s="57" t="n">
        <f aca="false">DO131+($E133+$E134)*DO14</f>
        <v>0</v>
      </c>
      <c r="DP135" s="57" t="n">
        <f aca="false">DP131+($E133+$E134)*DP14</f>
        <v>0</v>
      </c>
      <c r="DQ135" s="57" t="n">
        <f aca="false">DQ131+($E133+$E134)*DQ14</f>
        <v>0</v>
      </c>
      <c r="DR135" s="57" t="n">
        <f aca="false">DR131+($E133+$E134)*DR14</f>
        <v>0</v>
      </c>
      <c r="DS135" s="57" t="n">
        <f aca="false">DS131+($E133+$E134)*DS14</f>
        <v>0</v>
      </c>
      <c r="DT135" s="57" t="n">
        <f aca="false">DT131+($E133+$E134)*DT14</f>
        <v>0</v>
      </c>
      <c r="DU135" s="57" t="n">
        <f aca="false">DU131+($E133+$E134)*DU14</f>
        <v>0</v>
      </c>
      <c r="DV135" s="57" t="n">
        <f aca="false">DV131+($E133+$E134)*DV14</f>
        <v>0</v>
      </c>
      <c r="DW135" s="57" t="n">
        <f aca="false">DW131+($E133+$E134)*DW14</f>
        <v>0</v>
      </c>
      <c r="DX135" s="57" t="n">
        <f aca="false">DX131+($E133+$E134)*DX14</f>
        <v>0</v>
      </c>
      <c r="DY135" s="57" t="n">
        <f aca="false">DY131+($E133+$E134)*DY14</f>
        <v>0</v>
      </c>
      <c r="DZ135" s="57" t="n">
        <f aca="false">DZ131+($E133+$E134)*DZ14</f>
        <v>0</v>
      </c>
      <c r="EA135" s="57" t="n">
        <f aca="false">EA131+($E133+$E134)*EA14</f>
        <v>0</v>
      </c>
      <c r="EB135" s="57" t="n">
        <f aca="false">EB131+($E133+$E134)*EB14</f>
        <v>0</v>
      </c>
      <c r="EC135" s="57" t="n">
        <f aca="false">EC131+($E133+$E134)*EC14</f>
        <v>0</v>
      </c>
      <c r="ED135" s="57" t="n">
        <f aca="false">ED131+($E133+$E134)*ED14</f>
        <v>0</v>
      </c>
      <c r="EE135" s="57" t="n">
        <f aca="false">EE131+($E133+$E134)*EE14</f>
        <v>0</v>
      </c>
      <c r="EF135" s="57" t="n">
        <f aca="false">EF131+($E133+$E134)*EF14</f>
        <v>0</v>
      </c>
      <c r="EG135" s="57" t="n">
        <f aca="false">EG131+($E133+$E134)*EG14</f>
        <v>0</v>
      </c>
      <c r="EH135" s="57" t="n">
        <f aca="false">EH131+($E133+$E134)*EH14</f>
        <v>0</v>
      </c>
      <c r="EI135" s="57" t="n">
        <f aca="false">EI131+($E133+$E134)*EI14</f>
        <v>0</v>
      </c>
      <c r="EJ135" s="57" t="n">
        <f aca="false">EJ131+($E133+$E134)*EJ14</f>
        <v>0</v>
      </c>
      <c r="EK135" s="57" t="n">
        <f aca="false">EK131+($E133+$E134)*EK14</f>
        <v>0</v>
      </c>
      <c r="EL135" s="57" t="n">
        <f aca="false">EL131+($E133+$E134)*EL14</f>
        <v>0</v>
      </c>
      <c r="EM135" s="57" t="n">
        <f aca="false">EM131+($E133+$E134)*EM14</f>
        <v>0</v>
      </c>
      <c r="EN135" s="57" t="n">
        <f aca="false">EN131+($E133+$E134)*EN14</f>
        <v>0</v>
      </c>
      <c r="EO135" s="57" t="n">
        <f aca="false">EO131+($E133+$E134)*EO14</f>
        <v>0</v>
      </c>
    </row>
    <row r="136" customFormat="false" ht="15" hidden="false" customHeight="false" outlineLevel="0" collapsed="false">
      <c r="C136" s="25" t="s">
        <v>87</v>
      </c>
      <c r="D136" s="11" t="s">
        <v>27</v>
      </c>
      <c r="E136" s="33" t="n">
        <f aca="false">XIRR($J135:$EO135,$J$4:$EO$4)</f>
        <v>0.2632612602034</v>
      </c>
    </row>
    <row r="137" customFormat="false" ht="15" hidden="false" customHeight="false" outlineLevel="0" collapsed="false">
      <c r="C137" s="25" t="s">
        <v>88</v>
      </c>
      <c r="D137" s="11" t="s">
        <v>13</v>
      </c>
      <c r="E137" s="60" t="n">
        <f aca="false">($E133+$E134)/-$I131</f>
        <v>1.37165010901922</v>
      </c>
    </row>
    <row r="138" customFormat="false" ht="15" hidden="false" customHeight="false" outlineLevel="0" collapsed="false">
      <c r="C138" s="25" t="s">
        <v>89</v>
      </c>
      <c r="D138" s="11" t="s">
        <v>33</v>
      </c>
      <c r="E138" s="57" t="n">
        <f aca="false">XNPV(In_Discount_Rate,$J135:$EO135,$J$4:$EO$4)</f>
        <v>10990.2192290749</v>
      </c>
    </row>
    <row r="139" customFormat="false" ht="15" hidden="false" customHeight="false" outlineLevel="0" collapsed="false">
      <c r="A139" s="61"/>
      <c r="B139" s="61"/>
      <c r="C139" s="61" t="s">
        <v>498</v>
      </c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  <c r="CE139" s="61"/>
      <c r="CF139" s="61"/>
      <c r="CG139" s="61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  <c r="EA139" s="61"/>
      <c r="EB139" s="61"/>
      <c r="EC139" s="61"/>
      <c r="ED139" s="61"/>
      <c r="EE139" s="61"/>
      <c r="EF139" s="61"/>
      <c r="EG139" s="61"/>
      <c r="EH139" s="61"/>
      <c r="EI139" s="61"/>
      <c r="EJ139" s="61"/>
      <c r="EK139" s="61"/>
      <c r="EL139" s="61"/>
      <c r="EM139" s="61"/>
      <c r="EN139" s="61"/>
      <c r="EO139" s="61"/>
    </row>
    <row r="140" customFormat="false" ht="15" hidden="false" customHeight="false" outlineLevel="0" collapsed="false">
      <c r="C140" s="0" t="s">
        <v>499</v>
      </c>
      <c r="D140" s="11" t="s">
        <v>33</v>
      </c>
      <c r="I140" s="48" t="n">
        <f aca="false">SUM(J140:EO140)</f>
        <v>138459.731938149</v>
      </c>
      <c r="J140" s="48" t="n">
        <f aca="false">(J83+J59+J62+J113)*(J$4&gt;In_COD)-($E132+$I62)*J14</f>
        <v>-0</v>
      </c>
      <c r="K140" s="48" t="n">
        <f aca="false">(K83+K59+K62+K113)*(K$4&gt;In_COD)-($E132+$I62)*K14</f>
        <v>-0</v>
      </c>
      <c r="L140" s="48" t="n">
        <f aca="false">(L83+L59+L62+L113)*(L$4&gt;In_COD)-($E132+$I62)*L14</f>
        <v>-0</v>
      </c>
      <c r="M140" s="48" t="n">
        <f aca="false">(M83+M59+M62+M113)*(M$4&gt;In_COD)-($E132+$I62)*M14</f>
        <v>-0</v>
      </c>
      <c r="N140" s="48" t="n">
        <f aca="false">(N83+N59+N62+N113)*(N$4&gt;In_COD)-($E132+$I62)*N14</f>
        <v>-0</v>
      </c>
      <c r="O140" s="48" t="n">
        <f aca="false">(O83+O59+O62+O113)*(O$4&gt;In_COD)-($E132+$I62)*O14</f>
        <v>-0</v>
      </c>
      <c r="P140" s="48" t="n">
        <f aca="false">(P83+P59+P62+P113)*(P$4&gt;In_COD)-($E132+$I62)*P14</f>
        <v>-0</v>
      </c>
      <c r="Q140" s="48" t="n">
        <f aca="false">(Q83+Q59+Q62+Q113)*(Q$4&gt;In_COD)-($E132+$I62)*Q14</f>
        <v>-0</v>
      </c>
      <c r="R140" s="48" t="n">
        <f aca="false">(R83+R59+R62+R113)*(R$4&gt;In_COD)-($E132+$I62)*R14</f>
        <v>-0</v>
      </c>
      <c r="S140" s="48" t="n">
        <f aca="false">(S83+S59+S62+S113)*(S$4&gt;In_COD)-($E132+$I62)*S14</f>
        <v>-0</v>
      </c>
      <c r="T140" s="48" t="n">
        <f aca="false">(T83+T59+T62+T113)*(T$4&gt;In_COD)-($E132+$I62)*T14</f>
        <v>-0</v>
      </c>
      <c r="U140" s="48" t="n">
        <f aca="false">(U83+U59+U62+U113)*(U$4&gt;In_COD)-($E132+$I62)*U14</f>
        <v>-0</v>
      </c>
      <c r="V140" s="48" t="n">
        <f aca="false">(V83+V59+V62+V113)*(V$4&gt;In_COD)-($E132+$I62)*V14</f>
        <v>-0</v>
      </c>
      <c r="W140" s="48" t="n">
        <f aca="false">(W83+W59+W62+W113)*(W$4&gt;In_COD)-($E132+$I62)*W14</f>
        <v>-0</v>
      </c>
      <c r="X140" s="48" t="n">
        <f aca="false">(X83+X59+X62+X113)*(X$4&gt;In_COD)-($E132+$I62)*X14</f>
        <v>-0</v>
      </c>
      <c r="Y140" s="48" t="n">
        <f aca="false">(Y83+Y59+Y62+Y113)*(Y$4&gt;In_COD)-($E132+$I62)*Y14</f>
        <v>-134137.5</v>
      </c>
      <c r="Z140" s="48" t="n">
        <f aca="false">(Z83+Z59+Z62+Z113)*(Z$4&gt;In_COD)-($E132+$I62)*Z14</f>
        <v>2344.40831738351</v>
      </c>
      <c r="AA140" s="48" t="n">
        <f aca="false">(AA83+AA59+AA62+AA113)*(AA$4&gt;In_COD)-($E132+$I62)*AA14</f>
        <v>2308.81150885312</v>
      </c>
      <c r="AB140" s="48" t="n">
        <f aca="false">(AB83+AB59+AB62+AB113)*(AB$4&gt;In_COD)-($E132+$I62)*AB14</f>
        <v>2333.39081316204</v>
      </c>
      <c r="AC140" s="48" t="n">
        <f aca="false">(AC83+AC59+AC62+AC113)*(AC$4&gt;In_COD)-($E132+$I62)*AC14</f>
        <v>2357.95206699645</v>
      </c>
      <c r="AD140" s="48" t="n">
        <f aca="false">(AD83+AD59+AD62+AD113)*(AD$4&gt;In_COD)-($E132+$I62)*AD14</f>
        <v>2349.61295731616</v>
      </c>
      <c r="AE140" s="48" t="n">
        <f aca="false">(AE83+AE59+AE62+AE113)*(AE$4&gt;In_COD)-($E132+$I62)*AE14</f>
        <v>2338.82920996355</v>
      </c>
      <c r="AF140" s="48" t="n">
        <f aca="false">(AF83+AF59+AF62+AF113)*(AF$4&gt;In_COD)-($E132+$I62)*AF14</f>
        <v>2338.32559406147</v>
      </c>
      <c r="AG140" s="48" t="n">
        <f aca="false">(AG83+AG59+AG62+AG113)*(AG$4&gt;In_COD)-($E132+$I62)*AG14</f>
        <v>2362.93561169908</v>
      </c>
      <c r="AH140" s="48" t="n">
        <f aca="false">(AH83+AH59+AH62+AH113)*(AH$4&gt;In_COD)-($E132+$I62)*AH14</f>
        <v>2354.51911128773</v>
      </c>
      <c r="AI140" s="48" t="n">
        <f aca="false">(AI83+AI59+AI62+AI113)*(AI$4&gt;In_COD)-($E132+$I62)*AI14</f>
        <v>2318.30520851514</v>
      </c>
      <c r="AJ140" s="48" t="n">
        <f aca="false">(AJ83+AJ59+AJ62+AJ113)*(AJ$4&gt;In_COD)-($E132+$I62)*AJ14</f>
        <v>2373.64850881669</v>
      </c>
      <c r="AK140" s="48" t="n">
        <f aca="false">(AK83+AK59+AK62+AK113)*(AK$4&gt;In_COD)-($E132+$I62)*AK14</f>
        <v>2398.62593545102</v>
      </c>
      <c r="AL140" s="48" t="n">
        <f aca="false">(AL83+AL59+AL62+AL113)*(AL$4&gt;In_COD)-($E132+$I62)*AL14</f>
        <v>2362.88110892522</v>
      </c>
      <c r="AM140" s="48" t="n">
        <f aca="false">(AM83+AM59+AM62+AM113)*(AM$4&gt;In_COD)-($E132+$I62)*AM14</f>
        <v>2325.62163944069</v>
      </c>
      <c r="AN140" s="48" t="n">
        <f aca="false">(AN83+AN59+AN62+AN113)*(AN$4&gt;In_COD)-($E132+$I62)*AN14</f>
        <v>2349.2795098383</v>
      </c>
      <c r="AO140" s="48" t="n">
        <f aca="false">(AO83+AO59+AO62+AO113)*(AO$4&gt;In_COD)-($E132+$I62)*AO14</f>
        <v>2372.90004135594</v>
      </c>
      <c r="AP140" s="48" t="n">
        <f aca="false">(AP83+AP59+AP62+AP113)*(AP$4&gt;In_COD)-($E132+$I62)*AP14</f>
        <v>2364.38345309834</v>
      </c>
      <c r="AQ140" s="48" t="n">
        <f aca="false">(AQ83+AQ59+AQ62+AQ113)*(AQ$4&gt;In_COD)-($E132+$I62)*AQ14</f>
        <v>2326.80148372092</v>
      </c>
      <c r="AR140" s="48" t="n">
        <f aca="false">(AR83+AR59+AR62+AR113)*(AR$4&gt;In_COD)-($E132+$I62)*AR14</f>
        <v>2350.46490161818</v>
      </c>
      <c r="AS140" s="48" t="n">
        <f aca="false">(AS83+AS59+AS62+AS113)*(AS$4&gt;In_COD)-($E132+$I62)*AS14</f>
        <v>2374.09024196972</v>
      </c>
      <c r="AT140" s="48" t="n">
        <f aca="false">(AT83+AT59+AT62+AT113)*(AT$4&gt;In_COD)-($E132+$I62)*AT14</f>
        <v>2365.46739734611</v>
      </c>
      <c r="AU140" s="48" t="n">
        <f aca="false">(AU83+AU59+AU62+AU113)*(AU$4&gt;In_COD)-($E132+$I62)*AU14</f>
        <v>2352.44328596184</v>
      </c>
      <c r="AV140" s="48" t="n">
        <f aca="false">(AV83+AV59+AV62+AV113)*(AV$4&gt;In_COD)-($E132+$I62)*AV14</f>
        <v>2351.1975569668</v>
      </c>
      <c r="AW140" s="48" t="n">
        <f aca="false">(AW83+AW59+AW62+AW113)*(AW$4&gt;In_COD)-($E132+$I62)*AW14</f>
        <v>2374.82277977578</v>
      </c>
      <c r="AX140" s="48" t="n">
        <f aca="false">(AX83+AX59+AX62+AX113)*(AX$4&gt;In_COD)-($E132+$I62)*AX14</f>
        <v>2366.09062519704</v>
      </c>
      <c r="AY140" s="48" t="n">
        <f aca="false">(AY83+AY59+AY62+AY113)*(AY$4&gt;In_COD)-($E132+$I62)*AY14</f>
        <v>2327.84844830158</v>
      </c>
      <c r="AZ140" s="48" t="n">
        <f aca="false">(AZ83+AZ59+AZ62+AZ113)*(AZ$4&gt;In_COD)-($E132+$I62)*AZ14</f>
        <v>2351.50863773812</v>
      </c>
      <c r="BA140" s="48" t="n">
        <f aca="false">(BA83+BA59+BA62+BA113)*(BA$4&gt;In_COD)-($E132+$I62)*BA14</f>
        <v>2375.12918527096</v>
      </c>
      <c r="BB140" s="48" t="n">
        <f aca="false">(BB83+BB59+BB62+BB113)*(BB$4&gt;In_COD)-($E132+$I62)*BB14</f>
        <v>2366.28511761292</v>
      </c>
      <c r="BC140" s="48" t="n">
        <f aca="false">(BC83+BC59+BC62+BC113)*(BC$4&gt;In_COD)-($E132+$I62)*BC14</f>
        <v>2327.70521874598</v>
      </c>
      <c r="BD140" s="48" t="n">
        <f aca="false">(BD83+BD59+BD62+BD113)*(BD$4&gt;In_COD)-($E132+$I62)*BD14</f>
        <v>2351.35653190569</v>
      </c>
      <c r="BE140" s="48" t="n">
        <f aca="false">(BE83+BE59+BE62+BE113)*(BE$4&gt;In_COD)-($E132+$I62)*BE14</f>
        <v>2374.96737818976</v>
      </c>
      <c r="BF140" s="48" t="n">
        <f aca="false">(BF83+BF59+BF62+BF113)*(BF$4&gt;In_COD)-($E132+$I62)*BF14</f>
        <v>2366.00840037831</v>
      </c>
      <c r="BG140" s="48" t="n">
        <f aca="false">(BG83+BG59+BG62+BG113)*(BG$4&gt;In_COD)-($E132+$I62)*BG14</f>
        <v>2327.08540722871</v>
      </c>
      <c r="BH140" s="48" t="n">
        <f aca="false">(BH83+BH59+BH62+BH113)*(BH$4&gt;In_COD)-($E132+$I62)*BH14</f>
        <v>2350.72264631226</v>
      </c>
      <c r="BI140" s="48" t="n">
        <f aca="false">(BI83+BI59+BI62+BI113)*(BI$4&gt;In_COD)-($E132+$I62)*BI14</f>
        <v>2374.31856221053</v>
      </c>
      <c r="BJ140" s="48" t="n">
        <f aca="false">(BJ83+BJ59+BJ62+BJ113)*(BJ$4&gt;In_COD)-($E132+$I62)*BJ14</f>
        <v>2365.24155349184</v>
      </c>
      <c r="BK140" s="48" t="n">
        <f aca="false">(BK83+BK59+BK62+BK113)*(BK$4&gt;In_COD)-($E132+$I62)*BK14</f>
        <v>2351.08182022567</v>
      </c>
      <c r="BL140" s="48" t="n">
        <f aca="false">(BL83+BL59+BL62+BL113)*(BL$4&gt;In_COD)-($E132+$I62)*BL14</f>
        <v>2349.56266575715</v>
      </c>
      <c r="BM140" s="48" t="n">
        <f aca="false">(BM83+BM59+BM62+BM113)*(BM$4&gt;In_COD)-($E132+$I62)*BM14</f>
        <v>2373.13792335976</v>
      </c>
      <c r="BN140" s="48" t="n">
        <f aca="false">(BN83+BN59+BN62+BN113)*(BN$4&gt;In_COD)-($E132+$I62)*BN14</f>
        <v>2363.9393424911</v>
      </c>
      <c r="BO140" s="48" t="n">
        <f aca="false">(BO83+BO59+BO62+BO113)*(BO$4&gt;In_COD)-($E132+$I62)*BO14</f>
        <v>2324.31309828678</v>
      </c>
      <c r="BP140" s="48" t="n">
        <f aca="false">(BP83+BP59+BP62+BP113)*(BP$4&gt;In_COD)-($E132+$I62)*BP14</f>
        <v>2347.90545193894</v>
      </c>
      <c r="BQ140" s="48" t="n">
        <f aca="false">(BQ83+BQ59+BQ62+BQ113)*(BQ$4&gt;In_COD)-($E132+$I62)*BQ14</f>
        <v>2371.45466664358</v>
      </c>
      <c r="BR140" s="48" t="n">
        <f aca="false">(BR83+BR59+BR62+BR113)*(BR$4&gt;In_COD)-($E132+$I62)*BR14</f>
        <v>2362.13140591538</v>
      </c>
      <c r="BS140" s="48" t="n">
        <f aca="false">(BS83+BS59+BS62+BS113)*(BS$4&gt;In_COD)-($E132+$I62)*BS14</f>
        <v>2322.1449438615</v>
      </c>
      <c r="BT140" s="48" t="n">
        <f aca="false">(BT83+BT59+BT62+BT113)*(BT$4&gt;In_COD)-($E132+$I62)*BT14</f>
        <v>2345.7063268614</v>
      </c>
      <c r="BU140" s="48" t="n">
        <f aca="false">(BU83+BU59+BU62+BU113)*(BU$4&gt;In_COD)-($E132+$I62)*BU14</f>
        <v>2369.22361170998</v>
      </c>
      <c r="BV140" s="48" t="n">
        <f aca="false">(BV83+BV59+BV62+BV113)*(BV$4&gt;In_COD)-($E132+$I62)*BV14</f>
        <v>2359.77214386518</v>
      </c>
      <c r="BW140" s="48" t="n">
        <f aca="false">(BW83+BW59+BW62+BW113)*(BW$4&gt;In_COD)-($E132+$I62)*BW14</f>
        <v>2319.4194067923</v>
      </c>
      <c r="BX140" s="48" t="n">
        <f aca="false">(BX83+BX59+BX62+BX113)*(BX$4&gt;In_COD)-($E132+$I62)*BX14</f>
        <v>2342.94373349099</v>
      </c>
      <c r="BY140" s="48" t="n">
        <f aca="false">(BY83+BY59+BY62+BY113)*(BY$4&gt;In_COD)-($E132+$I62)*BY14</f>
        <v>2366.42296544744</v>
      </c>
      <c r="BZ140" s="48" t="n">
        <f aca="false">(BZ83+BZ59+BZ62+BZ113)*(BZ$4&gt;In_COD)-($E132+$I62)*BZ14</f>
        <v>2356.83961539091</v>
      </c>
      <c r="CA140" s="48" t="n">
        <f aca="false">(CA83+CA59+CA62+CA113)*(CA$4&gt;In_COD)-($E132+$I62)*CA14</f>
        <v>2341.41378949072</v>
      </c>
      <c r="CB140" s="48" t="n">
        <f aca="false">(CB83+CB59+CB62+CB113)*(CB$4&gt;In_COD)-($E132+$I62)*CB14</f>
        <v>2339.57008741487</v>
      </c>
      <c r="CC140" s="48" t="n">
        <f aca="false">(CC83+CC59+CC62+CC113)*(CC$4&gt;In_COD)-($E132+$I62)*CC14</f>
        <v>2363.0046082737</v>
      </c>
      <c r="CD140" s="48" t="n">
        <f aca="false">(CD83+CD59+CD62+CD113)*(CD$4&gt;In_COD)-($E132+$I62)*CD14</f>
        <v>2353.2852529676</v>
      </c>
      <c r="CE140" s="48" t="n">
        <f aca="false">(CE83+CE59+CE62+CE113)*(CE$4&gt;In_COD)-($E132+$I62)*CE14</f>
        <v>2312.18073576833</v>
      </c>
      <c r="CF140" s="48" t="n">
        <f aca="false">(CF83+CF59+CF62+CF113)*(CF$4&gt;In_COD)-($E132+$I62)*CF14</f>
        <v>2335.61140957064</v>
      </c>
      <c r="CG140" s="48" t="n">
        <f aca="false">(CG83+CG59+CG62+CG113)*(CG$4&gt;In_COD)-($E132+$I62)*CG14</f>
        <v>2358.99487299625</v>
      </c>
      <c r="CH140" s="48" t="n">
        <f aca="false">(CH83+CH59+CH62+CH113)*(CH$4&gt;In_COD)-($E132+$I62)*CH14</f>
        <v>2349.13580073107</v>
      </c>
      <c r="CI140" s="48" t="n">
        <f aca="false">(CI83+CI59+CI62+CI113)*(CI$4&gt;In_COD)-($E132+$I62)*CI14</f>
        <v>2307.645660975</v>
      </c>
      <c r="CJ140" s="48" t="n">
        <f aca="false">(CJ83+CJ59+CJ62+CJ113)*(CJ$4&gt;In_COD)-($E132+$I62)*CJ14</f>
        <v>2331.01950888344</v>
      </c>
      <c r="CK140" s="48" t="n">
        <f aca="false">(CK83+CK59+CK62+CK113)*(CK$4&gt;In_COD)-($E132+$I62)*CK14</f>
        <v>2354.34502704363</v>
      </c>
      <c r="CL140" s="48" t="n">
        <f aca="false">(CL83+CL59+CL62+CL113)*(CL$4&gt;In_COD)-($E132+$I62)*CL14</f>
        <v>2344.3420768048</v>
      </c>
      <c r="CM140" s="48" t="n">
        <f aca="false">(CM83+CM59+CM62+CM113)*(CM$4&gt;In_COD)-($E132+$I62)*CM14</f>
        <v>2302.45945541085</v>
      </c>
      <c r="CN140" s="48" t="n">
        <f aca="false">(CN83+CN59+CN62+CN113)*(CN$4&gt;In_COD)-($E132+$I62)*CN14</f>
        <v>2325.76935955624</v>
      </c>
      <c r="CO140" s="48" t="n">
        <f aca="false">(CO83+CO59+CO62+CO113)*(CO$4&gt;In_COD)-($E132+$I62)*CO14</f>
        <v>2349.02976994152</v>
      </c>
      <c r="CP140" s="48" t="n">
        <f aca="false">(CP83+CP59+CP62+CP113)*(CP$4&gt;In_COD)-($E132+$I62)*CP14</f>
        <v>2338.87860391116</v>
      </c>
      <c r="CQ140" s="48" t="n">
        <f aca="false">(CQ83+CQ59+CQ62+CQ113)*(CQ$4&gt;In_COD)-($E132+$I62)*CQ14</f>
        <v>2322.0387159751</v>
      </c>
      <c r="CR140" s="48" t="n">
        <f aca="false">(CR83+CR59+CR62+CR113)*(CR$4&gt;In_COD)-($E132+$I62)*CR14</f>
        <v>2319.80962609582</v>
      </c>
      <c r="CS140" s="48" t="n">
        <f aca="false">(CS83+CS59+CS62+CS113)*(CS$4&gt;In_COD)-($E132+$I62)*CS14</f>
        <v>2342.99718921276</v>
      </c>
      <c r="CT140" s="48" t="n">
        <f aca="false">(CT83+CT59+CT62+CT113)*(CT$4&gt;In_COD)-($E132+$I62)*CT14</f>
        <v>2332.6929896636</v>
      </c>
      <c r="CU140" s="48" t="n">
        <f aca="false">(CU83+CU59+CU62+CU113)*(CU$4&gt;In_COD)-($E132+$I62)*CU14</f>
        <v>2292.32821604218</v>
      </c>
      <c r="CV140" s="48" t="n">
        <f aca="false">(CV83+CV59+CV62+CV113)*(CV$4&gt;In_COD)-($E132+$I62)*CV14</f>
        <v>2317.79852955376</v>
      </c>
      <c r="CW140" s="48" t="n">
        <f aca="false">(CW83+CW59+CW62+CW113)*(CW$4&gt;In_COD)-($E132+$I62)*CW14</f>
        <v>2343.26884306534</v>
      </c>
      <c r="CX140" s="48" t="n">
        <f aca="false">(CX83+CX59+CX62+CX113)*(CX$4&gt;In_COD)-($E132+$I62)*CX14</f>
        <v>2335.22280421056</v>
      </c>
      <c r="CY140" s="48" t="n">
        <f aca="false">(CY83+CY59+CY62+CY113)*(CY$4&gt;In_COD)-($E132+$I62)*CY14</f>
        <v>2294.55441353347</v>
      </c>
      <c r="CZ140" s="48" t="n">
        <f aca="false">(CZ83+CZ59+CZ62+CZ113)*(CZ$4&gt;In_COD)-($E132+$I62)*CZ14</f>
        <v>2320.04946257273</v>
      </c>
      <c r="DA140" s="48" t="n">
        <f aca="false">(DA83+DA59+DA62+DA113)*(DA$4&gt;In_COD)-($E132+$I62)*DA14</f>
        <v>2345.54451161199</v>
      </c>
      <c r="DB140" s="48" t="n">
        <f aca="false">(DB83+DB59+DB62+DB113)*(DB$4&gt;In_COD)-($E132+$I62)*DB14</f>
        <v>2127.75796595667</v>
      </c>
      <c r="DC140" s="48" t="n">
        <f aca="false">(DC83+DC59+DC62+DC113)*(DC$4&gt;In_COD)-($E132+$I62)*DC14</f>
        <v>2091.34156892558</v>
      </c>
      <c r="DD140" s="48" t="n">
        <f aca="false">(DD83+DD59+DD62+DD113)*(DD$4&gt;In_COD)-($E132+$I62)*DD14</f>
        <v>2114.5786974692</v>
      </c>
      <c r="DE140" s="48" t="n">
        <f aca="false">(DE83+DE59+DE62+DE113)*(DE$4&gt;In_COD)-($E132+$I62)*DE14</f>
        <v>2137.81582601281</v>
      </c>
      <c r="DF140" s="48" t="n">
        <f aca="false">(DF83+DF59+DF62+DF113)*(DF$4&gt;In_COD)-($E132+$I62)*DF14</f>
        <v>2129.67377475099</v>
      </c>
      <c r="DG140" s="48" t="n">
        <f aca="false">(DG83+DG59+DG62+DG113)*(DG$4&gt;In_COD)-($E132+$I62)*DG14</f>
        <v>2116.20284972323</v>
      </c>
      <c r="DH140" s="48" t="n">
        <f aca="false">(DH83+DH59+DH62+DH113)*(DH$4&gt;In_COD)-($E132+$I62)*DH14</f>
        <v>2116.20284972323</v>
      </c>
      <c r="DI140" s="48" t="n">
        <f aca="false">(DI83+DI59+DI62+DI113)*(DI$4&gt;In_COD)-($E132+$I62)*DI14</f>
        <v>2139.45782609381</v>
      </c>
      <c r="DJ140" s="48" t="n">
        <f aca="false">(DJ83+DJ59+DJ62+DJ113)*(DJ$4&gt;In_COD)-($E132+$I62)*DJ14</f>
        <v>2131.26763373715</v>
      </c>
      <c r="DK140" s="48" t="n">
        <f aca="false">(DK83+DK59+DK62+DK113)*(DK$4&gt;In_COD)-($E132+$I62)*DK14</f>
        <v>2094.22922134031</v>
      </c>
      <c r="DL140" s="48" t="n">
        <f aca="false">(DL83+DL59+DL62+DL113)*(DL$4&gt;In_COD)-($E132+$I62)*DL14</f>
        <v>2117.49843491076</v>
      </c>
      <c r="DM140" s="48" t="n">
        <f aca="false">(DM83+DM59+DM62+DM113)*(DM$4&gt;In_COD)-($E132+$I62)*DM14</f>
        <v>2140.76764848121</v>
      </c>
      <c r="DN140" s="48" t="n">
        <f aca="false">(DN83+DN59+DN62+DN113)*(DN$4&gt;In_COD)-($E132+$I62)*DN14</f>
        <v>2132.52923118543</v>
      </c>
      <c r="DO140" s="48" t="n">
        <f aca="false">(DO83+DO59+DO62+DO113)*(DO$4&gt;In_COD)-($E132+$I62)*DO14</f>
        <v>2095.17525809415</v>
      </c>
      <c r="DP140" s="48" t="n">
        <f aca="false">(DP83+DP59+DP62+DP113)*(DP$4&gt;In_COD)-($E132+$I62)*DP14</f>
        <v>2118.45498318409</v>
      </c>
      <c r="DQ140" s="48" t="n">
        <f aca="false">(DQ83+DQ59+DQ62+DQ113)*(DQ$4&gt;In_COD)-($E132+$I62)*DQ14</f>
        <v>2141.73470827402</v>
      </c>
      <c r="DR140" s="48" t="n">
        <f aca="false">(DR83+DR59+DR62+DR113)*(DR$4&gt;In_COD)-($E132+$I62)*DR14</f>
        <v>2133.4479869401</v>
      </c>
      <c r="DS140" s="48" t="n">
        <f aca="false">(DS83+DS59+DS62+DS113)*(DS$4&gt;In_COD)-($E132+$I62)*DS14</f>
        <v>2095.77535956</v>
      </c>
      <c r="DT140" s="48" t="n">
        <f aca="false">(DT83+DT59+DT62+DT113)*(DT$4&gt;In_COD)-($E132+$I62)*DT14</f>
        <v>2119.061752444</v>
      </c>
      <c r="DU140" s="48" t="n">
        <f aca="false">(DU83+DU59+DU62+DU113)*(DU$4&gt;In_COD)-($E132+$I62)*DU14</f>
        <v>2142.348145328</v>
      </c>
      <c r="DV140" s="48" t="n">
        <f aca="false">(DV83+DV59+DV62+DV113)*(DV$4&gt;In_COD)-($E132+$I62)*DV14</f>
        <v>2134.01304575269</v>
      </c>
      <c r="DW140" s="48" t="n">
        <f aca="false">(DW83+DW59+DW62+DW113)*(DW$4&gt;In_COD)-($E132+$I62)*DW14</f>
        <v>2119.30772157993</v>
      </c>
      <c r="DX140" s="48" t="n">
        <f aca="false">(DX83+DX59+DX62+DX113)*(DX$4&gt;In_COD)-($E132+$I62)*DX14</f>
        <v>2119.30772157993</v>
      </c>
      <c r="DY140" s="48" t="n">
        <f aca="false">(DY83+DY59+DY62+DY113)*(DY$4&gt;In_COD)-($E132+$I62)*DY14</f>
        <v>2142.59681742147</v>
      </c>
      <c r="DZ140" s="48" t="n">
        <f aca="false">(DZ83+DZ59+DZ62+DZ113)*(DZ$4&gt;In_COD)-($E132+$I62)*DZ14</f>
        <v>2134.2132704514</v>
      </c>
      <c r="EA140" s="48" t="n">
        <f aca="false">(EA83+EA59+EA62+EA113)*(EA$4&gt;In_COD)-($E132+$I62)*EA14</f>
        <v>2095.89387383467</v>
      </c>
      <c r="EB140" s="48" t="n">
        <f aca="false">(EB83+EB59+EB62+EB113)*(EB$4&gt;In_COD)-($E132+$I62)*EB14</f>
        <v>2119.18158354395</v>
      </c>
      <c r="EC140" s="48" t="n">
        <f aca="false">(EC83+EC59+EC62+EC113)*(EC$4&gt;In_COD)-($E132+$I62)*EC14</f>
        <v>2142.46929325322</v>
      </c>
      <c r="ED140" s="48" t="n">
        <f aca="false">(ED83+ED59+ED62+ED113)*(ED$4&gt;In_COD)-($E132+$I62)*ED14</f>
        <v>2134.03723494271</v>
      </c>
      <c r="EE140" s="48" t="n">
        <f aca="false">(EE83+EE59+EE62+EE113)*(EE$4&gt;In_COD)-($E132+$I62)*EE14</f>
        <v>2095.38963124086</v>
      </c>
      <c r="EF140" s="48" t="n">
        <f aca="false">(EF83+EF59+EF62+EF113)*(EF$4&gt;In_COD)-($E132+$I62)*EF14</f>
        <v>2118.67173825464</v>
      </c>
      <c r="EG140" s="48" t="n">
        <f aca="false">(EG83+EG59+EG62+EG113)*(EG$4&gt;In_COD)-($E132+$I62)*EG14</f>
        <v>2141.95384526843</v>
      </c>
      <c r="EH140" s="48" t="n">
        <f aca="false">(EH83+EH59+EH62+EH113)*(EH$4&gt;In_COD)-($E132+$I62)*EH14</f>
        <v>2133.47321704111</v>
      </c>
      <c r="EI140" s="48" t="n">
        <f aca="false">(EI83+EI59+EI62+EI113)*(EI$4&gt;In_COD)-($E132+$I62)*EI14</f>
        <v>2094.49412834513</v>
      </c>
      <c r="EJ140" s="48" t="n">
        <f aca="false">(EJ83+EJ59+EJ62+EJ113)*(EJ$4&gt;In_COD)-($E132+$I62)*EJ14</f>
        <v>2117.76628532674</v>
      </c>
      <c r="EK140" s="48" t="n">
        <f aca="false">(EK83+EK59+EK62+EK113)*(EK$4&gt;In_COD)-($E132+$I62)*EK14</f>
        <v>2141.03844230835</v>
      </c>
      <c r="EL140" s="48" t="n">
        <f aca="false">(EL83+EL59+EL62+EL113)*(EL$4&gt;In_COD)-($E132+$I62)*EL14</f>
        <v>2132.50919112262</v>
      </c>
      <c r="EM140" s="48" t="n">
        <f aca="false">(EM83+EM59+EM62+EM113)*(EM$4&gt;In_COD)-($E132+$I62)*EM14</f>
        <v>2116.45301662203</v>
      </c>
      <c r="EN140" s="48" t="n">
        <f aca="false">(EN83+EN59+EN62+EN113)*(EN$4&gt;In_COD)-($E132+$I62)*EN14</f>
        <v>2116.45301662203</v>
      </c>
      <c r="EO140" s="48" t="n">
        <f aca="false">(EO83+EO59+EO62+EO113)*(EO$4&gt;In_COD)-($E132+$I62)*EO14</f>
        <v>2139.71074207941</v>
      </c>
    </row>
    <row r="141" customFormat="false" ht="15" hidden="false" customHeight="false" outlineLevel="0" collapsed="false">
      <c r="C141" s="25" t="s">
        <v>127</v>
      </c>
      <c r="D141" s="11" t="s">
        <v>27</v>
      </c>
      <c r="E141" s="33" t="n">
        <f aca="false">XIRR(INDEX($J140:$EO140,$E15):$EO140,INDEX($J$4:$EO$4,$E15):$EO$4)</f>
        <v>0.0569296881085371</v>
      </c>
    </row>
    <row r="142" customFormat="false" ht="15" hidden="false" customHeight="false" outlineLevel="0" collapsed="false">
      <c r="C142" s="0" t="s">
        <v>500</v>
      </c>
      <c r="D142" s="11" t="s">
        <v>33</v>
      </c>
      <c r="I142" s="48" t="n">
        <f aca="false">SUM(J142:EO142)</f>
        <v>107646.730003978</v>
      </c>
      <c r="J142" s="48" t="n">
        <f aca="false">J140+J94+J102+$E99*J14</f>
        <v>0</v>
      </c>
      <c r="K142" s="48" t="n">
        <f aca="false">K140+K94+K102+$E99*K14</f>
        <v>0</v>
      </c>
      <c r="L142" s="48" t="n">
        <f aca="false">L140+L94+L102+$E99*L14</f>
        <v>0</v>
      </c>
      <c r="M142" s="48" t="n">
        <f aca="false">M140+M94+M102+$E99*M14</f>
        <v>0</v>
      </c>
      <c r="N142" s="48" t="n">
        <f aca="false">N140+N94+N102+$E99*N14</f>
        <v>0</v>
      </c>
      <c r="O142" s="48" t="n">
        <f aca="false">O140+O94+O102+$E99*O14</f>
        <v>0</v>
      </c>
      <c r="P142" s="48" t="n">
        <f aca="false">P140+P94+P102+$E99*P14</f>
        <v>0</v>
      </c>
      <c r="Q142" s="48" t="n">
        <f aca="false">Q140+Q94+Q102+$E99*Q14</f>
        <v>0</v>
      </c>
      <c r="R142" s="48" t="n">
        <f aca="false">R140+R94+R102+$E99*R14</f>
        <v>0</v>
      </c>
      <c r="S142" s="48" t="n">
        <f aca="false">S140+S94+S102+$E99*S14</f>
        <v>0</v>
      </c>
      <c r="T142" s="48" t="n">
        <f aca="false">T140+T94+T102+$E99*T14</f>
        <v>0</v>
      </c>
      <c r="U142" s="48" t="n">
        <f aca="false">U140+U94+U102+$E99*U14</f>
        <v>0</v>
      </c>
      <c r="V142" s="48" t="n">
        <f aca="false">V140+V94+V102+$E99*V14</f>
        <v>0</v>
      </c>
      <c r="W142" s="48" t="n">
        <f aca="false">W140+W94+W102+$E99*W14</f>
        <v>0</v>
      </c>
      <c r="X142" s="48" t="n">
        <f aca="false">X140+X94+X102+$E99*X14</f>
        <v>0</v>
      </c>
      <c r="Y142" s="48" t="n">
        <f aca="false">Y140+Y94+Y102+$E99*Y14</f>
        <v>-76328.0048809103</v>
      </c>
      <c r="Z142" s="48" t="n">
        <f aca="false">Z140+Z94+Z102+$E99*Z14</f>
        <v>1098.40578515128</v>
      </c>
      <c r="AA142" s="48" t="n">
        <f aca="false">AA140+AA94+AA102+$E99*AA14</f>
        <v>1081.72791375292</v>
      </c>
      <c r="AB142" s="48" t="n">
        <f aca="false">AB140+AB94+AB102+$E99*AB14</f>
        <v>1093.24384715404</v>
      </c>
      <c r="AC142" s="48" t="n">
        <f aca="false">AC140+AC94+AC102+$E99*AC14</f>
        <v>1104.75132351913</v>
      </c>
      <c r="AD142" s="48" t="n">
        <f aca="false">AD140+AD94+AD102+$E99*AD14</f>
        <v>1100.84427104546</v>
      </c>
      <c r="AE142" s="48" t="n">
        <f aca="false">AE140+AE94+AE102+$E99*AE14</f>
        <v>1095.79185317534</v>
      </c>
      <c r="AF142" s="48" t="n">
        <f aca="false">AF140+AF94+AF102+$E99*AF14</f>
        <v>1095.55589827955</v>
      </c>
      <c r="AG142" s="48" t="n">
        <f aca="false">AG140+AG94+AG102+$E99*AG14</f>
        <v>1107.0862215366</v>
      </c>
      <c r="AH142" s="48" t="n">
        <f aca="false">AH140+AH94+AH102+$E99*AH14</f>
        <v>1103.14290983876</v>
      </c>
      <c r="AI142" s="48" t="n">
        <f aca="false">AI140+AI94+AI102+$E99*AI14</f>
        <v>1086.17591649836</v>
      </c>
      <c r="AJ142" s="48" t="n">
        <f aca="false">AJ140+AJ94+AJ102+$E99*AJ14</f>
        <v>1112.10544454599</v>
      </c>
      <c r="AK142" s="48" t="n">
        <f aca="false">AK140+AK94+AK102+$E99*AK14</f>
        <v>1123.8079068304</v>
      </c>
      <c r="AL142" s="48" t="n">
        <f aca="false">AL140+AL94+AL102+$E99*AL14</f>
        <v>1107.06068581406</v>
      </c>
      <c r="AM142" s="48" t="n">
        <f aca="false">AM140+AM94+AM102+$E99*AM14</f>
        <v>1089.6038219521</v>
      </c>
      <c r="AN142" s="48" t="n">
        <f aca="false">AN140+AN94+AN102+$E99*AN14</f>
        <v>1100.68804372201</v>
      </c>
      <c r="AO142" s="48" t="n">
        <f aca="false">AO140+AO94+AO102+$E99*AO14</f>
        <v>1111.75477142252</v>
      </c>
      <c r="AP142" s="48" t="n">
        <f aca="false">AP140+AP94+AP102+$E99*AP14</f>
        <v>1107.76456641319</v>
      </c>
      <c r="AQ142" s="48" t="n">
        <f aca="false">AQ140+AQ94+AQ102+$E99*AQ14</f>
        <v>1090.15660440609</v>
      </c>
      <c r="AR142" s="48" t="n">
        <f aca="false">AR140+AR94+AR102+$E99*AR14</f>
        <v>1101.24342529901</v>
      </c>
      <c r="AS142" s="48" t="n">
        <f aca="false">AS140+AS94+AS102+$E99*AS14</f>
        <v>1112.31240604173</v>
      </c>
      <c r="AT142" s="48" t="n">
        <f aca="false">AT140+AT94+AT102+$E99*AT14</f>
        <v>1108.27241763657</v>
      </c>
      <c r="AU142" s="48" t="n">
        <f aca="false">AU140+AU94+AU102+$E99*AU14</f>
        <v>1102.1703409697</v>
      </c>
      <c r="AV142" s="48" t="n">
        <f aca="false">AV140+AV94+AV102+$E99*AV14</f>
        <v>1101.58669010781</v>
      </c>
      <c r="AW142" s="48" t="n">
        <f aca="false">AW140+AW94+AW102+$E99*AW14</f>
        <v>1112.65561577926</v>
      </c>
      <c r="AX142" s="48" t="n">
        <f aca="false">AX140+AX94+AX102+$E99*AX14</f>
        <v>1108.56441330603</v>
      </c>
      <c r="AY142" s="48" t="n">
        <f aca="false">AY140+AY94+AY102+$E99*AY14</f>
        <v>1090.64712985863</v>
      </c>
      <c r="AZ142" s="48" t="n">
        <f aca="false">AZ140+AZ94+AZ102+$E99*AZ14</f>
        <v>1101.73243814811</v>
      </c>
      <c r="BA142" s="48" t="n">
        <f aca="false">BA140+BA94+BA102+$E99*BA14</f>
        <v>1112.79917335198</v>
      </c>
      <c r="BB142" s="48" t="n">
        <f aca="false">BB140+BB94+BB102+$E99*BB14</f>
        <v>1108.65553719095</v>
      </c>
      <c r="BC142" s="48" t="n">
        <f aca="false">BC140+BC94+BC102+$E99*BC14</f>
        <v>1090.58002372682</v>
      </c>
      <c r="BD142" s="48" t="n">
        <f aca="false">BD140+BD94+BD102+$E99*BD14</f>
        <v>1101.66117328943</v>
      </c>
      <c r="BE142" s="48" t="n">
        <f aca="false">BE140+BE94+BE102+$E99*BE14</f>
        <v>1112.72336324932</v>
      </c>
      <c r="BF142" s="48" t="n">
        <f aca="false">BF140+BF94+BF102+$E99*BF14</f>
        <v>1108.52588920674</v>
      </c>
      <c r="BG142" s="48" t="n">
        <f aca="false">BG140+BG94+BG102+$E99*BG14</f>
        <v>1090.2896286824</v>
      </c>
      <c r="BH142" s="48" t="n">
        <f aca="false">BH140+BH94+BH102+$E99*BH14</f>
        <v>1101.36418423723</v>
      </c>
      <c r="BI142" s="48" t="n">
        <f aca="false">BI140+BI94+BI102+$E99*BI14</f>
        <v>1112.41937898985</v>
      </c>
      <c r="BJ142" s="48" t="n">
        <f aca="false">BJ140+BJ94+BJ102+$E99*BJ14</f>
        <v>1108.16660492535</v>
      </c>
      <c r="BK142" s="48" t="n">
        <f aca="false">BK140+BK94+BK102+$E99*BK14</f>
        <v>1101.53246495037</v>
      </c>
      <c r="BL142" s="48" t="n">
        <f aca="false">BL140+BL94+BL102+$E99*BL14</f>
        <v>1100.82070836572</v>
      </c>
      <c r="BM142" s="48" t="n">
        <f aca="false">BM140+BM94+BM102+$E99*BM14</f>
        <v>1111.86622426193</v>
      </c>
      <c r="BN142" s="48" t="n">
        <f aca="false">BN140+BN94+BN102+$E99*BN14</f>
        <v>1107.55649102706</v>
      </c>
      <c r="BO142" s="48" t="n">
        <f aca="false">BO140+BO94+BO102+$E99*BO14</f>
        <v>1088.99074223863</v>
      </c>
      <c r="BP142" s="48" t="n">
        <f aca="false">BP140+BP94+BP102+$E99*BP14</f>
        <v>1100.04426800226</v>
      </c>
      <c r="BQ142" s="48" t="n">
        <f aca="false">BQ140+BQ94+BQ102+$E99*BQ14</f>
        <v>1111.07758223995</v>
      </c>
      <c r="BR142" s="48" t="n">
        <f aca="false">BR140+BR94+BR102+$E99*BR14</f>
        <v>1106.70943380585</v>
      </c>
      <c r="BS142" s="48" t="n">
        <f aca="false">BS140+BS94+BS102+$E99*BS14</f>
        <v>1087.97491519739</v>
      </c>
      <c r="BT142" s="48" t="n">
        <f aca="false">BT140+BT94+BT102+$E99*BT14</f>
        <v>1099.01393054349</v>
      </c>
      <c r="BU142" s="48" t="n">
        <f aca="false">BU140+BU94+BU102+$E99*BU14</f>
        <v>1110.03228495603</v>
      </c>
      <c r="BV142" s="48" t="n">
        <f aca="false">BV140+BV94+BV102+$E99*BV14</f>
        <v>1105.60406872681</v>
      </c>
      <c r="BW142" s="48" t="n">
        <f aca="false">BW140+BW94+BW102+$E99*BW14</f>
        <v>1086.697942384</v>
      </c>
      <c r="BX142" s="48" t="n">
        <f aca="false">BX140+BX94+BX102+$E99*BX14</f>
        <v>1097.71959605499</v>
      </c>
      <c r="BY142" s="48" t="n">
        <f aca="false">BY140+BY94+BY102+$E99*BY14</f>
        <v>1108.72012186812</v>
      </c>
      <c r="BZ142" s="48" t="n">
        <f aca="false">BZ140+BZ94+BZ102+$E99*BZ14</f>
        <v>1104.23011598256</v>
      </c>
      <c r="CA142" s="48" t="n">
        <f aca="false">CA140+CA94+CA102+$E99*CA14</f>
        <v>1097.0027843425</v>
      </c>
      <c r="CB142" s="48" t="n">
        <f aca="false">CB140+CB94+CB102+$E99*CB14</f>
        <v>1096.13897021459</v>
      </c>
      <c r="CC142" s="48" t="n">
        <f aca="false">CC140+CC94+CC102+$E99*CC14</f>
        <v>1107.11854791564</v>
      </c>
      <c r="CD142" s="48" t="n">
        <f aca="false">CD140+CD94+CD102+$E99*CD14</f>
        <v>1102.56482064173</v>
      </c>
      <c r="CE142" s="48" t="n">
        <f aca="false">CE140+CE94+CE102+$E99*CE14</f>
        <v>1083.30646911969</v>
      </c>
      <c r="CF142" s="48" t="n">
        <f aca="false">CF140+CF94+CF102+$E99*CF14</f>
        <v>1094.28424439193</v>
      </c>
      <c r="CG142" s="48" t="n">
        <f aca="false">CG140+CG94+CG102+$E99*CG14</f>
        <v>1105.23990058599</v>
      </c>
      <c r="CH142" s="48" t="n">
        <f aca="false">CH140+CH94+CH102+$E99*CH14</f>
        <v>1100.62071290789</v>
      </c>
      <c r="CI142" s="48" t="n">
        <f aca="false">CI140+CI94+CI102+$E99*CI14</f>
        <v>1081.18168891337</v>
      </c>
      <c r="CJ142" s="48" t="n">
        <f aca="false">CJ140+CJ94+CJ102+$E99*CJ14</f>
        <v>1092.13284003057</v>
      </c>
      <c r="CK142" s="48" t="n">
        <f aca="false">CK140+CK94+CK102+$E99*CK14</f>
        <v>1103.06134761992</v>
      </c>
      <c r="CL142" s="48" t="n">
        <f aca="false">CL140+CL94+CL102+$E99*CL14</f>
        <v>1098.37475001268</v>
      </c>
      <c r="CM142" s="48" t="n">
        <f aca="false">CM140+CM94+CM102+$E99*CM14</f>
        <v>1078.75183991846</v>
      </c>
      <c r="CN142" s="48" t="n">
        <f aca="false">CN140+CN94+CN102+$E99*CN14</f>
        <v>1089.67303200563</v>
      </c>
      <c r="CO142" s="48" t="n">
        <f aca="false">CO140+CO94+CO102+$E99*CO14</f>
        <v>1100.5710352003</v>
      </c>
      <c r="CP142" s="48" t="n">
        <f aca="false">CP140+CP94+CP102+$E99*CP14</f>
        <v>1095.8149953028</v>
      </c>
      <c r="CQ142" s="48" t="n">
        <f aca="false">CQ140+CQ94+CQ102+$E99*CQ14</f>
        <v>1087.92514514623</v>
      </c>
      <c r="CR142" s="48" t="n">
        <f aca="false">CR140+CR94+CR102+$E99*CR14</f>
        <v>1086.88076853291</v>
      </c>
      <c r="CS142" s="48" t="n">
        <f aca="false">CS140+CS94+CS102+$E99*CS14</f>
        <v>2343.74717344578</v>
      </c>
      <c r="CT142" s="48" t="n">
        <f aca="false">CT140+CT94+CT102+$E99*CT14</f>
        <v>2332.6929896636</v>
      </c>
      <c r="CU142" s="48" t="n">
        <f aca="false">CU140+CU94+CU102+$E99*CU14</f>
        <v>2292.32821604218</v>
      </c>
      <c r="CV142" s="48" t="n">
        <f aca="false">CV140+CV94+CV102+$E99*CV14</f>
        <v>2317.79852955376</v>
      </c>
      <c r="CW142" s="48" t="n">
        <f aca="false">CW140+CW94+CW102+$E99*CW14</f>
        <v>2343.26884306534</v>
      </c>
      <c r="CX142" s="48" t="n">
        <f aca="false">CX140+CX94+CX102+$E99*CX14</f>
        <v>2335.22280421056</v>
      </c>
      <c r="CY142" s="48" t="n">
        <f aca="false">CY140+CY94+CY102+$E99*CY14</f>
        <v>2294.55441353347</v>
      </c>
      <c r="CZ142" s="48" t="n">
        <f aca="false">CZ140+CZ94+CZ102+$E99*CZ14</f>
        <v>2320.04946257273</v>
      </c>
      <c r="DA142" s="48" t="n">
        <f aca="false">DA140+DA94+DA102+$E99*DA14</f>
        <v>2345.54451161199</v>
      </c>
      <c r="DB142" s="48" t="n">
        <f aca="false">DB140+DB94+DB102+$E99*DB14</f>
        <v>2127.75796595667</v>
      </c>
      <c r="DC142" s="48" t="n">
        <f aca="false">DC140+DC94+DC102+$E99*DC14</f>
        <v>2091.34156892558</v>
      </c>
      <c r="DD142" s="48" t="n">
        <f aca="false">DD140+DD94+DD102+$E99*DD14</f>
        <v>2114.5786974692</v>
      </c>
      <c r="DE142" s="48" t="n">
        <f aca="false">DE140+DE94+DE102+$E99*DE14</f>
        <v>2137.81582601281</v>
      </c>
      <c r="DF142" s="48" t="n">
        <f aca="false">DF140+DF94+DF102+$E99*DF14</f>
        <v>2129.67377475099</v>
      </c>
      <c r="DG142" s="48" t="n">
        <f aca="false">DG140+DG94+DG102+$E99*DG14</f>
        <v>2116.20284972323</v>
      </c>
      <c r="DH142" s="48" t="n">
        <f aca="false">DH140+DH94+DH102+$E99*DH14</f>
        <v>2116.20284972323</v>
      </c>
      <c r="DI142" s="48" t="n">
        <f aca="false">DI140+DI94+DI102+$E99*DI14</f>
        <v>2139.45782609381</v>
      </c>
      <c r="DJ142" s="48" t="n">
        <f aca="false">DJ140+DJ94+DJ102+$E99*DJ14</f>
        <v>2131.26763373715</v>
      </c>
      <c r="DK142" s="48" t="n">
        <f aca="false">DK140+DK94+DK102+$E99*DK14</f>
        <v>2094.22922134031</v>
      </c>
      <c r="DL142" s="48" t="n">
        <f aca="false">DL140+DL94+DL102+$E99*DL14</f>
        <v>2117.49843491076</v>
      </c>
      <c r="DM142" s="48" t="n">
        <f aca="false">DM140+DM94+DM102+$E99*DM14</f>
        <v>2140.76764848121</v>
      </c>
      <c r="DN142" s="48" t="n">
        <f aca="false">DN140+DN94+DN102+$E99*DN14</f>
        <v>2132.52923118543</v>
      </c>
      <c r="DO142" s="48" t="n">
        <f aca="false">DO140+DO94+DO102+$E99*DO14</f>
        <v>2095.17525809415</v>
      </c>
      <c r="DP142" s="48" t="n">
        <f aca="false">DP140+DP94+DP102+$E99*DP14</f>
        <v>2118.45498318409</v>
      </c>
      <c r="DQ142" s="48" t="n">
        <f aca="false">DQ140+DQ94+DQ102+$E99*DQ14</f>
        <v>2141.73470827402</v>
      </c>
      <c r="DR142" s="48" t="n">
        <f aca="false">DR140+DR94+DR102+$E99*DR14</f>
        <v>2133.4479869401</v>
      </c>
      <c r="DS142" s="48" t="n">
        <f aca="false">DS140+DS94+DS102+$E99*DS14</f>
        <v>2095.77535956</v>
      </c>
      <c r="DT142" s="48" t="n">
        <f aca="false">DT140+DT94+DT102+$E99*DT14</f>
        <v>2119.061752444</v>
      </c>
      <c r="DU142" s="48" t="n">
        <f aca="false">DU140+DU94+DU102+$E99*DU14</f>
        <v>2142.348145328</v>
      </c>
      <c r="DV142" s="48" t="n">
        <f aca="false">DV140+DV94+DV102+$E99*DV14</f>
        <v>2134.01304575269</v>
      </c>
      <c r="DW142" s="48" t="n">
        <f aca="false">DW140+DW94+DW102+$E99*DW14</f>
        <v>2119.30772157993</v>
      </c>
      <c r="DX142" s="48" t="n">
        <f aca="false">DX140+DX94+DX102+$E99*DX14</f>
        <v>2119.30772157993</v>
      </c>
      <c r="DY142" s="48" t="n">
        <f aca="false">DY140+DY94+DY102+$E99*DY14</f>
        <v>2142.59681742147</v>
      </c>
      <c r="DZ142" s="48" t="n">
        <f aca="false">DZ140+DZ94+DZ102+$E99*DZ14</f>
        <v>2134.2132704514</v>
      </c>
      <c r="EA142" s="48" t="n">
        <f aca="false">EA140+EA94+EA102+$E99*EA14</f>
        <v>2095.89387383467</v>
      </c>
      <c r="EB142" s="48" t="n">
        <f aca="false">EB140+EB94+EB102+$E99*EB14</f>
        <v>2119.18158354395</v>
      </c>
      <c r="EC142" s="48" t="n">
        <f aca="false">EC140+EC94+EC102+$E99*EC14</f>
        <v>2142.46929325322</v>
      </c>
      <c r="ED142" s="48" t="n">
        <f aca="false">ED140+ED94+ED102+$E99*ED14</f>
        <v>2134.03723494271</v>
      </c>
      <c r="EE142" s="48" t="n">
        <f aca="false">EE140+EE94+EE102+$E99*EE14</f>
        <v>2095.38963124086</v>
      </c>
      <c r="EF142" s="48" t="n">
        <f aca="false">EF140+EF94+EF102+$E99*EF14</f>
        <v>2118.67173825464</v>
      </c>
      <c r="EG142" s="48" t="n">
        <f aca="false">EG140+EG94+EG102+$E99*EG14</f>
        <v>2141.95384526843</v>
      </c>
      <c r="EH142" s="48" t="n">
        <f aca="false">EH140+EH94+EH102+$E99*EH14</f>
        <v>2133.47321704111</v>
      </c>
      <c r="EI142" s="48" t="n">
        <f aca="false">EI140+EI94+EI102+$E99*EI14</f>
        <v>2094.49412834513</v>
      </c>
      <c r="EJ142" s="48" t="n">
        <f aca="false">EJ140+EJ94+EJ102+$E99*EJ14</f>
        <v>2117.76628532674</v>
      </c>
      <c r="EK142" s="48" t="n">
        <f aca="false">EK140+EK94+EK102+$E99*EK14</f>
        <v>2141.03844230835</v>
      </c>
      <c r="EL142" s="48" t="n">
        <f aca="false">EL140+EL94+EL102+$E99*EL14</f>
        <v>2132.50919112262</v>
      </c>
      <c r="EM142" s="48" t="n">
        <f aca="false">EM140+EM94+EM102+$E99*EM14</f>
        <v>2116.45301662203</v>
      </c>
      <c r="EN142" s="48" t="n">
        <f aca="false">EN140+EN94+EN102+$E99*EN14</f>
        <v>2116.45301662203</v>
      </c>
      <c r="EO142" s="48" t="n">
        <f aca="false">EO140+EO94+EO102+$E99*EO14</f>
        <v>2139.71074207941</v>
      </c>
    </row>
    <row r="143" customFormat="false" ht="15" hidden="false" customHeight="false" outlineLevel="0" collapsed="false">
      <c r="C143" s="25" t="s">
        <v>501</v>
      </c>
      <c r="D143" s="11" t="s">
        <v>27</v>
      </c>
      <c r="E143" s="33" t="n">
        <f aca="false">XIRR(INDEX($J142:$EO142,$E15):$EO142,INDEX($J$4:$EO$4,$E15):$EO$4)</f>
        <v>0.0587523414590003</v>
      </c>
    </row>
    <row r="145" customFormat="false" ht="15" hidden="false" customHeight="false" outlineLevel="0" collapsed="false">
      <c r="A145" s="9" t="s">
        <v>13</v>
      </c>
      <c r="B145" s="9"/>
      <c r="C145" s="9" t="s">
        <v>502</v>
      </c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</row>
    <row r="146" customFormat="false" ht="15" hidden="false" customHeight="false" outlineLevel="0" collapsed="false">
      <c r="C146" s="0" t="s">
        <v>503</v>
      </c>
      <c r="D146" s="11" t="s">
        <v>33</v>
      </c>
      <c r="I146" s="48" t="n">
        <f aca="false">SUM(J146:EO146)</f>
        <v>163373.567036167</v>
      </c>
      <c r="J146" s="48" t="n">
        <f aca="false">J63+J70+J83+J62+J113</f>
        <v>-4662.80993807469</v>
      </c>
      <c r="K146" s="48" t="n">
        <f aca="false">K63+K70+K83+K62+K113</f>
        <v>-706.535577057768</v>
      </c>
      <c r="L146" s="48" t="n">
        <f aca="false">L63+L70+L83+L62+L113</f>
        <v>-104.360496659404</v>
      </c>
      <c r="M146" s="48" t="n">
        <f aca="false">M63+M70+M83+M62+M113</f>
        <v>-105.507315304013</v>
      </c>
      <c r="N146" s="48" t="n">
        <f aca="false">N63+N70+N83+N62+N113</f>
        <v>-105.507315304013</v>
      </c>
      <c r="O146" s="48" t="n">
        <f aca="false">O63+O70+O83+O62+O113</f>
        <v>-104.360496659404</v>
      </c>
      <c r="P146" s="48" t="n">
        <f aca="false">P63+P70+P83+P62+P113</f>
        <v>-104.360496659404</v>
      </c>
      <c r="Q146" s="48" t="n">
        <f aca="false">Q63+Q70+Q83+Q62+Q113</f>
        <v>-105.507315304013</v>
      </c>
      <c r="R146" s="48" t="n">
        <f aca="false">R63+R70+R83+R62+R113</f>
        <v>-11665.0361901012</v>
      </c>
      <c r="S146" s="48" t="n">
        <f aca="false">S63+S70+S83+S62+S113</f>
        <v>-19567.2881157404</v>
      </c>
      <c r="T146" s="48" t="n">
        <f aca="false">T63+T70+T83+T62+T113</f>
        <v>-11539.2701313338</v>
      </c>
      <c r="U146" s="48" t="n">
        <f aca="false">U63+U70+U83+U62+U113</f>
        <v>-11666.0752976122</v>
      </c>
      <c r="V146" s="48" t="n">
        <f aca="false">V63+V70+V83+V62+V113</f>
        <v>-11666.0752976122</v>
      </c>
      <c r="W146" s="48" t="n">
        <f aca="false">W63+W70+W83+W62+W113</f>
        <v>-11413.5068962282</v>
      </c>
      <c r="X146" s="48" t="n">
        <f aca="false">X63+X70+X83+X62+X113</f>
        <v>-11540.3236395196</v>
      </c>
      <c r="Y146" s="48" t="n">
        <f aca="false">Y63+Y70+Y83+Y62+Y113</f>
        <v>-14167.140382811</v>
      </c>
      <c r="Z146" s="48" t="n">
        <f aca="false">Z63+Z70+Z83+Z62+Z113</f>
        <v>2344.40831738351</v>
      </c>
      <c r="AA146" s="48" t="n">
        <f aca="false">AA63+AA70+AA83+AA62+AA113</f>
        <v>2308.81150885312</v>
      </c>
      <c r="AB146" s="48" t="n">
        <f aca="false">AB63+AB70+AB83+AB62+AB113</f>
        <v>2333.39081316204</v>
      </c>
      <c r="AC146" s="48" t="n">
        <f aca="false">AC63+AC70+AC83+AC62+AC113</f>
        <v>2357.95206699645</v>
      </c>
      <c r="AD146" s="48" t="n">
        <f aca="false">AD63+AD70+AD83+AD62+AD113</f>
        <v>2349.61295731616</v>
      </c>
      <c r="AE146" s="48" t="n">
        <f aca="false">AE63+AE70+AE83+AE62+AE113</f>
        <v>2338.82920996355</v>
      </c>
      <c r="AF146" s="48" t="n">
        <f aca="false">AF63+AF70+AF83+AF62+AF113</f>
        <v>2338.32559406147</v>
      </c>
      <c r="AG146" s="48" t="n">
        <f aca="false">AG63+AG70+AG83+AG62+AG113</f>
        <v>2362.93561169908</v>
      </c>
      <c r="AH146" s="48" t="n">
        <f aca="false">AH63+AH70+AH83+AH62+AH113</f>
        <v>2354.51911128773</v>
      </c>
      <c r="AI146" s="48" t="n">
        <f aca="false">AI63+AI70+AI83+AI62+AI113</f>
        <v>2318.30520851514</v>
      </c>
      <c r="AJ146" s="48" t="n">
        <f aca="false">AJ63+AJ70+AJ83+AJ62+AJ113</f>
        <v>2373.64850881669</v>
      </c>
      <c r="AK146" s="48" t="n">
        <f aca="false">AK63+AK70+AK83+AK62+AK113</f>
        <v>2398.62593545102</v>
      </c>
      <c r="AL146" s="48" t="n">
        <f aca="false">AL63+AL70+AL83+AL62+AL113</f>
        <v>2362.88110892522</v>
      </c>
      <c r="AM146" s="48" t="n">
        <f aca="false">AM63+AM70+AM83+AM62+AM113</f>
        <v>2325.62163944069</v>
      </c>
      <c r="AN146" s="48" t="n">
        <f aca="false">AN63+AN70+AN83+AN62+AN113</f>
        <v>2349.2795098383</v>
      </c>
      <c r="AO146" s="48" t="n">
        <f aca="false">AO63+AO70+AO83+AO62+AO113</f>
        <v>2372.90004135594</v>
      </c>
      <c r="AP146" s="48" t="n">
        <f aca="false">AP63+AP70+AP83+AP62+AP113</f>
        <v>2364.38345309834</v>
      </c>
      <c r="AQ146" s="48" t="n">
        <f aca="false">AQ63+AQ70+AQ83+AQ62+AQ113</f>
        <v>2326.80148372092</v>
      </c>
      <c r="AR146" s="48" t="n">
        <f aca="false">AR63+AR70+AR83+AR62+AR113</f>
        <v>2350.46490161818</v>
      </c>
      <c r="AS146" s="48" t="n">
        <f aca="false">AS63+AS70+AS83+AS62+AS113</f>
        <v>2374.09024196972</v>
      </c>
      <c r="AT146" s="48" t="n">
        <f aca="false">AT63+AT70+AT83+AT62+AT113</f>
        <v>2365.46739734611</v>
      </c>
      <c r="AU146" s="48" t="n">
        <f aca="false">AU63+AU70+AU83+AU62+AU113</f>
        <v>2352.44328596184</v>
      </c>
      <c r="AV146" s="48" t="n">
        <f aca="false">AV63+AV70+AV83+AV62+AV113</f>
        <v>2351.1975569668</v>
      </c>
      <c r="AW146" s="48" t="n">
        <f aca="false">AW63+AW70+AW83+AW62+AW113</f>
        <v>2374.82277977578</v>
      </c>
      <c r="AX146" s="48" t="n">
        <f aca="false">AX63+AX70+AX83+AX62+AX113</f>
        <v>2366.09062519704</v>
      </c>
      <c r="AY146" s="48" t="n">
        <f aca="false">AY63+AY70+AY83+AY62+AY113</f>
        <v>2327.84844830158</v>
      </c>
      <c r="AZ146" s="48" t="n">
        <f aca="false">AZ63+AZ70+AZ83+AZ62+AZ113</f>
        <v>2351.50863773812</v>
      </c>
      <c r="BA146" s="48" t="n">
        <f aca="false">BA63+BA70+BA83+BA62+BA113</f>
        <v>2375.12918527096</v>
      </c>
      <c r="BB146" s="48" t="n">
        <f aca="false">BB63+BB70+BB83+BB62+BB113</f>
        <v>2366.28511761292</v>
      </c>
      <c r="BC146" s="48" t="n">
        <f aca="false">BC63+BC70+BC83+BC62+BC113</f>
        <v>2327.70521874598</v>
      </c>
      <c r="BD146" s="48" t="n">
        <f aca="false">BD63+BD70+BD83+BD62+BD113</f>
        <v>2351.35653190569</v>
      </c>
      <c r="BE146" s="48" t="n">
        <f aca="false">BE63+BE70+BE83+BE62+BE113</f>
        <v>2374.96737818976</v>
      </c>
      <c r="BF146" s="48" t="n">
        <f aca="false">BF63+BF70+BF83+BF62+BF113</f>
        <v>2366.00840037831</v>
      </c>
      <c r="BG146" s="48" t="n">
        <f aca="false">BG63+BG70+BG83+BG62+BG113</f>
        <v>2327.08540722871</v>
      </c>
      <c r="BH146" s="48" t="n">
        <f aca="false">BH63+BH70+BH83+BH62+BH113</f>
        <v>2350.72264631226</v>
      </c>
      <c r="BI146" s="48" t="n">
        <f aca="false">BI63+BI70+BI83+BI62+BI113</f>
        <v>2374.31856221053</v>
      </c>
      <c r="BJ146" s="48" t="n">
        <f aca="false">BJ63+BJ70+BJ83+BJ62+BJ113</f>
        <v>2365.24155349184</v>
      </c>
      <c r="BK146" s="48" t="n">
        <f aca="false">BK63+BK70+BK83+BK62+BK113</f>
        <v>2351.08182022567</v>
      </c>
      <c r="BL146" s="48" t="n">
        <f aca="false">BL63+BL70+BL83+BL62+BL113</f>
        <v>2349.56266575715</v>
      </c>
      <c r="BM146" s="48" t="n">
        <f aca="false">BM63+BM70+BM83+BM62+BM113</f>
        <v>2373.13792335976</v>
      </c>
      <c r="BN146" s="48" t="n">
        <f aca="false">BN63+BN70+BN83+BN62+BN113</f>
        <v>2363.9393424911</v>
      </c>
      <c r="BO146" s="48" t="n">
        <f aca="false">BO63+BO70+BO83+BO62+BO113</f>
        <v>2324.31309828678</v>
      </c>
      <c r="BP146" s="48" t="n">
        <f aca="false">BP63+BP70+BP83+BP62+BP113</f>
        <v>2347.90545193894</v>
      </c>
      <c r="BQ146" s="48" t="n">
        <f aca="false">BQ63+BQ70+BQ83+BQ62+BQ113</f>
        <v>2371.45466664358</v>
      </c>
      <c r="BR146" s="48" t="n">
        <f aca="false">BR63+BR70+BR83+BR62+BR113</f>
        <v>2362.13140591538</v>
      </c>
      <c r="BS146" s="48" t="n">
        <f aca="false">BS63+BS70+BS83+BS62+BS113</f>
        <v>2322.1449438615</v>
      </c>
      <c r="BT146" s="48" t="n">
        <f aca="false">BT63+BT70+BT83+BT62+BT113</f>
        <v>2345.7063268614</v>
      </c>
      <c r="BU146" s="48" t="n">
        <f aca="false">BU63+BU70+BU83+BU62+BU113</f>
        <v>2369.22361170998</v>
      </c>
      <c r="BV146" s="48" t="n">
        <f aca="false">BV63+BV70+BV83+BV62+BV113</f>
        <v>2359.77214386518</v>
      </c>
      <c r="BW146" s="48" t="n">
        <f aca="false">BW63+BW70+BW83+BW62+BW113</f>
        <v>2319.4194067923</v>
      </c>
      <c r="BX146" s="48" t="n">
        <f aca="false">BX63+BX70+BX83+BX62+BX113</f>
        <v>2342.94373349099</v>
      </c>
      <c r="BY146" s="48" t="n">
        <f aca="false">BY63+BY70+BY83+BY62+BY113</f>
        <v>2366.42296544744</v>
      </c>
      <c r="BZ146" s="48" t="n">
        <f aca="false">BZ63+BZ70+BZ83+BZ62+BZ113</f>
        <v>2356.83961539091</v>
      </c>
      <c r="CA146" s="48" t="n">
        <f aca="false">CA63+CA70+CA83+CA62+CA113</f>
        <v>2341.41378949072</v>
      </c>
      <c r="CB146" s="48" t="n">
        <f aca="false">CB63+CB70+CB83+CB62+CB113</f>
        <v>2339.57008741487</v>
      </c>
      <c r="CC146" s="48" t="n">
        <f aca="false">CC63+CC70+CC83+CC62+CC113</f>
        <v>2363.0046082737</v>
      </c>
      <c r="CD146" s="48" t="n">
        <f aca="false">CD63+CD70+CD83+CD62+CD113</f>
        <v>2353.2852529676</v>
      </c>
      <c r="CE146" s="48" t="n">
        <f aca="false">CE63+CE70+CE83+CE62+CE113</f>
        <v>2312.18073576833</v>
      </c>
      <c r="CF146" s="48" t="n">
        <f aca="false">CF63+CF70+CF83+CF62+CF113</f>
        <v>2335.61140957064</v>
      </c>
      <c r="CG146" s="48" t="n">
        <f aca="false">CG63+CG70+CG83+CG62+CG113</f>
        <v>2358.99487299625</v>
      </c>
      <c r="CH146" s="48" t="n">
        <f aca="false">CH63+CH70+CH83+CH62+CH113</f>
        <v>2349.13580073107</v>
      </c>
      <c r="CI146" s="48" t="n">
        <f aca="false">CI63+CI70+CI83+CI62+CI113</f>
        <v>2307.645660975</v>
      </c>
      <c r="CJ146" s="48" t="n">
        <f aca="false">CJ63+CJ70+CJ83+CJ62+CJ113</f>
        <v>2331.01950888344</v>
      </c>
      <c r="CK146" s="48" t="n">
        <f aca="false">CK63+CK70+CK83+CK62+CK113</f>
        <v>2354.34502704363</v>
      </c>
      <c r="CL146" s="48" t="n">
        <f aca="false">CL63+CL70+CL83+CL62+CL113</f>
        <v>2344.3420768048</v>
      </c>
      <c r="CM146" s="48" t="n">
        <f aca="false">CM63+CM70+CM83+CM62+CM113</f>
        <v>2302.45945541085</v>
      </c>
      <c r="CN146" s="48" t="n">
        <f aca="false">CN63+CN70+CN83+CN62+CN113</f>
        <v>2325.76935955624</v>
      </c>
      <c r="CO146" s="48" t="n">
        <f aca="false">CO63+CO70+CO83+CO62+CO113</f>
        <v>2349.02976994152</v>
      </c>
      <c r="CP146" s="48" t="n">
        <f aca="false">CP63+CP70+CP83+CP62+CP113</f>
        <v>2338.87860391116</v>
      </c>
      <c r="CQ146" s="48" t="n">
        <f aca="false">CQ63+CQ70+CQ83+CQ62+CQ113</f>
        <v>2322.0387159751</v>
      </c>
      <c r="CR146" s="48" t="n">
        <f aca="false">CR63+CR70+CR83+CR62+CR113</f>
        <v>2319.80962609582</v>
      </c>
      <c r="CS146" s="48" t="n">
        <f aca="false">CS63+CS70+CS83+CS62+CS113</f>
        <v>2342.99718921276</v>
      </c>
      <c r="CT146" s="48" t="n">
        <f aca="false">CT63+CT70+CT83+CT62+CT113</f>
        <v>2332.6929896636</v>
      </c>
      <c r="CU146" s="48" t="n">
        <f aca="false">CU63+CU70+CU83+CU62+CU113</f>
        <v>2292.32821604218</v>
      </c>
      <c r="CV146" s="48" t="n">
        <f aca="false">CV63+CV70+CV83+CV62+CV113</f>
        <v>2317.79852955376</v>
      </c>
      <c r="CW146" s="48" t="n">
        <f aca="false">CW63+CW70+CW83+CW62+CW113</f>
        <v>2343.26884306534</v>
      </c>
      <c r="CX146" s="48" t="n">
        <f aca="false">CX63+CX70+CX83+CX62+CX113</f>
        <v>2335.22280421056</v>
      </c>
      <c r="CY146" s="48" t="n">
        <f aca="false">CY63+CY70+CY83+CY62+CY113</f>
        <v>2294.55441353347</v>
      </c>
      <c r="CZ146" s="48" t="n">
        <f aca="false">CZ63+CZ70+CZ83+CZ62+CZ113</f>
        <v>2320.04946257273</v>
      </c>
      <c r="DA146" s="48" t="n">
        <f aca="false">DA63+DA70+DA83+DA62+DA113</f>
        <v>2345.54451161199</v>
      </c>
      <c r="DB146" s="48" t="n">
        <f aca="false">DB63+DB70+DB83+DB62+DB113</f>
        <v>2127.75796595667</v>
      </c>
      <c r="DC146" s="48" t="n">
        <f aca="false">DC63+DC70+DC83+DC62+DC113</f>
        <v>2091.34156892558</v>
      </c>
      <c r="DD146" s="48" t="n">
        <f aca="false">DD63+DD70+DD83+DD62+DD113</f>
        <v>2114.5786974692</v>
      </c>
      <c r="DE146" s="48" t="n">
        <f aca="false">DE63+DE70+DE83+DE62+DE113</f>
        <v>2137.81582601281</v>
      </c>
      <c r="DF146" s="48" t="n">
        <f aca="false">DF63+DF70+DF83+DF62+DF113</f>
        <v>2129.67377475099</v>
      </c>
      <c r="DG146" s="48" t="n">
        <f aca="false">DG63+DG70+DG83+DG62+DG113</f>
        <v>2116.20284972323</v>
      </c>
      <c r="DH146" s="48" t="n">
        <f aca="false">DH63+DH70+DH83+DH62+DH113</f>
        <v>2116.20284972323</v>
      </c>
      <c r="DI146" s="48" t="n">
        <f aca="false">DI63+DI70+DI83+DI62+DI113</f>
        <v>2139.45782609381</v>
      </c>
      <c r="DJ146" s="48" t="n">
        <f aca="false">DJ63+DJ70+DJ83+DJ62+DJ113</f>
        <v>2131.26763373715</v>
      </c>
      <c r="DK146" s="48" t="n">
        <f aca="false">DK63+DK70+DK83+DK62+DK113</f>
        <v>2094.22922134031</v>
      </c>
      <c r="DL146" s="48" t="n">
        <f aca="false">DL63+DL70+DL83+DL62+DL113</f>
        <v>2117.49843491076</v>
      </c>
      <c r="DM146" s="48" t="n">
        <f aca="false">DM63+DM70+DM83+DM62+DM113</f>
        <v>2140.76764848121</v>
      </c>
      <c r="DN146" s="48" t="n">
        <f aca="false">DN63+DN70+DN83+DN62+DN113</f>
        <v>2132.52923118543</v>
      </c>
      <c r="DO146" s="48" t="n">
        <f aca="false">DO63+DO70+DO83+DO62+DO113</f>
        <v>2095.17525809415</v>
      </c>
      <c r="DP146" s="48" t="n">
        <f aca="false">DP63+DP70+DP83+DP62+DP113</f>
        <v>2118.45498318409</v>
      </c>
      <c r="DQ146" s="48" t="n">
        <f aca="false">DQ63+DQ70+DQ83+DQ62+DQ113</f>
        <v>2141.73470827402</v>
      </c>
      <c r="DR146" s="48" t="n">
        <f aca="false">DR63+DR70+DR83+DR62+DR113</f>
        <v>2133.4479869401</v>
      </c>
      <c r="DS146" s="48" t="n">
        <f aca="false">DS63+DS70+DS83+DS62+DS113</f>
        <v>2095.77535956</v>
      </c>
      <c r="DT146" s="48" t="n">
        <f aca="false">DT63+DT70+DT83+DT62+DT113</f>
        <v>2119.061752444</v>
      </c>
      <c r="DU146" s="48" t="n">
        <f aca="false">DU63+DU70+DU83+DU62+DU113</f>
        <v>2142.348145328</v>
      </c>
      <c r="DV146" s="48" t="n">
        <f aca="false">DV63+DV70+DV83+DV62+DV113</f>
        <v>2134.01304575269</v>
      </c>
      <c r="DW146" s="48" t="n">
        <f aca="false">DW63+DW70+DW83+DW62+DW113</f>
        <v>2119.30772157993</v>
      </c>
      <c r="DX146" s="48" t="n">
        <f aca="false">DX63+DX70+DX83+DX62+DX113</f>
        <v>2119.30772157993</v>
      </c>
      <c r="DY146" s="48" t="n">
        <f aca="false">DY63+DY70+DY83+DY62+DY113</f>
        <v>2142.59681742147</v>
      </c>
      <c r="DZ146" s="48" t="n">
        <f aca="false">DZ63+DZ70+DZ83+DZ62+DZ113</f>
        <v>2134.2132704514</v>
      </c>
      <c r="EA146" s="48" t="n">
        <f aca="false">EA63+EA70+EA83+EA62+EA113</f>
        <v>2095.89387383467</v>
      </c>
      <c r="EB146" s="48" t="n">
        <f aca="false">EB63+EB70+EB83+EB62+EB113</f>
        <v>2119.18158354395</v>
      </c>
      <c r="EC146" s="48" t="n">
        <f aca="false">EC63+EC70+EC83+EC62+EC113</f>
        <v>2142.46929325322</v>
      </c>
      <c r="ED146" s="48" t="n">
        <f aca="false">ED63+ED70+ED83+ED62+ED113</f>
        <v>2134.03723494271</v>
      </c>
      <c r="EE146" s="48" t="n">
        <f aca="false">EE63+EE70+EE83+EE62+EE113</f>
        <v>2095.38963124086</v>
      </c>
      <c r="EF146" s="48" t="n">
        <f aca="false">EF63+EF70+EF83+EF62+EF113</f>
        <v>2118.67173825464</v>
      </c>
      <c r="EG146" s="48" t="n">
        <f aca="false">EG63+EG70+EG83+EG62+EG113</f>
        <v>2141.95384526843</v>
      </c>
      <c r="EH146" s="48" t="n">
        <f aca="false">EH63+EH70+EH83+EH62+EH113</f>
        <v>2133.47321704111</v>
      </c>
      <c r="EI146" s="48" t="n">
        <f aca="false">EI63+EI70+EI83+EI62+EI113</f>
        <v>2094.49412834513</v>
      </c>
      <c r="EJ146" s="48" t="n">
        <f aca="false">EJ63+EJ70+EJ83+EJ62+EJ113</f>
        <v>2117.76628532674</v>
      </c>
      <c r="EK146" s="48" t="n">
        <f aca="false">EK63+EK70+EK83+EK62+EK113</f>
        <v>2141.03844230835</v>
      </c>
      <c r="EL146" s="48" t="n">
        <f aca="false">EL63+EL70+EL83+EL62+EL113</f>
        <v>2132.50919112262</v>
      </c>
      <c r="EM146" s="48" t="n">
        <f aca="false">EM63+EM70+EM83+EM62+EM113</f>
        <v>2116.45301662203</v>
      </c>
      <c r="EN146" s="48" t="n">
        <f aca="false">EN63+EN70+EN83+EN62+EN113</f>
        <v>2116.45301662203</v>
      </c>
      <c r="EO146" s="48" t="n">
        <f aca="false">EO63+EO70+EO83+EO62+EO113</f>
        <v>2139.71074207941</v>
      </c>
    </row>
    <row r="147" customFormat="false" ht="15" hidden="false" customHeight="false" outlineLevel="0" collapsed="false">
      <c r="C147" s="25" t="s">
        <v>94</v>
      </c>
      <c r="D147" s="11" t="s">
        <v>27</v>
      </c>
      <c r="E147" s="33" t="n">
        <f aca="false">XIRR($J146:$EO146,$J$4:$EO$4)</f>
        <v>0.0703014521926983</v>
      </c>
    </row>
    <row r="148" customFormat="false" ht="15" hidden="false" customHeight="false" outlineLevel="0" collapsed="false">
      <c r="C148" s="25" t="s">
        <v>504</v>
      </c>
      <c r="D148" s="11" t="s">
        <v>33</v>
      </c>
      <c r="I148" s="57" t="n">
        <f aca="false">SUM(J148:EO148)</f>
        <v>128354.805752667</v>
      </c>
      <c r="J148" s="57" t="n">
        <f aca="false">J63+J70+J96+J100+J101+J83+J94+J102+J62+J113</f>
        <v>-4662.80993807469</v>
      </c>
      <c r="K148" s="57" t="n">
        <f aca="false">K63+K70+K96+K100+K101+K83+K94+K102+K62+K113</f>
        <v>-706.535577057768</v>
      </c>
      <c r="L148" s="57" t="n">
        <f aca="false">L63+L70+L96+L100+L101+L83+L94+L102+L62+L113</f>
        <v>-104.360496659404</v>
      </c>
      <c r="M148" s="57" t="n">
        <f aca="false">M63+M70+M96+M100+M101+M83+M94+M102+M62+M113</f>
        <v>-105.507315304013</v>
      </c>
      <c r="N148" s="57" t="n">
        <f aca="false">N63+N70+N96+N100+N101+N83+N94+N102+N62+N113</f>
        <v>-105.507315304013</v>
      </c>
      <c r="O148" s="57" t="n">
        <f aca="false">O63+O70+O96+O100+O101+O83+O94+O102+O62+O113</f>
        <v>-104.360496659404</v>
      </c>
      <c r="P148" s="57" t="n">
        <f aca="false">P63+P70+P96+P100+P101+P83+P94+P102+P62+P113</f>
        <v>-104.360496659404</v>
      </c>
      <c r="Q148" s="57" t="n">
        <f aca="false">Q63+Q70+Q96+Q100+Q101+Q83+Q94+Q102+Q62+Q113</f>
        <v>-105.507315304013</v>
      </c>
      <c r="R148" s="57" t="n">
        <f aca="false">R63+R70+R96+R100+R101+R83+R94+R102+R62+R113</f>
        <v>-6452.06801054133</v>
      </c>
      <c r="S148" s="57" t="n">
        <f aca="false">S63+S70+S96+S100+S101+S83+S94+S102+S62+S113</f>
        <v>-8957.34206285879</v>
      </c>
      <c r="T148" s="57" t="n">
        <f aca="false">T63+T70+T96+T100+T101+T83+T94+T102+T62+T113</f>
        <v>-5322.36727647646</v>
      </c>
      <c r="U148" s="57" t="n">
        <f aca="false">U63+U70+U96+U100+U101+U83+U94+U102+U62+U113</f>
        <v>-5366.55155799786</v>
      </c>
      <c r="V148" s="57" t="n">
        <f aca="false">V63+V70+V96+V100+V101+V83+V94+V102+V62+V113</f>
        <v>-5352.09110822868</v>
      </c>
      <c r="W148" s="57" t="n">
        <f aca="false">W63+W70+W96+W100+W101+W83+W94+W102+W62+W113</f>
        <v>-5222.63714053528</v>
      </c>
      <c r="X148" s="57" t="n">
        <f aca="false">X63+X70+X96+X100+X101+X83+X94+X102+X62+X113</f>
        <v>-5266.67411180264</v>
      </c>
      <c r="Y148" s="57" t="n">
        <f aca="false">Y63+Y70+Y96+Y100+Y101+Y83+Y94+Y102+Y62+Y113</f>
        <v>-7681.24891275766</v>
      </c>
      <c r="Z148" s="57" t="n">
        <f aca="false">Z63+Z70+Z96+Z100+Z101+Z83+Z94+Z102+Z62+Z113</f>
        <v>1098.40578515128</v>
      </c>
      <c r="AA148" s="57" t="n">
        <f aca="false">AA63+AA70+AA96+AA100+AA101+AA83+AA94+AA102+AA62+AA113</f>
        <v>1081.72791375292</v>
      </c>
      <c r="AB148" s="57" t="n">
        <f aca="false">AB63+AB70+AB96+AB100+AB101+AB83+AB94+AB102+AB62+AB113</f>
        <v>1093.24384715404</v>
      </c>
      <c r="AC148" s="57" t="n">
        <f aca="false">AC63+AC70+AC96+AC100+AC101+AC83+AC94+AC102+AC62+AC113</f>
        <v>1104.75132351913</v>
      </c>
      <c r="AD148" s="57" t="n">
        <f aca="false">AD63+AD70+AD96+AD100+AD101+AD83+AD94+AD102+AD62+AD113</f>
        <v>1100.84427104546</v>
      </c>
      <c r="AE148" s="57" t="n">
        <f aca="false">AE63+AE70+AE96+AE100+AE101+AE83+AE94+AE102+AE62+AE113</f>
        <v>1095.79185317534</v>
      </c>
      <c r="AF148" s="57" t="n">
        <f aca="false">AF63+AF70+AF96+AF100+AF101+AF83+AF94+AF102+AF62+AF113</f>
        <v>1095.55589827955</v>
      </c>
      <c r="AG148" s="57" t="n">
        <f aca="false">AG63+AG70+AG96+AG100+AG101+AG83+AG94+AG102+AG62+AG113</f>
        <v>1107.0862215366</v>
      </c>
      <c r="AH148" s="57" t="n">
        <f aca="false">AH63+AH70+AH96+AH100+AH101+AH83+AH94+AH102+AH62+AH113</f>
        <v>1103.14290983876</v>
      </c>
      <c r="AI148" s="57" t="n">
        <f aca="false">AI63+AI70+AI96+AI100+AI101+AI83+AI94+AI102+AI62+AI113</f>
        <v>1086.17591649836</v>
      </c>
      <c r="AJ148" s="57" t="n">
        <f aca="false">AJ63+AJ70+AJ96+AJ100+AJ101+AJ83+AJ94+AJ102+AJ62+AJ113</f>
        <v>1112.10544454599</v>
      </c>
      <c r="AK148" s="57" t="n">
        <f aca="false">AK63+AK70+AK96+AK100+AK101+AK83+AK94+AK102+AK62+AK113</f>
        <v>1123.8079068304</v>
      </c>
      <c r="AL148" s="57" t="n">
        <f aca="false">AL63+AL70+AL96+AL100+AL101+AL83+AL94+AL102+AL62+AL113</f>
        <v>1107.06068581407</v>
      </c>
      <c r="AM148" s="57" t="n">
        <f aca="false">AM63+AM70+AM96+AM100+AM101+AM83+AM94+AM102+AM62+AM113</f>
        <v>1089.6038219521</v>
      </c>
      <c r="AN148" s="57" t="n">
        <f aca="false">AN63+AN70+AN96+AN100+AN101+AN83+AN94+AN102+AN62+AN113</f>
        <v>1100.68804372201</v>
      </c>
      <c r="AO148" s="57" t="n">
        <f aca="false">AO63+AO70+AO96+AO100+AO101+AO83+AO94+AO102+AO62+AO113</f>
        <v>1111.75477142252</v>
      </c>
      <c r="AP148" s="57" t="n">
        <f aca="false">AP63+AP70+AP96+AP100+AP101+AP83+AP94+AP102+AP62+AP113</f>
        <v>1107.76456641319</v>
      </c>
      <c r="AQ148" s="57" t="n">
        <f aca="false">AQ63+AQ70+AQ96+AQ100+AQ101+AQ83+AQ94+AQ102+AQ62+AQ113</f>
        <v>1090.15660440609</v>
      </c>
      <c r="AR148" s="57" t="n">
        <f aca="false">AR63+AR70+AR96+AR100+AR101+AR83+AR94+AR102+AR62+AR113</f>
        <v>1101.24342529901</v>
      </c>
      <c r="AS148" s="57" t="n">
        <f aca="false">AS63+AS70+AS96+AS100+AS101+AS83+AS94+AS102+AS62+AS113</f>
        <v>1112.31240604173</v>
      </c>
      <c r="AT148" s="57" t="n">
        <f aca="false">AT63+AT70+AT96+AT100+AT101+AT83+AT94+AT102+AT62+AT113</f>
        <v>1108.27241763657</v>
      </c>
      <c r="AU148" s="57" t="n">
        <f aca="false">AU63+AU70+AU96+AU100+AU101+AU83+AU94+AU102+AU62+AU113</f>
        <v>1102.1703409697</v>
      </c>
      <c r="AV148" s="57" t="n">
        <f aca="false">AV63+AV70+AV96+AV100+AV101+AV83+AV94+AV102+AV62+AV113</f>
        <v>1101.58669010781</v>
      </c>
      <c r="AW148" s="57" t="n">
        <f aca="false">AW63+AW70+AW96+AW100+AW101+AW83+AW94+AW102+AW62+AW113</f>
        <v>1112.65561577926</v>
      </c>
      <c r="AX148" s="57" t="n">
        <f aca="false">AX63+AX70+AX96+AX100+AX101+AX83+AX94+AX102+AX62+AX113</f>
        <v>1108.56441330603</v>
      </c>
      <c r="AY148" s="57" t="n">
        <f aca="false">AY63+AY70+AY96+AY100+AY101+AY83+AY94+AY102+AY62+AY113</f>
        <v>1090.64712985863</v>
      </c>
      <c r="AZ148" s="57" t="n">
        <f aca="false">AZ63+AZ70+AZ96+AZ100+AZ101+AZ83+AZ94+AZ102+AZ62+AZ113</f>
        <v>1101.73243814811</v>
      </c>
      <c r="BA148" s="57" t="n">
        <f aca="false">BA63+BA70+BA96+BA100+BA101+BA83+BA94+BA102+BA62+BA113</f>
        <v>1112.79917335198</v>
      </c>
      <c r="BB148" s="57" t="n">
        <f aca="false">BB63+BB70+BB96+BB100+BB101+BB83+BB94+BB102+BB62+BB113</f>
        <v>1108.65553719095</v>
      </c>
      <c r="BC148" s="57" t="n">
        <f aca="false">BC63+BC70+BC96+BC100+BC101+BC83+BC94+BC102+BC62+BC113</f>
        <v>1090.58002372682</v>
      </c>
      <c r="BD148" s="57" t="n">
        <f aca="false">BD63+BD70+BD96+BD100+BD101+BD83+BD94+BD102+BD62+BD113</f>
        <v>1101.66117328943</v>
      </c>
      <c r="BE148" s="57" t="n">
        <f aca="false">BE63+BE70+BE96+BE100+BE101+BE83+BE94+BE102+BE62+BE113</f>
        <v>1112.72336324932</v>
      </c>
      <c r="BF148" s="57" t="n">
        <f aca="false">BF63+BF70+BF96+BF100+BF101+BF83+BF94+BF102+BF62+BF113</f>
        <v>1108.52588920674</v>
      </c>
      <c r="BG148" s="57" t="n">
        <f aca="false">BG63+BG70+BG96+BG100+BG101+BG83+BG94+BG102+BG62+BG113</f>
        <v>1090.2896286824</v>
      </c>
      <c r="BH148" s="57" t="n">
        <f aca="false">BH63+BH70+BH96+BH100+BH101+BH83+BH94+BH102+BH62+BH113</f>
        <v>1101.36418423723</v>
      </c>
      <c r="BI148" s="57" t="n">
        <f aca="false">BI63+BI70+BI96+BI100+BI101+BI83+BI94+BI102+BI62+BI113</f>
        <v>1112.41937898985</v>
      </c>
      <c r="BJ148" s="57" t="n">
        <f aca="false">BJ63+BJ70+BJ96+BJ100+BJ101+BJ83+BJ94+BJ102+BJ62+BJ113</f>
        <v>1108.16660492535</v>
      </c>
      <c r="BK148" s="57" t="n">
        <f aca="false">BK63+BK70+BK96+BK100+BK101+BK83+BK94+BK102+BK62+BK113</f>
        <v>1101.53246495037</v>
      </c>
      <c r="BL148" s="57" t="n">
        <f aca="false">BL63+BL70+BL96+BL100+BL101+BL83+BL94+BL102+BL62+BL113</f>
        <v>1100.82070836572</v>
      </c>
      <c r="BM148" s="57" t="n">
        <f aca="false">BM63+BM70+BM96+BM100+BM101+BM83+BM94+BM102+BM62+BM113</f>
        <v>1111.86622426193</v>
      </c>
      <c r="BN148" s="57" t="n">
        <f aca="false">BN63+BN70+BN96+BN100+BN101+BN83+BN94+BN102+BN62+BN113</f>
        <v>1107.55649102706</v>
      </c>
      <c r="BO148" s="57" t="n">
        <f aca="false">BO63+BO70+BO96+BO100+BO101+BO83+BO94+BO102+BO62+BO113</f>
        <v>1088.99074223863</v>
      </c>
      <c r="BP148" s="57" t="n">
        <f aca="false">BP63+BP70+BP96+BP100+BP101+BP83+BP94+BP102+BP62+BP113</f>
        <v>1100.04426800226</v>
      </c>
      <c r="BQ148" s="57" t="n">
        <f aca="false">BQ63+BQ70+BQ96+BQ100+BQ101+BQ83+BQ94+BQ102+BQ62+BQ113</f>
        <v>1111.07758223995</v>
      </c>
      <c r="BR148" s="57" t="n">
        <f aca="false">BR63+BR70+BR96+BR100+BR101+BR83+BR94+BR102+BR62+BR113</f>
        <v>1106.70943380584</v>
      </c>
      <c r="BS148" s="57" t="n">
        <f aca="false">BS63+BS70+BS96+BS100+BS101+BS83+BS94+BS102+BS62+BS113</f>
        <v>1087.97491519739</v>
      </c>
      <c r="BT148" s="57" t="n">
        <f aca="false">BT63+BT70+BT96+BT100+BT101+BT83+BT94+BT102+BT62+BT113</f>
        <v>1099.01393054349</v>
      </c>
      <c r="BU148" s="57" t="n">
        <f aca="false">BU63+BU70+BU96+BU100+BU101+BU83+BU94+BU102+BU62+BU113</f>
        <v>1110.03228495603</v>
      </c>
      <c r="BV148" s="57" t="n">
        <f aca="false">BV63+BV70+BV96+BV100+BV101+BV83+BV94+BV102+BV62+BV113</f>
        <v>1105.60406872681</v>
      </c>
      <c r="BW148" s="57" t="n">
        <f aca="false">BW63+BW70+BW96+BW100+BW101+BW83+BW94+BW102+BW62+BW113</f>
        <v>1086.697942384</v>
      </c>
      <c r="BX148" s="57" t="n">
        <f aca="false">BX63+BX70+BX96+BX100+BX101+BX83+BX94+BX102+BX62+BX113</f>
        <v>1097.71959605499</v>
      </c>
      <c r="BY148" s="57" t="n">
        <f aca="false">BY63+BY70+BY96+BY100+BY101+BY83+BY94+BY102+BY62+BY113</f>
        <v>1108.72012186812</v>
      </c>
      <c r="BZ148" s="57" t="n">
        <f aca="false">BZ63+BZ70+BZ96+BZ100+BZ101+BZ83+BZ94+BZ102+BZ62+BZ113</f>
        <v>1104.23011598256</v>
      </c>
      <c r="CA148" s="57" t="n">
        <f aca="false">CA63+CA70+CA96+CA100+CA101+CA83+CA94+CA102+CA62+CA113</f>
        <v>1097.0027843425</v>
      </c>
      <c r="CB148" s="57" t="n">
        <f aca="false">CB63+CB70+CB96+CB100+CB101+CB83+CB94+CB102+CB62+CB113</f>
        <v>1096.13897021459</v>
      </c>
      <c r="CC148" s="57" t="n">
        <f aca="false">CC63+CC70+CC96+CC100+CC101+CC83+CC94+CC102+CC62+CC113</f>
        <v>1107.11854791564</v>
      </c>
      <c r="CD148" s="57" t="n">
        <f aca="false">CD63+CD70+CD96+CD100+CD101+CD83+CD94+CD102+CD62+CD113</f>
        <v>1102.56482064173</v>
      </c>
      <c r="CE148" s="57" t="n">
        <f aca="false">CE63+CE70+CE96+CE100+CE101+CE83+CE94+CE102+CE62+CE113</f>
        <v>1083.30646911969</v>
      </c>
      <c r="CF148" s="57" t="n">
        <f aca="false">CF63+CF70+CF96+CF100+CF101+CF83+CF94+CF102+CF62+CF113</f>
        <v>1094.28424439193</v>
      </c>
      <c r="CG148" s="57" t="n">
        <f aca="false">CG63+CG70+CG96+CG100+CG101+CG83+CG94+CG102+CG62+CG113</f>
        <v>1105.23990058599</v>
      </c>
      <c r="CH148" s="57" t="n">
        <f aca="false">CH63+CH70+CH96+CH100+CH101+CH83+CH94+CH102+CH62+CH113</f>
        <v>1100.62071290789</v>
      </c>
      <c r="CI148" s="57" t="n">
        <f aca="false">CI63+CI70+CI96+CI100+CI101+CI83+CI94+CI102+CI62+CI113</f>
        <v>1081.18168891337</v>
      </c>
      <c r="CJ148" s="57" t="n">
        <f aca="false">CJ63+CJ70+CJ96+CJ100+CJ101+CJ83+CJ94+CJ102+CJ62+CJ113</f>
        <v>1092.13284003057</v>
      </c>
      <c r="CK148" s="57" t="n">
        <f aca="false">CK63+CK70+CK96+CK100+CK101+CK83+CK94+CK102+CK62+CK113</f>
        <v>1103.06134761992</v>
      </c>
      <c r="CL148" s="57" t="n">
        <f aca="false">CL63+CL70+CL96+CL100+CL101+CL83+CL94+CL102+CL62+CL113</f>
        <v>1098.37475001268</v>
      </c>
      <c r="CM148" s="57" t="n">
        <f aca="false">CM63+CM70+CM96+CM100+CM101+CM83+CM94+CM102+CM62+CM113</f>
        <v>1078.75183991846</v>
      </c>
      <c r="CN148" s="57" t="n">
        <f aca="false">CN63+CN70+CN96+CN100+CN101+CN83+CN94+CN102+CN62+CN113</f>
        <v>1089.67303200563</v>
      </c>
      <c r="CO148" s="57" t="n">
        <f aca="false">CO63+CO70+CO96+CO100+CO101+CO83+CO94+CO102+CO62+CO113</f>
        <v>1100.5710352003</v>
      </c>
      <c r="CP148" s="57" t="n">
        <f aca="false">CP63+CP70+CP96+CP100+CP101+CP83+CP94+CP102+CP62+CP113</f>
        <v>1095.8149953028</v>
      </c>
      <c r="CQ148" s="57" t="n">
        <f aca="false">CQ63+CQ70+CQ96+CQ100+CQ101+CQ83+CQ94+CQ102+CQ62+CQ113</f>
        <v>1087.92514514623</v>
      </c>
      <c r="CR148" s="57" t="n">
        <f aca="false">CR63+CR70+CR96+CR100+CR101+CR83+CR94+CR102+CR62+CR113</f>
        <v>1086.88076853291</v>
      </c>
      <c r="CS148" s="57" t="n">
        <f aca="false">CS63+CS70+CS96+CS100+CS101+CS83+CS94+CS102+CS62+CS113</f>
        <v>2343.74717344578</v>
      </c>
      <c r="CT148" s="57" t="n">
        <f aca="false">CT63+CT70+CT96+CT100+CT101+CT83+CT94+CT102+CT62+CT113</f>
        <v>2332.6929896636</v>
      </c>
      <c r="CU148" s="57" t="n">
        <f aca="false">CU63+CU70+CU96+CU100+CU101+CU83+CU94+CU102+CU62+CU113</f>
        <v>2292.32821604218</v>
      </c>
      <c r="CV148" s="57" t="n">
        <f aca="false">CV63+CV70+CV96+CV100+CV101+CV83+CV94+CV102+CV62+CV113</f>
        <v>2317.79852955376</v>
      </c>
      <c r="CW148" s="57" t="n">
        <f aca="false">CW63+CW70+CW96+CW100+CW101+CW83+CW94+CW102+CW62+CW113</f>
        <v>2343.26884306534</v>
      </c>
      <c r="CX148" s="57" t="n">
        <f aca="false">CX63+CX70+CX96+CX100+CX101+CX83+CX94+CX102+CX62+CX113</f>
        <v>2335.22280421056</v>
      </c>
      <c r="CY148" s="57" t="n">
        <f aca="false">CY63+CY70+CY96+CY100+CY101+CY83+CY94+CY102+CY62+CY113</f>
        <v>2294.55441353347</v>
      </c>
      <c r="CZ148" s="57" t="n">
        <f aca="false">CZ63+CZ70+CZ96+CZ100+CZ101+CZ83+CZ94+CZ102+CZ62+CZ113</f>
        <v>2320.04946257273</v>
      </c>
      <c r="DA148" s="57" t="n">
        <f aca="false">DA63+DA70+DA96+DA100+DA101+DA83+DA94+DA102+DA62+DA113</f>
        <v>2345.54451161199</v>
      </c>
      <c r="DB148" s="57" t="n">
        <f aca="false">DB63+DB70+DB96+DB100+DB101+DB83+DB94+DB102+DB62+DB113</f>
        <v>2127.75796595667</v>
      </c>
      <c r="DC148" s="57" t="n">
        <f aca="false">DC63+DC70+DC96+DC100+DC101+DC83+DC94+DC102+DC62+DC113</f>
        <v>2091.34156892558</v>
      </c>
      <c r="DD148" s="57" t="n">
        <f aca="false">DD63+DD70+DD96+DD100+DD101+DD83+DD94+DD102+DD62+DD113</f>
        <v>2114.5786974692</v>
      </c>
      <c r="DE148" s="57" t="n">
        <f aca="false">DE63+DE70+DE96+DE100+DE101+DE83+DE94+DE102+DE62+DE113</f>
        <v>2137.81582601281</v>
      </c>
      <c r="DF148" s="57" t="n">
        <f aca="false">DF63+DF70+DF96+DF100+DF101+DF83+DF94+DF102+DF62+DF113</f>
        <v>2129.67377475099</v>
      </c>
      <c r="DG148" s="57" t="n">
        <f aca="false">DG63+DG70+DG96+DG100+DG101+DG83+DG94+DG102+DG62+DG113</f>
        <v>2116.20284972323</v>
      </c>
      <c r="DH148" s="57" t="n">
        <f aca="false">DH63+DH70+DH96+DH100+DH101+DH83+DH94+DH102+DH62+DH113</f>
        <v>2116.20284972323</v>
      </c>
      <c r="DI148" s="57" t="n">
        <f aca="false">DI63+DI70+DI96+DI100+DI101+DI83+DI94+DI102+DI62+DI113</f>
        <v>2139.45782609381</v>
      </c>
      <c r="DJ148" s="57" t="n">
        <f aca="false">DJ63+DJ70+DJ96+DJ100+DJ101+DJ83+DJ94+DJ102+DJ62+DJ113</f>
        <v>2131.26763373715</v>
      </c>
      <c r="DK148" s="57" t="n">
        <f aca="false">DK63+DK70+DK96+DK100+DK101+DK83+DK94+DK102+DK62+DK113</f>
        <v>2094.22922134031</v>
      </c>
      <c r="DL148" s="57" t="n">
        <f aca="false">DL63+DL70+DL96+DL100+DL101+DL83+DL94+DL102+DL62+DL113</f>
        <v>2117.49843491076</v>
      </c>
      <c r="DM148" s="57" t="n">
        <f aca="false">DM63+DM70+DM96+DM100+DM101+DM83+DM94+DM102+DM62+DM113</f>
        <v>2140.76764848121</v>
      </c>
      <c r="DN148" s="57" t="n">
        <f aca="false">DN63+DN70+DN96+DN100+DN101+DN83+DN94+DN102+DN62+DN113</f>
        <v>2132.52923118543</v>
      </c>
      <c r="DO148" s="57" t="n">
        <f aca="false">DO63+DO70+DO96+DO100+DO101+DO83+DO94+DO102+DO62+DO113</f>
        <v>2095.17525809415</v>
      </c>
      <c r="DP148" s="57" t="n">
        <f aca="false">DP63+DP70+DP96+DP100+DP101+DP83+DP94+DP102+DP62+DP113</f>
        <v>2118.45498318409</v>
      </c>
      <c r="DQ148" s="57" t="n">
        <f aca="false">DQ63+DQ70+DQ96+DQ100+DQ101+DQ83+DQ94+DQ102+DQ62+DQ113</f>
        <v>2141.73470827402</v>
      </c>
      <c r="DR148" s="57" t="n">
        <f aca="false">DR63+DR70+DR96+DR100+DR101+DR83+DR94+DR102+DR62+DR113</f>
        <v>2133.4479869401</v>
      </c>
      <c r="DS148" s="57" t="n">
        <f aca="false">DS63+DS70+DS96+DS100+DS101+DS83+DS94+DS102+DS62+DS113</f>
        <v>2095.77535956</v>
      </c>
      <c r="DT148" s="57" t="n">
        <f aca="false">DT63+DT70+DT96+DT100+DT101+DT83+DT94+DT102+DT62+DT113</f>
        <v>2119.061752444</v>
      </c>
      <c r="DU148" s="57" t="n">
        <f aca="false">DU63+DU70+DU96+DU100+DU101+DU83+DU94+DU102+DU62+DU113</f>
        <v>2142.348145328</v>
      </c>
      <c r="DV148" s="57" t="n">
        <f aca="false">DV63+DV70+DV96+DV100+DV101+DV83+DV94+DV102+DV62+DV113</f>
        <v>2134.01304575269</v>
      </c>
      <c r="DW148" s="57" t="n">
        <f aca="false">DW63+DW70+DW96+DW100+DW101+DW83+DW94+DW102+DW62+DW113</f>
        <v>2119.30772157993</v>
      </c>
      <c r="DX148" s="57" t="n">
        <f aca="false">DX63+DX70+DX96+DX100+DX101+DX83+DX94+DX102+DX62+DX113</f>
        <v>2119.30772157993</v>
      </c>
      <c r="DY148" s="57" t="n">
        <f aca="false">DY63+DY70+DY96+DY100+DY101+DY83+DY94+DY102+DY62+DY113</f>
        <v>2142.59681742147</v>
      </c>
      <c r="DZ148" s="57" t="n">
        <f aca="false">DZ63+DZ70+DZ96+DZ100+DZ101+DZ83+DZ94+DZ102+DZ62+DZ113</f>
        <v>2134.2132704514</v>
      </c>
      <c r="EA148" s="57" t="n">
        <f aca="false">EA63+EA70+EA96+EA100+EA101+EA83+EA94+EA102+EA62+EA113</f>
        <v>2095.89387383467</v>
      </c>
      <c r="EB148" s="57" t="n">
        <f aca="false">EB63+EB70+EB96+EB100+EB101+EB83+EB94+EB102+EB62+EB113</f>
        <v>2119.18158354395</v>
      </c>
      <c r="EC148" s="57" t="n">
        <f aca="false">EC63+EC70+EC96+EC100+EC101+EC83+EC94+EC102+EC62+EC113</f>
        <v>2142.46929325322</v>
      </c>
      <c r="ED148" s="57" t="n">
        <f aca="false">ED63+ED70+ED96+ED100+ED101+ED83+ED94+ED102+ED62+ED113</f>
        <v>2134.03723494271</v>
      </c>
      <c r="EE148" s="57" t="n">
        <f aca="false">EE63+EE70+EE96+EE100+EE101+EE83+EE94+EE102+EE62+EE113</f>
        <v>2095.38963124086</v>
      </c>
      <c r="EF148" s="57" t="n">
        <f aca="false">EF63+EF70+EF96+EF100+EF101+EF83+EF94+EF102+EF62+EF113</f>
        <v>2118.67173825464</v>
      </c>
      <c r="EG148" s="57" t="n">
        <f aca="false">EG63+EG70+EG96+EG100+EG101+EG83+EG94+EG102+EG62+EG113</f>
        <v>2141.95384526843</v>
      </c>
      <c r="EH148" s="57" t="n">
        <f aca="false">EH63+EH70+EH96+EH100+EH101+EH83+EH94+EH102+EH62+EH113</f>
        <v>2133.47321704111</v>
      </c>
      <c r="EI148" s="57" t="n">
        <f aca="false">EI63+EI70+EI96+EI100+EI101+EI83+EI94+EI102+EI62+EI113</f>
        <v>2094.49412834513</v>
      </c>
      <c r="EJ148" s="57" t="n">
        <f aca="false">EJ63+EJ70+EJ96+EJ100+EJ101+EJ83+EJ94+EJ102+EJ62+EJ113</f>
        <v>2117.76628532674</v>
      </c>
      <c r="EK148" s="57" t="n">
        <f aca="false">EK63+EK70+EK96+EK100+EK101+EK83+EK94+EK102+EK62+EK113</f>
        <v>2141.03844230835</v>
      </c>
      <c r="EL148" s="57" t="n">
        <f aca="false">EL63+EL70+EL96+EL100+EL101+EL83+EL94+EL102+EL62+EL113</f>
        <v>2132.50919112262</v>
      </c>
      <c r="EM148" s="57" t="n">
        <f aca="false">EM63+EM70+EM96+EM100+EM101+EM83+EM94+EM102+EM62+EM113</f>
        <v>2116.45301662203</v>
      </c>
      <c r="EN148" s="57" t="n">
        <f aca="false">EN63+EN70+EN96+EN100+EN101+EN83+EN94+EN102+EN62+EN113</f>
        <v>2116.45301662203</v>
      </c>
      <c r="EO148" s="57" t="n">
        <f aca="false">EO63+EO70+EO96+EO100+EO101+EO83+EO94+EO102+EO62+EO113</f>
        <v>2139.71074207941</v>
      </c>
    </row>
    <row r="149" customFormat="false" ht="15" hidden="false" customHeight="false" outlineLevel="0" collapsed="false">
      <c r="C149" s="25" t="s">
        <v>91</v>
      </c>
      <c r="D149" s="11" t="s">
        <v>27</v>
      </c>
      <c r="E149" s="33" t="n">
        <f aca="false">XIRR($J148:$EO148,$J$4:$EO$4)</f>
        <v>0.0778882731983857</v>
      </c>
    </row>
    <row r="150" customFormat="false" ht="15" hidden="false" customHeight="false" outlineLevel="0" collapsed="false">
      <c r="C150" s="25" t="s">
        <v>92</v>
      </c>
      <c r="D150" s="11" t="s">
        <v>13</v>
      </c>
      <c r="E150" s="60" t="n">
        <f aca="false">SUMIF($J148:$EO148,"&gt;0")/-SUMIF($J148:$EO148,"&lt;0")</f>
        <v>3.30771250081131</v>
      </c>
    </row>
    <row r="151" customFormat="false" ht="15" hidden="false" customHeight="false" outlineLevel="0" collapsed="false">
      <c r="C151" s="25" t="s">
        <v>93</v>
      </c>
      <c r="D151" s="11" t="s">
        <v>33</v>
      </c>
      <c r="E151" s="57" t="n">
        <f aca="false">XNPV(In_Discount_Rate,$J148:$EO148,$J$4:$EO$4)</f>
        <v>-1154.79514410591</v>
      </c>
    </row>
    <row r="153" customFormat="false" ht="15" hidden="false" customHeight="false" outlineLevel="0" collapsed="false">
      <c r="C153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394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395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396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397</v>
      </c>
      <c r="D5" s="11" t="s">
        <v>202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398</v>
      </c>
      <c r="D6" s="11" t="s">
        <v>399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400</v>
      </c>
      <c r="D7" s="11" t="s">
        <v>401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402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404</v>
      </c>
      <c r="D12" s="11" t="s">
        <v>399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405</v>
      </c>
      <c r="D13" s="11" t="s">
        <v>399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406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323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407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408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54331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1</v>
      </c>
      <c r="CI18" s="55" t="n">
        <f aca="false">MAX(0,(MIN($F18,CI$4)-MAX($E18,CI$3)+1)/CI$5)</f>
        <v>1</v>
      </c>
      <c r="CJ18" s="55" t="n">
        <f aca="false">MAX(0,(MIN($F18,CJ$4)-MAX($E18,CJ$3)+1)/CJ$5)</f>
        <v>1</v>
      </c>
      <c r="CK18" s="55" t="n">
        <f aca="false">MAX(0,(MIN($F18,CK$4)-MAX($E18,CK$3)+1)/CK$5)</f>
        <v>1</v>
      </c>
      <c r="CL18" s="55" t="n">
        <f aca="false">MAX(0,(MIN($F18,CL$4)-MAX($E18,CL$3)+1)/CL$5)</f>
        <v>1</v>
      </c>
      <c r="CM18" s="55" t="n">
        <f aca="false">MAX(0,(MIN($F18,CM$4)-MAX($E18,CM$3)+1)/CM$5)</f>
        <v>1</v>
      </c>
      <c r="CN18" s="55" t="n">
        <f aca="false">MAX(0,(MIN($F18,CN$4)-MAX($E18,CN$3)+1)/CN$5)</f>
        <v>1</v>
      </c>
      <c r="CO18" s="55" t="n">
        <f aca="false">MAX(0,(MIN($F18,CO$4)-MAX($E18,CO$3)+1)/CO$5)</f>
        <v>1</v>
      </c>
      <c r="CP18" s="55" t="n">
        <f aca="false">MAX(0,(MIN($F18,CP$4)-MAX($E18,CP$3)+1)/CP$5)</f>
        <v>1</v>
      </c>
      <c r="CQ18" s="55" t="n">
        <f aca="false">MAX(0,(MIN($F18,CQ$4)-MAX($E18,CQ$3)+1)/CQ$5)</f>
        <v>1</v>
      </c>
      <c r="CR18" s="55" t="n">
        <f aca="false">MAX(0,(MIN($F18,CR$4)-MAX($E18,CR$3)+1)/CR$5)</f>
        <v>1</v>
      </c>
      <c r="CS18" s="55" t="n">
        <f aca="false">MAX(0,(MIN($F18,CS$4)-MAX($E18,CS$3)+1)/CS$5)</f>
        <v>1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409</v>
      </c>
      <c r="D19" s="11" t="s">
        <v>43</v>
      </c>
      <c r="E19" s="46" t="n">
        <f aca="false">EDATE(In_COD,In_Debt_Tenor*Months_In_Year)</f>
        <v>54331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0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1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410</v>
      </c>
      <c r="D20" s="11" t="s">
        <v>399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411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412</v>
      </c>
      <c r="D22" s="11" t="s">
        <v>399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413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414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415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416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417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418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419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420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421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422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423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424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425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426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427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428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429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430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431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432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433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240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434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435</v>
      </c>
      <c r="D51" s="11" t="s">
        <v>293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436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437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438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439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440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441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442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443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444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445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446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447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448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449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450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451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452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453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323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454</v>
      </c>
      <c r="D73" s="11" t="s">
        <v>399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455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456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457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458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459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460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461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339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462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463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464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-57.9374552281603</v>
      </c>
      <c r="AA86" s="58" t="n">
        <v>-57.3413728005403</v>
      </c>
      <c r="AB86" s="58" t="n">
        <v>-58.7786499424974</v>
      </c>
      <c r="AC86" s="58" t="n">
        <v>-60.2295392404725</v>
      </c>
      <c r="AD86" s="58" t="n">
        <v>-59.9734776851093</v>
      </c>
      <c r="AE86" s="58" t="n">
        <v>-114.686810686663</v>
      </c>
      <c r="AF86" s="58" t="n">
        <v>-121.65584437695</v>
      </c>
      <c r="AG86" s="58" t="n">
        <v>-124.565346374847</v>
      </c>
      <c r="AH86" s="58" t="n">
        <v>-124.039451884883</v>
      </c>
      <c r="AI86" s="58" t="n">
        <v>-122.791188733101</v>
      </c>
      <c r="AJ86" s="58" t="n">
        <v>-130.699003240183</v>
      </c>
      <c r="AK86" s="58" t="n">
        <v>-133.736080825453</v>
      </c>
      <c r="AL86" s="58" t="n">
        <v>-133.264009897745</v>
      </c>
      <c r="AM86" s="58" t="n">
        <v>-131.922827649769</v>
      </c>
      <c r="AN86" s="58" t="n">
        <v>-134.986321172963</v>
      </c>
      <c r="AO86" s="58" t="n">
        <v>-138.077496021699</v>
      </c>
      <c r="AP86" s="58" t="n">
        <v>-137.640279839422</v>
      </c>
      <c r="AQ86" s="58" t="n">
        <v>-136.295901723747</v>
      </c>
      <c r="AR86" s="58" t="n">
        <v>-139.414472571592</v>
      </c>
      <c r="AS86" s="58" t="n">
        <v>-142.561287033891</v>
      </c>
      <c r="AT86" s="58" t="n">
        <v>-142.160811469395</v>
      </c>
      <c r="AU86" s="58" t="n">
        <v>-143.098077072375</v>
      </c>
      <c r="AV86" s="58" t="n">
        <v>-144.008344071444</v>
      </c>
      <c r="AW86" s="58" t="n">
        <v>-147.212628719851</v>
      </c>
      <c r="AX86" s="58" t="n">
        <v>-146.851084519452</v>
      </c>
      <c r="AY86" s="58" t="n">
        <v>-145.505156635893</v>
      </c>
      <c r="AZ86" s="58" t="n">
        <v>-148.738961506382</v>
      </c>
      <c r="BA86" s="58" t="n">
        <v>-152.00220242343</v>
      </c>
      <c r="BB86" s="58" t="n">
        <v>-151.681445422475</v>
      </c>
      <c r="BC86" s="58" t="n">
        <v>-150.337121138198</v>
      </c>
      <c r="BD86" s="58" t="n">
        <v>-153.631024508642</v>
      </c>
      <c r="BE86" s="58" t="n">
        <v>-156.954993582891</v>
      </c>
      <c r="BF86" s="58" t="n">
        <v>-156.677182772516</v>
      </c>
      <c r="BG86" s="58" t="n">
        <v>-155.336233237396</v>
      </c>
      <c r="BH86" s="58" t="n">
        <v>-158.69206655839</v>
      </c>
      <c r="BI86" s="58" t="n">
        <v>-162.078619751048</v>
      </c>
      <c r="BJ86" s="58" t="n">
        <v>-161.846013552374</v>
      </c>
      <c r="BK86" s="58" t="n">
        <v>-162.833619796853</v>
      </c>
      <c r="BL86" s="58" t="n">
        <v>-163.948508670207</v>
      </c>
      <c r="BM86" s="58" t="n">
        <v>-167.399807735263</v>
      </c>
      <c r="BN86" s="58" t="n">
        <v>-167.214988710039</v>
      </c>
      <c r="BO86" s="58" t="n">
        <v>-165.886706299735</v>
      </c>
      <c r="BP86" s="58" t="n">
        <v>-169.372471949297</v>
      </c>
      <c r="BQ86" s="58" t="n">
        <v>-172.89034655241</v>
      </c>
      <c r="BR86" s="58" t="n">
        <v>-172.755576425885</v>
      </c>
      <c r="BS86" s="58" t="n">
        <v>-171.436576632769</v>
      </c>
      <c r="BT86" s="58" t="n">
        <v>-174.990317517887</v>
      </c>
      <c r="BU86" s="58" t="n">
        <v>-178.576902171215</v>
      </c>
      <c r="BV86" s="58" t="n">
        <v>-178.494766653745</v>
      </c>
      <c r="BW86" s="58" t="n">
        <v>-177.187226150206</v>
      </c>
      <c r="BX86" s="58" t="n">
        <v>-180.811149454155</v>
      </c>
      <c r="BY86" s="58" t="n">
        <v>-184.468680703617</v>
      </c>
      <c r="BZ86" s="58" t="n">
        <v>-184.441884711837</v>
      </c>
      <c r="CA86" s="58" t="n">
        <v>-185.504505586864</v>
      </c>
      <c r="CB86" s="58" t="n">
        <v>-186.863176768187</v>
      </c>
      <c r="CC86" s="58" t="n">
        <v>-190.594217454852</v>
      </c>
      <c r="CD86" s="58" t="n">
        <v>-190.625812433388</v>
      </c>
      <c r="CE86" s="58" t="n">
        <v>-189.348405272547</v>
      </c>
      <c r="CF86" s="58" t="n">
        <v>-193.119970109666</v>
      </c>
      <c r="CG86" s="58" t="n">
        <v>-196.926767501069</v>
      </c>
      <c r="CH86" s="58" t="n">
        <v>-197.019502451964</v>
      </c>
      <c r="CI86" s="58" t="n">
        <v>-195.760799762942</v>
      </c>
      <c r="CJ86" s="58" t="n">
        <v>-199.609834925541</v>
      </c>
      <c r="CK86" s="58" t="n">
        <v>-203.494963449075</v>
      </c>
      <c r="CL86" s="58" t="n">
        <v>-203.651935662005</v>
      </c>
      <c r="CM86" s="58" t="n">
        <v>-202.414603329756</v>
      </c>
      <c r="CN86" s="58" t="n">
        <v>-206.343771814434</v>
      </c>
      <c r="CO86" s="58" t="n">
        <v>-210.309929670117</v>
      </c>
      <c r="CP86" s="58" t="n">
        <v>-210.534379405297</v>
      </c>
      <c r="CQ86" s="58" t="n">
        <v>-211.702843383559</v>
      </c>
      <c r="CR86" s="58" t="n">
        <v>-213.352085642355</v>
      </c>
      <c r="CS86" s="58" t="n">
        <v>-217.402321392093</v>
      </c>
      <c r="CT86" s="58" t="n">
        <v>-217.697861601253</v>
      </c>
      <c r="CU86" s="58" t="n">
        <v>-214.791054135796</v>
      </c>
      <c r="CV86" s="58" t="n">
        <v>-217.177621403972</v>
      </c>
      <c r="CW86" s="58" t="n">
        <v>-219.564188672147</v>
      </c>
      <c r="CX86" s="58" t="n">
        <v>-218.144299462481</v>
      </c>
      <c r="CY86" s="58" t="n">
        <v>-215.183912516612</v>
      </c>
      <c r="CZ86" s="58" t="n">
        <v>-217.574844877908</v>
      </c>
      <c r="DA86" s="58" t="n">
        <v>-219.965777239203</v>
      </c>
      <c r="DB86" s="58" t="n">
        <v>-375.486699874706</v>
      </c>
      <c r="DC86" s="58" t="n">
        <v>-369.060276869219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-373.447561715863</v>
      </c>
      <c r="DH86" s="58" t="n">
        <v>-373.447561715863</v>
      </c>
      <c r="DI86" s="58" t="n">
        <v>-377.551381075378</v>
      </c>
      <c r="DJ86" s="58" t="n">
        <v>-376.106053012438</v>
      </c>
      <c r="DK86" s="58" t="n">
        <v>-369.569862589467</v>
      </c>
      <c r="DL86" s="58" t="n">
        <v>-373.676194396016</v>
      </c>
      <c r="DM86" s="58" t="n">
        <v>-377.782526202566</v>
      </c>
      <c r="DN86" s="58" t="n">
        <v>-376.328687856252</v>
      </c>
      <c r="DO86" s="58" t="n">
        <v>-369.736810251908</v>
      </c>
      <c r="DP86" s="58" t="n">
        <v>-373.844997032485</v>
      </c>
      <c r="DQ86" s="58" t="n">
        <v>-377.953183813062</v>
      </c>
      <c r="DR86" s="58" t="n">
        <v>-376.490821224723</v>
      </c>
      <c r="DS86" s="58" t="n">
        <v>-369.842710510588</v>
      </c>
      <c r="DT86" s="58" t="n">
        <v>-373.952073960706</v>
      </c>
      <c r="DU86" s="58" t="n">
        <v>-378.061437410823</v>
      </c>
      <c r="DV86" s="58" t="n">
        <v>-376.590537485769</v>
      </c>
      <c r="DW86" s="58" t="n">
        <v>-373.995480278811</v>
      </c>
      <c r="DX86" s="58" t="n">
        <v>-373.995480278811</v>
      </c>
      <c r="DY86" s="58" t="n">
        <v>-378.105320721436</v>
      </c>
      <c r="DZ86" s="58" t="n">
        <v>-376.625871256129</v>
      </c>
      <c r="EA86" s="58" t="n">
        <v>-369.863624794353</v>
      </c>
      <c r="EB86" s="58" t="n">
        <v>-373.973220625402</v>
      </c>
      <c r="EC86" s="58" t="n">
        <v>-378.08281645645</v>
      </c>
      <c r="ED86" s="58" t="n">
        <v>-376.59480616636</v>
      </c>
      <c r="EE86" s="58" t="n">
        <v>-369.774640807209</v>
      </c>
      <c r="EF86" s="58" t="n">
        <v>-373.883247927289</v>
      </c>
      <c r="EG86" s="58" t="n">
        <v>-377.99185504737</v>
      </c>
      <c r="EH86" s="58" t="n">
        <v>-376.495273595489</v>
      </c>
      <c r="EI86" s="58" t="n">
        <v>-369.616610884433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-377.596013308131</v>
      </c>
    </row>
    <row r="87" customFormat="false" ht="15" hidden="false" customHeight="false" outlineLevel="0" collapsed="false">
      <c r="C87" s="0" t="s">
        <v>465</v>
      </c>
      <c r="D87" s="11" t="s">
        <v>33</v>
      </c>
      <c r="I87" s="48" t="n">
        <f aca="false">SUM(J87:EO87)</f>
        <v>267239.418966638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2303.35715537998</v>
      </c>
      <c r="AA87" s="48" t="n">
        <f aca="false">(AA83+AA59+AA86)*(AA$4&gt;In_COD)</f>
        <v>2268.44894488456</v>
      </c>
      <c r="AB87" s="48" t="n">
        <f aca="false">(AB83+AB59+AB86)*(AB$4&gt;In_COD)</f>
        <v>2292.85378238355</v>
      </c>
      <c r="AC87" s="48" t="n">
        <f aca="false">(AC83+AC59+AC86)*(AC$4&gt;In_COD)</f>
        <v>2317.24500772652</v>
      </c>
      <c r="AD87" s="48" t="n">
        <f aca="false">(AD83+AD59+AD86)*(AD$4&gt;In_COD)</f>
        <v>2309.02700771173</v>
      </c>
      <c r="AE87" s="48" t="n">
        <f aca="false">(AE83+AE59+AE86)*(AE$4&gt;In_COD)</f>
        <v>2244.43107067083</v>
      </c>
      <c r="AF87" s="48" t="n">
        <f aca="false">(AF83+AF59+AF86)*(AF$4&gt;In_COD)</f>
        <v>2237.46203698054</v>
      </c>
      <c r="AG87" s="48" t="n">
        <f aca="false">(AG83+AG59+AG86)*(AG$4&gt;In_COD)</f>
        <v>2260.47690730526</v>
      </c>
      <c r="AH87" s="48" t="n">
        <f aca="false">(AH83+AH59+AH86)*(AH$4&gt;In_COD)</f>
        <v>2252.47501014431</v>
      </c>
      <c r="AI87" s="48" t="n">
        <f aca="false">(AI83+AI59+AI86)*(AI$4&gt;In_COD)</f>
        <v>2217.61091354164</v>
      </c>
      <c r="AJ87" s="48" t="n">
        <f aca="false">(AJ83+AJ59+AJ86)*(AJ$4&gt;In_COD)</f>
        <v>2268.86305567229</v>
      </c>
      <c r="AK87" s="48" t="n">
        <f aca="false">(AK83+AK59+AK86)*(AK$4&gt;In_COD)</f>
        <v>2292.19479192122</v>
      </c>
      <c r="AL87" s="48" t="n">
        <f aca="false">(AL83+AL59+AL86)*(AL$4&gt;In_COD)</f>
        <v>2284.08516221078</v>
      </c>
      <c r="AM87" s="48" t="n">
        <f aca="false">(AM83+AM59+AM86)*(AM$4&gt;In_COD)</f>
        <v>2248.27717430628</v>
      </c>
      <c r="AN87" s="48" t="n">
        <f aca="false">(AN83+AN59+AN86)*(AN$4&gt;In_COD)</f>
        <v>2271.66034747148</v>
      </c>
      <c r="AO87" s="48" t="n">
        <f aca="false">(AO83+AO59+AO86)*(AO$4&gt;In_COD)</f>
        <v>2295.01583931115</v>
      </c>
      <c r="AP87" s="48" t="n">
        <f aca="false">(AP83+AP59+AP86)*(AP$4&gt;In_COD)</f>
        <v>2286.81726976702</v>
      </c>
      <c r="AQ87" s="48" t="n">
        <f aca="false">(AQ83+AQ59+AQ86)*(AQ$4&gt;In_COD)</f>
        <v>2250.70158883029</v>
      </c>
      <c r="AR87" s="48" t="n">
        <f aca="false">(AR83+AR59+AR86)*(AR$4&gt;In_COD)</f>
        <v>2274.10521232193</v>
      </c>
      <c r="AS87" s="48" t="n">
        <f aca="false">(AS83+AS59+AS86)*(AS$4&gt;In_COD)</f>
        <v>2297.48059219912</v>
      </c>
      <c r="AT87" s="48" t="n">
        <f aca="false">(AT83+AT59+AT86)*(AT$4&gt;In_COD)</f>
        <v>2289.19102376251</v>
      </c>
      <c r="AU87" s="48" t="n">
        <f aca="false">(AU83+AU59+AU86)*(AU$4&gt;In_COD)</f>
        <v>2277.07531538187</v>
      </c>
      <c r="AV87" s="48" t="n">
        <f aca="false">(AV83+AV59+AV86)*(AV$4&gt;In_COD)</f>
        <v>2276.1650483828</v>
      </c>
      <c r="AW87" s="48" t="n">
        <f aca="false">(AW83+AW59+AW86)*(AW$4&gt;In_COD)</f>
        <v>2299.55607573938</v>
      </c>
      <c r="AX87" s="48" t="n">
        <f aca="false">(AX83+AX59+AX86)*(AX$4&gt;In_COD)</f>
        <v>2291.1731475039</v>
      </c>
      <c r="AY87" s="48" t="n">
        <f aca="false">(AY83+AY59+AY86)*(AY$4&gt;In_COD)</f>
        <v>2254.42878111878</v>
      </c>
      <c r="AZ87" s="48" t="n">
        <f aca="false">(AZ83+AZ59+AZ86)*(AZ$4&gt;In_COD)</f>
        <v>2277.86090889001</v>
      </c>
      <c r="BA87" s="48" t="n">
        <f aca="false">(BA83+BA59+BA86)*(BA$4&gt;In_COD)</f>
        <v>2301.26360061469</v>
      </c>
      <c r="BB87" s="48" t="n">
        <f aca="false">(BB83+BB59+BB86)*(BB$4&gt;In_COD)</f>
        <v>2292.78528972596</v>
      </c>
      <c r="BC87" s="48" t="n">
        <f aca="false">(BC83+BC59+BC86)*(BC$4&gt;In_COD)</f>
        <v>2255.71989890041</v>
      </c>
      <c r="BD87" s="48" t="n">
        <f aca="false">(BD83+BD59+BD86)*(BD$4&gt;In_COD)</f>
        <v>2279.15996241928</v>
      </c>
      <c r="BE87" s="48" t="n">
        <f aca="false">(BE83+BE59+BE86)*(BE$4&gt;In_COD)</f>
        <v>2302.56996023435</v>
      </c>
      <c r="BF87" s="48" t="n">
        <f aca="false">(BF83+BF59+BF86)*(BF$4&gt;In_COD)</f>
        <v>2293.9939439407</v>
      </c>
      <c r="BG87" s="48" t="n">
        <f aca="false">(BG83+BG59+BG86)*(BG$4&gt;In_COD)</f>
        <v>2256.60283788163</v>
      </c>
      <c r="BH87" s="48" t="n">
        <f aca="false">(BH83+BH59+BH86)*(BH$4&gt;In_COD)</f>
        <v>2280.04632757307</v>
      </c>
      <c r="BI87" s="48" t="n">
        <f aca="false">(BI83+BI59+BI86)*(BI$4&gt;In_COD)</f>
        <v>2303.45909739285</v>
      </c>
      <c r="BJ87" s="48" t="n">
        <f aca="false">(BJ83+BJ59+BJ86)*(BJ$4&gt;In_COD)</f>
        <v>2294.78295689145</v>
      </c>
      <c r="BK87" s="48" t="n">
        <f aca="false">(BK83+BK59+BK86)*(BK$4&gt;In_COD)</f>
        <v>2281.59990277462</v>
      </c>
      <c r="BL87" s="48" t="n">
        <f aca="false">(BL83+BL59+BL86)*(BL$4&gt;In_COD)</f>
        <v>2280.48501390127</v>
      </c>
      <c r="BM87" s="48" t="n">
        <f aca="false">(BM83+BM59+BM86)*(BM$4&gt;In_COD)</f>
        <v>2303.89562167766</v>
      </c>
      <c r="BN87" s="48" t="n">
        <f aca="false">(BN83+BN59+BN86)*(BN$4&gt;In_COD)</f>
        <v>2295.11661752728</v>
      </c>
      <c r="BO87" s="48" t="n">
        <f aca="false">(BO83+BO59+BO86)*(BO$4&gt;In_COD)</f>
        <v>2257.05924775736</v>
      </c>
      <c r="BP87" s="48" t="n">
        <f aca="false">(BP83+BP59+BP86)*(BP$4&gt;In_COD)</f>
        <v>2280.49510381955</v>
      </c>
      <c r="BQ87" s="48" t="n">
        <f aca="false">(BQ83+BQ59+BQ86)*(BQ$4&gt;In_COD)</f>
        <v>2303.89885092818</v>
      </c>
      <c r="BR87" s="48" t="n">
        <f aca="false">(BR83+BR59+BR86)*(BR$4&gt;In_COD)</f>
        <v>2295.01456815272</v>
      </c>
      <c r="BS87" s="48" t="n">
        <f aca="false">(BS83+BS59+BS86)*(BS$4&gt;In_COD)</f>
        <v>2256.61657950529</v>
      </c>
      <c r="BT87" s="48" t="n">
        <f aca="false">(BT83+BT59+BT86)*(BT$4&gt;In_COD)</f>
        <v>2280.04120702171</v>
      </c>
      <c r="BU87" s="48" t="n">
        <f aca="false">(BU83+BU59+BU86)*(BU$4&gt;In_COD)</f>
        <v>2303.43299076991</v>
      </c>
      <c r="BV87" s="48" t="n">
        <f aca="false">(BV83+BV59+BV86)*(BV$4&gt;In_COD)</f>
        <v>2294.44069416628</v>
      </c>
      <c r="BW87" s="48" t="n">
        <f aca="false">(BW83+BW59+BW86)*(BW$4&gt;In_COD)</f>
        <v>2255.69682997617</v>
      </c>
      <c r="BX87" s="48" t="n">
        <f aca="false">(BX83+BX59+BX86)*(BX$4&gt;In_COD)</f>
        <v>2279.1049517403</v>
      </c>
      <c r="BY87" s="48" t="n">
        <f aca="false">(BY83+BY59+BY86)*(BY$4&gt;In_COD)</f>
        <v>2302.4794655589</v>
      </c>
      <c r="BZ87" s="48" t="n">
        <f aca="false">(BZ83+BZ59+BZ86)*(BZ$4&gt;In_COD)</f>
        <v>2293.37630460856</v>
      </c>
      <c r="CA87" s="48" t="n">
        <f aca="false">(CA83+CA59+CA86)*(CA$4&gt;In_COD)</f>
        <v>2279.00728800898</v>
      </c>
      <c r="CB87" s="48" t="n">
        <f aca="false">(CB83+CB59+CB86)*(CB$4&gt;In_COD)</f>
        <v>2277.64861682765</v>
      </c>
      <c r="CC87" s="48" t="n">
        <f aca="false">(CC83+CC59+CC86)*(CC$4&gt;In_COD)</f>
        <v>2301.00012332336</v>
      </c>
      <c r="CD87" s="48" t="n">
        <f aca="false">(CD83+CD59+CD86)*(CD$4&gt;In_COD)</f>
        <v>2291.78290500657</v>
      </c>
      <c r="CE87" s="48" t="n">
        <f aca="false">(CE83+CE59+CE86)*(CE$4&gt;In_COD)</f>
        <v>2252.33066633395</v>
      </c>
      <c r="CF87" s="48" t="n">
        <f aca="false">(CF83+CF59+CF86)*(CF$4&gt;In_COD)</f>
        <v>2275.68886895912</v>
      </c>
      <c r="CG87" s="48" t="n">
        <f aca="false">(CG83+CG59+CG86)*(CG$4&gt;In_COD)</f>
        <v>2299.01183903002</v>
      </c>
      <c r="CH87" s="48" t="n">
        <f aca="false">(CH83+CH59+CH86)*(CH$4&gt;In_COD)</f>
        <v>2289.67767693571</v>
      </c>
      <c r="CI87" s="48" t="n">
        <f aca="false">(CI83+CI59+CI86)*(CI$4&gt;In_COD)</f>
        <v>2249.86282259527</v>
      </c>
      <c r="CJ87" s="48" t="n">
        <f aca="false">(CJ83+CJ59+CJ86)*(CJ$4&gt;In_COD)</f>
        <v>2273.18738323665</v>
      </c>
      <c r="CK87" s="48" t="n">
        <f aca="false">(CK83+CK59+CK86)*(CK$4&gt;In_COD)</f>
        <v>2296.4758505171</v>
      </c>
      <c r="CL87" s="48" t="n">
        <f aca="false">(CL83+CL59+CL86)*(CL$4&gt;In_COD)</f>
        <v>2287.02151425536</v>
      </c>
      <c r="CM87" s="48" t="n">
        <f aca="false">(CM83+CM59+CM86)*(CM$4&gt;In_COD)</f>
        <v>2246.83812571537</v>
      </c>
      <c r="CN87" s="48" t="n">
        <f aca="false">(CN83+CN59+CN86)*(CN$4&gt;In_COD)</f>
        <v>2270.1228764423</v>
      </c>
      <c r="CO87" s="48" t="n">
        <f aca="false">(CO83+CO59+CO86)*(CO$4&gt;In_COD)</f>
        <v>2293.37063779823</v>
      </c>
      <c r="CP87" s="48" t="n">
        <f aca="false">(CP83+CP59+CP86)*(CP$4&gt;In_COD)</f>
        <v>2283.79275846356</v>
      </c>
      <c r="CQ87" s="48" t="n">
        <f aca="false">(CQ83+CQ59+CQ86)*(CQ$4&gt;In_COD)</f>
        <v>2268.10373363216</v>
      </c>
      <c r="CR87" s="48" t="n">
        <f aca="false">(CR83+CR59+CR86)*(CR$4&gt;In_COD)</f>
        <v>2266.45449137337</v>
      </c>
      <c r="CS87" s="48" t="n">
        <f aca="false">(CS83+CS59+CS86)*(CS$4&gt;In_COD)</f>
        <v>2289.65487734908</v>
      </c>
      <c r="CT87" s="48" t="n">
        <f aca="false">(CT83+CT59+CT86)*(CT$4&gt;In_COD)</f>
        <v>2279.94971794918</v>
      </c>
      <c r="CU87" s="48" t="n">
        <f aca="false">(CU83+CU59+CU86)*(CU$4&gt;In_COD)</f>
        <v>2240.73153719111</v>
      </c>
      <c r="CV87" s="48" t="n">
        <f aca="false">(CV83+CV59+CV86)*(CV$4&gt;In_COD)</f>
        <v>2265.62855427102</v>
      </c>
      <c r="CW87" s="48" t="n">
        <f aca="false">(CW83+CW59+CW86)*(CW$4&gt;In_COD)</f>
        <v>2290.52557135092</v>
      </c>
      <c r="CX87" s="48" t="n">
        <f aca="false">(CX83+CX59+CX86)*(CX$4&gt;In_COD)</f>
        <v>2282.47953249614</v>
      </c>
      <c r="CY87" s="48" t="n">
        <f aca="false">(CY83+CY59+CY86)*(CY$4&gt;In_COD)</f>
        <v>2242.9577346824</v>
      </c>
      <c r="CZ87" s="48" t="n">
        <f aca="false">(CZ83+CZ59+CZ86)*(CZ$4&gt;In_COD)</f>
        <v>2267.87948728999</v>
      </c>
      <c r="DA87" s="48" t="n">
        <f aca="false">(DA83+DA59+DA86)*(DA$4&gt;In_COD)</f>
        <v>2292.80123989757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466</v>
      </c>
      <c r="D88" s="11" t="s">
        <v>33</v>
      </c>
      <c r="E88" s="48" t="n">
        <f aca="false">SUMPRODUCT($J88:$EO88/$J22:$EO22)*$E22</f>
        <v>89831.5464768464</v>
      </c>
      <c r="I88" s="48" t="n">
        <f aca="false">SUM(J88:EO88)</f>
        <v>136793.50837732</v>
      </c>
      <c r="J88" s="48" t="n">
        <f aca="false">J87/In_DSCR*J18</f>
        <v>-0</v>
      </c>
      <c r="K88" s="48" t="n">
        <f aca="false">K87/In_DSCR*K18</f>
        <v>-0</v>
      </c>
      <c r="L88" s="48" t="n">
        <f aca="false">L87/In_DSCR*L18</f>
        <v>-0</v>
      </c>
      <c r="M88" s="48" t="n">
        <f aca="false">M87/In_DSCR*M18</f>
        <v>-0</v>
      </c>
      <c r="N88" s="48" t="n">
        <f aca="false">N87/In_DSCR*N18</f>
        <v>-0</v>
      </c>
      <c r="O88" s="48" t="n">
        <f aca="false">O87/In_DSCR*O18</f>
        <v>-0</v>
      </c>
      <c r="P88" s="48" t="n">
        <f aca="false">P87/In_DSCR*P18</f>
        <v>-0</v>
      </c>
      <c r="Q88" s="48" t="n">
        <f aca="false">Q87/In_DSCR*Q18</f>
        <v>-0</v>
      </c>
      <c r="R88" s="48" t="n">
        <f aca="false">R87/In_DSCR*R18</f>
        <v>-0</v>
      </c>
      <c r="S88" s="48" t="n">
        <f aca="false">S87/In_DSCR*S18</f>
        <v>-0</v>
      </c>
      <c r="T88" s="48" t="n">
        <f aca="false">T87/In_DSCR*T18</f>
        <v>-0</v>
      </c>
      <c r="U88" s="48" t="n">
        <f aca="false">U87/In_DSCR*U18</f>
        <v>-0</v>
      </c>
      <c r="V88" s="48" t="n">
        <f aca="false">V87/In_DSCR*V18</f>
        <v>-0</v>
      </c>
      <c r="W88" s="48" t="n">
        <f aca="false">W87/In_DSCR*W18</f>
        <v>-0</v>
      </c>
      <c r="X88" s="48" t="n">
        <f aca="false">X87/In_DSCR*X18</f>
        <v>-0</v>
      </c>
      <c r="Y88" s="48" t="n">
        <f aca="false">Y87/In_DSCR*Y18</f>
        <v>-0</v>
      </c>
      <c r="Z88" s="48" t="n">
        <f aca="false">Z87/In_DSCR*Z18</f>
        <v>1919.46429614999</v>
      </c>
      <c r="AA88" s="48" t="n">
        <f aca="false">AA87/In_DSCR*AA18</f>
        <v>1890.37412073714</v>
      </c>
      <c r="AB88" s="48" t="n">
        <f aca="false">AB87/In_DSCR*AB18</f>
        <v>1910.71148531963</v>
      </c>
      <c r="AC88" s="48" t="n">
        <f aca="false">AC87/In_DSCR*AC18</f>
        <v>1931.03750643877</v>
      </c>
      <c r="AD88" s="48" t="n">
        <f aca="false">AD87/In_DSCR*AD18</f>
        <v>1924.18917309311</v>
      </c>
      <c r="AE88" s="48" t="n">
        <f aca="false">AE87/In_DSCR*AE18</f>
        <v>1870.35922555902</v>
      </c>
      <c r="AF88" s="48" t="n">
        <f aca="false">AF87/In_DSCR*AF18</f>
        <v>1864.55169748379</v>
      </c>
      <c r="AG88" s="48" t="n">
        <f aca="false">AG87/In_DSCR*AG18</f>
        <v>1883.73075608771</v>
      </c>
      <c r="AH88" s="48" t="n">
        <f aca="false">AH87/In_DSCR*AH18</f>
        <v>1877.06250845359</v>
      </c>
      <c r="AI88" s="48" t="n">
        <f aca="false">AI87/In_DSCR*AI18</f>
        <v>1848.00909461803</v>
      </c>
      <c r="AJ88" s="48" t="n">
        <f aca="false">AJ87/In_DSCR*AJ18</f>
        <v>1890.71921306024</v>
      </c>
      <c r="AK88" s="48" t="n">
        <f aca="false">AK87/In_DSCR*AK18</f>
        <v>1910.16232660102</v>
      </c>
      <c r="AL88" s="48" t="n">
        <f aca="false">AL87/In_DSCR*AL18</f>
        <v>1903.40430184232</v>
      </c>
      <c r="AM88" s="48" t="n">
        <f aca="false">AM87/In_DSCR*AM18</f>
        <v>1873.5643119219</v>
      </c>
      <c r="AN88" s="48" t="n">
        <f aca="false">AN87/In_DSCR*AN18</f>
        <v>1893.05028955957</v>
      </c>
      <c r="AO88" s="48" t="n">
        <f aca="false">AO87/In_DSCR*AO18</f>
        <v>1912.51319942596</v>
      </c>
      <c r="AP88" s="48" t="n">
        <f aca="false">AP87/In_DSCR*AP18</f>
        <v>1905.68105813919</v>
      </c>
      <c r="AQ88" s="48" t="n">
        <f aca="false">AQ87/In_DSCR*AQ18</f>
        <v>1875.58465735857</v>
      </c>
      <c r="AR88" s="48" t="n">
        <f aca="false">AR87/In_DSCR*AR18</f>
        <v>1895.08767693494</v>
      </c>
      <c r="AS88" s="48" t="n">
        <f aca="false">AS87/In_DSCR*AS18</f>
        <v>1914.56716016594</v>
      </c>
      <c r="AT88" s="48" t="n">
        <f aca="false">AT87/In_DSCR*AT18</f>
        <v>1907.65918646876</v>
      </c>
      <c r="AU88" s="48" t="n">
        <f aca="false">AU87/In_DSCR*AU18</f>
        <v>1897.56276281822</v>
      </c>
      <c r="AV88" s="48" t="n">
        <f aca="false">AV87/In_DSCR*AV18</f>
        <v>1896.80420698566</v>
      </c>
      <c r="AW88" s="48" t="n">
        <f aca="false">AW87/In_DSCR*AW18</f>
        <v>1916.29672978282</v>
      </c>
      <c r="AX88" s="48" t="n">
        <f aca="false">AX87/In_DSCR*AX18</f>
        <v>1909.31095625325</v>
      </c>
      <c r="AY88" s="48" t="n">
        <f aca="false">AY87/In_DSCR*AY18</f>
        <v>1878.69065093232</v>
      </c>
      <c r="AZ88" s="48" t="n">
        <f aca="false">AZ87/In_DSCR*AZ18</f>
        <v>1898.21742407501</v>
      </c>
      <c r="BA88" s="48" t="n">
        <f aca="false">BA87/In_DSCR*BA18</f>
        <v>1917.7196671789</v>
      </c>
      <c r="BB88" s="48" t="n">
        <f aca="false">BB87/In_DSCR*BB18</f>
        <v>1910.65440810497</v>
      </c>
      <c r="BC88" s="48" t="n">
        <f aca="false">BC87/In_DSCR*BC18</f>
        <v>1879.76658241701</v>
      </c>
      <c r="BD88" s="48" t="n">
        <f aca="false">BD87/In_DSCR*BD18</f>
        <v>1899.29996868274</v>
      </c>
      <c r="BE88" s="48" t="n">
        <f aca="false">BE87/In_DSCR*BE18</f>
        <v>1918.80830019529</v>
      </c>
      <c r="BF88" s="48" t="n">
        <f aca="false">BF87/In_DSCR*BF18</f>
        <v>1911.66161995058</v>
      </c>
      <c r="BG88" s="48" t="n">
        <f aca="false">BG87/In_DSCR*BG18</f>
        <v>1880.50236490136</v>
      </c>
      <c r="BH88" s="48" t="n">
        <f aca="false">BH87/In_DSCR*BH18</f>
        <v>1900.03860631089</v>
      </c>
      <c r="BI88" s="48" t="n">
        <f aca="false">BI87/In_DSCR*BI18</f>
        <v>1919.54924782737</v>
      </c>
      <c r="BJ88" s="48" t="n">
        <f aca="false">BJ87/In_DSCR*BJ18</f>
        <v>1912.31913074287</v>
      </c>
      <c r="BK88" s="48" t="n">
        <f aca="false">BK87/In_DSCR*BK18</f>
        <v>1901.33325231218</v>
      </c>
      <c r="BL88" s="48" t="n">
        <f aca="false">BL87/In_DSCR*BL18</f>
        <v>1900.40417825105</v>
      </c>
      <c r="BM88" s="48" t="n">
        <f aca="false">BM87/In_DSCR*BM18</f>
        <v>1919.91301806471</v>
      </c>
      <c r="BN88" s="48" t="n">
        <f aca="false">BN87/In_DSCR*BN18</f>
        <v>1912.59718127274</v>
      </c>
      <c r="BO88" s="48" t="n">
        <f aca="false">BO87/In_DSCR*BO18</f>
        <v>1880.88270646447</v>
      </c>
      <c r="BP88" s="48" t="n">
        <f aca="false">BP87/In_DSCR*BP18</f>
        <v>1900.41258651629</v>
      </c>
      <c r="BQ88" s="48" t="n">
        <f aca="false">BQ87/In_DSCR*BQ18</f>
        <v>1919.91570910682</v>
      </c>
      <c r="BR88" s="48" t="n">
        <f aca="false">BR87/In_DSCR*BR18</f>
        <v>1912.51214012727</v>
      </c>
      <c r="BS88" s="48" t="n">
        <f aca="false">BS87/In_DSCR*BS18</f>
        <v>1880.51381625441</v>
      </c>
      <c r="BT88" s="48" t="n">
        <f aca="false">BT87/In_DSCR*BT18</f>
        <v>1900.03433918476</v>
      </c>
      <c r="BU88" s="48" t="n">
        <f aca="false">BU87/In_DSCR*BU18</f>
        <v>1919.52749230826</v>
      </c>
      <c r="BV88" s="48" t="n">
        <f aca="false">BV87/In_DSCR*BV18</f>
        <v>1912.03391180523</v>
      </c>
      <c r="BW88" s="48" t="n">
        <f aca="false">BW87/In_DSCR*BW18</f>
        <v>1879.74735831348</v>
      </c>
      <c r="BX88" s="48" t="n">
        <f aca="false">BX87/In_DSCR*BX18</f>
        <v>1899.25412645025</v>
      </c>
      <c r="BY88" s="48" t="n">
        <f aca="false">BY87/In_DSCR*BY18</f>
        <v>1918.73288796575</v>
      </c>
      <c r="BZ88" s="48" t="n">
        <f aca="false">BZ87/In_DSCR*BZ18</f>
        <v>1911.14692050714</v>
      </c>
      <c r="CA88" s="48" t="n">
        <f aca="false">CA87/In_DSCR*CA18</f>
        <v>1899.17274000748</v>
      </c>
      <c r="CB88" s="48" t="n">
        <f aca="false">CB87/In_DSCR*CB18</f>
        <v>1898.04051402304</v>
      </c>
      <c r="CC88" s="48" t="n">
        <f aca="false">CC87/In_DSCR*CC18</f>
        <v>1917.50010276947</v>
      </c>
      <c r="CD88" s="48" t="n">
        <f aca="false">CD87/In_DSCR*CD18</f>
        <v>1909.81908750548</v>
      </c>
      <c r="CE88" s="48" t="n">
        <f aca="false">CE87/In_DSCR*CE18</f>
        <v>1876.94222194496</v>
      </c>
      <c r="CF88" s="48" t="n">
        <f aca="false">CF87/In_DSCR*CF18</f>
        <v>1896.40739079927</v>
      </c>
      <c r="CG88" s="48" t="n">
        <f aca="false">CG87/In_DSCR*CG18</f>
        <v>1915.84319919168</v>
      </c>
      <c r="CH88" s="48" t="n">
        <f aca="false">CH87/In_DSCR*CH18</f>
        <v>1908.06473077976</v>
      </c>
      <c r="CI88" s="48" t="n">
        <f aca="false">CI87/In_DSCR*CI18</f>
        <v>1874.88568549606</v>
      </c>
      <c r="CJ88" s="48" t="n">
        <f aca="false">CJ87/In_DSCR*CJ18</f>
        <v>1894.32281936388</v>
      </c>
      <c r="CK88" s="48" t="n">
        <f aca="false">CK87/In_DSCR*CK18</f>
        <v>1913.72987543092</v>
      </c>
      <c r="CL88" s="48" t="n">
        <f aca="false">CL87/In_DSCR*CL18</f>
        <v>1905.85126187947</v>
      </c>
      <c r="CM88" s="48" t="n">
        <f aca="false">CM87/In_DSCR*CM18</f>
        <v>1872.36510476281</v>
      </c>
      <c r="CN88" s="48" t="n">
        <f aca="false">CN87/In_DSCR*CN18</f>
        <v>1891.76906370192</v>
      </c>
      <c r="CO88" s="48" t="n">
        <f aca="false">CO87/In_DSCR*CO18</f>
        <v>1911.14219816519</v>
      </c>
      <c r="CP88" s="48" t="n">
        <f aca="false">CP87/In_DSCR*CP18</f>
        <v>1903.16063205297</v>
      </c>
      <c r="CQ88" s="48" t="n">
        <f aca="false">CQ87/In_DSCR*CQ18</f>
        <v>1890.08644469347</v>
      </c>
      <c r="CR88" s="48" t="n">
        <f aca="false">CR87/In_DSCR*CR18</f>
        <v>1888.71207614447</v>
      </c>
      <c r="CS88" s="48" t="n">
        <f aca="false">CS87/In_DSCR*CS18</f>
        <v>1908.04573112423</v>
      </c>
      <c r="CT88" s="48" t="n">
        <f aca="false">CT87/In_DSCR*CT18</f>
        <v>0</v>
      </c>
      <c r="CU88" s="48" t="n">
        <f aca="false">CU87/In_DSCR*CU18</f>
        <v>0</v>
      </c>
      <c r="CV88" s="48" t="n">
        <f aca="false">CV87/In_DSCR*CV18</f>
        <v>0</v>
      </c>
      <c r="CW88" s="48" t="n">
        <f aca="false">CW87/In_DSCR*CW18</f>
        <v>0</v>
      </c>
      <c r="CX88" s="48" t="n">
        <f aca="false">CX87/In_DSCR*CX18</f>
        <v>0</v>
      </c>
      <c r="CY88" s="48" t="n">
        <f aca="false">CY87/In_DSCR*CY18</f>
        <v>0</v>
      </c>
      <c r="CZ88" s="48" t="n">
        <f aca="false">CZ87/In_DSCR*CZ18</f>
        <v>0</v>
      </c>
      <c r="DA88" s="48" t="n">
        <f aca="false">DA87/In_DSCR*DA18</f>
        <v>0</v>
      </c>
      <c r="DB88" s="48" t="n">
        <f aca="false">DB87/In_DSCR*DB18</f>
        <v>0</v>
      </c>
      <c r="DC88" s="48" t="n">
        <f aca="false">DC87/In_DSCR*DC18</f>
        <v>0</v>
      </c>
      <c r="DD88" s="48" t="n">
        <f aca="false">DD87/In_DSCR*DD18</f>
        <v>0</v>
      </c>
      <c r="DE88" s="48" t="n">
        <f aca="false">DE87/In_DSCR*DE18</f>
        <v>0</v>
      </c>
      <c r="DF88" s="48" t="n">
        <f aca="false">DF87/In_DSCR*DF18</f>
        <v>0</v>
      </c>
      <c r="DG88" s="48" t="n">
        <f aca="false">DG87/In_DSCR*DG18</f>
        <v>0</v>
      </c>
      <c r="DH88" s="48" t="n">
        <f aca="false">DH87/In_DSCR*DH18</f>
        <v>0</v>
      </c>
      <c r="DI88" s="48" t="n">
        <f aca="false">DI87/In_DSCR*DI18</f>
        <v>0</v>
      </c>
      <c r="DJ88" s="48" t="n">
        <f aca="false">DJ87/In_DSCR*DJ18</f>
        <v>0</v>
      </c>
      <c r="DK88" s="48" t="n">
        <f aca="false">DK87/In_DSCR*DK18</f>
        <v>0</v>
      </c>
      <c r="DL88" s="48" t="n">
        <f aca="false">DL87/In_DSCR*DL18</f>
        <v>0</v>
      </c>
      <c r="DM88" s="48" t="n">
        <f aca="false">DM87/In_DSCR*DM18</f>
        <v>0</v>
      </c>
      <c r="DN88" s="48" t="n">
        <f aca="false">DN87/In_DSCR*DN18</f>
        <v>0</v>
      </c>
      <c r="DO88" s="48" t="n">
        <f aca="false">DO87/In_DSCR*DO18</f>
        <v>0</v>
      </c>
      <c r="DP88" s="48" t="n">
        <f aca="false">DP87/In_DSCR*DP18</f>
        <v>0</v>
      </c>
      <c r="DQ88" s="48" t="n">
        <f aca="false">DQ87/In_DSCR*DQ18</f>
        <v>0</v>
      </c>
      <c r="DR88" s="48" t="n">
        <f aca="false">DR87/In_DSCR*DR18</f>
        <v>0</v>
      </c>
      <c r="DS88" s="48" t="n">
        <f aca="false">DS87/In_DSCR*DS18</f>
        <v>0</v>
      </c>
      <c r="DT88" s="48" t="n">
        <f aca="false">DT87/In_DSCR*DT18</f>
        <v>0</v>
      </c>
      <c r="DU88" s="48" t="n">
        <f aca="false">DU87/In_DSCR*DU18</f>
        <v>0</v>
      </c>
      <c r="DV88" s="48" t="n">
        <f aca="false">DV87/In_DSCR*DV18</f>
        <v>0</v>
      </c>
      <c r="DW88" s="48" t="n">
        <f aca="false">DW87/In_DSCR*DW18</f>
        <v>0</v>
      </c>
      <c r="DX88" s="48" t="n">
        <f aca="false">DX87/In_DSCR*DX18</f>
        <v>0</v>
      </c>
      <c r="DY88" s="48" t="n">
        <f aca="false">DY87/In_DSCR*DY18</f>
        <v>0</v>
      </c>
      <c r="DZ88" s="48" t="n">
        <f aca="false">DZ87/In_DSCR*DZ18</f>
        <v>0</v>
      </c>
      <c r="EA88" s="48" t="n">
        <f aca="false">EA87/In_DSCR*EA18</f>
        <v>0</v>
      </c>
      <c r="EB88" s="48" t="n">
        <f aca="false">EB87/In_DSCR*EB18</f>
        <v>0</v>
      </c>
      <c r="EC88" s="48" t="n">
        <f aca="false">EC87/In_DSCR*EC18</f>
        <v>0</v>
      </c>
      <c r="ED88" s="48" t="n">
        <f aca="false">ED87/In_DSCR*ED18</f>
        <v>0</v>
      </c>
      <c r="EE88" s="48" t="n">
        <f aca="false">EE87/In_DSCR*EE18</f>
        <v>0</v>
      </c>
      <c r="EF88" s="48" t="n">
        <f aca="false">EF87/In_DSCR*EF18</f>
        <v>0</v>
      </c>
      <c r="EG88" s="48" t="n">
        <f aca="false">EG87/In_DSCR*EG18</f>
        <v>0</v>
      </c>
      <c r="EH88" s="48" t="n">
        <f aca="false">EH87/In_DSCR*EH18</f>
        <v>0</v>
      </c>
      <c r="EI88" s="48" t="n">
        <f aca="false">EI87/In_DSCR*EI18</f>
        <v>0</v>
      </c>
      <c r="EJ88" s="48" t="n">
        <f aca="false">EJ87/In_DSCR*EJ18</f>
        <v>0</v>
      </c>
      <c r="EK88" s="48" t="n">
        <f aca="false">EK87/In_DSCR*EK18</f>
        <v>0</v>
      </c>
      <c r="EL88" s="48" t="n">
        <f aca="false">EL87/In_DSCR*EL18</f>
        <v>0</v>
      </c>
      <c r="EM88" s="48" t="n">
        <f aca="false">EM87/In_DSCR*EM18</f>
        <v>0</v>
      </c>
      <c r="EN88" s="48" t="n">
        <f aca="false">EN87/In_DSCR*EN18</f>
        <v>0</v>
      </c>
      <c r="EO88" s="48" t="n">
        <f aca="false">EO87/In_DSCR*EO18</f>
        <v>0</v>
      </c>
    </row>
    <row r="89" customFormat="false" ht="15" hidden="false" customHeight="false" outlineLevel="0" collapsed="false">
      <c r="C89" s="0" t="s">
        <v>467</v>
      </c>
      <c r="D89" s="11" t="s">
        <v>33</v>
      </c>
      <c r="E89" s="48" t="n">
        <f aca="false">IF(In_Debt_Mult&gt;0,In_Debt_Mult*$E83,$E88)</f>
        <v>89831.5464768464</v>
      </c>
    </row>
    <row r="90" customFormat="false" ht="15" hidden="false" customHeight="false" outlineLevel="0" collapsed="false">
      <c r="C90" s="25" t="s">
        <v>468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0.483096842151839</v>
      </c>
    </row>
    <row r="92" customFormat="false" ht="15" hidden="false" customHeight="false" outlineLevel="0" collapsed="false">
      <c r="A92" s="9" t="s">
        <v>13</v>
      </c>
      <c r="B92" s="9"/>
      <c r="C92" s="9" t="s">
        <v>349</v>
      </c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</row>
    <row r="93" customFormat="false" ht="15" hidden="false" customHeight="false" outlineLevel="0" collapsed="false">
      <c r="C93" s="0" t="s">
        <v>469</v>
      </c>
      <c r="D93" s="11" t="s">
        <v>33</v>
      </c>
      <c r="I93" s="48" t="n">
        <f aca="false">SUM(J93:EO93)</f>
        <v>-22687.1754953739</v>
      </c>
      <c r="J93" s="48" t="n">
        <f aca="false">-I99*$F22*(J$4&gt;In_COD)</f>
        <v>-0</v>
      </c>
      <c r="K93" s="48" t="n">
        <f aca="false">-J99*$F22*(K$4&gt;In_COD)</f>
        <v>-0</v>
      </c>
      <c r="L93" s="48" t="n">
        <f aca="false">-K99*$F22*(L$4&gt;In_COD)</f>
        <v>-0</v>
      </c>
      <c r="M93" s="48" t="n">
        <f aca="false">-L99*$F22*(M$4&gt;In_COD)</f>
        <v>-0</v>
      </c>
      <c r="N93" s="48" t="n">
        <f aca="false">-M99*$F22*(N$4&gt;In_COD)</f>
        <v>-0</v>
      </c>
      <c r="O93" s="48" t="n">
        <f aca="false">-N99*$F22*(O$4&gt;In_COD)</f>
        <v>-0</v>
      </c>
      <c r="P93" s="48" t="n">
        <f aca="false">-O99*$F22*(P$4&gt;In_COD)</f>
        <v>-0</v>
      </c>
      <c r="Q93" s="48" t="n">
        <f aca="false">-P99*$F22*(Q$4&gt;In_COD)</f>
        <v>-0</v>
      </c>
      <c r="R93" s="48" t="n">
        <f aca="false">-Q99*$F22*(R$4&gt;In_COD)</f>
        <v>-0</v>
      </c>
      <c r="S93" s="48" t="n">
        <f aca="false">-R99*$F22*(S$4&gt;In_COD)</f>
        <v>-0</v>
      </c>
      <c r="T93" s="48" t="n">
        <f aca="false">-S99*$F22*(T$4&gt;In_COD)</f>
        <v>-0</v>
      </c>
      <c r="U93" s="48" t="n">
        <f aca="false">-T99*$F22*(U$4&gt;In_COD)</f>
        <v>-0</v>
      </c>
      <c r="V93" s="48" t="n">
        <f aca="false">-U99*$F22*(V$4&gt;In_COD)</f>
        <v>-0</v>
      </c>
      <c r="W93" s="48" t="n">
        <f aca="false">-V99*$F22*(W$4&gt;In_COD)</f>
        <v>-0</v>
      </c>
      <c r="X93" s="48" t="n">
        <f aca="false">-W99*$F22*(X$4&gt;In_COD)</f>
        <v>-0</v>
      </c>
      <c r="Y93" s="48" t="n">
        <f aca="false">-X99*$F22*(Y$4&gt;In_COD)</f>
        <v>-0</v>
      </c>
      <c r="Z93" s="48" t="n">
        <f aca="false">-Y99*$F22*(Z$4&gt;In_COD)</f>
        <v>-542.466705357259</v>
      </c>
      <c r="AA93" s="48" t="n">
        <f aca="false">-Z99*$F22*(AA$4&gt;In_COD)</f>
        <v>-537.656449923059</v>
      </c>
      <c r="AB93" s="48" t="n">
        <f aca="false">-AA99*$F22*(AB$4&gt;In_COD)</f>
        <v>-532.961733444426</v>
      </c>
      <c r="AC93" s="48" t="n">
        <f aca="false">-AB99*$F22*(AC$4&gt;In_COD)</f>
        <v>-528.085521552217</v>
      </c>
      <c r="AD93" s="48" t="n">
        <f aca="false">-AC99*$F22*(AD$4&gt;In_COD)</f>
        <v>-523.025614053653</v>
      </c>
      <c r="AE93" s="48" t="n">
        <f aca="false">-AD99*$F22*(AE$4&gt;In_COD)</f>
        <v>-517.943812814023</v>
      </c>
      <c r="AF93" s="48" t="n">
        <f aca="false">-AE99*$F22*(AF$4&gt;In_COD)</f>
        <v>-513.123552529735</v>
      </c>
      <c r="AG93" s="48" t="n">
        <f aca="false">-AF99*$F22*(AG$4&gt;In_COD)</f>
        <v>-508.278108972815</v>
      </c>
      <c r="AH93" s="48" t="n">
        <f aca="false">-AG99*$F22*(AH$4&gt;In_COD)</f>
        <v>-503.256280588347</v>
      </c>
      <c r="AI93" s="48" t="n">
        <f aca="false">-AH99*$F22*(AI$4&gt;In_COD)</f>
        <v>-498.211946966257</v>
      </c>
      <c r="AJ93" s="48" t="n">
        <f aca="false">-AI99*$F22*(AJ$4&gt;In_COD)</f>
        <v>-493.280004329862</v>
      </c>
      <c r="AK93" s="48" t="n">
        <f aca="false">-AJ99*$F22*(AK$4&gt;In_COD)</f>
        <v>-488.02849836867</v>
      </c>
      <c r="AL93" s="48" t="n">
        <f aca="false">-AK99*$F22*(AL$4&gt;In_COD)</f>
        <v>-482.593937248549</v>
      </c>
      <c r="AM93" s="48" t="n">
        <f aca="false">-AL99*$F22*(AM$4&gt;In_COD)</f>
        <v>-477.132253869678</v>
      </c>
      <c r="AN93" s="48" t="n">
        <f aca="false">-AM99*$F22*(AN$4&gt;In_COD)</f>
        <v>-471.782494509826</v>
      </c>
      <c r="AO93" s="48" t="n">
        <f aca="false">-AN99*$F22*(AO$4&gt;In_COD)</f>
        <v>-466.248192979688</v>
      </c>
      <c r="AP93" s="48" t="n">
        <f aca="false">-AO99*$F22*(AP$4&gt;In_COD)</f>
        <v>-460.527181801729</v>
      </c>
      <c r="AQ93" s="48" t="n">
        <f aca="false">-AP99*$F22*(AQ$4&gt;In_COD)</f>
        <v>-454.775915307555</v>
      </c>
      <c r="AR93" s="48" t="n">
        <f aca="false">-AQ99*$F22*(AR$4&gt;In_COD)</f>
        <v>-449.13450143442</v>
      </c>
      <c r="AS93" s="48" t="n">
        <f aca="false">-AR99*$F22*(AS$4&gt;In_COD)</f>
        <v>-443.304796798249</v>
      </c>
      <c r="AT93" s="48" t="n">
        <f aca="false">-AS99*$F22*(AT$4&gt;In_COD)</f>
        <v>-437.28458989368</v>
      </c>
      <c r="AU93" s="48" t="n">
        <f aca="false">-AT99*$F22*(AU$4&gt;In_COD)</f>
        <v>-431.230845656288</v>
      </c>
      <c r="AV93" s="48" t="n">
        <f aca="false">-AU99*$F22*(AV$4&gt;In_COD)</f>
        <v>-425.162398995712</v>
      </c>
      <c r="AW93" s="48" t="n">
        <f aca="false">-AV99*$F22*(AW$4&gt;In_COD)</f>
        <v>-419.02267745097</v>
      </c>
      <c r="AX93" s="48" t="n">
        <f aca="false">-AW99*$F22*(AX$4&gt;In_COD)</f>
        <v>-412.688499684307</v>
      </c>
      <c r="AY93" s="48" t="n">
        <f aca="false">-AX99*$F22*(AY$4&gt;In_COD)</f>
        <v>-406.317329759713</v>
      </c>
      <c r="AZ93" s="48" t="n">
        <f aca="false">-AY99*$F22*(AZ$4&gt;In_COD)</f>
        <v>-400.051427371139</v>
      </c>
      <c r="BA93" s="48" t="n">
        <f aca="false">-AZ99*$F22*(BA$4&gt;In_COD)</f>
        <v>-393.589284672175</v>
      </c>
      <c r="BB93" s="48" t="n">
        <f aca="false">-BA99*$F22*(BB$4&gt;In_COD)</f>
        <v>-386.928596788745</v>
      </c>
      <c r="BC93" s="48" t="n">
        <f aca="false">-BB99*$F22*(BC$4&gt;In_COD)</f>
        <v>-380.227315361117</v>
      </c>
      <c r="BD93" s="48" t="n">
        <f aca="false">-BC99*$F22*(BD$4&gt;In_COD)</f>
        <v>-373.628790553778</v>
      </c>
      <c r="BE93" s="48" t="n">
        <f aca="false">-BD99*$F22*(BE$4&gt;In_COD)</f>
        <v>-366.829827721079</v>
      </c>
      <c r="BF93" s="48" t="n">
        <f aca="false">-BE99*$F22*(BF$4&gt;In_COD)</f>
        <v>-359.828072686104</v>
      </c>
      <c r="BG93" s="48" t="n">
        <f aca="false">-BF99*$F22*(BG$4&gt;In_COD)</f>
        <v>-352.781952446418</v>
      </c>
      <c r="BH93" s="48" t="n">
        <f aca="false">-BG99*$F22*(BH$4&gt;In_COD)</f>
        <v>-345.835917425211</v>
      </c>
      <c r="BI93" s="48" t="n">
        <f aca="false">-BH99*$F22*(BI$4&gt;In_COD)</f>
        <v>-338.685083259584</v>
      </c>
      <c r="BJ93" s="48" t="n">
        <f aca="false">-BI99*$F22*(BJ$4&gt;In_COD)</f>
        <v>-331.327044550575</v>
      </c>
      <c r="BK93" s="48" t="n">
        <f aca="false">-BJ99*$F22*(BK$4&gt;In_COD)</f>
        <v>-323.920690941852</v>
      </c>
      <c r="BL93" s="48" t="n">
        <f aca="false">-BK99*$F22*(BL$4&gt;In_COD)</f>
        <v>-316.488098452746</v>
      </c>
      <c r="BM93" s="48" t="n">
        <f aca="false">-BL99*$F22*(BM$4&gt;In_COD)</f>
        <v>-308.96820896684</v>
      </c>
      <c r="BN93" s="48" t="n">
        <f aca="false">-BM99*$F22*(BN$4&gt;In_COD)</f>
        <v>-301.23651262601</v>
      </c>
      <c r="BO93" s="48" t="n">
        <f aca="false">-BN99*$F22*(BO$4&gt;In_COD)</f>
        <v>-293.452348301568</v>
      </c>
      <c r="BP93" s="48" t="n">
        <f aca="false">-BO99*$F22*(BP$4&gt;In_COD)</f>
        <v>-285.76239645595</v>
      </c>
      <c r="BQ93" s="48" t="n">
        <f aca="false">-BP99*$F22*(BQ$4&gt;In_COD)</f>
        <v>-277.858384920004</v>
      </c>
      <c r="BR93" s="48" t="n">
        <f aca="false">-BQ99*$F22*(BR$4&gt;In_COD)</f>
        <v>-269.737799528164</v>
      </c>
      <c r="BS93" s="48" t="n">
        <f aca="false">-BR99*$F22*(BS$4&gt;In_COD)</f>
        <v>-261.560414828859</v>
      </c>
      <c r="BT93" s="48" t="n">
        <f aca="false">-BS99*$F22*(BT$4&gt;In_COD)</f>
        <v>-253.474041436027</v>
      </c>
      <c r="BU93" s="48" t="n">
        <f aca="false">-BT99*$F22*(BU$4&gt;In_COD)</f>
        <v>-245.168709588475</v>
      </c>
      <c r="BV93" s="48" t="n">
        <f aca="false">-BU99*$F22*(BV$4&gt;In_COD)</f>
        <v>-236.641847583859</v>
      </c>
      <c r="BW93" s="48" t="n">
        <f aca="false">-BV99*$F22*(BW$4&gt;In_COD)</f>
        <v>-228.053651367653</v>
      </c>
      <c r="BX93" s="48" t="n">
        <f aca="false">-BW99*$F22*(BX$4&gt;In_COD)</f>
        <v>-219.553071849192</v>
      </c>
      <c r="BY93" s="48" t="n">
        <f aca="false">-BX99*$F22*(BY$4&gt;In_COD)</f>
        <v>-210.828439360658</v>
      </c>
      <c r="BZ93" s="48" t="n">
        <f aca="false">-BY99*$F22*(BZ$4&gt;In_COD)</f>
        <v>-201.877122363802</v>
      </c>
      <c r="CA93" s="48" t="n">
        <f aca="false">-BZ99*$F22*(CA$4&gt;In_COD)</f>
        <v>-192.859723366034</v>
      </c>
      <c r="CB93" s="48" t="n">
        <f aca="false">-CA99*$F22*(CB$4&gt;In_COD)</f>
        <v>-183.801915490629</v>
      </c>
      <c r="CC93" s="48" t="n">
        <f aca="false">-CB99*$F22*(CC$4&gt;In_COD)</f>
        <v>-174.637722201752</v>
      </c>
      <c r="CD93" s="48" t="n">
        <f aca="false">-CC99*$F22*(CD$4&gt;In_COD)</f>
        <v>-165.241465673351</v>
      </c>
      <c r="CE93" s="48" t="n">
        <f aca="false">-CD99*$F22*(CE$4&gt;In_COD)</f>
        <v>-155.774139366078</v>
      </c>
      <c r="CF93" s="48" t="n">
        <f aca="false">-CE99*$F22*(CF$4&gt;In_COD)</f>
        <v>-146.387005354116</v>
      </c>
      <c r="CG93" s="48" t="n">
        <f aca="false">-CF99*$F22*(CG$4&gt;In_COD)</f>
        <v>-136.764987646936</v>
      </c>
      <c r="CH93" s="48" t="n">
        <f aca="false">-CG99*$F22*(CH$4&gt;In_COD)</f>
        <v>-126.905327497678</v>
      </c>
      <c r="CI93" s="48" t="n">
        <f aca="false">-CH99*$F22*(CI$4&gt;In_COD)</f>
        <v>-116.969393515636</v>
      </c>
      <c r="CJ93" s="48" t="n">
        <f aca="false">-CI99*$F22*(CJ$4&gt;In_COD)</f>
        <v>-107.109619008846</v>
      </c>
      <c r="CK93" s="48" t="n">
        <f aca="false">-CJ99*$F22*(CK$4&gt;In_COD)</f>
        <v>-97.0092220958211</v>
      </c>
      <c r="CL93" s="48" t="n">
        <f aca="false">-CK99*$F22*(CL$4&gt;In_COD)</f>
        <v>-86.665376627615</v>
      </c>
      <c r="CM93" s="48" t="n">
        <f aca="false">-CL99*$F22*(CM$4&gt;In_COD)</f>
        <v>-76.2398097576468</v>
      </c>
      <c r="CN93" s="48" t="n">
        <f aca="false">-CM99*$F22*(CN$4&gt;In_COD)</f>
        <v>-65.8861365112898</v>
      </c>
      <c r="CO93" s="48" t="n">
        <f aca="false">-CN99*$F22*(CO$4&gt;In_COD)</f>
        <v>-55.2858674582442</v>
      </c>
      <c r="CP93" s="48" t="n">
        <f aca="false">-CO99*$F22*(CP$4&gt;In_COD)</f>
        <v>-44.4361062910131</v>
      </c>
      <c r="CQ93" s="48" t="n">
        <f aca="false">-CP99*$F22*(CQ$4&gt;In_COD)</f>
        <v>-33.4989214764947</v>
      </c>
      <c r="CR93" s="48" t="n">
        <f aca="false">-CQ99*$F22*(CR$4&gt;In_COD)</f>
        <v>-22.5039730846332</v>
      </c>
      <c r="CS93" s="48" t="n">
        <f aca="false">-CR99*$F22*(CS$4&gt;In_COD)</f>
        <v>-11.3798872516982</v>
      </c>
      <c r="CT93" s="48" t="n">
        <f aca="false">-CS99*$F22*(CT$4&gt;In_COD)</f>
        <v>-1.72946101884008E-012</v>
      </c>
      <c r="CU93" s="48" t="n">
        <f aca="false">-CT99*$F22*(CU$4&gt;In_COD)</f>
        <v>-1.75107928157559E-012</v>
      </c>
      <c r="CV93" s="48" t="n">
        <f aca="false">-CU99*$F22*(CV$4&gt;In_COD)</f>
        <v>-1.77296777259528E-012</v>
      </c>
      <c r="CW93" s="48" t="n">
        <f aca="false">-CV99*$F22*(CW$4&gt;In_COD)</f>
        <v>-1.79512986975272E-012</v>
      </c>
      <c r="CX93" s="48" t="n">
        <f aca="false">-CW99*$F22*(CX$4&gt;In_COD)</f>
        <v>-1.81756899312463E-012</v>
      </c>
      <c r="CY93" s="48" t="n">
        <f aca="false">-CX99*$F22*(CY$4&gt;In_COD)</f>
        <v>-1.84028860553869E-012</v>
      </c>
      <c r="CZ93" s="48" t="n">
        <f aca="false">-CY99*$F22*(CZ$4&gt;In_COD)</f>
        <v>-1.86329221310792E-012</v>
      </c>
      <c r="DA93" s="48" t="n">
        <f aca="false">-CZ99*$F22*(DA$4&gt;In_COD)</f>
        <v>-1.88658336577177E-012</v>
      </c>
      <c r="DB93" s="48" t="n">
        <f aca="false">-DA99*$F22*(DB$4&gt;In_COD)</f>
        <v>-1.91016565784392E-012</v>
      </c>
      <c r="DC93" s="48" t="n">
        <f aca="false">-DB99*$F22*(DC$4&gt;In_COD)</f>
        <v>-1.93404272856697E-012</v>
      </c>
      <c r="DD93" s="48" t="n">
        <f aca="false">-DC99*$F22*(DD$4&gt;In_COD)</f>
        <v>-1.95821826267405E-012</v>
      </c>
      <c r="DE93" s="48" t="n">
        <f aca="false">-DD99*$F22*(DE$4&gt;In_COD)</f>
        <v>-1.98269599095748E-012</v>
      </c>
      <c r="DF93" s="48" t="n">
        <f aca="false">-DE99*$F22*(DF$4&gt;In_COD)</f>
        <v>-2.00747969084445E-012</v>
      </c>
      <c r="DG93" s="48" t="n">
        <f aca="false">-DF99*$F22*(DG$4&gt;In_COD)</f>
        <v>-2.03257318698E-012</v>
      </c>
      <c r="DH93" s="48" t="n">
        <f aca="false">-DG99*$F22*(DH$4&gt;In_COD)</f>
        <v>-2.05798035181725E-012</v>
      </c>
      <c r="DI93" s="48" t="n">
        <f aca="false">-DH99*$F22*(DI$4&gt;In_COD)</f>
        <v>-2.08370510621497E-012</v>
      </c>
      <c r="DJ93" s="48" t="n">
        <f aca="false">-DI99*$F22*(DJ$4&gt;In_COD)</f>
        <v>-2.10975142004266E-012</v>
      </c>
      <c r="DK93" s="48" t="n">
        <f aca="false">-DJ99*$F22*(DK$4&gt;In_COD)</f>
        <v>-2.13612331279319E-012</v>
      </c>
      <c r="DL93" s="48" t="n">
        <f aca="false">-DK99*$F22*(DL$4&gt;In_COD)</f>
        <v>-2.16282485420311E-012</v>
      </c>
      <c r="DM93" s="48" t="n">
        <f aca="false">-DL99*$F22*(DM$4&gt;In_COD)</f>
        <v>-2.18986016488064E-012</v>
      </c>
      <c r="DN93" s="48" t="n">
        <f aca="false">-DM99*$F22*(DN$4&gt;In_COD)</f>
        <v>-2.21723341694165E-012</v>
      </c>
      <c r="DO93" s="48" t="n">
        <f aca="false">-DN99*$F22*(DO$4&gt;In_COD)</f>
        <v>-2.24494883465342E-012</v>
      </c>
      <c r="DP93" s="48" t="n">
        <f aca="false">-DO99*$F22*(DP$4&gt;In_COD)</f>
        <v>-2.27301069508659E-012</v>
      </c>
      <c r="DQ93" s="48" t="n">
        <f aca="false">-DP99*$F22*(DQ$4&gt;In_COD)</f>
        <v>-2.30142332877517E-012</v>
      </c>
      <c r="DR93" s="48" t="n">
        <f aca="false">-DQ99*$F22*(DR$4&gt;In_COD)</f>
        <v>-2.33019112038486E-012</v>
      </c>
      <c r="DS93" s="48" t="n">
        <f aca="false">-DR99*$F22*(DS$4&gt;In_COD)</f>
        <v>-2.35931850938967E-012</v>
      </c>
      <c r="DT93" s="48" t="n">
        <f aca="false">-DS99*$F22*(DT$4&gt;In_COD)</f>
        <v>-2.38880999075704E-012</v>
      </c>
      <c r="DU93" s="48" t="n">
        <f aca="false">-DT99*$F22*(DU$4&gt;In_COD)</f>
        <v>-2.41867011564151E-012</v>
      </c>
      <c r="DV93" s="48" t="n">
        <f aca="false">-DU99*$F22*(DV$4&gt;In_COD)</f>
        <v>-2.44890349208703E-012</v>
      </c>
      <c r="DW93" s="48" t="n">
        <f aca="false">-DV99*$F22*(DW$4&gt;In_COD)</f>
        <v>-2.47951478573811E-012</v>
      </c>
      <c r="DX93" s="48" t="n">
        <f aca="false">-DW99*$F22*(DX$4&gt;In_COD)</f>
        <v>-2.51050872055984E-012</v>
      </c>
      <c r="DY93" s="48" t="n">
        <f aca="false">-DX99*$F22*(DY$4&gt;In_COD)</f>
        <v>-2.54189007956684E-012</v>
      </c>
      <c r="DZ93" s="48" t="n">
        <f aca="false">-DY99*$F22*(DZ$4&gt;In_COD)</f>
        <v>-2.57366370556142E-012</v>
      </c>
      <c r="EA93" s="48" t="n">
        <f aca="false">-DZ99*$F22*(EA$4&gt;In_COD)</f>
        <v>-2.60583450188094E-012</v>
      </c>
      <c r="EB93" s="48" t="n">
        <f aca="false">-EA99*$F22*(EB$4&gt;In_COD)</f>
        <v>-2.63840743315445E-012</v>
      </c>
      <c r="EC93" s="48" t="n">
        <f aca="false">-EB99*$F22*(EC$4&gt;In_COD)</f>
        <v>-2.67138752606888E-012</v>
      </c>
      <c r="ED93" s="48" t="n">
        <f aca="false">-EC99*$F22*(ED$4&gt;In_COD)</f>
        <v>-2.70477987014474E-012</v>
      </c>
      <c r="EE93" s="48" t="n">
        <f aca="false">-ED99*$F22*(EE$4&gt;In_COD)</f>
        <v>-2.73858961852155E-012</v>
      </c>
      <c r="EF93" s="48" t="n">
        <f aca="false">-EE99*$F22*(EF$4&gt;In_COD)</f>
        <v>-2.77282198875307E-012</v>
      </c>
      <c r="EG93" s="48" t="n">
        <f aca="false">-EF99*$F22*(EG$4&gt;In_COD)</f>
        <v>-2.80748226361249E-012</v>
      </c>
      <c r="EH93" s="48" t="n">
        <f aca="false">-EG99*$F22*(EH$4&gt;In_COD)</f>
        <v>-2.84257579190764E-012</v>
      </c>
      <c r="EI93" s="48" t="n">
        <f aca="false">-EH99*$F22*(EI$4&gt;In_COD)</f>
        <v>-2.87810798930649E-012</v>
      </c>
      <c r="EJ93" s="48" t="n">
        <f aca="false">-EI99*$F22*(EJ$4&gt;In_COD)</f>
        <v>-2.91408433917282E-012</v>
      </c>
      <c r="EK93" s="48" t="n">
        <f aca="false">-EJ99*$F22*(EK$4&gt;In_COD)</f>
        <v>-2.95051039341248E-012</v>
      </c>
      <c r="EL93" s="48" t="n">
        <f aca="false">-EK99*$F22*(EL$4&gt;In_COD)</f>
        <v>-2.98739177333014E-012</v>
      </c>
      <c r="EM93" s="48" t="n">
        <f aca="false">-EL99*$F22*(EM$4&gt;In_COD)</f>
        <v>-3.02473417049676E-012</v>
      </c>
      <c r="EN93" s="48" t="n">
        <f aca="false">-EM99*$F22*(EN$4&gt;In_COD)</f>
        <v>-3.06254334762797E-012</v>
      </c>
      <c r="EO93" s="48" t="n">
        <f aca="false">-EN99*$F22*(EO$4&gt;In_COD)</f>
        <v>-3.10082513947332E-012</v>
      </c>
    </row>
    <row r="94" customFormat="false" ht="15" hidden="false" customHeight="false" outlineLevel="0" collapsed="false">
      <c r="C94" s="0" t="s">
        <v>470</v>
      </c>
      <c r="D94" s="11" t="s">
        <v>33</v>
      </c>
      <c r="I94" s="48" t="n">
        <f aca="false">SUM(J94:EO94)</f>
        <v>-66084.5119239543</v>
      </c>
      <c r="J94" s="48" t="n">
        <f aca="false">-J88*$F90</f>
        <v>0</v>
      </c>
      <c r="K94" s="48" t="n">
        <f aca="false">-K88*$F90</f>
        <v>0</v>
      </c>
      <c r="L94" s="48" t="n">
        <f aca="false">-L88*$F90</f>
        <v>0</v>
      </c>
      <c r="M94" s="48" t="n">
        <f aca="false">-M88*$F90</f>
        <v>0</v>
      </c>
      <c r="N94" s="48" t="n">
        <f aca="false">-N88*$F90</f>
        <v>0</v>
      </c>
      <c r="O94" s="48" t="n">
        <f aca="false">-O88*$F90</f>
        <v>0</v>
      </c>
      <c r="P94" s="48" t="n">
        <f aca="false">-P88*$F90</f>
        <v>0</v>
      </c>
      <c r="Q94" s="48" t="n">
        <f aca="false">-Q88*$F90</f>
        <v>0</v>
      </c>
      <c r="R94" s="48" t="n">
        <f aca="false">-R88*$F90</f>
        <v>0</v>
      </c>
      <c r="S94" s="48" t="n">
        <f aca="false">-S88*$F90</f>
        <v>0</v>
      </c>
      <c r="T94" s="48" t="n">
        <f aca="false">-T88*$F90</f>
        <v>0</v>
      </c>
      <c r="U94" s="48" t="n">
        <f aca="false">-U88*$F90</f>
        <v>0</v>
      </c>
      <c r="V94" s="48" t="n">
        <f aca="false">-V88*$F90</f>
        <v>0</v>
      </c>
      <c r="W94" s="48" t="n">
        <f aca="false">-W88*$F90</f>
        <v>0</v>
      </c>
      <c r="X94" s="48" t="n">
        <f aca="false">-X88*$F90</f>
        <v>0</v>
      </c>
      <c r="Y94" s="48" t="n">
        <f aca="false">-Y88*$F90</f>
        <v>0</v>
      </c>
      <c r="Z94" s="48" t="n">
        <f aca="false">-Z88*$F90</f>
        <v>-927.287140093261</v>
      </c>
      <c r="AA94" s="48" t="n">
        <f aca="false">-AA88*$F90</f>
        <v>-913.23376821367</v>
      </c>
      <c r="AB94" s="48" t="n">
        <f aca="false">-AB88*$F90</f>
        <v>-923.058684821162</v>
      </c>
      <c r="AC94" s="48" t="n">
        <f aca="false">-AC88*$F90</f>
        <v>-932.878121437331</v>
      </c>
      <c r="AD94" s="48" t="n">
        <f aca="false">-AD88*$F90</f>
        <v>-929.569713224039</v>
      </c>
      <c r="AE94" s="48" t="n">
        <f aca="false">-AE88*$F90</f>
        <v>-903.564635557124</v>
      </c>
      <c r="AF94" s="48" t="n">
        <f aca="false">-AF88*$F90</f>
        <v>-900.759037083268</v>
      </c>
      <c r="AG94" s="48" t="n">
        <f aca="false">-AG88*$F90</f>
        <v>-910.02437973027</v>
      </c>
      <c r="AH94" s="48" t="n">
        <f aca="false">-AH88*$F90</f>
        <v>-906.802970355539</v>
      </c>
      <c r="AI94" s="48" t="n">
        <f aca="false">-AI88*$F90</f>
        <v>-892.767357877851</v>
      </c>
      <c r="AJ94" s="48" t="n">
        <f aca="false">-AJ88*$F90</f>
        <v>-913.400481225213</v>
      </c>
      <c r="AK94" s="48" t="n">
        <f aca="false">-AK88*$F90</f>
        <v>-922.793387978362</v>
      </c>
      <c r="AL94" s="48" t="n">
        <f aca="false">-AL88*$F90</f>
        <v>-919.528607558251</v>
      </c>
      <c r="AM94" s="48" t="n">
        <f aca="false">-AM88*$F90</f>
        <v>-905.113002657852</v>
      </c>
      <c r="AN94" s="48" t="n">
        <f aca="false">-AN88*$F90</f>
        <v>-914.526616920852</v>
      </c>
      <c r="AO94" s="48" t="n">
        <f aca="false">-AO88*$F90</f>
        <v>-923.92908721639</v>
      </c>
      <c r="AP94" s="48" t="n">
        <f aca="false">-AP88*$F90</f>
        <v>-920.628501335616</v>
      </c>
      <c r="AQ94" s="48" t="n">
        <f aca="false">-AQ88*$F90</f>
        <v>-906.089025158366</v>
      </c>
      <c r="AR94" s="48" t="n">
        <f aca="false">-AR88*$F90</f>
        <v>-915.510872328136</v>
      </c>
      <c r="AS94" s="48" t="n">
        <f aca="false">-AS88*$F90</f>
        <v>-924.921349163778</v>
      </c>
      <c r="AT94" s="48" t="n">
        <f aca="false">-AT88*$F90</f>
        <v>-921.584128885003</v>
      </c>
      <c r="AU94" s="48" t="n">
        <f aca="false">-AU88*$F90</f>
        <v>-916.706578502403</v>
      </c>
      <c r="AV94" s="48" t="n">
        <f aca="false">-AV88*$F90</f>
        <v>-916.340122575098</v>
      </c>
      <c r="AW94" s="48" t="n">
        <f aca="false">-AW88*$F90</f>
        <v>-925.756898783976</v>
      </c>
      <c r="AX94" s="48" t="n">
        <f aca="false">-AX88*$F90</f>
        <v>-922.382093651855</v>
      </c>
      <c r="AY94" s="48" t="n">
        <f aca="false">-AY88*$F90</f>
        <v>-907.589520845587</v>
      </c>
      <c r="AZ94" s="48" t="n">
        <f aca="false">-AZ88*$F90</f>
        <v>-917.022843288237</v>
      </c>
      <c r="BA94" s="48" t="n">
        <f aca="false">-BA88*$F90</f>
        <v>-926.444315346605</v>
      </c>
      <c r="BB94" s="48" t="n">
        <f aca="false">-BB88*$F90</f>
        <v>-923.031110999003</v>
      </c>
      <c r="BC94" s="48" t="n">
        <f aca="false">-BC88*$F90</f>
        <v>-908.109299948212</v>
      </c>
      <c r="BD94" s="48" t="n">
        <f aca="false">-BD88*$F90</f>
        <v>-917.545817169717</v>
      </c>
      <c r="BE94" s="48" t="n">
        <f aca="false">-BE88*$F90</f>
        <v>-926.970230519085</v>
      </c>
      <c r="BF94" s="48" t="n">
        <f aca="false">-BF88*$F90</f>
        <v>-923.517691860997</v>
      </c>
      <c r="BG94" s="48" t="n">
        <f aca="false">-BG88*$F90</f>
        <v>-908.464754142913</v>
      </c>
      <c r="BH94" s="48" t="n">
        <f aca="false">-BH88*$F90</f>
        <v>-917.902650675374</v>
      </c>
      <c r="BI94" s="48" t="n">
        <f aca="false">-BI88*$F90</f>
        <v>-927.328179980342</v>
      </c>
      <c r="BJ94" s="48" t="n">
        <f aca="false">-BJ88*$F90</f>
        <v>-923.835333248433</v>
      </c>
      <c r="BK94" s="48" t="n">
        <f aca="false">-BK88*$F90</f>
        <v>-918.528090070302</v>
      </c>
      <c r="BL94" s="48" t="n">
        <f aca="false">-BL88*$F90</f>
        <v>-918.079257325246</v>
      </c>
      <c r="BM94" s="48" t="n">
        <f aca="false">-BM88*$F90</f>
        <v>-927.50391623327</v>
      </c>
      <c r="BN94" s="48" t="n">
        <f aca="false">-BN88*$F90</f>
        <v>-923.969658581368</v>
      </c>
      <c r="BO94" s="48" t="n">
        <f aca="false">-BO88*$F90</f>
        <v>-908.648495950989</v>
      </c>
      <c r="BP94" s="48" t="n">
        <f aca="false">-BP88*$F90</f>
        <v>-918.083319331628</v>
      </c>
      <c r="BQ94" s="48" t="n">
        <f aca="false">-BQ88*$F90</f>
        <v>-927.505216267212</v>
      </c>
      <c r="BR94" s="48" t="n">
        <f aca="false">-BR88*$F90</f>
        <v>-923.92857547254</v>
      </c>
      <c r="BS94" s="48" t="n">
        <f aca="false">-BS88*$F90</f>
        <v>-908.470286255409</v>
      </c>
      <c r="BT94" s="48" t="n">
        <f aca="false">-BT88*$F90</f>
        <v>-917.900589240212</v>
      </c>
      <c r="BU94" s="48" t="n">
        <f aca="false">-BU88*$F90</f>
        <v>-927.31766995776</v>
      </c>
      <c r="BV94" s="48" t="n">
        <f aca="false">-BV88*$F90</f>
        <v>-923.697544880337</v>
      </c>
      <c r="BW94" s="48" t="n">
        <f aca="false">-BW88*$F90</f>
        <v>-908.100012844503</v>
      </c>
      <c r="BX94" s="48" t="n">
        <f aca="false">-BX88*$F90</f>
        <v>-917.523670931964</v>
      </c>
      <c r="BY94" s="48" t="n">
        <f aca="false">-BY88*$F90</f>
        <v>-926.933799109134</v>
      </c>
      <c r="BZ94" s="48" t="n">
        <f aca="false">-BZ88*$F90</f>
        <v>-923.26904218521</v>
      </c>
      <c r="CA94" s="48" t="n">
        <f aca="false">-CA88*$F90</f>
        <v>-917.484353398469</v>
      </c>
      <c r="CB94" s="48" t="n">
        <f aca="false">-CB88*$F90</f>
        <v>-916.937378600786</v>
      </c>
      <c r="CC94" s="48" t="n">
        <f aca="false">-CC88*$F90</f>
        <v>-926.338244473757</v>
      </c>
      <c r="CD94" s="48" t="n">
        <f aca="false">-CD88*$F90</f>
        <v>-922.627570255202</v>
      </c>
      <c r="CE94" s="48" t="n">
        <f aca="false">-CE88*$F90</f>
        <v>-906.744860323065</v>
      </c>
      <c r="CF94" s="48" t="n">
        <f aca="false">-CF88*$F90</f>
        <v>-916.148421928536</v>
      </c>
      <c r="CG94" s="48" t="n">
        <f aca="false">-CG88*$F90</f>
        <v>-925.537799587578</v>
      </c>
      <c r="CH94" s="48" t="n">
        <f aca="false">-CH88*$F90</f>
        <v>-921.780046061001</v>
      </c>
      <c r="CI94" s="48" t="n">
        <f aca="false">-CI88*$F90</f>
        <v>-905.751354058833</v>
      </c>
      <c r="CJ94" s="48" t="n">
        <f aca="false">-CJ88*$F90</f>
        <v>-915.141372050858</v>
      </c>
      <c r="CK94" s="48" t="n">
        <f aca="false">-CK88*$F90</f>
        <v>-924.516859552308</v>
      </c>
      <c r="CL94" s="48" t="n">
        <f aca="false">-CL88*$F90</f>
        <v>-920.710726225068</v>
      </c>
      <c r="CM94" s="48" t="n">
        <f aca="false">-CM88*$F90</f>
        <v>-904.533669466209</v>
      </c>
      <c r="CN94" s="48" t="n">
        <f aca="false">-CN88*$F90</f>
        <v>-913.907660754937</v>
      </c>
      <c r="CO94" s="48" t="n">
        <f aca="false">-CO88*$F90</f>
        <v>-923.266760836729</v>
      </c>
      <c r="CP94" s="48" t="n">
        <f aca="false">-CP88*$F90</f>
        <v>-919.410891452487</v>
      </c>
      <c r="CQ94" s="48" t="n">
        <f aca="false">-CQ88*$F90</f>
        <v>-913.094792825412</v>
      </c>
      <c r="CR94" s="48" t="n">
        <f aca="false">-CR88*$F90</f>
        <v>-912.430839719439</v>
      </c>
      <c r="CS94" s="48" t="n">
        <f aca="false">-CS88*$F90</f>
        <v>-921.770867387413</v>
      </c>
      <c r="CT94" s="48" t="n">
        <f aca="false">-CT88*$F90</f>
        <v>-0</v>
      </c>
      <c r="CU94" s="48" t="n">
        <f aca="false">-CU88*$F90</f>
        <v>-0</v>
      </c>
      <c r="CV94" s="48" t="n">
        <f aca="false">-CV88*$F90</f>
        <v>-0</v>
      </c>
      <c r="CW94" s="48" t="n">
        <f aca="false">-CW88*$F90</f>
        <v>-0</v>
      </c>
      <c r="CX94" s="48" t="n">
        <f aca="false">-CX88*$F90</f>
        <v>-0</v>
      </c>
      <c r="CY94" s="48" t="n">
        <f aca="false">-CY88*$F90</f>
        <v>-0</v>
      </c>
      <c r="CZ94" s="48" t="n">
        <f aca="false">-CZ88*$F90</f>
        <v>-0</v>
      </c>
      <c r="DA94" s="48" t="n">
        <f aca="false">-DA88*$F90</f>
        <v>-0</v>
      </c>
      <c r="DB94" s="48" t="n">
        <f aca="false">-DB88*$F90</f>
        <v>-0</v>
      </c>
      <c r="DC94" s="48" t="n">
        <f aca="false">-DC88*$F90</f>
        <v>-0</v>
      </c>
      <c r="DD94" s="48" t="n">
        <f aca="false">-DD88*$F90</f>
        <v>-0</v>
      </c>
      <c r="DE94" s="48" t="n">
        <f aca="false">-DE88*$F90</f>
        <v>-0</v>
      </c>
      <c r="DF94" s="48" t="n">
        <f aca="false">-DF88*$F90</f>
        <v>-0</v>
      </c>
      <c r="DG94" s="48" t="n">
        <f aca="false">-DG88*$F90</f>
        <v>-0</v>
      </c>
      <c r="DH94" s="48" t="n">
        <f aca="false">-DH88*$F90</f>
        <v>-0</v>
      </c>
      <c r="DI94" s="48" t="n">
        <f aca="false">-DI88*$F90</f>
        <v>-0</v>
      </c>
      <c r="DJ94" s="48" t="n">
        <f aca="false">-DJ88*$F90</f>
        <v>-0</v>
      </c>
      <c r="DK94" s="48" t="n">
        <f aca="false">-DK88*$F90</f>
        <v>-0</v>
      </c>
      <c r="DL94" s="48" t="n">
        <f aca="false">-DL88*$F90</f>
        <v>-0</v>
      </c>
      <c r="DM94" s="48" t="n">
        <f aca="false">-DM88*$F90</f>
        <v>-0</v>
      </c>
      <c r="DN94" s="48" t="n">
        <f aca="false">-DN88*$F90</f>
        <v>-0</v>
      </c>
      <c r="DO94" s="48" t="n">
        <f aca="false">-DO88*$F90</f>
        <v>-0</v>
      </c>
      <c r="DP94" s="48" t="n">
        <f aca="false">-DP88*$F90</f>
        <v>-0</v>
      </c>
      <c r="DQ94" s="48" t="n">
        <f aca="false">-DQ88*$F90</f>
        <v>-0</v>
      </c>
      <c r="DR94" s="48" t="n">
        <f aca="false">-DR88*$F90</f>
        <v>-0</v>
      </c>
      <c r="DS94" s="48" t="n">
        <f aca="false">-DS88*$F90</f>
        <v>-0</v>
      </c>
      <c r="DT94" s="48" t="n">
        <f aca="false">-DT88*$F90</f>
        <v>-0</v>
      </c>
      <c r="DU94" s="48" t="n">
        <f aca="false">-DU88*$F90</f>
        <v>-0</v>
      </c>
      <c r="DV94" s="48" t="n">
        <f aca="false">-DV88*$F90</f>
        <v>-0</v>
      </c>
      <c r="DW94" s="48" t="n">
        <f aca="false">-DW88*$F90</f>
        <v>-0</v>
      </c>
      <c r="DX94" s="48" t="n">
        <f aca="false">-DX88*$F90</f>
        <v>-0</v>
      </c>
      <c r="DY94" s="48" t="n">
        <f aca="false">-DY88*$F90</f>
        <v>-0</v>
      </c>
      <c r="DZ94" s="48" t="n">
        <f aca="false">-DZ88*$F90</f>
        <v>-0</v>
      </c>
      <c r="EA94" s="48" t="n">
        <f aca="false">-EA88*$F90</f>
        <v>-0</v>
      </c>
      <c r="EB94" s="48" t="n">
        <f aca="false">-EB88*$F90</f>
        <v>-0</v>
      </c>
      <c r="EC94" s="48" t="n">
        <f aca="false">-EC88*$F90</f>
        <v>-0</v>
      </c>
      <c r="ED94" s="48" t="n">
        <f aca="false">-ED88*$F90</f>
        <v>-0</v>
      </c>
      <c r="EE94" s="48" t="n">
        <f aca="false">-EE88*$F90</f>
        <v>-0</v>
      </c>
      <c r="EF94" s="48" t="n">
        <f aca="false">-EF88*$F90</f>
        <v>-0</v>
      </c>
      <c r="EG94" s="48" t="n">
        <f aca="false">-EG88*$F90</f>
        <v>-0</v>
      </c>
      <c r="EH94" s="48" t="n">
        <f aca="false">-EH88*$F90</f>
        <v>-0</v>
      </c>
      <c r="EI94" s="48" t="n">
        <f aca="false">-EI88*$F90</f>
        <v>-0</v>
      </c>
      <c r="EJ94" s="48" t="n">
        <f aca="false">-EJ88*$F90</f>
        <v>-0</v>
      </c>
      <c r="EK94" s="48" t="n">
        <f aca="false">-EK88*$F90</f>
        <v>-0</v>
      </c>
      <c r="EL94" s="48" t="n">
        <f aca="false">-EL88*$F90</f>
        <v>-0</v>
      </c>
      <c r="EM94" s="48" t="n">
        <f aca="false">-EM88*$F90</f>
        <v>-0</v>
      </c>
      <c r="EN94" s="48" t="n">
        <f aca="false">-EN88*$F90</f>
        <v>-0</v>
      </c>
      <c r="EO94" s="48" t="n">
        <f aca="false">-EO88*$F90</f>
        <v>-0</v>
      </c>
    </row>
    <row r="95" customFormat="false" ht="15" hidden="false" customHeight="false" outlineLevel="0" collapsed="false">
      <c r="C95" s="0" t="s">
        <v>471</v>
      </c>
      <c r="D95" s="11" t="s">
        <v>33</v>
      </c>
      <c r="J95" s="18" t="n">
        <f aca="false">I99</f>
        <v>0</v>
      </c>
      <c r="K95" s="18" t="n">
        <f aca="false">J99</f>
        <v>0</v>
      </c>
      <c r="L95" s="18" t="n">
        <f aca="false">K99</f>
        <v>0</v>
      </c>
      <c r="M95" s="18" t="n">
        <f aca="false">L99</f>
        <v>0</v>
      </c>
      <c r="N95" s="18" t="n">
        <f aca="false">M99</f>
        <v>0</v>
      </c>
      <c r="O95" s="18" t="n">
        <f aca="false">N99</f>
        <v>0</v>
      </c>
      <c r="P95" s="18" t="n">
        <f aca="false">O99</f>
        <v>0</v>
      </c>
      <c r="Q95" s="18" t="n">
        <f aca="false">P99</f>
        <v>0</v>
      </c>
      <c r="R95" s="18" t="n">
        <f aca="false">Q99</f>
        <v>0</v>
      </c>
      <c r="S95" s="18" t="n">
        <f aca="false">R99</f>
        <v>4485.81130136986</v>
      </c>
      <c r="T95" s="18" t="n">
        <f aca="false">S99</f>
        <v>13415.3303398973</v>
      </c>
      <c r="U95" s="18" t="n">
        <f aca="false">T99</f>
        <v>18020.0744520227</v>
      </c>
      <c r="V95" s="18" t="n">
        <f aca="false">U99</f>
        <v>22731.1366840428</v>
      </c>
      <c r="W95" s="18" t="n">
        <f aca="false">V99</f>
        <v>27501.0871939632</v>
      </c>
      <c r="X95" s="18" t="n">
        <f aca="false">W99</f>
        <v>32233.1444482713</v>
      </c>
      <c r="Y95" s="18" t="n">
        <f aca="false">X99</f>
        <v>37073.1112367514</v>
      </c>
      <c r="Z95" s="18" t="n">
        <f aca="false">Y99</f>
        <v>43397.3364285807</v>
      </c>
      <c r="AA95" s="18" t="n">
        <f aca="false">Z99</f>
        <v>43012.5159938447</v>
      </c>
      <c r="AB95" s="18" t="n">
        <f aca="false">AA99</f>
        <v>42636.9386755541</v>
      </c>
      <c r="AC95" s="18" t="n">
        <f aca="false">AB99</f>
        <v>42246.8417241774</v>
      </c>
      <c r="AD95" s="18" t="n">
        <f aca="false">AC99</f>
        <v>41842.0491242922</v>
      </c>
      <c r="AE95" s="18" t="n">
        <f aca="false">AD99</f>
        <v>41435.5050251219</v>
      </c>
      <c r="AF95" s="18" t="n">
        <f aca="false">AE99</f>
        <v>41049.8842023788</v>
      </c>
      <c r="AG95" s="18" t="n">
        <f aca="false">AF99</f>
        <v>40662.2487178252</v>
      </c>
      <c r="AH95" s="18" t="n">
        <f aca="false">AG99</f>
        <v>40260.5024470678</v>
      </c>
      <c r="AI95" s="18" t="n">
        <f aca="false">AH99</f>
        <v>39856.9557573006</v>
      </c>
      <c r="AJ95" s="18" t="n">
        <f aca="false">AI99</f>
        <v>39462.400346389</v>
      </c>
      <c r="AK95" s="18" t="n">
        <f aca="false">AJ99</f>
        <v>39042.2798694936</v>
      </c>
      <c r="AL95" s="18" t="n">
        <f aca="false">AK99</f>
        <v>38607.5149798839</v>
      </c>
      <c r="AM95" s="18" t="n">
        <f aca="false">AL99</f>
        <v>38170.5803095742</v>
      </c>
      <c r="AN95" s="18" t="n">
        <f aca="false">AM99</f>
        <v>37742.5995607861</v>
      </c>
      <c r="AO95" s="18" t="n">
        <f aca="false">AN99</f>
        <v>37299.855438375</v>
      </c>
      <c r="AP95" s="18" t="n">
        <f aca="false">AO99</f>
        <v>36842.1745441383</v>
      </c>
      <c r="AQ95" s="18" t="n">
        <f aca="false">AP99</f>
        <v>36382.0732246044</v>
      </c>
      <c r="AR95" s="18" t="n">
        <f aca="false">AQ99</f>
        <v>35930.7601147536</v>
      </c>
      <c r="AS95" s="18" t="n">
        <f aca="false">AR99</f>
        <v>35464.3837438599</v>
      </c>
      <c r="AT95" s="18" t="n">
        <f aca="false">AS99</f>
        <v>34982.7671914944</v>
      </c>
      <c r="AU95" s="18" t="n">
        <f aca="false">AT99</f>
        <v>34498.4676525031</v>
      </c>
      <c r="AV95" s="18" t="n">
        <f aca="false">AU99</f>
        <v>34012.9919196569</v>
      </c>
      <c r="AW95" s="18" t="n">
        <f aca="false">AV99</f>
        <v>33521.8141960776</v>
      </c>
      <c r="AX95" s="18" t="n">
        <f aca="false">AW99</f>
        <v>33015.0799747446</v>
      </c>
      <c r="AY95" s="18" t="n">
        <f aca="false">AX99</f>
        <v>32505.386380777</v>
      </c>
      <c r="AZ95" s="18" t="n">
        <f aca="false">AY99</f>
        <v>32004.1141896911</v>
      </c>
      <c r="BA95" s="18" t="n">
        <f aca="false">AZ99</f>
        <v>31487.142773774</v>
      </c>
      <c r="BB95" s="18" t="n">
        <f aca="false">BA99</f>
        <v>30954.2877430996</v>
      </c>
      <c r="BC95" s="18" t="n">
        <f aca="false">BB99</f>
        <v>30418.1852288893</v>
      </c>
      <c r="BD95" s="18" t="n">
        <f aca="false">BC99</f>
        <v>29890.3032443022</v>
      </c>
      <c r="BE95" s="18" t="n">
        <f aca="false">BD99</f>
        <v>29346.3862176863</v>
      </c>
      <c r="BF95" s="18" t="n">
        <f aca="false">BE99</f>
        <v>28786.2458148883</v>
      </c>
      <c r="BG95" s="18" t="n">
        <f aca="false">BF99</f>
        <v>28222.5561957134</v>
      </c>
      <c r="BH95" s="18" t="n">
        <f aca="false">BG99</f>
        <v>27666.8733940169</v>
      </c>
      <c r="BI95" s="18" t="n">
        <f aca="false">BH99</f>
        <v>27094.8066607668</v>
      </c>
      <c r="BJ95" s="18" t="n">
        <f aca="false">BI99</f>
        <v>26506.163564046</v>
      </c>
      <c r="BK95" s="18" t="n">
        <f aca="false">BJ99</f>
        <v>25913.6552753481</v>
      </c>
      <c r="BL95" s="18" t="n">
        <f aca="false">BK99</f>
        <v>25319.0478762197</v>
      </c>
      <c r="BM95" s="18" t="n">
        <f aca="false">BL99</f>
        <v>24717.4567173472</v>
      </c>
      <c r="BN95" s="18" t="n">
        <f aca="false">BM99</f>
        <v>24098.9210100808</v>
      </c>
      <c r="BO95" s="18" t="n">
        <f aca="false">BN99</f>
        <v>23476.1878641254</v>
      </c>
      <c r="BP95" s="18" t="n">
        <f aca="false">BO99</f>
        <v>22860.991716476</v>
      </c>
      <c r="BQ95" s="18" t="n">
        <f aca="false">BP99</f>
        <v>22228.6707936003</v>
      </c>
      <c r="BR95" s="18" t="n">
        <f aca="false">BQ99</f>
        <v>21579.0239622531</v>
      </c>
      <c r="BS95" s="18" t="n">
        <f aca="false">BR99</f>
        <v>20924.8331863087</v>
      </c>
      <c r="BT95" s="18" t="n">
        <f aca="false">BS99</f>
        <v>20277.9233148822</v>
      </c>
      <c r="BU95" s="18" t="n">
        <f aca="false">BT99</f>
        <v>19613.496767078</v>
      </c>
      <c r="BV95" s="18" t="n">
        <f aca="false">BU99</f>
        <v>18931.3478067087</v>
      </c>
      <c r="BW95" s="18" t="n">
        <f aca="false">BV99</f>
        <v>18244.2921094122</v>
      </c>
      <c r="BX95" s="18" t="n">
        <f aca="false">BW99</f>
        <v>17564.2457479354</v>
      </c>
      <c r="BY95" s="18" t="n">
        <f aca="false">BX99</f>
        <v>16866.2751488526</v>
      </c>
      <c r="BZ95" s="18" t="n">
        <f aca="false">BY99</f>
        <v>16150.1697891041</v>
      </c>
      <c r="CA95" s="18" t="n">
        <f aca="false">BZ99</f>
        <v>15428.7778692827</v>
      </c>
      <c r="CB95" s="18" t="n">
        <f aca="false">CA99</f>
        <v>14704.1532392503</v>
      </c>
      <c r="CC95" s="18" t="n">
        <f aca="false">CB99</f>
        <v>13971.0177761401</v>
      </c>
      <c r="CD95" s="18" t="n">
        <f aca="false">CC99</f>
        <v>13219.3172538681</v>
      </c>
      <c r="CE95" s="18" t="n">
        <f aca="false">CD99</f>
        <v>12461.9311492863</v>
      </c>
      <c r="CF95" s="18" t="n">
        <f aca="false">CE99</f>
        <v>11710.9604283293</v>
      </c>
      <c r="CG95" s="18" t="n">
        <f aca="false">CF99</f>
        <v>10941.1990117549</v>
      </c>
      <c r="CH95" s="18" t="n">
        <f aca="false">CG99</f>
        <v>10152.4261998142</v>
      </c>
      <c r="CI95" s="18" t="n">
        <f aca="false">CH99</f>
        <v>9357.55148125089</v>
      </c>
      <c r="CJ95" s="18" t="n">
        <f aca="false">CI99</f>
        <v>8568.7695207077</v>
      </c>
      <c r="CK95" s="18" t="n">
        <f aca="false">CJ99</f>
        <v>7760.73776766568</v>
      </c>
      <c r="CL95" s="18" t="n">
        <f aca="false">CK99</f>
        <v>6933.2301302092</v>
      </c>
      <c r="CM95" s="18" t="n">
        <f aca="false">CL99</f>
        <v>6099.18478061174</v>
      </c>
      <c r="CN95" s="18" t="n">
        <f aca="false">CM99</f>
        <v>5270.89092090318</v>
      </c>
      <c r="CO95" s="18" t="n">
        <f aca="false">CN99</f>
        <v>4422.86939665953</v>
      </c>
      <c r="CP95" s="18" t="n">
        <f aca="false">CO99</f>
        <v>3554.88850328105</v>
      </c>
      <c r="CQ95" s="18" t="n">
        <f aca="false">CP99</f>
        <v>2679.91371811958</v>
      </c>
      <c r="CR95" s="18" t="n">
        <f aca="false">CQ99</f>
        <v>1800.31784677066</v>
      </c>
      <c r="CS95" s="18" t="n">
        <f aca="false">CR99</f>
        <v>910.390980135853</v>
      </c>
      <c r="CT95" s="18" t="n">
        <f aca="false">CS99</f>
        <v>1.38356881507207E-010</v>
      </c>
      <c r="CU95" s="18" t="n">
        <f aca="false">CT99</f>
        <v>1.40086342526047E-010</v>
      </c>
      <c r="CV95" s="18" t="n">
        <f aca="false">CU99</f>
        <v>1.41837421807622E-010</v>
      </c>
      <c r="CW95" s="18" t="n">
        <f aca="false">CV99</f>
        <v>1.43610389580218E-010</v>
      </c>
      <c r="CX95" s="18" t="n">
        <f aca="false">CW99</f>
        <v>1.4540551944997E-010</v>
      </c>
      <c r="CY95" s="18" t="n">
        <f aca="false">CX99</f>
        <v>1.47223088443095E-010</v>
      </c>
      <c r="CZ95" s="18" t="n">
        <f aca="false">CY99</f>
        <v>1.49063377048634E-010</v>
      </c>
      <c r="DA95" s="18" t="n">
        <f aca="false">CZ99</f>
        <v>1.50926669261742E-010</v>
      </c>
      <c r="DB95" s="18" t="n">
        <f aca="false">DA99</f>
        <v>1.52813252627513E-010</v>
      </c>
      <c r="DC95" s="18" t="n">
        <f aca="false">DB99</f>
        <v>1.54723418285357E-010</v>
      </c>
      <c r="DD95" s="18" t="n">
        <f aca="false">DC99</f>
        <v>1.56657461013924E-010</v>
      </c>
      <c r="DE95" s="18" t="n">
        <f aca="false">DD99</f>
        <v>1.58615679276598E-010</v>
      </c>
      <c r="DF95" s="18" t="n">
        <f aca="false">DE99</f>
        <v>1.60598375267556E-010</v>
      </c>
      <c r="DG95" s="18" t="n">
        <f aca="false">DF99</f>
        <v>1.626058549584E-010</v>
      </c>
      <c r="DH95" s="18" t="n">
        <f aca="false">DG99</f>
        <v>1.6463842814538E-010</v>
      </c>
      <c r="DI95" s="18" t="n">
        <f aca="false">DH99</f>
        <v>1.66696408497198E-010</v>
      </c>
      <c r="DJ95" s="18" t="n">
        <f aca="false">DI99</f>
        <v>1.68780113603413E-010</v>
      </c>
      <c r="DK95" s="18" t="n">
        <f aca="false">DJ99</f>
        <v>1.70889865023455E-010</v>
      </c>
      <c r="DL95" s="18" t="n">
        <f aca="false">DK99</f>
        <v>1.73025988336248E-010</v>
      </c>
      <c r="DM95" s="18" t="n">
        <f aca="false">DL99</f>
        <v>1.75188813190451E-010</v>
      </c>
      <c r="DN95" s="18" t="n">
        <f aca="false">DM99</f>
        <v>1.77378673355332E-010</v>
      </c>
      <c r="DO95" s="18" t="n">
        <f aca="false">DN99</f>
        <v>1.79595906772274E-010</v>
      </c>
      <c r="DP95" s="18" t="n">
        <f aca="false">DO99</f>
        <v>1.81840855606927E-010</v>
      </c>
      <c r="DQ95" s="18" t="n">
        <f aca="false">DP99</f>
        <v>1.84113866302014E-010</v>
      </c>
      <c r="DR95" s="18" t="n">
        <f aca="false">DQ99</f>
        <v>1.86415289630789E-010</v>
      </c>
      <c r="DS95" s="18" t="n">
        <f aca="false">DR99</f>
        <v>1.88745480751174E-010</v>
      </c>
      <c r="DT95" s="18" t="n">
        <f aca="false">DS99</f>
        <v>1.91104799260563E-010</v>
      </c>
      <c r="DU95" s="18" t="n">
        <f aca="false">DT99</f>
        <v>1.9349360925132E-010</v>
      </c>
      <c r="DV95" s="18" t="n">
        <f aca="false">DU99</f>
        <v>1.95912279366962E-010</v>
      </c>
      <c r="DW95" s="18" t="n">
        <f aca="false">DV99</f>
        <v>1.98361182859049E-010</v>
      </c>
      <c r="DX95" s="18" t="n">
        <f aca="false">DW99</f>
        <v>2.00840697644787E-010</v>
      </c>
      <c r="DY95" s="18" t="n">
        <f aca="false">DX99</f>
        <v>2.03351206365347E-010</v>
      </c>
      <c r="DZ95" s="18" t="n">
        <f aca="false">DY99</f>
        <v>2.05893096444914E-010</v>
      </c>
      <c r="EA95" s="18" t="n">
        <f aca="false">DZ99</f>
        <v>2.08466760150475E-010</v>
      </c>
      <c r="EB95" s="18" t="n">
        <f aca="false">EA99</f>
        <v>2.11072594652356E-010</v>
      </c>
      <c r="EC95" s="18" t="n">
        <f aca="false">EB99</f>
        <v>2.13711002085511E-010</v>
      </c>
      <c r="ED95" s="18" t="n">
        <f aca="false">EC99</f>
        <v>2.16382389611579E-010</v>
      </c>
      <c r="EE95" s="18" t="n">
        <f aca="false">ED99</f>
        <v>2.19087169481724E-010</v>
      </c>
      <c r="EF95" s="18" t="n">
        <f aca="false">EE99</f>
        <v>2.21825759100246E-010</v>
      </c>
      <c r="EG95" s="18" t="n">
        <f aca="false">EF99</f>
        <v>2.24598581088999E-010</v>
      </c>
      <c r="EH95" s="18" t="n">
        <f aca="false">EG99</f>
        <v>2.27406063352611E-010</v>
      </c>
      <c r="EI95" s="18" t="n">
        <f aca="false">EH99</f>
        <v>2.30248639144519E-010</v>
      </c>
      <c r="EJ95" s="18" t="n">
        <f aca="false">EI99</f>
        <v>2.33126747133826E-010</v>
      </c>
      <c r="EK95" s="18" t="n">
        <f aca="false">EJ99</f>
        <v>2.36040831472998E-010</v>
      </c>
      <c r="EL95" s="18" t="n">
        <f aca="false">EK99</f>
        <v>2.38991341866411E-010</v>
      </c>
      <c r="EM95" s="18" t="n">
        <f aca="false">EL99</f>
        <v>2.41978733639741E-010</v>
      </c>
      <c r="EN95" s="18" t="n">
        <f aca="false">EM99</f>
        <v>2.45003467810238E-010</v>
      </c>
      <c r="EO95" s="18" t="n">
        <f aca="false">EN99</f>
        <v>2.48066011157866E-010</v>
      </c>
    </row>
    <row r="96" customFormat="false" ht="15" hidden="false" customHeight="false" outlineLevel="0" collapsed="false">
      <c r="C96" s="0" t="s">
        <v>472</v>
      </c>
      <c r="D96" s="11" t="s">
        <v>33</v>
      </c>
      <c r="I96" s="48" t="n">
        <f aca="false">SUM(J96:EO96)</f>
        <v>41454.0902328767</v>
      </c>
      <c r="J96" s="48" t="n">
        <f aca="false">-$E90*J70</f>
        <v>0</v>
      </c>
      <c r="K96" s="48" t="n">
        <f aca="false">-$E90*K70</f>
        <v>0</v>
      </c>
      <c r="L96" s="48" t="n">
        <f aca="false">-$E90*L70</f>
        <v>0</v>
      </c>
      <c r="M96" s="48" t="n">
        <f aca="false">-$E90*M70</f>
        <v>0</v>
      </c>
      <c r="N96" s="48" t="n">
        <f aca="false">-$E90*N70</f>
        <v>0</v>
      </c>
      <c r="O96" s="48" t="n">
        <f aca="false">-$E90*O70</f>
        <v>0</v>
      </c>
      <c r="P96" s="48" t="n">
        <f aca="false">-$E90*P70</f>
        <v>0</v>
      </c>
      <c r="Q96" s="48" t="n">
        <f aca="false">-$E90*Q70</f>
        <v>0</v>
      </c>
      <c r="R96" s="48" t="n">
        <f aca="false">-$E90*R70</f>
        <v>4485.81130136986</v>
      </c>
      <c r="S96" s="48" t="n">
        <f aca="false">-$E90*S70</f>
        <v>8873.44639726028</v>
      </c>
      <c r="T96" s="48" t="n">
        <f aca="false">-$E90*T70</f>
        <v>4437.05248287671</v>
      </c>
      <c r="U96" s="48" t="n">
        <f aca="false">-$E90*U70</f>
        <v>4485.81130136986</v>
      </c>
      <c r="V96" s="48" t="n">
        <f aca="false">-$E90*V70</f>
        <v>4485.81130136986</v>
      </c>
      <c r="W96" s="48" t="n">
        <f aca="false">-$E90*W70</f>
        <v>4388.29366438356</v>
      </c>
      <c r="X96" s="48" t="n">
        <f aca="false">-$E90*X70</f>
        <v>4437.05248287671</v>
      </c>
      <c r="Y96" s="48" t="n">
        <f aca="false">-$E90*Y70</f>
        <v>5860.81130136986</v>
      </c>
      <c r="Z96" s="48" t="n">
        <f aca="false">-$E90*Z70</f>
        <v>0</v>
      </c>
      <c r="AA96" s="48" t="n">
        <f aca="false">-$E90*AA70</f>
        <v>0</v>
      </c>
      <c r="AB96" s="48" t="n">
        <f aca="false">-$E90*AB70</f>
        <v>0</v>
      </c>
      <c r="AC96" s="48" t="n">
        <f aca="false">-$E90*AC70</f>
        <v>0</v>
      </c>
      <c r="AD96" s="48" t="n">
        <f aca="false">-$E90*AD70</f>
        <v>0</v>
      </c>
      <c r="AE96" s="48" t="n">
        <f aca="false">-$E90*AE70</f>
        <v>0</v>
      </c>
      <c r="AF96" s="48" t="n">
        <f aca="false">-$E90*AF70</f>
        <v>0</v>
      </c>
      <c r="AG96" s="48" t="n">
        <f aca="false">-$E90*AG70</f>
        <v>0</v>
      </c>
      <c r="AH96" s="48" t="n">
        <f aca="false">-$E90*AH70</f>
        <v>0</v>
      </c>
      <c r="AI96" s="48" t="n">
        <f aca="false">-$E90*AI70</f>
        <v>0</v>
      </c>
      <c r="AJ96" s="48" t="n">
        <f aca="false">-$E90*AJ70</f>
        <v>0</v>
      </c>
      <c r="AK96" s="48" t="n">
        <f aca="false">-$E90*AK70</f>
        <v>0</v>
      </c>
      <c r="AL96" s="48" t="n">
        <f aca="false">-$E90*AL70</f>
        <v>0</v>
      </c>
      <c r="AM96" s="48" t="n">
        <f aca="false">-$E90*AM70</f>
        <v>0</v>
      </c>
      <c r="AN96" s="48" t="n">
        <f aca="false">-$E90*AN70</f>
        <v>0</v>
      </c>
      <c r="AO96" s="48" t="n">
        <f aca="false">-$E90*AO70</f>
        <v>0</v>
      </c>
      <c r="AP96" s="48" t="n">
        <f aca="false">-$E90*AP70</f>
        <v>0</v>
      </c>
      <c r="AQ96" s="48" t="n">
        <f aca="false">-$E90*AQ70</f>
        <v>0</v>
      </c>
      <c r="AR96" s="48" t="n">
        <f aca="false">-$E90*AR70</f>
        <v>0</v>
      </c>
      <c r="AS96" s="48" t="n">
        <f aca="false">-$E90*AS70</f>
        <v>0</v>
      </c>
      <c r="AT96" s="48" t="n">
        <f aca="false">-$E90*AT70</f>
        <v>0</v>
      </c>
      <c r="AU96" s="48" t="n">
        <f aca="false">-$E90*AU70</f>
        <v>0</v>
      </c>
      <c r="AV96" s="48" t="n">
        <f aca="false">-$E90*AV70</f>
        <v>0</v>
      </c>
      <c r="AW96" s="48" t="n">
        <f aca="false">-$E90*AW70</f>
        <v>0</v>
      </c>
      <c r="AX96" s="48" t="n">
        <f aca="false">-$E90*AX70</f>
        <v>0</v>
      </c>
      <c r="AY96" s="48" t="n">
        <f aca="false">-$E90*AY70</f>
        <v>0</v>
      </c>
      <c r="AZ96" s="48" t="n">
        <f aca="false">-$E90*AZ70</f>
        <v>0</v>
      </c>
      <c r="BA96" s="48" t="n">
        <f aca="false">-$E90*BA70</f>
        <v>0</v>
      </c>
      <c r="BB96" s="48" t="n">
        <f aca="false">-$E90*BB70</f>
        <v>0</v>
      </c>
      <c r="BC96" s="48" t="n">
        <f aca="false">-$E90*BC70</f>
        <v>0</v>
      </c>
      <c r="BD96" s="48" t="n">
        <f aca="false">-$E90*BD70</f>
        <v>0</v>
      </c>
      <c r="BE96" s="48" t="n">
        <f aca="false">-$E90*BE70</f>
        <v>0</v>
      </c>
      <c r="BF96" s="48" t="n">
        <f aca="false">-$E90*BF70</f>
        <v>0</v>
      </c>
      <c r="BG96" s="48" t="n">
        <f aca="false">-$E90*BG70</f>
        <v>0</v>
      </c>
      <c r="BH96" s="48" t="n">
        <f aca="false">-$E90*BH70</f>
        <v>0</v>
      </c>
      <c r="BI96" s="48" t="n">
        <f aca="false">-$E90*BI70</f>
        <v>0</v>
      </c>
      <c r="BJ96" s="48" t="n">
        <f aca="false">-$E90*BJ70</f>
        <v>0</v>
      </c>
      <c r="BK96" s="48" t="n">
        <f aca="false">-$E90*BK70</f>
        <v>0</v>
      </c>
      <c r="BL96" s="48" t="n">
        <f aca="false">-$E90*BL70</f>
        <v>0</v>
      </c>
      <c r="BM96" s="48" t="n">
        <f aca="false">-$E90*BM70</f>
        <v>0</v>
      </c>
      <c r="BN96" s="48" t="n">
        <f aca="false">-$E90*BN70</f>
        <v>0</v>
      </c>
      <c r="BO96" s="48" t="n">
        <f aca="false">-$E90*BO70</f>
        <v>0</v>
      </c>
      <c r="BP96" s="48" t="n">
        <f aca="false">-$E90*BP70</f>
        <v>0</v>
      </c>
      <c r="BQ96" s="48" t="n">
        <f aca="false">-$E90*BQ70</f>
        <v>0</v>
      </c>
      <c r="BR96" s="48" t="n">
        <f aca="false">-$E90*BR70</f>
        <v>0</v>
      </c>
      <c r="BS96" s="48" t="n">
        <f aca="false">-$E90*BS70</f>
        <v>0</v>
      </c>
      <c r="BT96" s="48" t="n">
        <f aca="false">-$E90*BT70</f>
        <v>0</v>
      </c>
      <c r="BU96" s="48" t="n">
        <f aca="false">-$E90*BU70</f>
        <v>0</v>
      </c>
      <c r="BV96" s="48" t="n">
        <f aca="false">-$E90*BV70</f>
        <v>0</v>
      </c>
      <c r="BW96" s="48" t="n">
        <f aca="false">-$E90*BW70</f>
        <v>0</v>
      </c>
      <c r="BX96" s="48" t="n">
        <f aca="false">-$E90*BX70</f>
        <v>0</v>
      </c>
      <c r="BY96" s="48" t="n">
        <f aca="false">-$E90*BY70</f>
        <v>0</v>
      </c>
      <c r="BZ96" s="48" t="n">
        <f aca="false">-$E90*BZ70</f>
        <v>0</v>
      </c>
      <c r="CA96" s="48" t="n">
        <f aca="false">-$E90*CA70</f>
        <v>0</v>
      </c>
      <c r="CB96" s="48" t="n">
        <f aca="false">-$E90*CB70</f>
        <v>0</v>
      </c>
      <c r="CC96" s="48" t="n">
        <f aca="false">-$E90*CC70</f>
        <v>0</v>
      </c>
      <c r="CD96" s="48" t="n">
        <f aca="false">-$E90*CD70</f>
        <v>0</v>
      </c>
      <c r="CE96" s="48" t="n">
        <f aca="false">-$E90*CE70</f>
        <v>0</v>
      </c>
      <c r="CF96" s="48" t="n">
        <f aca="false">-$E90*CF70</f>
        <v>0</v>
      </c>
      <c r="CG96" s="48" t="n">
        <f aca="false">-$E90*CG70</f>
        <v>0</v>
      </c>
      <c r="CH96" s="48" t="n">
        <f aca="false">-$E90*CH70</f>
        <v>0</v>
      </c>
      <c r="CI96" s="48" t="n">
        <f aca="false">-$E90*CI70</f>
        <v>0</v>
      </c>
      <c r="CJ96" s="48" t="n">
        <f aca="false">-$E90*CJ70</f>
        <v>0</v>
      </c>
      <c r="CK96" s="48" t="n">
        <f aca="false">-$E90*CK70</f>
        <v>0</v>
      </c>
      <c r="CL96" s="48" t="n">
        <f aca="false">-$E90*CL70</f>
        <v>0</v>
      </c>
      <c r="CM96" s="48" t="n">
        <f aca="false">-$E90*CM70</f>
        <v>0</v>
      </c>
      <c r="CN96" s="48" t="n">
        <f aca="false">-$E90*CN70</f>
        <v>0</v>
      </c>
      <c r="CO96" s="48" t="n">
        <f aca="false">-$E90*CO70</f>
        <v>0</v>
      </c>
      <c r="CP96" s="48" t="n">
        <f aca="false">-$E90*CP70</f>
        <v>0</v>
      </c>
      <c r="CQ96" s="48" t="n">
        <f aca="false">-$E90*CQ70</f>
        <v>0</v>
      </c>
      <c r="CR96" s="48" t="n">
        <f aca="false">-$E90*CR70</f>
        <v>0</v>
      </c>
      <c r="CS96" s="48" t="n">
        <f aca="false">-$E90*CS70</f>
        <v>0</v>
      </c>
      <c r="CT96" s="48" t="n">
        <f aca="false">-$E90*CT70</f>
        <v>0</v>
      </c>
      <c r="CU96" s="48" t="n">
        <f aca="false">-$E90*CU70</f>
        <v>0</v>
      </c>
      <c r="CV96" s="48" t="n">
        <f aca="false">-$E90*CV70</f>
        <v>0</v>
      </c>
      <c r="CW96" s="48" t="n">
        <f aca="false">-$E90*CW70</f>
        <v>0</v>
      </c>
      <c r="CX96" s="48" t="n">
        <f aca="false">-$E90*CX70</f>
        <v>0</v>
      </c>
      <c r="CY96" s="48" t="n">
        <f aca="false">-$E90*CY70</f>
        <v>0</v>
      </c>
      <c r="CZ96" s="48" t="n">
        <f aca="false">-$E90*CZ70</f>
        <v>0</v>
      </c>
      <c r="DA96" s="48" t="n">
        <f aca="false">-$E90*DA70</f>
        <v>0</v>
      </c>
      <c r="DB96" s="48" t="n">
        <f aca="false">-$E90*DB70</f>
        <v>0</v>
      </c>
      <c r="DC96" s="48" t="n">
        <f aca="false">-$E90*DC70</f>
        <v>0</v>
      </c>
      <c r="DD96" s="48" t="n">
        <f aca="false">-$E90*DD70</f>
        <v>0</v>
      </c>
      <c r="DE96" s="48" t="n">
        <f aca="false">-$E90*DE70</f>
        <v>0</v>
      </c>
      <c r="DF96" s="48" t="n">
        <f aca="false">-$E90*DF70</f>
        <v>0</v>
      </c>
      <c r="DG96" s="48" t="n">
        <f aca="false">-$E90*DG70</f>
        <v>0</v>
      </c>
      <c r="DH96" s="48" t="n">
        <f aca="false">-$E90*DH70</f>
        <v>0</v>
      </c>
      <c r="DI96" s="48" t="n">
        <f aca="false">-$E90*DI70</f>
        <v>0</v>
      </c>
      <c r="DJ96" s="48" t="n">
        <f aca="false">-$E90*DJ70</f>
        <v>0</v>
      </c>
      <c r="DK96" s="48" t="n">
        <f aca="false">-$E90*DK70</f>
        <v>0</v>
      </c>
      <c r="DL96" s="48" t="n">
        <f aca="false">-$E90*DL70</f>
        <v>0</v>
      </c>
      <c r="DM96" s="48" t="n">
        <f aca="false">-$E90*DM70</f>
        <v>0</v>
      </c>
      <c r="DN96" s="48" t="n">
        <f aca="false">-$E90*DN70</f>
        <v>0</v>
      </c>
      <c r="DO96" s="48" t="n">
        <f aca="false">-$E90*DO70</f>
        <v>0</v>
      </c>
      <c r="DP96" s="48" t="n">
        <f aca="false">-$E90*DP70</f>
        <v>0</v>
      </c>
      <c r="DQ96" s="48" t="n">
        <f aca="false">-$E90*DQ70</f>
        <v>0</v>
      </c>
      <c r="DR96" s="48" t="n">
        <f aca="false">-$E90*DR70</f>
        <v>0</v>
      </c>
      <c r="DS96" s="48" t="n">
        <f aca="false">-$E90*DS70</f>
        <v>0</v>
      </c>
      <c r="DT96" s="48" t="n">
        <f aca="false">-$E90*DT70</f>
        <v>0</v>
      </c>
      <c r="DU96" s="48" t="n">
        <f aca="false">-$E90*DU70</f>
        <v>0</v>
      </c>
      <c r="DV96" s="48" t="n">
        <f aca="false">-$E90*DV70</f>
        <v>0</v>
      </c>
      <c r="DW96" s="48" t="n">
        <f aca="false">-$E90*DW70</f>
        <v>0</v>
      </c>
      <c r="DX96" s="48" t="n">
        <f aca="false">-$E90*DX70</f>
        <v>0</v>
      </c>
      <c r="DY96" s="48" t="n">
        <f aca="false">-$E90*DY70</f>
        <v>0</v>
      </c>
      <c r="DZ96" s="48" t="n">
        <f aca="false">-$E90*DZ70</f>
        <v>0</v>
      </c>
      <c r="EA96" s="48" t="n">
        <f aca="false">-$E90*EA70</f>
        <v>0</v>
      </c>
      <c r="EB96" s="48" t="n">
        <f aca="false">-$E90*EB70</f>
        <v>0</v>
      </c>
      <c r="EC96" s="48" t="n">
        <f aca="false">-$E90*EC70</f>
        <v>0</v>
      </c>
      <c r="ED96" s="48" t="n">
        <f aca="false">-$E90*ED70</f>
        <v>0</v>
      </c>
      <c r="EE96" s="48" t="n">
        <f aca="false">-$E90*EE70</f>
        <v>0</v>
      </c>
      <c r="EF96" s="48" t="n">
        <f aca="false">-$E90*EF70</f>
        <v>0</v>
      </c>
      <c r="EG96" s="48" t="n">
        <f aca="false">-$E90*EG70</f>
        <v>0</v>
      </c>
      <c r="EH96" s="48" t="n">
        <f aca="false">-$E90*EH70</f>
        <v>0</v>
      </c>
      <c r="EI96" s="48" t="n">
        <f aca="false">-$E90*EI70</f>
        <v>0</v>
      </c>
      <c r="EJ96" s="48" t="n">
        <f aca="false">-$E90*EJ70</f>
        <v>0</v>
      </c>
      <c r="EK96" s="48" t="n">
        <f aca="false">-$E90*EK70</f>
        <v>0</v>
      </c>
      <c r="EL96" s="48" t="n">
        <f aca="false">-$E90*EL70</f>
        <v>0</v>
      </c>
      <c r="EM96" s="48" t="n">
        <f aca="false">-$E90*EM70</f>
        <v>0</v>
      </c>
      <c r="EN96" s="48" t="n">
        <f aca="false">-$E90*EN70</f>
        <v>0</v>
      </c>
      <c r="EO96" s="48" t="n">
        <f aca="false">-$E90*EO70</f>
        <v>0</v>
      </c>
    </row>
    <row r="97" customFormat="false" ht="15" hidden="false" customHeight="false" outlineLevel="0" collapsed="false">
      <c r="C97" s="0" t="s">
        <v>473</v>
      </c>
      <c r="D97" s="11" t="s">
        <v>33</v>
      </c>
      <c r="I97" s="48" t="n">
        <f aca="false">SUM(J97:EO97)</f>
        <v>1943.24619570398</v>
      </c>
      <c r="J97" s="48" t="n">
        <f aca="false">J95*$F22*(J$4&lt;=In_COD)</f>
        <v>0</v>
      </c>
      <c r="K97" s="48" t="n">
        <f aca="false">K95*$F22*(K$4&lt;=In_COD)</f>
        <v>0</v>
      </c>
      <c r="L97" s="48" t="n">
        <f aca="false">L95*$F22*(L$4&lt;=In_COD)</f>
        <v>0</v>
      </c>
      <c r="M97" s="48" t="n">
        <f aca="false">M95*$F22*(M$4&lt;=In_COD)</f>
        <v>0</v>
      </c>
      <c r="N97" s="48" t="n">
        <f aca="false">N95*$F22*(N$4&lt;=In_COD)</f>
        <v>0</v>
      </c>
      <c r="O97" s="48" t="n">
        <f aca="false">O95*$F22*(O$4&lt;=In_COD)</f>
        <v>0</v>
      </c>
      <c r="P97" s="48" t="n">
        <f aca="false">P95*$F22*(P$4&lt;=In_COD)</f>
        <v>0</v>
      </c>
      <c r="Q97" s="48" t="n">
        <f aca="false">Q95*$F22*(Q$4&lt;=In_COD)</f>
        <v>0</v>
      </c>
      <c r="R97" s="48" t="n">
        <f aca="false">R95*$F22*(R$4&lt;=In_COD)</f>
        <v>0</v>
      </c>
      <c r="S97" s="48" t="n">
        <f aca="false">S95*$F22*(S$4&lt;=In_COD)</f>
        <v>56.0726412671233</v>
      </c>
      <c r="T97" s="48" t="n">
        <f aca="false">T95*$F22*(T$4&lt;=In_COD)</f>
        <v>167.691629248716</v>
      </c>
      <c r="U97" s="48" t="n">
        <f aca="false">U95*$F22*(U$4&lt;=In_COD)</f>
        <v>225.250930650284</v>
      </c>
      <c r="V97" s="48" t="n">
        <f aca="false">V95*$F22*(V$4&lt;=In_COD)</f>
        <v>284.139208550536</v>
      </c>
      <c r="W97" s="48" t="n">
        <f aca="false">W95*$F22*(W$4&lt;=In_COD)</f>
        <v>343.763589924541</v>
      </c>
      <c r="X97" s="48" t="n">
        <f aca="false">X95*$F22*(X$4&lt;=In_COD)</f>
        <v>402.914305603392</v>
      </c>
      <c r="Y97" s="48" t="n">
        <f aca="false">Y95*$F22*(Y$4&lt;=In_COD)</f>
        <v>463.413890459393</v>
      </c>
      <c r="Z97" s="48" t="n">
        <f aca="false">Z95*$F22*(Z$4&lt;=In_COD)</f>
        <v>0</v>
      </c>
      <c r="AA97" s="48" t="n">
        <f aca="false">AA95*$F22*(AA$4&lt;=In_COD)</f>
        <v>0</v>
      </c>
      <c r="AB97" s="48" t="n">
        <f aca="false">AB95*$F22*(AB$4&lt;=In_COD)</f>
        <v>0</v>
      </c>
      <c r="AC97" s="48" t="n">
        <f aca="false">AC95*$F22*(AC$4&lt;=In_COD)</f>
        <v>0</v>
      </c>
      <c r="AD97" s="48" t="n">
        <f aca="false">AD95*$F22*(AD$4&lt;=In_COD)</f>
        <v>0</v>
      </c>
      <c r="AE97" s="48" t="n">
        <f aca="false">AE95*$F22*(AE$4&lt;=In_COD)</f>
        <v>0</v>
      </c>
      <c r="AF97" s="48" t="n">
        <f aca="false">AF95*$F22*(AF$4&lt;=In_COD)</f>
        <v>0</v>
      </c>
      <c r="AG97" s="48" t="n">
        <f aca="false">AG95*$F22*(AG$4&lt;=In_COD)</f>
        <v>0</v>
      </c>
      <c r="AH97" s="48" t="n">
        <f aca="false">AH95*$F22*(AH$4&lt;=In_COD)</f>
        <v>0</v>
      </c>
      <c r="AI97" s="48" t="n">
        <f aca="false">AI95*$F22*(AI$4&lt;=In_COD)</f>
        <v>0</v>
      </c>
      <c r="AJ97" s="48" t="n">
        <f aca="false">AJ95*$F22*(AJ$4&lt;=In_COD)</f>
        <v>0</v>
      </c>
      <c r="AK97" s="48" t="n">
        <f aca="false">AK95*$F22*(AK$4&lt;=In_COD)</f>
        <v>0</v>
      </c>
      <c r="AL97" s="48" t="n">
        <f aca="false">AL95*$F22*(AL$4&lt;=In_COD)</f>
        <v>0</v>
      </c>
      <c r="AM97" s="48" t="n">
        <f aca="false">AM95*$F22*(AM$4&lt;=In_COD)</f>
        <v>0</v>
      </c>
      <c r="AN97" s="48" t="n">
        <f aca="false">AN95*$F22*(AN$4&lt;=In_COD)</f>
        <v>0</v>
      </c>
      <c r="AO97" s="48" t="n">
        <f aca="false">AO95*$F22*(AO$4&lt;=In_COD)</f>
        <v>0</v>
      </c>
      <c r="AP97" s="48" t="n">
        <f aca="false">AP95*$F22*(AP$4&lt;=In_COD)</f>
        <v>0</v>
      </c>
      <c r="AQ97" s="48" t="n">
        <f aca="false">AQ95*$F22*(AQ$4&lt;=In_COD)</f>
        <v>0</v>
      </c>
      <c r="AR97" s="48" t="n">
        <f aca="false">AR95*$F22*(AR$4&lt;=In_COD)</f>
        <v>0</v>
      </c>
      <c r="AS97" s="48" t="n">
        <f aca="false">AS95*$F22*(AS$4&lt;=In_COD)</f>
        <v>0</v>
      </c>
      <c r="AT97" s="48" t="n">
        <f aca="false">AT95*$F22*(AT$4&lt;=In_COD)</f>
        <v>0</v>
      </c>
      <c r="AU97" s="48" t="n">
        <f aca="false">AU95*$F22*(AU$4&lt;=In_COD)</f>
        <v>0</v>
      </c>
      <c r="AV97" s="48" t="n">
        <f aca="false">AV95*$F22*(AV$4&lt;=In_COD)</f>
        <v>0</v>
      </c>
      <c r="AW97" s="48" t="n">
        <f aca="false">AW95*$F22*(AW$4&lt;=In_COD)</f>
        <v>0</v>
      </c>
      <c r="AX97" s="48" t="n">
        <f aca="false">AX95*$F22*(AX$4&lt;=In_COD)</f>
        <v>0</v>
      </c>
      <c r="AY97" s="48" t="n">
        <f aca="false">AY95*$F22*(AY$4&lt;=In_COD)</f>
        <v>0</v>
      </c>
      <c r="AZ97" s="48" t="n">
        <f aca="false">AZ95*$F22*(AZ$4&lt;=In_COD)</f>
        <v>0</v>
      </c>
      <c r="BA97" s="48" t="n">
        <f aca="false">BA95*$F22*(BA$4&lt;=In_COD)</f>
        <v>0</v>
      </c>
      <c r="BB97" s="48" t="n">
        <f aca="false">BB95*$F22*(BB$4&lt;=In_COD)</f>
        <v>0</v>
      </c>
      <c r="BC97" s="48" t="n">
        <f aca="false">BC95*$F22*(BC$4&lt;=In_COD)</f>
        <v>0</v>
      </c>
      <c r="BD97" s="48" t="n">
        <f aca="false">BD95*$F22*(BD$4&lt;=In_COD)</f>
        <v>0</v>
      </c>
      <c r="BE97" s="48" t="n">
        <f aca="false">BE95*$F22*(BE$4&lt;=In_COD)</f>
        <v>0</v>
      </c>
      <c r="BF97" s="48" t="n">
        <f aca="false">BF95*$F22*(BF$4&lt;=In_COD)</f>
        <v>0</v>
      </c>
      <c r="BG97" s="48" t="n">
        <f aca="false">BG95*$F22*(BG$4&lt;=In_COD)</f>
        <v>0</v>
      </c>
      <c r="BH97" s="48" t="n">
        <f aca="false">BH95*$F22*(BH$4&lt;=In_COD)</f>
        <v>0</v>
      </c>
      <c r="BI97" s="48" t="n">
        <f aca="false">BI95*$F22*(BI$4&lt;=In_COD)</f>
        <v>0</v>
      </c>
      <c r="BJ97" s="48" t="n">
        <f aca="false">BJ95*$F22*(BJ$4&lt;=In_COD)</f>
        <v>0</v>
      </c>
      <c r="BK97" s="48" t="n">
        <f aca="false">BK95*$F22*(BK$4&lt;=In_COD)</f>
        <v>0</v>
      </c>
      <c r="BL97" s="48" t="n">
        <f aca="false">BL95*$F22*(BL$4&lt;=In_COD)</f>
        <v>0</v>
      </c>
      <c r="BM97" s="48" t="n">
        <f aca="false">BM95*$F22*(BM$4&lt;=In_COD)</f>
        <v>0</v>
      </c>
      <c r="BN97" s="48" t="n">
        <f aca="false">BN95*$F22*(BN$4&lt;=In_COD)</f>
        <v>0</v>
      </c>
      <c r="BO97" s="48" t="n">
        <f aca="false">BO95*$F22*(BO$4&lt;=In_COD)</f>
        <v>0</v>
      </c>
      <c r="BP97" s="48" t="n">
        <f aca="false">BP95*$F22*(BP$4&lt;=In_COD)</f>
        <v>0</v>
      </c>
      <c r="BQ97" s="48" t="n">
        <f aca="false">BQ95*$F22*(BQ$4&lt;=In_COD)</f>
        <v>0</v>
      </c>
      <c r="BR97" s="48" t="n">
        <f aca="false">BR95*$F22*(BR$4&lt;=In_COD)</f>
        <v>0</v>
      </c>
      <c r="BS97" s="48" t="n">
        <f aca="false">BS95*$F22*(BS$4&lt;=In_COD)</f>
        <v>0</v>
      </c>
      <c r="BT97" s="48" t="n">
        <f aca="false">BT95*$F22*(BT$4&lt;=In_COD)</f>
        <v>0</v>
      </c>
      <c r="BU97" s="48" t="n">
        <f aca="false">BU95*$F22*(BU$4&lt;=In_COD)</f>
        <v>0</v>
      </c>
      <c r="BV97" s="48" t="n">
        <f aca="false">BV95*$F22*(BV$4&lt;=In_COD)</f>
        <v>0</v>
      </c>
      <c r="BW97" s="48" t="n">
        <f aca="false">BW95*$F22*(BW$4&lt;=In_COD)</f>
        <v>0</v>
      </c>
      <c r="BX97" s="48" t="n">
        <f aca="false">BX95*$F22*(BX$4&lt;=In_COD)</f>
        <v>0</v>
      </c>
      <c r="BY97" s="48" t="n">
        <f aca="false">BY95*$F22*(BY$4&lt;=In_COD)</f>
        <v>0</v>
      </c>
      <c r="BZ97" s="48" t="n">
        <f aca="false">BZ95*$F22*(BZ$4&lt;=In_COD)</f>
        <v>0</v>
      </c>
      <c r="CA97" s="48" t="n">
        <f aca="false">CA95*$F22*(CA$4&lt;=In_COD)</f>
        <v>0</v>
      </c>
      <c r="CB97" s="48" t="n">
        <f aca="false">CB95*$F22*(CB$4&lt;=In_COD)</f>
        <v>0</v>
      </c>
      <c r="CC97" s="48" t="n">
        <f aca="false">CC95*$F22*(CC$4&lt;=In_COD)</f>
        <v>0</v>
      </c>
      <c r="CD97" s="48" t="n">
        <f aca="false">CD95*$F22*(CD$4&lt;=In_COD)</f>
        <v>0</v>
      </c>
      <c r="CE97" s="48" t="n">
        <f aca="false">CE95*$F22*(CE$4&lt;=In_COD)</f>
        <v>0</v>
      </c>
      <c r="CF97" s="48" t="n">
        <f aca="false">CF95*$F22*(CF$4&lt;=In_COD)</f>
        <v>0</v>
      </c>
      <c r="CG97" s="48" t="n">
        <f aca="false">CG95*$F22*(CG$4&lt;=In_COD)</f>
        <v>0</v>
      </c>
      <c r="CH97" s="48" t="n">
        <f aca="false">CH95*$F22*(CH$4&lt;=In_COD)</f>
        <v>0</v>
      </c>
      <c r="CI97" s="48" t="n">
        <f aca="false">CI95*$F22*(CI$4&lt;=In_COD)</f>
        <v>0</v>
      </c>
      <c r="CJ97" s="48" t="n">
        <f aca="false">CJ95*$F22*(CJ$4&lt;=In_COD)</f>
        <v>0</v>
      </c>
      <c r="CK97" s="48" t="n">
        <f aca="false">CK95*$F22*(CK$4&lt;=In_COD)</f>
        <v>0</v>
      </c>
      <c r="CL97" s="48" t="n">
        <f aca="false">CL95*$F22*(CL$4&lt;=In_COD)</f>
        <v>0</v>
      </c>
      <c r="CM97" s="48" t="n">
        <f aca="false">CM95*$F22*(CM$4&lt;=In_COD)</f>
        <v>0</v>
      </c>
      <c r="CN97" s="48" t="n">
        <f aca="false">CN95*$F22*(CN$4&lt;=In_COD)</f>
        <v>0</v>
      </c>
      <c r="CO97" s="48" t="n">
        <f aca="false">CO95*$F22*(CO$4&lt;=In_COD)</f>
        <v>0</v>
      </c>
      <c r="CP97" s="48" t="n">
        <f aca="false">CP95*$F22*(CP$4&lt;=In_COD)</f>
        <v>0</v>
      </c>
      <c r="CQ97" s="48" t="n">
        <f aca="false">CQ95*$F22*(CQ$4&lt;=In_COD)</f>
        <v>0</v>
      </c>
      <c r="CR97" s="48" t="n">
        <f aca="false">CR95*$F22*(CR$4&lt;=In_COD)</f>
        <v>0</v>
      </c>
      <c r="CS97" s="48" t="n">
        <f aca="false">CS95*$F22*(CS$4&lt;=In_COD)</f>
        <v>0</v>
      </c>
      <c r="CT97" s="48" t="n">
        <f aca="false">CT95*$F22*(CT$4&lt;=In_COD)</f>
        <v>0</v>
      </c>
      <c r="CU97" s="48" t="n">
        <f aca="false">CU95*$F22*(CU$4&lt;=In_COD)</f>
        <v>0</v>
      </c>
      <c r="CV97" s="48" t="n">
        <f aca="false">CV95*$F22*(CV$4&lt;=In_COD)</f>
        <v>0</v>
      </c>
      <c r="CW97" s="48" t="n">
        <f aca="false">CW95*$F22*(CW$4&lt;=In_COD)</f>
        <v>0</v>
      </c>
      <c r="CX97" s="48" t="n">
        <f aca="false">CX95*$F22*(CX$4&lt;=In_COD)</f>
        <v>0</v>
      </c>
      <c r="CY97" s="48" t="n">
        <f aca="false">CY95*$F22*(CY$4&lt;=In_COD)</f>
        <v>0</v>
      </c>
      <c r="CZ97" s="48" t="n">
        <f aca="false">CZ95*$F22*(CZ$4&lt;=In_COD)</f>
        <v>0</v>
      </c>
      <c r="DA97" s="48" t="n">
        <f aca="false">DA95*$F22*(DA$4&lt;=In_COD)</f>
        <v>0</v>
      </c>
      <c r="DB97" s="48" t="n">
        <f aca="false">DB95*$F22*(DB$4&lt;=In_COD)</f>
        <v>0</v>
      </c>
      <c r="DC97" s="48" t="n">
        <f aca="false">DC95*$F22*(DC$4&lt;=In_COD)</f>
        <v>0</v>
      </c>
      <c r="DD97" s="48" t="n">
        <f aca="false">DD95*$F22*(DD$4&lt;=In_COD)</f>
        <v>0</v>
      </c>
      <c r="DE97" s="48" t="n">
        <f aca="false">DE95*$F22*(DE$4&lt;=In_COD)</f>
        <v>0</v>
      </c>
      <c r="DF97" s="48" t="n">
        <f aca="false">DF95*$F22*(DF$4&lt;=In_COD)</f>
        <v>0</v>
      </c>
      <c r="DG97" s="48" t="n">
        <f aca="false">DG95*$F22*(DG$4&lt;=In_COD)</f>
        <v>0</v>
      </c>
      <c r="DH97" s="48" t="n">
        <f aca="false">DH95*$F22*(DH$4&lt;=In_COD)</f>
        <v>0</v>
      </c>
      <c r="DI97" s="48" t="n">
        <f aca="false">DI95*$F22*(DI$4&lt;=In_COD)</f>
        <v>0</v>
      </c>
      <c r="DJ97" s="48" t="n">
        <f aca="false">DJ95*$F22*(DJ$4&lt;=In_COD)</f>
        <v>0</v>
      </c>
      <c r="DK97" s="48" t="n">
        <f aca="false">DK95*$F22*(DK$4&lt;=In_COD)</f>
        <v>0</v>
      </c>
      <c r="DL97" s="48" t="n">
        <f aca="false">DL95*$F22*(DL$4&lt;=In_COD)</f>
        <v>0</v>
      </c>
      <c r="DM97" s="48" t="n">
        <f aca="false">DM95*$F22*(DM$4&lt;=In_COD)</f>
        <v>0</v>
      </c>
      <c r="DN97" s="48" t="n">
        <f aca="false">DN95*$F22*(DN$4&lt;=In_COD)</f>
        <v>0</v>
      </c>
      <c r="DO97" s="48" t="n">
        <f aca="false">DO95*$F22*(DO$4&lt;=In_COD)</f>
        <v>0</v>
      </c>
      <c r="DP97" s="48" t="n">
        <f aca="false">DP95*$F22*(DP$4&lt;=In_COD)</f>
        <v>0</v>
      </c>
      <c r="DQ97" s="48" t="n">
        <f aca="false">DQ95*$F22*(DQ$4&lt;=In_COD)</f>
        <v>0</v>
      </c>
      <c r="DR97" s="48" t="n">
        <f aca="false">DR95*$F22*(DR$4&lt;=In_COD)</f>
        <v>0</v>
      </c>
      <c r="DS97" s="48" t="n">
        <f aca="false">DS95*$F22*(DS$4&lt;=In_COD)</f>
        <v>0</v>
      </c>
      <c r="DT97" s="48" t="n">
        <f aca="false">DT95*$F22*(DT$4&lt;=In_COD)</f>
        <v>0</v>
      </c>
      <c r="DU97" s="48" t="n">
        <f aca="false">DU95*$F22*(DU$4&lt;=In_COD)</f>
        <v>0</v>
      </c>
      <c r="DV97" s="48" t="n">
        <f aca="false">DV95*$F22*(DV$4&lt;=In_COD)</f>
        <v>0</v>
      </c>
      <c r="DW97" s="48" t="n">
        <f aca="false">DW95*$F22*(DW$4&lt;=In_COD)</f>
        <v>0</v>
      </c>
      <c r="DX97" s="48" t="n">
        <f aca="false">DX95*$F22*(DX$4&lt;=In_COD)</f>
        <v>0</v>
      </c>
      <c r="DY97" s="48" t="n">
        <f aca="false">DY95*$F22*(DY$4&lt;=In_COD)</f>
        <v>0</v>
      </c>
      <c r="DZ97" s="48" t="n">
        <f aca="false">DZ95*$F22*(DZ$4&lt;=In_COD)</f>
        <v>0</v>
      </c>
      <c r="EA97" s="48" t="n">
        <f aca="false">EA95*$F22*(EA$4&lt;=In_COD)</f>
        <v>0</v>
      </c>
      <c r="EB97" s="48" t="n">
        <f aca="false">EB95*$F22*(EB$4&lt;=In_COD)</f>
        <v>0</v>
      </c>
      <c r="EC97" s="48" t="n">
        <f aca="false">EC95*$F22*(EC$4&lt;=In_COD)</f>
        <v>0</v>
      </c>
      <c r="ED97" s="48" t="n">
        <f aca="false">ED95*$F22*(ED$4&lt;=In_COD)</f>
        <v>0</v>
      </c>
      <c r="EE97" s="48" t="n">
        <f aca="false">EE95*$F22*(EE$4&lt;=In_COD)</f>
        <v>0</v>
      </c>
      <c r="EF97" s="48" t="n">
        <f aca="false">EF95*$F22*(EF$4&lt;=In_COD)</f>
        <v>0</v>
      </c>
      <c r="EG97" s="48" t="n">
        <f aca="false">EG95*$F22*(EG$4&lt;=In_COD)</f>
        <v>0</v>
      </c>
      <c r="EH97" s="48" t="n">
        <f aca="false">EH95*$F22*(EH$4&lt;=In_COD)</f>
        <v>0</v>
      </c>
      <c r="EI97" s="48" t="n">
        <f aca="false">EI95*$F22*(EI$4&lt;=In_COD)</f>
        <v>0</v>
      </c>
      <c r="EJ97" s="48" t="n">
        <f aca="false">EJ95*$F22*(EJ$4&lt;=In_COD)</f>
        <v>0</v>
      </c>
      <c r="EK97" s="48" t="n">
        <f aca="false">EK95*$F22*(EK$4&lt;=In_COD)</f>
        <v>0</v>
      </c>
      <c r="EL97" s="48" t="n">
        <f aca="false">EL95*$F22*(EL$4&lt;=In_COD)</f>
        <v>0</v>
      </c>
      <c r="EM97" s="48" t="n">
        <f aca="false">EM95*$F22*(EM$4&lt;=In_COD)</f>
        <v>0</v>
      </c>
      <c r="EN97" s="48" t="n">
        <f aca="false">EN95*$F22*(EN$4&lt;=In_COD)</f>
        <v>0</v>
      </c>
      <c r="EO97" s="48" t="n">
        <f aca="false">EO95*$F22*(EO$4&lt;=In_COD)</f>
        <v>0</v>
      </c>
    </row>
    <row r="98" customFormat="false" ht="15" hidden="false" customHeight="false" outlineLevel="0" collapsed="false">
      <c r="C98" s="0" t="s">
        <v>474</v>
      </c>
      <c r="D98" s="11" t="s">
        <v>33</v>
      </c>
      <c r="I98" s="48" t="n">
        <f aca="false">SUM(J98:EO98)</f>
        <v>-43397.3364285805</v>
      </c>
      <c r="J98" s="48" t="n">
        <f aca="false">J94-J93</f>
        <v>0</v>
      </c>
      <c r="K98" s="48" t="n">
        <f aca="false">K94-K93</f>
        <v>0</v>
      </c>
      <c r="L98" s="48" t="n">
        <f aca="false">L94-L93</f>
        <v>0</v>
      </c>
      <c r="M98" s="48" t="n">
        <f aca="false">M94-M93</f>
        <v>0</v>
      </c>
      <c r="N98" s="48" t="n">
        <f aca="false">N94-N93</f>
        <v>0</v>
      </c>
      <c r="O98" s="48" t="n">
        <f aca="false">O94-O93</f>
        <v>0</v>
      </c>
      <c r="P98" s="48" t="n">
        <f aca="false">P94-P93</f>
        <v>0</v>
      </c>
      <c r="Q98" s="48" t="n">
        <f aca="false">Q94-Q93</f>
        <v>0</v>
      </c>
      <c r="R98" s="48" t="n">
        <f aca="false">R94-R93</f>
        <v>0</v>
      </c>
      <c r="S98" s="48" t="n">
        <f aca="false">S94-S93</f>
        <v>0</v>
      </c>
      <c r="T98" s="48" t="n">
        <f aca="false">T94-T93</f>
        <v>0</v>
      </c>
      <c r="U98" s="48" t="n">
        <f aca="false">U94-U93</f>
        <v>0</v>
      </c>
      <c r="V98" s="48" t="n">
        <f aca="false">V94-V93</f>
        <v>0</v>
      </c>
      <c r="W98" s="48" t="n">
        <f aca="false">W94-W93</f>
        <v>0</v>
      </c>
      <c r="X98" s="48" t="n">
        <f aca="false">X94-X93</f>
        <v>0</v>
      </c>
      <c r="Y98" s="48" t="n">
        <f aca="false">Y94-Y93</f>
        <v>0</v>
      </c>
      <c r="Z98" s="48" t="n">
        <f aca="false">Z94-Z93</f>
        <v>-384.820434736003</v>
      </c>
      <c r="AA98" s="48" t="n">
        <f aca="false">AA94-AA93</f>
        <v>-375.577318290611</v>
      </c>
      <c r="AB98" s="48" t="n">
        <f aca="false">AB94-AB93</f>
        <v>-390.096951376735</v>
      </c>
      <c r="AC98" s="48" t="n">
        <f aca="false">AC94-AC93</f>
        <v>-404.792599885114</v>
      </c>
      <c r="AD98" s="48" t="n">
        <f aca="false">AD94-AD93</f>
        <v>-406.544099170386</v>
      </c>
      <c r="AE98" s="48" t="n">
        <f aca="false">AE94-AE93</f>
        <v>-385.620822743101</v>
      </c>
      <c r="AF98" s="48" t="n">
        <f aca="false">AF94-AF93</f>
        <v>-387.635484553534</v>
      </c>
      <c r="AG98" s="48" t="n">
        <f aca="false">AG94-AG93</f>
        <v>-401.746270757455</v>
      </c>
      <c r="AH98" s="48" t="n">
        <f aca="false">AH94-AH93</f>
        <v>-403.546689767192</v>
      </c>
      <c r="AI98" s="48" t="n">
        <f aca="false">AI94-AI93</f>
        <v>-394.555410911594</v>
      </c>
      <c r="AJ98" s="48" t="n">
        <f aca="false">AJ94-AJ93</f>
        <v>-420.12047689535</v>
      </c>
      <c r="AK98" s="48" t="n">
        <f aca="false">AK94-AK93</f>
        <v>-434.764889609692</v>
      </c>
      <c r="AL98" s="48" t="n">
        <f aca="false">AL94-AL93</f>
        <v>-436.934670309702</v>
      </c>
      <c r="AM98" s="48" t="n">
        <f aca="false">AM94-AM93</f>
        <v>-427.980748788174</v>
      </c>
      <c r="AN98" s="48" t="n">
        <f aca="false">AN94-AN93</f>
        <v>-442.744122411027</v>
      </c>
      <c r="AO98" s="48" t="n">
        <f aca="false">AO94-AO93</f>
        <v>-457.680894236703</v>
      </c>
      <c r="AP98" s="48" t="n">
        <f aca="false">AP94-AP93</f>
        <v>-460.101319533887</v>
      </c>
      <c r="AQ98" s="48" t="n">
        <f aca="false">AQ94-AQ93</f>
        <v>-451.313109850811</v>
      </c>
      <c r="AR98" s="48" t="n">
        <f aca="false">AR94-AR93</f>
        <v>-466.376370893716</v>
      </c>
      <c r="AS98" s="48" t="n">
        <f aca="false">AS94-AS93</f>
        <v>-481.616552365529</v>
      </c>
      <c r="AT98" s="48" t="n">
        <f aca="false">AT94-AT93</f>
        <v>-484.299538991323</v>
      </c>
      <c r="AU98" s="48" t="n">
        <f aca="false">AU94-AU93</f>
        <v>-485.475732846114</v>
      </c>
      <c r="AV98" s="48" t="n">
        <f aca="false">AV94-AV93</f>
        <v>-491.177723579386</v>
      </c>
      <c r="AW98" s="48" t="n">
        <f aca="false">AW94-AW93</f>
        <v>-506.734221333006</v>
      </c>
      <c r="AX98" s="48" t="n">
        <f aca="false">AX94-AX93</f>
        <v>-509.693593967548</v>
      </c>
      <c r="AY98" s="48" t="n">
        <f aca="false">AY94-AY93</f>
        <v>-501.272191085875</v>
      </c>
      <c r="AZ98" s="48" t="n">
        <f aca="false">AZ94-AZ93</f>
        <v>-516.971415917098</v>
      </c>
      <c r="BA98" s="48" t="n">
        <f aca="false">BA94-BA93</f>
        <v>-532.855030674429</v>
      </c>
      <c r="BB98" s="48" t="n">
        <f aca="false">BB94-BB93</f>
        <v>-536.102514210258</v>
      </c>
      <c r="BC98" s="48" t="n">
        <f aca="false">BC94-BC93</f>
        <v>-527.881984587095</v>
      </c>
      <c r="BD98" s="48" t="n">
        <f aca="false">BD94-BD93</f>
        <v>-543.917026615939</v>
      </c>
      <c r="BE98" s="48" t="n">
        <f aca="false">BE94-BE93</f>
        <v>-560.140402798006</v>
      </c>
      <c r="BF98" s="48" t="n">
        <f aca="false">BF94-BF93</f>
        <v>-563.689619174893</v>
      </c>
      <c r="BG98" s="48" t="n">
        <f aca="false">BG94-BG93</f>
        <v>-555.682801696495</v>
      </c>
      <c r="BH98" s="48" t="n">
        <f aca="false">BH94-BH93</f>
        <v>-572.066733250162</v>
      </c>
      <c r="BI98" s="48" t="n">
        <f aca="false">BI94-BI93</f>
        <v>-588.643096720758</v>
      </c>
      <c r="BJ98" s="48" t="n">
        <f aca="false">BJ94-BJ93</f>
        <v>-592.508288697858</v>
      </c>
      <c r="BK98" s="48" t="n">
        <f aca="false">BK94-BK93</f>
        <v>-594.60739912845</v>
      </c>
      <c r="BL98" s="48" t="n">
        <f aca="false">BL94-BL93</f>
        <v>-601.591158872499</v>
      </c>
      <c r="BM98" s="48" t="n">
        <f aca="false">BM94-BM93</f>
        <v>-618.53570726643</v>
      </c>
      <c r="BN98" s="48" t="n">
        <f aca="false">BN94-BN93</f>
        <v>-622.733145955358</v>
      </c>
      <c r="BO98" s="48" t="n">
        <f aca="false">BO94-BO93</f>
        <v>-615.196147649421</v>
      </c>
      <c r="BP98" s="48" t="n">
        <f aca="false">BP94-BP93</f>
        <v>-632.320922875678</v>
      </c>
      <c r="BQ98" s="48" t="n">
        <f aca="false">BQ94-BQ93</f>
        <v>-649.646831347208</v>
      </c>
      <c r="BR98" s="48" t="n">
        <f aca="false">BR94-BR93</f>
        <v>-654.190775944376</v>
      </c>
      <c r="BS98" s="48" t="n">
        <f aca="false">BS94-BS93</f>
        <v>-646.90987142655</v>
      </c>
      <c r="BT98" s="48" t="n">
        <f aca="false">BT94-BT93</f>
        <v>-664.426547804185</v>
      </c>
      <c r="BU98" s="48" t="n">
        <f aca="false">BU94-BU93</f>
        <v>-682.148960369285</v>
      </c>
      <c r="BV98" s="48" t="n">
        <f aca="false">BV94-BV93</f>
        <v>-687.055697296478</v>
      </c>
      <c r="BW98" s="48" t="n">
        <f aca="false">BW94-BW93</f>
        <v>-680.046361476851</v>
      </c>
      <c r="BX98" s="48" t="n">
        <f aca="false">BX94-BX93</f>
        <v>-697.970599082772</v>
      </c>
      <c r="BY98" s="48" t="n">
        <f aca="false">BY94-BY93</f>
        <v>-716.105359748477</v>
      </c>
      <c r="BZ98" s="48" t="n">
        <f aca="false">BZ94-BZ93</f>
        <v>-721.391919821408</v>
      </c>
      <c r="CA98" s="48" t="n">
        <f aca="false">CA94-CA93</f>
        <v>-724.624630032435</v>
      </c>
      <c r="CB98" s="48" t="n">
        <f aca="false">CB94-CB93</f>
        <v>-733.135463110158</v>
      </c>
      <c r="CC98" s="48" t="n">
        <f aca="false">CC94-CC93</f>
        <v>-751.700522272005</v>
      </c>
      <c r="CD98" s="48" t="n">
        <f aca="false">CD94-CD93</f>
        <v>-757.386104581851</v>
      </c>
      <c r="CE98" s="48" t="n">
        <f aca="false">CE94-CE93</f>
        <v>-750.970720956987</v>
      </c>
      <c r="CF98" s="48" t="n">
        <f aca="false">CF94-CF93</f>
        <v>-769.76141657442</v>
      </c>
      <c r="CG98" s="48" t="n">
        <f aca="false">CG94-CG93</f>
        <v>-788.772811940642</v>
      </c>
      <c r="CH98" s="48" t="n">
        <f aca="false">CH94-CH93</f>
        <v>-794.874718563323</v>
      </c>
      <c r="CI98" s="48" t="n">
        <f aca="false">CI94-CI93</f>
        <v>-788.781960543197</v>
      </c>
      <c r="CJ98" s="48" t="n">
        <f aca="false">CJ94-CJ93</f>
        <v>-808.031753042012</v>
      </c>
      <c r="CK98" s="48" t="n">
        <f aca="false">CK94-CK93</f>
        <v>-827.507637456487</v>
      </c>
      <c r="CL98" s="48" t="n">
        <f aca="false">CL94-CL93</f>
        <v>-834.045349597453</v>
      </c>
      <c r="CM98" s="48" t="n">
        <f aca="false">CM94-CM93</f>
        <v>-828.293859708562</v>
      </c>
      <c r="CN98" s="48" t="n">
        <f aca="false">CN94-CN93</f>
        <v>-848.021524243648</v>
      </c>
      <c r="CO98" s="48" t="n">
        <f aca="false">CO94-CO93</f>
        <v>-867.980893378485</v>
      </c>
      <c r="CP98" s="48" t="n">
        <f aca="false">CP94-CP93</f>
        <v>-874.974785161474</v>
      </c>
      <c r="CQ98" s="48" t="n">
        <f aca="false">CQ94-CQ93</f>
        <v>-879.595871348917</v>
      </c>
      <c r="CR98" s="48" t="n">
        <f aca="false">CR94-CR93</f>
        <v>-889.926866634806</v>
      </c>
      <c r="CS98" s="48" t="n">
        <f aca="false">CS94-CS93</f>
        <v>-910.390980135715</v>
      </c>
      <c r="CT98" s="48" t="n">
        <f aca="false">CT94-CT93</f>
        <v>1.72946101884008E-012</v>
      </c>
      <c r="CU98" s="48" t="n">
        <f aca="false">CU94-CU93</f>
        <v>1.75107928157559E-012</v>
      </c>
      <c r="CV98" s="48" t="n">
        <f aca="false">CV94-CV93</f>
        <v>1.77296777259528E-012</v>
      </c>
      <c r="CW98" s="48" t="n">
        <f aca="false">CW94-CW93</f>
        <v>1.79512986975272E-012</v>
      </c>
      <c r="CX98" s="48" t="n">
        <f aca="false">CX94-CX93</f>
        <v>1.81756899312463E-012</v>
      </c>
      <c r="CY98" s="48" t="n">
        <f aca="false">CY94-CY93</f>
        <v>1.84028860553869E-012</v>
      </c>
      <c r="CZ98" s="48" t="n">
        <f aca="false">CZ94-CZ93</f>
        <v>1.86329221310792E-012</v>
      </c>
      <c r="DA98" s="48" t="n">
        <f aca="false">DA94-DA93</f>
        <v>1.88658336577177E-012</v>
      </c>
      <c r="DB98" s="48" t="n">
        <f aca="false">DB94-DB93</f>
        <v>1.91016565784392E-012</v>
      </c>
      <c r="DC98" s="48" t="n">
        <f aca="false">DC94-DC93</f>
        <v>1.93404272856697E-012</v>
      </c>
      <c r="DD98" s="48" t="n">
        <f aca="false">DD94-DD93</f>
        <v>1.95821826267405E-012</v>
      </c>
      <c r="DE98" s="48" t="n">
        <f aca="false">DE94-DE93</f>
        <v>1.98269599095748E-012</v>
      </c>
      <c r="DF98" s="48" t="n">
        <f aca="false">DF94-DF93</f>
        <v>2.00747969084445E-012</v>
      </c>
      <c r="DG98" s="48" t="n">
        <f aca="false">DG94-DG93</f>
        <v>2.03257318698E-012</v>
      </c>
      <c r="DH98" s="48" t="n">
        <f aca="false">DH94-DH93</f>
        <v>2.05798035181725E-012</v>
      </c>
      <c r="DI98" s="48" t="n">
        <f aca="false">DI94-DI93</f>
        <v>2.08370510621497E-012</v>
      </c>
      <c r="DJ98" s="48" t="n">
        <f aca="false">DJ94-DJ93</f>
        <v>2.10975142004266E-012</v>
      </c>
      <c r="DK98" s="48" t="n">
        <f aca="false">DK94-DK93</f>
        <v>2.13612331279319E-012</v>
      </c>
      <c r="DL98" s="48" t="n">
        <f aca="false">DL94-DL93</f>
        <v>2.16282485420311E-012</v>
      </c>
      <c r="DM98" s="48" t="n">
        <f aca="false">DM94-DM93</f>
        <v>2.18986016488064E-012</v>
      </c>
      <c r="DN98" s="48" t="n">
        <f aca="false">DN94-DN93</f>
        <v>2.21723341694165E-012</v>
      </c>
      <c r="DO98" s="48" t="n">
        <f aca="false">DO94-DO93</f>
        <v>2.24494883465342E-012</v>
      </c>
      <c r="DP98" s="48" t="n">
        <f aca="false">DP94-DP93</f>
        <v>2.27301069508659E-012</v>
      </c>
      <c r="DQ98" s="48" t="n">
        <f aca="false">DQ94-DQ93</f>
        <v>2.30142332877517E-012</v>
      </c>
      <c r="DR98" s="48" t="n">
        <f aca="false">DR94-DR93</f>
        <v>2.33019112038486E-012</v>
      </c>
      <c r="DS98" s="48" t="n">
        <f aca="false">DS94-DS93</f>
        <v>2.35931850938967E-012</v>
      </c>
      <c r="DT98" s="48" t="n">
        <f aca="false">DT94-DT93</f>
        <v>2.38880999075704E-012</v>
      </c>
      <c r="DU98" s="48" t="n">
        <f aca="false">DU94-DU93</f>
        <v>2.41867011564151E-012</v>
      </c>
      <c r="DV98" s="48" t="n">
        <f aca="false">DV94-DV93</f>
        <v>2.44890349208703E-012</v>
      </c>
      <c r="DW98" s="48" t="n">
        <f aca="false">DW94-DW93</f>
        <v>2.47951478573811E-012</v>
      </c>
      <c r="DX98" s="48" t="n">
        <f aca="false">DX94-DX93</f>
        <v>2.51050872055984E-012</v>
      </c>
      <c r="DY98" s="48" t="n">
        <f aca="false">DY94-DY93</f>
        <v>2.54189007956684E-012</v>
      </c>
      <c r="DZ98" s="48" t="n">
        <f aca="false">DZ94-DZ93</f>
        <v>2.57366370556142E-012</v>
      </c>
      <c r="EA98" s="48" t="n">
        <f aca="false">EA94-EA93</f>
        <v>2.60583450188094E-012</v>
      </c>
      <c r="EB98" s="48" t="n">
        <f aca="false">EB94-EB93</f>
        <v>2.63840743315445E-012</v>
      </c>
      <c r="EC98" s="48" t="n">
        <f aca="false">EC94-EC93</f>
        <v>2.67138752606888E-012</v>
      </c>
      <c r="ED98" s="48" t="n">
        <f aca="false">ED94-ED93</f>
        <v>2.70477987014474E-012</v>
      </c>
      <c r="EE98" s="48" t="n">
        <f aca="false">EE94-EE93</f>
        <v>2.73858961852155E-012</v>
      </c>
      <c r="EF98" s="48" t="n">
        <f aca="false">EF94-EF93</f>
        <v>2.77282198875307E-012</v>
      </c>
      <c r="EG98" s="48" t="n">
        <f aca="false">EG94-EG93</f>
        <v>2.80748226361249E-012</v>
      </c>
      <c r="EH98" s="48" t="n">
        <f aca="false">EH94-EH93</f>
        <v>2.84257579190764E-012</v>
      </c>
      <c r="EI98" s="48" t="n">
        <f aca="false">EI94-EI93</f>
        <v>2.87810798930649E-012</v>
      </c>
      <c r="EJ98" s="48" t="n">
        <f aca="false">EJ94-EJ93</f>
        <v>2.91408433917282E-012</v>
      </c>
      <c r="EK98" s="48" t="n">
        <f aca="false">EK94-EK93</f>
        <v>2.95051039341248E-012</v>
      </c>
      <c r="EL98" s="48" t="n">
        <f aca="false">EL94-EL93</f>
        <v>2.98739177333014E-012</v>
      </c>
      <c r="EM98" s="48" t="n">
        <f aca="false">EM94-EM93</f>
        <v>3.02473417049676E-012</v>
      </c>
      <c r="EN98" s="48" t="n">
        <f aca="false">EN94-EN93</f>
        <v>3.06254334762797E-012</v>
      </c>
      <c r="EO98" s="48" t="n">
        <f aca="false">EO94-EO93</f>
        <v>3.10082513947332E-012</v>
      </c>
    </row>
    <row r="99" customFormat="false" ht="15" hidden="false" customHeight="false" outlineLevel="0" collapsed="false">
      <c r="C99" s="25" t="s">
        <v>475</v>
      </c>
      <c r="D99" s="11" t="s">
        <v>33</v>
      </c>
      <c r="E99" s="57" t="n">
        <f aca="false">SUMIF($J$4:$EO$4,In_COD,$J99:$EO99)</f>
        <v>43397.3364285807</v>
      </c>
      <c r="I99" s="59"/>
      <c r="J99" s="57" t="n">
        <f aca="false">SUM(J95:J98)</f>
        <v>0</v>
      </c>
      <c r="K99" s="57" t="n">
        <f aca="false">SUM(K95:K98)</f>
        <v>0</v>
      </c>
      <c r="L99" s="57" t="n">
        <f aca="false">SUM(L95:L98)</f>
        <v>0</v>
      </c>
      <c r="M99" s="57" t="n">
        <f aca="false">SUM(M95:M98)</f>
        <v>0</v>
      </c>
      <c r="N99" s="57" t="n">
        <f aca="false">SUM(N95:N98)</f>
        <v>0</v>
      </c>
      <c r="O99" s="57" t="n">
        <f aca="false">SUM(O95:O98)</f>
        <v>0</v>
      </c>
      <c r="P99" s="57" t="n">
        <f aca="false">SUM(P95:P98)</f>
        <v>0</v>
      </c>
      <c r="Q99" s="57" t="n">
        <f aca="false">SUM(Q95:Q98)</f>
        <v>0</v>
      </c>
      <c r="R99" s="57" t="n">
        <f aca="false">SUM(R95:R98)</f>
        <v>4485.81130136986</v>
      </c>
      <c r="S99" s="57" t="n">
        <f aca="false">SUM(S95:S98)</f>
        <v>13415.3303398973</v>
      </c>
      <c r="T99" s="57" t="n">
        <f aca="false">SUM(T95:T98)</f>
        <v>18020.0744520227</v>
      </c>
      <c r="U99" s="57" t="n">
        <f aca="false">SUM(U95:U98)</f>
        <v>22731.1366840428</v>
      </c>
      <c r="V99" s="57" t="n">
        <f aca="false">SUM(V95:V98)</f>
        <v>27501.0871939632</v>
      </c>
      <c r="W99" s="57" t="n">
        <f aca="false">SUM(W95:W98)</f>
        <v>32233.1444482713</v>
      </c>
      <c r="X99" s="57" t="n">
        <f aca="false">SUM(X95:X98)</f>
        <v>37073.1112367514</v>
      </c>
      <c r="Y99" s="57" t="n">
        <f aca="false">SUM(Y95:Y98)</f>
        <v>43397.3364285807</v>
      </c>
      <c r="Z99" s="57" t="n">
        <f aca="false">SUM(Z95:Z98)</f>
        <v>43012.5159938447</v>
      </c>
      <c r="AA99" s="57" t="n">
        <f aca="false">SUM(AA95:AA98)</f>
        <v>42636.9386755541</v>
      </c>
      <c r="AB99" s="57" t="n">
        <f aca="false">SUM(AB95:AB98)</f>
        <v>42246.8417241774</v>
      </c>
      <c r="AC99" s="57" t="n">
        <f aca="false">SUM(AC95:AC98)</f>
        <v>41842.0491242922</v>
      </c>
      <c r="AD99" s="57" t="n">
        <f aca="false">SUM(AD95:AD98)</f>
        <v>41435.5050251219</v>
      </c>
      <c r="AE99" s="57" t="n">
        <f aca="false">SUM(AE95:AE98)</f>
        <v>41049.8842023788</v>
      </c>
      <c r="AF99" s="57" t="n">
        <f aca="false">SUM(AF95:AF98)</f>
        <v>40662.2487178252</v>
      </c>
      <c r="AG99" s="57" t="n">
        <f aca="false">SUM(AG95:AG98)</f>
        <v>40260.5024470678</v>
      </c>
      <c r="AH99" s="57" t="n">
        <f aca="false">SUM(AH95:AH98)</f>
        <v>39856.9557573006</v>
      </c>
      <c r="AI99" s="57" t="n">
        <f aca="false">SUM(AI95:AI98)</f>
        <v>39462.400346389</v>
      </c>
      <c r="AJ99" s="57" t="n">
        <f aca="false">SUM(AJ95:AJ98)</f>
        <v>39042.2798694936</v>
      </c>
      <c r="AK99" s="57" t="n">
        <f aca="false">SUM(AK95:AK98)</f>
        <v>38607.5149798839</v>
      </c>
      <c r="AL99" s="57" t="n">
        <f aca="false">SUM(AL95:AL98)</f>
        <v>38170.5803095742</v>
      </c>
      <c r="AM99" s="57" t="n">
        <f aca="false">SUM(AM95:AM98)</f>
        <v>37742.5995607861</v>
      </c>
      <c r="AN99" s="57" t="n">
        <f aca="false">SUM(AN95:AN98)</f>
        <v>37299.855438375</v>
      </c>
      <c r="AO99" s="57" t="n">
        <f aca="false">SUM(AO95:AO98)</f>
        <v>36842.1745441383</v>
      </c>
      <c r="AP99" s="57" t="n">
        <f aca="false">SUM(AP95:AP98)</f>
        <v>36382.0732246044</v>
      </c>
      <c r="AQ99" s="57" t="n">
        <f aca="false">SUM(AQ95:AQ98)</f>
        <v>35930.7601147536</v>
      </c>
      <c r="AR99" s="57" t="n">
        <f aca="false">SUM(AR95:AR98)</f>
        <v>35464.3837438599</v>
      </c>
      <c r="AS99" s="57" t="n">
        <f aca="false">SUM(AS95:AS98)</f>
        <v>34982.7671914944</v>
      </c>
      <c r="AT99" s="57" t="n">
        <f aca="false">SUM(AT95:AT98)</f>
        <v>34498.4676525031</v>
      </c>
      <c r="AU99" s="57" t="n">
        <f aca="false">SUM(AU95:AU98)</f>
        <v>34012.9919196569</v>
      </c>
      <c r="AV99" s="57" t="n">
        <f aca="false">SUM(AV95:AV98)</f>
        <v>33521.8141960776</v>
      </c>
      <c r="AW99" s="57" t="n">
        <f aca="false">SUM(AW95:AW98)</f>
        <v>33015.0799747446</v>
      </c>
      <c r="AX99" s="57" t="n">
        <f aca="false">SUM(AX95:AX98)</f>
        <v>32505.386380777</v>
      </c>
      <c r="AY99" s="57" t="n">
        <f aca="false">SUM(AY95:AY98)</f>
        <v>32004.1141896911</v>
      </c>
      <c r="AZ99" s="57" t="n">
        <f aca="false">SUM(AZ95:AZ98)</f>
        <v>31487.142773774</v>
      </c>
      <c r="BA99" s="57" t="n">
        <f aca="false">SUM(BA95:BA98)</f>
        <v>30954.2877430996</v>
      </c>
      <c r="BB99" s="57" t="n">
        <f aca="false">SUM(BB95:BB98)</f>
        <v>30418.1852288893</v>
      </c>
      <c r="BC99" s="57" t="n">
        <f aca="false">SUM(BC95:BC98)</f>
        <v>29890.3032443022</v>
      </c>
      <c r="BD99" s="57" t="n">
        <f aca="false">SUM(BD95:BD98)</f>
        <v>29346.3862176863</v>
      </c>
      <c r="BE99" s="57" t="n">
        <f aca="false">SUM(BE95:BE98)</f>
        <v>28786.2458148883</v>
      </c>
      <c r="BF99" s="57" t="n">
        <f aca="false">SUM(BF95:BF98)</f>
        <v>28222.5561957134</v>
      </c>
      <c r="BG99" s="57" t="n">
        <f aca="false">SUM(BG95:BG98)</f>
        <v>27666.8733940169</v>
      </c>
      <c r="BH99" s="57" t="n">
        <f aca="false">SUM(BH95:BH98)</f>
        <v>27094.8066607668</v>
      </c>
      <c r="BI99" s="57" t="n">
        <f aca="false">SUM(BI95:BI98)</f>
        <v>26506.163564046</v>
      </c>
      <c r="BJ99" s="57" t="n">
        <f aca="false">SUM(BJ95:BJ98)</f>
        <v>25913.6552753481</v>
      </c>
      <c r="BK99" s="57" t="n">
        <f aca="false">SUM(BK95:BK98)</f>
        <v>25319.0478762197</v>
      </c>
      <c r="BL99" s="57" t="n">
        <f aca="false">SUM(BL95:BL98)</f>
        <v>24717.4567173472</v>
      </c>
      <c r="BM99" s="57" t="n">
        <f aca="false">SUM(BM95:BM98)</f>
        <v>24098.9210100808</v>
      </c>
      <c r="BN99" s="57" t="n">
        <f aca="false">SUM(BN95:BN98)</f>
        <v>23476.1878641254</v>
      </c>
      <c r="BO99" s="57" t="n">
        <f aca="false">SUM(BO95:BO98)</f>
        <v>22860.991716476</v>
      </c>
      <c r="BP99" s="57" t="n">
        <f aca="false">SUM(BP95:BP98)</f>
        <v>22228.6707936003</v>
      </c>
      <c r="BQ99" s="57" t="n">
        <f aca="false">SUM(BQ95:BQ98)</f>
        <v>21579.0239622531</v>
      </c>
      <c r="BR99" s="57" t="n">
        <f aca="false">SUM(BR95:BR98)</f>
        <v>20924.8331863087</v>
      </c>
      <c r="BS99" s="57" t="n">
        <f aca="false">SUM(BS95:BS98)</f>
        <v>20277.9233148822</v>
      </c>
      <c r="BT99" s="57" t="n">
        <f aca="false">SUM(BT95:BT98)</f>
        <v>19613.496767078</v>
      </c>
      <c r="BU99" s="57" t="n">
        <f aca="false">SUM(BU95:BU98)</f>
        <v>18931.3478067087</v>
      </c>
      <c r="BV99" s="57" t="n">
        <f aca="false">SUM(BV95:BV98)</f>
        <v>18244.2921094122</v>
      </c>
      <c r="BW99" s="57" t="n">
        <f aca="false">SUM(BW95:BW98)</f>
        <v>17564.2457479354</v>
      </c>
      <c r="BX99" s="57" t="n">
        <f aca="false">SUM(BX95:BX98)</f>
        <v>16866.2751488526</v>
      </c>
      <c r="BY99" s="57" t="n">
        <f aca="false">SUM(BY95:BY98)</f>
        <v>16150.1697891041</v>
      </c>
      <c r="BZ99" s="57" t="n">
        <f aca="false">SUM(BZ95:BZ98)</f>
        <v>15428.7778692827</v>
      </c>
      <c r="CA99" s="57" t="n">
        <f aca="false">SUM(CA95:CA98)</f>
        <v>14704.1532392503</v>
      </c>
      <c r="CB99" s="57" t="n">
        <f aca="false">SUM(CB95:CB98)</f>
        <v>13971.0177761401</v>
      </c>
      <c r="CC99" s="57" t="n">
        <f aca="false">SUM(CC95:CC98)</f>
        <v>13219.3172538681</v>
      </c>
      <c r="CD99" s="57" t="n">
        <f aca="false">SUM(CD95:CD98)</f>
        <v>12461.9311492863</v>
      </c>
      <c r="CE99" s="57" t="n">
        <f aca="false">SUM(CE95:CE98)</f>
        <v>11710.9604283293</v>
      </c>
      <c r="CF99" s="57" t="n">
        <f aca="false">SUM(CF95:CF98)</f>
        <v>10941.1990117549</v>
      </c>
      <c r="CG99" s="57" t="n">
        <f aca="false">SUM(CG95:CG98)</f>
        <v>10152.4261998142</v>
      </c>
      <c r="CH99" s="57" t="n">
        <f aca="false">SUM(CH95:CH98)</f>
        <v>9357.55148125089</v>
      </c>
      <c r="CI99" s="57" t="n">
        <f aca="false">SUM(CI95:CI98)</f>
        <v>8568.7695207077</v>
      </c>
      <c r="CJ99" s="57" t="n">
        <f aca="false">SUM(CJ95:CJ98)</f>
        <v>7760.73776766568</v>
      </c>
      <c r="CK99" s="57" t="n">
        <f aca="false">SUM(CK95:CK98)</f>
        <v>6933.2301302092</v>
      </c>
      <c r="CL99" s="57" t="n">
        <f aca="false">SUM(CL95:CL98)</f>
        <v>6099.18478061174</v>
      </c>
      <c r="CM99" s="57" t="n">
        <f aca="false">SUM(CM95:CM98)</f>
        <v>5270.89092090318</v>
      </c>
      <c r="CN99" s="57" t="n">
        <f aca="false">SUM(CN95:CN98)</f>
        <v>4422.86939665953</v>
      </c>
      <c r="CO99" s="57" t="n">
        <f aca="false">SUM(CO95:CO98)</f>
        <v>3554.88850328105</v>
      </c>
      <c r="CP99" s="57" t="n">
        <f aca="false">SUM(CP95:CP98)</f>
        <v>2679.91371811958</v>
      </c>
      <c r="CQ99" s="57" t="n">
        <f aca="false">SUM(CQ95:CQ98)</f>
        <v>1800.31784677066</v>
      </c>
      <c r="CR99" s="57" t="n">
        <f aca="false">SUM(CR95:CR98)</f>
        <v>910.390980135853</v>
      </c>
      <c r="CS99" s="57" t="n">
        <f aca="false">SUM(CS95:CS98)</f>
        <v>1.38356881507207E-010</v>
      </c>
      <c r="CT99" s="57" t="n">
        <f aca="false">SUM(CT95:CT98)</f>
        <v>1.40086342526047E-010</v>
      </c>
      <c r="CU99" s="57" t="n">
        <f aca="false">SUM(CU95:CU98)</f>
        <v>1.41837421807622E-010</v>
      </c>
      <c r="CV99" s="57" t="n">
        <f aca="false">SUM(CV95:CV98)</f>
        <v>1.43610389580218E-010</v>
      </c>
      <c r="CW99" s="57" t="n">
        <f aca="false">SUM(CW95:CW98)</f>
        <v>1.4540551944997E-010</v>
      </c>
      <c r="CX99" s="57" t="n">
        <f aca="false">SUM(CX95:CX98)</f>
        <v>1.47223088443095E-010</v>
      </c>
      <c r="CY99" s="57" t="n">
        <f aca="false">SUM(CY95:CY98)</f>
        <v>1.49063377048634E-010</v>
      </c>
      <c r="CZ99" s="57" t="n">
        <f aca="false">SUM(CZ95:CZ98)</f>
        <v>1.50926669261742E-010</v>
      </c>
      <c r="DA99" s="57" t="n">
        <f aca="false">SUM(DA95:DA98)</f>
        <v>1.52813252627513E-010</v>
      </c>
      <c r="DB99" s="57" t="n">
        <f aca="false">SUM(DB95:DB98)</f>
        <v>1.54723418285357E-010</v>
      </c>
      <c r="DC99" s="57" t="n">
        <f aca="false">SUM(DC95:DC98)</f>
        <v>1.56657461013924E-010</v>
      </c>
      <c r="DD99" s="57" t="n">
        <f aca="false">SUM(DD95:DD98)</f>
        <v>1.58615679276598E-010</v>
      </c>
      <c r="DE99" s="57" t="n">
        <f aca="false">SUM(DE95:DE98)</f>
        <v>1.60598375267556E-010</v>
      </c>
      <c r="DF99" s="57" t="n">
        <f aca="false">SUM(DF95:DF98)</f>
        <v>1.626058549584E-010</v>
      </c>
      <c r="DG99" s="57" t="n">
        <f aca="false">SUM(DG95:DG98)</f>
        <v>1.6463842814538E-010</v>
      </c>
      <c r="DH99" s="57" t="n">
        <f aca="false">SUM(DH95:DH98)</f>
        <v>1.66696408497198E-010</v>
      </c>
      <c r="DI99" s="57" t="n">
        <f aca="false">SUM(DI95:DI98)</f>
        <v>1.68780113603413E-010</v>
      </c>
      <c r="DJ99" s="57" t="n">
        <f aca="false">SUM(DJ95:DJ98)</f>
        <v>1.70889865023455E-010</v>
      </c>
      <c r="DK99" s="57" t="n">
        <f aca="false">SUM(DK95:DK98)</f>
        <v>1.73025988336248E-010</v>
      </c>
      <c r="DL99" s="57" t="n">
        <f aca="false">SUM(DL95:DL98)</f>
        <v>1.75188813190451E-010</v>
      </c>
      <c r="DM99" s="57" t="n">
        <f aca="false">SUM(DM95:DM98)</f>
        <v>1.77378673355332E-010</v>
      </c>
      <c r="DN99" s="57" t="n">
        <f aca="false">SUM(DN95:DN98)</f>
        <v>1.79595906772274E-010</v>
      </c>
      <c r="DO99" s="57" t="n">
        <f aca="false">SUM(DO95:DO98)</f>
        <v>1.81840855606927E-010</v>
      </c>
      <c r="DP99" s="57" t="n">
        <f aca="false">SUM(DP95:DP98)</f>
        <v>1.84113866302014E-010</v>
      </c>
      <c r="DQ99" s="57" t="n">
        <f aca="false">SUM(DQ95:DQ98)</f>
        <v>1.86415289630789E-010</v>
      </c>
      <c r="DR99" s="57" t="n">
        <f aca="false">SUM(DR95:DR98)</f>
        <v>1.88745480751174E-010</v>
      </c>
      <c r="DS99" s="57" t="n">
        <f aca="false">SUM(DS95:DS98)</f>
        <v>1.91104799260563E-010</v>
      </c>
      <c r="DT99" s="57" t="n">
        <f aca="false">SUM(DT95:DT98)</f>
        <v>1.9349360925132E-010</v>
      </c>
      <c r="DU99" s="57" t="n">
        <f aca="false">SUM(DU95:DU98)</f>
        <v>1.95912279366962E-010</v>
      </c>
      <c r="DV99" s="57" t="n">
        <f aca="false">SUM(DV95:DV98)</f>
        <v>1.98361182859049E-010</v>
      </c>
      <c r="DW99" s="57" t="n">
        <f aca="false">SUM(DW95:DW98)</f>
        <v>2.00840697644787E-010</v>
      </c>
      <c r="DX99" s="57" t="n">
        <f aca="false">SUM(DX95:DX98)</f>
        <v>2.03351206365347E-010</v>
      </c>
      <c r="DY99" s="57" t="n">
        <f aca="false">SUM(DY95:DY98)</f>
        <v>2.05893096444914E-010</v>
      </c>
      <c r="DZ99" s="57" t="n">
        <f aca="false">SUM(DZ95:DZ98)</f>
        <v>2.08466760150475E-010</v>
      </c>
      <c r="EA99" s="57" t="n">
        <f aca="false">SUM(EA95:EA98)</f>
        <v>2.11072594652356E-010</v>
      </c>
      <c r="EB99" s="57" t="n">
        <f aca="false">SUM(EB95:EB98)</f>
        <v>2.13711002085511E-010</v>
      </c>
      <c r="EC99" s="57" t="n">
        <f aca="false">SUM(EC95:EC98)</f>
        <v>2.16382389611579E-010</v>
      </c>
      <c r="ED99" s="57" t="n">
        <f aca="false">SUM(ED95:ED98)</f>
        <v>2.19087169481724E-010</v>
      </c>
      <c r="EE99" s="57" t="n">
        <f aca="false">SUM(EE95:EE98)</f>
        <v>2.21825759100246E-010</v>
      </c>
      <c r="EF99" s="57" t="n">
        <f aca="false">SUM(EF95:EF98)</f>
        <v>2.24598581088999E-010</v>
      </c>
      <c r="EG99" s="57" t="n">
        <f aca="false">SUM(EG95:EG98)</f>
        <v>2.27406063352611E-010</v>
      </c>
      <c r="EH99" s="57" t="n">
        <f aca="false">SUM(EH95:EH98)</f>
        <v>2.30248639144519E-010</v>
      </c>
      <c r="EI99" s="57" t="n">
        <f aca="false">SUM(EI95:EI98)</f>
        <v>2.33126747133826E-010</v>
      </c>
      <c r="EJ99" s="57" t="n">
        <f aca="false">SUM(EJ95:EJ98)</f>
        <v>2.36040831472998E-010</v>
      </c>
      <c r="EK99" s="57" t="n">
        <f aca="false">SUM(EK95:EK98)</f>
        <v>2.38991341866411E-010</v>
      </c>
      <c r="EL99" s="57" t="n">
        <f aca="false">SUM(EL95:EL98)</f>
        <v>2.41978733639741E-010</v>
      </c>
      <c r="EM99" s="57" t="n">
        <f aca="false">SUM(EM95:EM98)</f>
        <v>2.45003467810238E-010</v>
      </c>
      <c r="EN99" s="57" t="n">
        <f aca="false">SUM(EN95:EN98)</f>
        <v>2.48066011157866E-010</v>
      </c>
      <c r="EO99" s="57" t="n">
        <f aca="false">SUM(EO95:EO98)</f>
        <v>2.51166836297339E-010</v>
      </c>
    </row>
    <row r="100" customFormat="false" ht="15" hidden="false" customHeight="false" outlineLevel="0" collapsed="false">
      <c r="C100" s="0" t="s">
        <v>476</v>
      </c>
      <c r="D100" s="11" t="s">
        <v>33</v>
      </c>
      <c r="I100" s="48" t="n">
        <f aca="false">SUM(J100:EO100)</f>
        <v>-759.453387500162</v>
      </c>
      <c r="J100" s="48" t="n">
        <f aca="false">-In_Upfront_Fee*$E99*(J95=0)*(J96&gt;0)</f>
        <v>-0</v>
      </c>
      <c r="K100" s="48" t="n">
        <f aca="false">-In_Upfront_Fee*$E99*(K95=0)*(K96&gt;0)</f>
        <v>-0</v>
      </c>
      <c r="L100" s="48" t="n">
        <f aca="false">-In_Upfront_Fee*$E99*(L95=0)*(L96&gt;0)</f>
        <v>-0</v>
      </c>
      <c r="M100" s="48" t="n">
        <f aca="false">-In_Upfront_Fee*$E99*(M95=0)*(M96&gt;0)</f>
        <v>-0</v>
      </c>
      <c r="N100" s="48" t="n">
        <f aca="false">-In_Upfront_Fee*$E99*(N95=0)*(N96&gt;0)</f>
        <v>-0</v>
      </c>
      <c r="O100" s="48" t="n">
        <f aca="false">-In_Upfront_Fee*$E99*(O95=0)*(O96&gt;0)</f>
        <v>-0</v>
      </c>
      <c r="P100" s="48" t="n">
        <f aca="false">-In_Upfront_Fee*$E99*(P95=0)*(P96&gt;0)</f>
        <v>-0</v>
      </c>
      <c r="Q100" s="48" t="n">
        <f aca="false">-In_Upfront_Fee*$E99*(Q95=0)*(Q96&gt;0)</f>
        <v>-0</v>
      </c>
      <c r="R100" s="48" t="n">
        <f aca="false">-In_Upfront_Fee*$E99*(R95=0)*(R96&gt;0)</f>
        <v>-759.453387500162</v>
      </c>
      <c r="S100" s="48" t="n">
        <f aca="false">-In_Upfront_Fee*$E99*(S95=0)*(S96&gt;0)</f>
        <v>-0</v>
      </c>
      <c r="T100" s="48" t="n">
        <f aca="false">-In_Upfront_Fee*$E99*(T95=0)*(T96&gt;0)</f>
        <v>-0</v>
      </c>
      <c r="U100" s="48" t="n">
        <f aca="false">-In_Upfront_Fee*$E99*(U95=0)*(U96&gt;0)</f>
        <v>-0</v>
      </c>
      <c r="V100" s="48" t="n">
        <f aca="false">-In_Upfront_Fee*$E99*(V95=0)*(V96&gt;0)</f>
        <v>-0</v>
      </c>
      <c r="W100" s="48" t="n">
        <f aca="false">-In_Upfront_Fee*$E99*(W95=0)*(W96&gt;0)</f>
        <v>-0</v>
      </c>
      <c r="X100" s="48" t="n">
        <f aca="false">-In_Upfront_Fee*$E99*(X95=0)*(X96&gt;0)</f>
        <v>-0</v>
      </c>
      <c r="Y100" s="48" t="n">
        <f aca="false">-In_Upfront_Fee*$E99*(Y95=0)*(Y96&gt;0)</f>
        <v>-0</v>
      </c>
      <c r="Z100" s="48" t="n">
        <f aca="false">-In_Upfront_Fee*$E99*(Z95=0)*(Z96&gt;0)</f>
        <v>-0</v>
      </c>
      <c r="AA100" s="48" t="n">
        <f aca="false">-In_Upfront_Fee*$E99*(AA95=0)*(AA96&gt;0)</f>
        <v>-0</v>
      </c>
      <c r="AB100" s="48" t="n">
        <f aca="false">-In_Upfront_Fee*$E99*(AB95=0)*(AB96&gt;0)</f>
        <v>-0</v>
      </c>
      <c r="AC100" s="48" t="n">
        <f aca="false">-In_Upfront_Fee*$E99*(AC95=0)*(AC96&gt;0)</f>
        <v>-0</v>
      </c>
      <c r="AD100" s="48" t="n">
        <f aca="false">-In_Upfront_Fee*$E99*(AD95=0)*(AD96&gt;0)</f>
        <v>-0</v>
      </c>
      <c r="AE100" s="48" t="n">
        <f aca="false">-In_Upfront_Fee*$E99*(AE95=0)*(AE96&gt;0)</f>
        <v>-0</v>
      </c>
      <c r="AF100" s="48" t="n">
        <f aca="false">-In_Upfront_Fee*$E99*(AF95=0)*(AF96&gt;0)</f>
        <v>-0</v>
      </c>
      <c r="AG100" s="48" t="n">
        <f aca="false">-In_Upfront_Fee*$E99*(AG95=0)*(AG96&gt;0)</f>
        <v>-0</v>
      </c>
      <c r="AH100" s="48" t="n">
        <f aca="false">-In_Upfront_Fee*$E99*(AH95=0)*(AH96&gt;0)</f>
        <v>-0</v>
      </c>
      <c r="AI100" s="48" t="n">
        <f aca="false">-In_Upfront_Fee*$E99*(AI95=0)*(AI96&gt;0)</f>
        <v>-0</v>
      </c>
      <c r="AJ100" s="48" t="n">
        <f aca="false">-In_Upfront_Fee*$E99*(AJ95=0)*(AJ96&gt;0)</f>
        <v>-0</v>
      </c>
      <c r="AK100" s="48" t="n">
        <f aca="false">-In_Upfront_Fee*$E99*(AK95=0)*(AK96&gt;0)</f>
        <v>-0</v>
      </c>
      <c r="AL100" s="48" t="n">
        <f aca="false">-In_Upfront_Fee*$E99*(AL95=0)*(AL96&gt;0)</f>
        <v>-0</v>
      </c>
      <c r="AM100" s="48" t="n">
        <f aca="false">-In_Upfront_Fee*$E99*(AM95=0)*(AM96&gt;0)</f>
        <v>-0</v>
      </c>
      <c r="AN100" s="48" t="n">
        <f aca="false">-In_Upfront_Fee*$E99*(AN95=0)*(AN96&gt;0)</f>
        <v>-0</v>
      </c>
      <c r="AO100" s="48" t="n">
        <f aca="false">-In_Upfront_Fee*$E99*(AO95=0)*(AO96&gt;0)</f>
        <v>-0</v>
      </c>
      <c r="AP100" s="48" t="n">
        <f aca="false">-In_Upfront_Fee*$E99*(AP95=0)*(AP96&gt;0)</f>
        <v>-0</v>
      </c>
      <c r="AQ100" s="48" t="n">
        <f aca="false">-In_Upfront_Fee*$E99*(AQ95=0)*(AQ96&gt;0)</f>
        <v>-0</v>
      </c>
      <c r="AR100" s="48" t="n">
        <f aca="false">-In_Upfront_Fee*$E99*(AR95=0)*(AR96&gt;0)</f>
        <v>-0</v>
      </c>
      <c r="AS100" s="48" t="n">
        <f aca="false">-In_Upfront_Fee*$E99*(AS95=0)*(AS96&gt;0)</f>
        <v>-0</v>
      </c>
      <c r="AT100" s="48" t="n">
        <f aca="false">-In_Upfront_Fee*$E99*(AT95=0)*(AT96&gt;0)</f>
        <v>-0</v>
      </c>
      <c r="AU100" s="48" t="n">
        <f aca="false">-In_Upfront_Fee*$E99*(AU95=0)*(AU96&gt;0)</f>
        <v>-0</v>
      </c>
      <c r="AV100" s="48" t="n">
        <f aca="false">-In_Upfront_Fee*$E99*(AV95=0)*(AV96&gt;0)</f>
        <v>-0</v>
      </c>
      <c r="AW100" s="48" t="n">
        <f aca="false">-In_Upfront_Fee*$E99*(AW95=0)*(AW96&gt;0)</f>
        <v>-0</v>
      </c>
      <c r="AX100" s="48" t="n">
        <f aca="false">-In_Upfront_Fee*$E99*(AX95=0)*(AX96&gt;0)</f>
        <v>-0</v>
      </c>
      <c r="AY100" s="48" t="n">
        <f aca="false">-In_Upfront_Fee*$E99*(AY95=0)*(AY96&gt;0)</f>
        <v>-0</v>
      </c>
      <c r="AZ100" s="48" t="n">
        <f aca="false">-In_Upfront_Fee*$E99*(AZ95=0)*(AZ96&gt;0)</f>
        <v>-0</v>
      </c>
      <c r="BA100" s="48" t="n">
        <f aca="false">-In_Upfront_Fee*$E99*(BA95=0)*(BA96&gt;0)</f>
        <v>-0</v>
      </c>
      <c r="BB100" s="48" t="n">
        <f aca="false">-In_Upfront_Fee*$E99*(BB95=0)*(BB96&gt;0)</f>
        <v>-0</v>
      </c>
      <c r="BC100" s="48" t="n">
        <f aca="false">-In_Upfront_Fee*$E99*(BC95=0)*(BC96&gt;0)</f>
        <v>-0</v>
      </c>
      <c r="BD100" s="48" t="n">
        <f aca="false">-In_Upfront_Fee*$E99*(BD95=0)*(BD96&gt;0)</f>
        <v>-0</v>
      </c>
      <c r="BE100" s="48" t="n">
        <f aca="false">-In_Upfront_Fee*$E99*(BE95=0)*(BE96&gt;0)</f>
        <v>-0</v>
      </c>
      <c r="BF100" s="48" t="n">
        <f aca="false">-In_Upfront_Fee*$E99*(BF95=0)*(BF96&gt;0)</f>
        <v>-0</v>
      </c>
      <c r="BG100" s="48" t="n">
        <f aca="false">-In_Upfront_Fee*$E99*(BG95=0)*(BG96&gt;0)</f>
        <v>-0</v>
      </c>
      <c r="BH100" s="48" t="n">
        <f aca="false">-In_Upfront_Fee*$E99*(BH95=0)*(BH96&gt;0)</f>
        <v>-0</v>
      </c>
      <c r="BI100" s="48" t="n">
        <f aca="false">-In_Upfront_Fee*$E99*(BI95=0)*(BI96&gt;0)</f>
        <v>-0</v>
      </c>
      <c r="BJ100" s="48" t="n">
        <f aca="false">-In_Upfront_Fee*$E99*(BJ95=0)*(BJ96&gt;0)</f>
        <v>-0</v>
      </c>
      <c r="BK100" s="48" t="n">
        <f aca="false">-In_Upfront_Fee*$E99*(BK95=0)*(BK96&gt;0)</f>
        <v>-0</v>
      </c>
      <c r="BL100" s="48" t="n">
        <f aca="false">-In_Upfront_Fee*$E99*(BL95=0)*(BL96&gt;0)</f>
        <v>-0</v>
      </c>
      <c r="BM100" s="48" t="n">
        <f aca="false">-In_Upfront_Fee*$E99*(BM95=0)*(BM96&gt;0)</f>
        <v>-0</v>
      </c>
      <c r="BN100" s="48" t="n">
        <f aca="false">-In_Upfront_Fee*$E99*(BN95=0)*(BN96&gt;0)</f>
        <v>-0</v>
      </c>
      <c r="BO100" s="48" t="n">
        <f aca="false">-In_Upfront_Fee*$E99*(BO95=0)*(BO96&gt;0)</f>
        <v>-0</v>
      </c>
      <c r="BP100" s="48" t="n">
        <f aca="false">-In_Upfront_Fee*$E99*(BP95=0)*(BP96&gt;0)</f>
        <v>-0</v>
      </c>
      <c r="BQ100" s="48" t="n">
        <f aca="false">-In_Upfront_Fee*$E99*(BQ95=0)*(BQ96&gt;0)</f>
        <v>-0</v>
      </c>
      <c r="BR100" s="48" t="n">
        <f aca="false">-In_Upfront_Fee*$E99*(BR95=0)*(BR96&gt;0)</f>
        <v>-0</v>
      </c>
      <c r="BS100" s="48" t="n">
        <f aca="false">-In_Upfront_Fee*$E99*(BS95=0)*(BS96&gt;0)</f>
        <v>-0</v>
      </c>
      <c r="BT100" s="48" t="n">
        <f aca="false">-In_Upfront_Fee*$E99*(BT95=0)*(BT96&gt;0)</f>
        <v>-0</v>
      </c>
      <c r="BU100" s="48" t="n">
        <f aca="false">-In_Upfront_Fee*$E99*(BU95=0)*(BU96&gt;0)</f>
        <v>-0</v>
      </c>
      <c r="BV100" s="48" t="n">
        <f aca="false">-In_Upfront_Fee*$E99*(BV95=0)*(BV96&gt;0)</f>
        <v>-0</v>
      </c>
      <c r="BW100" s="48" t="n">
        <f aca="false">-In_Upfront_Fee*$E99*(BW95=0)*(BW96&gt;0)</f>
        <v>-0</v>
      </c>
      <c r="BX100" s="48" t="n">
        <f aca="false">-In_Upfront_Fee*$E99*(BX95=0)*(BX96&gt;0)</f>
        <v>-0</v>
      </c>
      <c r="BY100" s="48" t="n">
        <f aca="false">-In_Upfront_Fee*$E99*(BY95=0)*(BY96&gt;0)</f>
        <v>-0</v>
      </c>
      <c r="BZ100" s="48" t="n">
        <f aca="false">-In_Upfront_Fee*$E99*(BZ95=0)*(BZ96&gt;0)</f>
        <v>-0</v>
      </c>
      <c r="CA100" s="48" t="n">
        <f aca="false">-In_Upfront_Fee*$E99*(CA95=0)*(CA96&gt;0)</f>
        <v>-0</v>
      </c>
      <c r="CB100" s="48" t="n">
        <f aca="false">-In_Upfront_Fee*$E99*(CB95=0)*(CB96&gt;0)</f>
        <v>-0</v>
      </c>
      <c r="CC100" s="48" t="n">
        <f aca="false">-In_Upfront_Fee*$E99*(CC95=0)*(CC96&gt;0)</f>
        <v>-0</v>
      </c>
      <c r="CD100" s="48" t="n">
        <f aca="false">-In_Upfront_Fee*$E99*(CD95=0)*(CD96&gt;0)</f>
        <v>-0</v>
      </c>
      <c r="CE100" s="48" t="n">
        <f aca="false">-In_Upfront_Fee*$E99*(CE95=0)*(CE96&gt;0)</f>
        <v>-0</v>
      </c>
      <c r="CF100" s="48" t="n">
        <f aca="false">-In_Upfront_Fee*$E99*(CF95=0)*(CF96&gt;0)</f>
        <v>-0</v>
      </c>
      <c r="CG100" s="48" t="n">
        <f aca="false">-In_Upfront_Fee*$E99*(CG95=0)*(CG96&gt;0)</f>
        <v>-0</v>
      </c>
      <c r="CH100" s="48" t="n">
        <f aca="false">-In_Upfront_Fee*$E99*(CH95=0)*(CH96&gt;0)</f>
        <v>-0</v>
      </c>
      <c r="CI100" s="48" t="n">
        <f aca="false">-In_Upfront_Fee*$E99*(CI95=0)*(CI96&gt;0)</f>
        <v>-0</v>
      </c>
      <c r="CJ100" s="48" t="n">
        <f aca="false">-In_Upfront_Fee*$E99*(CJ95=0)*(CJ96&gt;0)</f>
        <v>-0</v>
      </c>
      <c r="CK100" s="48" t="n">
        <f aca="false">-In_Upfront_Fee*$E99*(CK95=0)*(CK96&gt;0)</f>
        <v>-0</v>
      </c>
      <c r="CL100" s="48" t="n">
        <f aca="false">-In_Upfront_Fee*$E99*(CL95=0)*(CL96&gt;0)</f>
        <v>-0</v>
      </c>
      <c r="CM100" s="48" t="n">
        <f aca="false">-In_Upfront_Fee*$E99*(CM95=0)*(CM96&gt;0)</f>
        <v>-0</v>
      </c>
      <c r="CN100" s="48" t="n">
        <f aca="false">-In_Upfront_Fee*$E99*(CN95=0)*(CN96&gt;0)</f>
        <v>-0</v>
      </c>
      <c r="CO100" s="48" t="n">
        <f aca="false">-In_Upfront_Fee*$E99*(CO95=0)*(CO96&gt;0)</f>
        <v>-0</v>
      </c>
      <c r="CP100" s="48" t="n">
        <f aca="false">-In_Upfront_Fee*$E99*(CP95=0)*(CP96&gt;0)</f>
        <v>-0</v>
      </c>
      <c r="CQ100" s="48" t="n">
        <f aca="false">-In_Upfront_Fee*$E99*(CQ95=0)*(CQ96&gt;0)</f>
        <v>-0</v>
      </c>
      <c r="CR100" s="48" t="n">
        <f aca="false">-In_Upfront_Fee*$E99*(CR95=0)*(CR96&gt;0)</f>
        <v>-0</v>
      </c>
      <c r="CS100" s="48" t="n">
        <f aca="false">-In_Upfront_Fee*$E99*(CS95=0)*(CS96&gt;0)</f>
        <v>-0</v>
      </c>
      <c r="CT100" s="48" t="n">
        <f aca="false">-In_Upfront_Fee*$E99*(CT95=0)*(CT96&gt;0)</f>
        <v>-0</v>
      </c>
      <c r="CU100" s="48" t="n">
        <f aca="false">-In_Upfront_Fee*$E99*(CU95=0)*(CU96&gt;0)</f>
        <v>-0</v>
      </c>
      <c r="CV100" s="48" t="n">
        <f aca="false">-In_Upfront_Fee*$E99*(CV95=0)*(CV96&gt;0)</f>
        <v>-0</v>
      </c>
      <c r="CW100" s="48" t="n">
        <f aca="false">-In_Upfront_Fee*$E99*(CW95=0)*(CW96&gt;0)</f>
        <v>-0</v>
      </c>
      <c r="CX100" s="48" t="n">
        <f aca="false">-In_Upfront_Fee*$E99*(CX95=0)*(CX96&gt;0)</f>
        <v>-0</v>
      </c>
      <c r="CY100" s="48" t="n">
        <f aca="false">-In_Upfront_Fee*$E99*(CY95=0)*(CY96&gt;0)</f>
        <v>-0</v>
      </c>
      <c r="CZ100" s="48" t="n">
        <f aca="false">-In_Upfront_Fee*$E99*(CZ95=0)*(CZ96&gt;0)</f>
        <v>-0</v>
      </c>
      <c r="DA100" s="48" t="n">
        <f aca="false">-In_Upfront_Fee*$E99*(DA95=0)*(DA96&gt;0)</f>
        <v>-0</v>
      </c>
      <c r="DB100" s="48" t="n">
        <f aca="false">-In_Upfront_Fee*$E99*(DB95=0)*(DB96&gt;0)</f>
        <v>-0</v>
      </c>
      <c r="DC100" s="48" t="n">
        <f aca="false">-In_Upfront_Fee*$E99*(DC95=0)*(DC96&gt;0)</f>
        <v>-0</v>
      </c>
      <c r="DD100" s="48" t="n">
        <f aca="false">-In_Upfront_Fee*$E99*(DD95=0)*(DD96&gt;0)</f>
        <v>-0</v>
      </c>
      <c r="DE100" s="48" t="n">
        <f aca="false">-In_Upfront_Fee*$E99*(DE95=0)*(DE96&gt;0)</f>
        <v>-0</v>
      </c>
      <c r="DF100" s="48" t="n">
        <f aca="false">-In_Upfront_Fee*$E99*(DF95=0)*(DF96&gt;0)</f>
        <v>-0</v>
      </c>
      <c r="DG100" s="48" t="n">
        <f aca="false">-In_Upfront_Fee*$E99*(DG95=0)*(DG96&gt;0)</f>
        <v>-0</v>
      </c>
      <c r="DH100" s="48" t="n">
        <f aca="false">-In_Upfront_Fee*$E99*(DH95=0)*(DH96&gt;0)</f>
        <v>-0</v>
      </c>
      <c r="DI100" s="48" t="n">
        <f aca="false">-In_Upfront_Fee*$E99*(DI95=0)*(DI96&gt;0)</f>
        <v>-0</v>
      </c>
      <c r="DJ100" s="48" t="n">
        <f aca="false">-In_Upfront_Fee*$E99*(DJ95=0)*(DJ96&gt;0)</f>
        <v>-0</v>
      </c>
      <c r="DK100" s="48" t="n">
        <f aca="false">-In_Upfront_Fee*$E99*(DK95=0)*(DK96&gt;0)</f>
        <v>-0</v>
      </c>
      <c r="DL100" s="48" t="n">
        <f aca="false">-In_Upfront_Fee*$E99*(DL95=0)*(DL96&gt;0)</f>
        <v>-0</v>
      </c>
      <c r="DM100" s="48" t="n">
        <f aca="false">-In_Upfront_Fee*$E99*(DM95=0)*(DM96&gt;0)</f>
        <v>-0</v>
      </c>
      <c r="DN100" s="48" t="n">
        <f aca="false">-In_Upfront_Fee*$E99*(DN95=0)*(DN96&gt;0)</f>
        <v>-0</v>
      </c>
      <c r="DO100" s="48" t="n">
        <f aca="false">-In_Upfront_Fee*$E99*(DO95=0)*(DO96&gt;0)</f>
        <v>-0</v>
      </c>
      <c r="DP100" s="48" t="n">
        <f aca="false">-In_Upfront_Fee*$E99*(DP95=0)*(DP96&gt;0)</f>
        <v>-0</v>
      </c>
      <c r="DQ100" s="48" t="n">
        <f aca="false">-In_Upfront_Fee*$E99*(DQ95=0)*(DQ96&gt;0)</f>
        <v>-0</v>
      </c>
      <c r="DR100" s="48" t="n">
        <f aca="false">-In_Upfront_Fee*$E99*(DR95=0)*(DR96&gt;0)</f>
        <v>-0</v>
      </c>
      <c r="DS100" s="48" t="n">
        <f aca="false">-In_Upfront_Fee*$E99*(DS95=0)*(DS96&gt;0)</f>
        <v>-0</v>
      </c>
      <c r="DT100" s="48" t="n">
        <f aca="false">-In_Upfront_Fee*$E99*(DT95=0)*(DT96&gt;0)</f>
        <v>-0</v>
      </c>
      <c r="DU100" s="48" t="n">
        <f aca="false">-In_Upfront_Fee*$E99*(DU95=0)*(DU96&gt;0)</f>
        <v>-0</v>
      </c>
      <c r="DV100" s="48" t="n">
        <f aca="false">-In_Upfront_Fee*$E99*(DV95=0)*(DV96&gt;0)</f>
        <v>-0</v>
      </c>
      <c r="DW100" s="48" t="n">
        <f aca="false">-In_Upfront_Fee*$E99*(DW95=0)*(DW96&gt;0)</f>
        <v>-0</v>
      </c>
      <c r="DX100" s="48" t="n">
        <f aca="false">-In_Upfront_Fee*$E99*(DX95=0)*(DX96&gt;0)</f>
        <v>-0</v>
      </c>
      <c r="DY100" s="48" t="n">
        <f aca="false">-In_Upfront_Fee*$E99*(DY95=0)*(DY96&gt;0)</f>
        <v>-0</v>
      </c>
      <c r="DZ100" s="48" t="n">
        <f aca="false">-In_Upfront_Fee*$E99*(DZ95=0)*(DZ96&gt;0)</f>
        <v>-0</v>
      </c>
      <c r="EA100" s="48" t="n">
        <f aca="false">-In_Upfront_Fee*$E99*(EA95=0)*(EA96&gt;0)</f>
        <v>-0</v>
      </c>
      <c r="EB100" s="48" t="n">
        <f aca="false">-In_Upfront_Fee*$E99*(EB95=0)*(EB96&gt;0)</f>
        <v>-0</v>
      </c>
      <c r="EC100" s="48" t="n">
        <f aca="false">-In_Upfront_Fee*$E99*(EC95=0)*(EC96&gt;0)</f>
        <v>-0</v>
      </c>
      <c r="ED100" s="48" t="n">
        <f aca="false">-In_Upfront_Fee*$E99*(ED95=0)*(ED96&gt;0)</f>
        <v>-0</v>
      </c>
      <c r="EE100" s="48" t="n">
        <f aca="false">-In_Upfront_Fee*$E99*(EE95=0)*(EE96&gt;0)</f>
        <v>-0</v>
      </c>
      <c r="EF100" s="48" t="n">
        <f aca="false">-In_Upfront_Fee*$E99*(EF95=0)*(EF96&gt;0)</f>
        <v>-0</v>
      </c>
      <c r="EG100" s="48" t="n">
        <f aca="false">-In_Upfront_Fee*$E99*(EG95=0)*(EG96&gt;0)</f>
        <v>-0</v>
      </c>
      <c r="EH100" s="48" t="n">
        <f aca="false">-In_Upfront_Fee*$E99*(EH95=0)*(EH96&gt;0)</f>
        <v>-0</v>
      </c>
      <c r="EI100" s="48" t="n">
        <f aca="false">-In_Upfront_Fee*$E99*(EI95=0)*(EI96&gt;0)</f>
        <v>-0</v>
      </c>
      <c r="EJ100" s="48" t="n">
        <f aca="false">-In_Upfront_Fee*$E99*(EJ95=0)*(EJ96&gt;0)</f>
        <v>-0</v>
      </c>
      <c r="EK100" s="48" t="n">
        <f aca="false">-In_Upfront_Fee*$E99*(EK95=0)*(EK96&gt;0)</f>
        <v>-0</v>
      </c>
      <c r="EL100" s="48" t="n">
        <f aca="false">-In_Upfront_Fee*$E99*(EL95=0)*(EL96&gt;0)</f>
        <v>-0</v>
      </c>
      <c r="EM100" s="48" t="n">
        <f aca="false">-In_Upfront_Fee*$E99*(EM95=0)*(EM96&gt;0)</f>
        <v>-0</v>
      </c>
      <c r="EN100" s="48" t="n">
        <f aca="false">-In_Upfront_Fee*$E99*(EN95=0)*(EN96&gt;0)</f>
        <v>-0</v>
      </c>
      <c r="EO100" s="48" t="n">
        <f aca="false">-In_Upfront_Fee*$E99*(EO95=0)*(EO96&gt;0)</f>
        <v>-0</v>
      </c>
    </row>
    <row r="101" customFormat="false" ht="15" hidden="false" customHeight="false" outlineLevel="0" collapsed="false">
      <c r="C101" s="0" t="s">
        <v>477</v>
      </c>
      <c r="D101" s="11" t="s">
        <v>33</v>
      </c>
      <c r="I101" s="48" t="n">
        <f aca="false">SUM(J101:EO101)</f>
        <v>-405.26981433054</v>
      </c>
      <c r="J101" s="48" t="n">
        <f aca="false">-In_Commitment_Fee*($I96-SUM($J96:J96)+J96)*J$6*(J12&gt;0)</f>
        <v>-0</v>
      </c>
      <c r="K101" s="48" t="n">
        <f aca="false">-In_Commitment_Fee*($I96-SUM($J96:K96)+K96)*K$6*(K12&gt;0)</f>
        <v>-0</v>
      </c>
      <c r="L101" s="48" t="n">
        <f aca="false">-In_Commitment_Fee*($I96-SUM($J96:L96)+L96)*L$6*(L12&gt;0)</f>
        <v>-0</v>
      </c>
      <c r="M101" s="48" t="n">
        <f aca="false">-In_Commitment_Fee*($I96-SUM($J96:M96)+M96)*M$6*(M12&gt;0)</f>
        <v>-0</v>
      </c>
      <c r="N101" s="48" t="n">
        <f aca="false">-In_Commitment_Fee*($I96-SUM($J96:N96)+N96)*N$6*(N12&gt;0)</f>
        <v>-0</v>
      </c>
      <c r="O101" s="48" t="n">
        <f aca="false">-In_Commitment_Fee*($I96-SUM($J96:O96)+O96)*O$6*(O12&gt;0)</f>
        <v>-0</v>
      </c>
      <c r="P101" s="48" t="n">
        <f aca="false">-In_Commitment_Fee*($I96-SUM($J96:P96)+P96)*P$6*(P12&gt;0)</f>
        <v>-0</v>
      </c>
      <c r="Q101" s="48" t="n">
        <f aca="false">-In_Commitment_Fee*($I96-SUM($J96:Q96)+Q96)*Q$6*(Q12&gt;0)</f>
        <v>-0</v>
      </c>
      <c r="R101" s="48" t="n">
        <f aca="false">-In_Commitment_Fee*($I96-SUM($J96:R96)+R96)*R$6*(R12&gt;0)</f>
        <v>-94.0383197611559</v>
      </c>
      <c r="S101" s="48" t="n">
        <f aca="false">-In_Commitment_Fee*($I96-SUM($J96:S96)+S96)*S$6*(S12&gt;0)</f>
        <v>-82.0391943411522</v>
      </c>
      <c r="T101" s="48" t="n">
        <f aca="false">-In_Commitment_Fee*($I96-SUM($J96:T96)+T96)*T$6*(T12&gt;0)</f>
        <v>-63.0401858782135</v>
      </c>
      <c r="U101" s="48" t="n">
        <f aca="false">-In_Commitment_Fee*($I96-SUM($J96:U96)+U96)*U$6*(U12&gt;0)</f>
        <v>-53.6675120069431</v>
      </c>
      <c r="V101" s="48" t="n">
        <f aca="false">-In_Commitment_Fee*($I96-SUM($J96:V96)+V96)*V$6*(V12&gt;0)</f>
        <v>-43.4914797945205</v>
      </c>
      <c r="W101" s="48" t="n">
        <f aca="false">-In_Commitment_Fee*($I96-SUM($J96:W96)+W96)*W$6*(W12&gt;0)</f>
        <v>-32.5911987216175</v>
      </c>
      <c r="X101" s="48" t="n">
        <f aca="false">-In_Commitment_Fee*($I96-SUM($J96:X96)+X96)*X$6*(X12&gt;0)</f>
        <v>-23.1067135323231</v>
      </c>
      <c r="Y101" s="48" t="n">
        <f aca="false">-In_Commitment_Fee*($I96-SUM($J96:Y96)+Y96)*Y$6*(Y12&gt;0)</f>
        <v>-13.2952102946144</v>
      </c>
      <c r="Z101" s="48" t="n">
        <f aca="false">-In_Commitment_Fee*($I96-SUM($J96:Z96)+Z96)*Z$6*(Z12&gt;0)</f>
        <v>-0</v>
      </c>
      <c r="AA101" s="48" t="n">
        <f aca="false">-In_Commitment_Fee*($I96-SUM($J96:AA96)+AA96)*AA$6*(AA12&gt;0)</f>
        <v>-0</v>
      </c>
      <c r="AB101" s="48" t="n">
        <f aca="false">-In_Commitment_Fee*($I96-SUM($J96:AB96)+AB96)*AB$6*(AB12&gt;0)</f>
        <v>-0</v>
      </c>
      <c r="AC101" s="48" t="n">
        <f aca="false">-In_Commitment_Fee*($I96-SUM($J96:AC96)+AC96)*AC$6*(AC12&gt;0)</f>
        <v>-0</v>
      </c>
      <c r="AD101" s="48" t="n">
        <f aca="false">-In_Commitment_Fee*($I96-SUM($J96:AD96)+AD96)*AD$6*(AD12&gt;0)</f>
        <v>-0</v>
      </c>
      <c r="AE101" s="48" t="n">
        <f aca="false">-In_Commitment_Fee*($I96-SUM($J96:AE96)+AE96)*AE$6*(AE12&gt;0)</f>
        <v>-0</v>
      </c>
      <c r="AF101" s="48" t="n">
        <f aca="false">-In_Commitment_Fee*($I96-SUM($J96:AF96)+AF96)*AF$6*(AF12&gt;0)</f>
        <v>-0</v>
      </c>
      <c r="AG101" s="48" t="n">
        <f aca="false">-In_Commitment_Fee*($I96-SUM($J96:AG96)+AG96)*AG$6*(AG12&gt;0)</f>
        <v>-0</v>
      </c>
      <c r="AH101" s="48" t="n">
        <f aca="false">-In_Commitment_Fee*($I96-SUM($J96:AH96)+AH96)*AH$6*(AH12&gt;0)</f>
        <v>-0</v>
      </c>
      <c r="AI101" s="48" t="n">
        <f aca="false">-In_Commitment_Fee*($I96-SUM($J96:AI96)+AI96)*AI$6*(AI12&gt;0)</f>
        <v>-0</v>
      </c>
      <c r="AJ101" s="48" t="n">
        <f aca="false">-In_Commitment_Fee*($I96-SUM($J96:AJ96)+AJ96)*AJ$6*(AJ12&gt;0)</f>
        <v>-0</v>
      </c>
      <c r="AK101" s="48" t="n">
        <f aca="false">-In_Commitment_Fee*($I96-SUM($J96:AK96)+AK96)*AK$6*(AK12&gt;0)</f>
        <v>-0</v>
      </c>
      <c r="AL101" s="48" t="n">
        <f aca="false">-In_Commitment_Fee*($I96-SUM($J96:AL96)+AL96)*AL$6*(AL12&gt;0)</f>
        <v>-0</v>
      </c>
      <c r="AM101" s="48" t="n">
        <f aca="false">-In_Commitment_Fee*($I96-SUM($J96:AM96)+AM96)*AM$6*(AM12&gt;0)</f>
        <v>-0</v>
      </c>
      <c r="AN101" s="48" t="n">
        <f aca="false">-In_Commitment_Fee*($I96-SUM($J96:AN96)+AN96)*AN$6*(AN12&gt;0)</f>
        <v>-0</v>
      </c>
      <c r="AO101" s="48" t="n">
        <f aca="false">-In_Commitment_Fee*($I96-SUM($J96:AO96)+AO96)*AO$6*(AO12&gt;0)</f>
        <v>-0</v>
      </c>
      <c r="AP101" s="48" t="n">
        <f aca="false">-In_Commitment_Fee*($I96-SUM($J96:AP96)+AP96)*AP$6*(AP12&gt;0)</f>
        <v>-0</v>
      </c>
      <c r="AQ101" s="48" t="n">
        <f aca="false">-In_Commitment_Fee*($I96-SUM($J96:AQ96)+AQ96)*AQ$6*(AQ12&gt;0)</f>
        <v>-0</v>
      </c>
      <c r="AR101" s="48" t="n">
        <f aca="false">-In_Commitment_Fee*($I96-SUM($J96:AR96)+AR96)*AR$6*(AR12&gt;0)</f>
        <v>-0</v>
      </c>
      <c r="AS101" s="48" t="n">
        <f aca="false">-In_Commitment_Fee*($I96-SUM($J96:AS96)+AS96)*AS$6*(AS12&gt;0)</f>
        <v>-0</v>
      </c>
      <c r="AT101" s="48" t="n">
        <f aca="false">-In_Commitment_Fee*($I96-SUM($J96:AT96)+AT96)*AT$6*(AT12&gt;0)</f>
        <v>-0</v>
      </c>
      <c r="AU101" s="48" t="n">
        <f aca="false">-In_Commitment_Fee*($I96-SUM($J96:AU96)+AU96)*AU$6*(AU12&gt;0)</f>
        <v>-0</v>
      </c>
      <c r="AV101" s="48" t="n">
        <f aca="false">-In_Commitment_Fee*($I96-SUM($J96:AV96)+AV96)*AV$6*(AV12&gt;0)</f>
        <v>-0</v>
      </c>
      <c r="AW101" s="48" t="n">
        <f aca="false">-In_Commitment_Fee*($I96-SUM($J96:AW96)+AW96)*AW$6*(AW12&gt;0)</f>
        <v>-0</v>
      </c>
      <c r="AX101" s="48" t="n">
        <f aca="false">-In_Commitment_Fee*($I96-SUM($J96:AX96)+AX96)*AX$6*(AX12&gt;0)</f>
        <v>-0</v>
      </c>
      <c r="AY101" s="48" t="n">
        <f aca="false">-In_Commitment_Fee*($I96-SUM($J96:AY96)+AY96)*AY$6*(AY12&gt;0)</f>
        <v>-0</v>
      </c>
      <c r="AZ101" s="48" t="n">
        <f aca="false">-In_Commitment_Fee*($I96-SUM($J96:AZ96)+AZ96)*AZ$6*(AZ12&gt;0)</f>
        <v>-0</v>
      </c>
      <c r="BA101" s="48" t="n">
        <f aca="false">-In_Commitment_Fee*($I96-SUM($J96:BA96)+BA96)*BA$6*(BA12&gt;0)</f>
        <v>-0</v>
      </c>
      <c r="BB101" s="48" t="n">
        <f aca="false">-In_Commitment_Fee*($I96-SUM($J96:BB96)+BB96)*BB$6*(BB12&gt;0)</f>
        <v>-0</v>
      </c>
      <c r="BC101" s="48" t="n">
        <f aca="false">-In_Commitment_Fee*($I96-SUM($J96:BC96)+BC96)*BC$6*(BC12&gt;0)</f>
        <v>-0</v>
      </c>
      <c r="BD101" s="48" t="n">
        <f aca="false">-In_Commitment_Fee*($I96-SUM($J96:BD96)+BD96)*BD$6*(BD12&gt;0)</f>
        <v>-0</v>
      </c>
      <c r="BE101" s="48" t="n">
        <f aca="false">-In_Commitment_Fee*($I96-SUM($J96:BE96)+BE96)*BE$6*(BE12&gt;0)</f>
        <v>-0</v>
      </c>
      <c r="BF101" s="48" t="n">
        <f aca="false">-In_Commitment_Fee*($I96-SUM($J96:BF96)+BF96)*BF$6*(BF12&gt;0)</f>
        <v>-0</v>
      </c>
      <c r="BG101" s="48" t="n">
        <f aca="false">-In_Commitment_Fee*($I96-SUM($J96:BG96)+BG96)*BG$6*(BG12&gt;0)</f>
        <v>-0</v>
      </c>
      <c r="BH101" s="48" t="n">
        <f aca="false">-In_Commitment_Fee*($I96-SUM($J96:BH96)+BH96)*BH$6*(BH12&gt;0)</f>
        <v>-0</v>
      </c>
      <c r="BI101" s="48" t="n">
        <f aca="false">-In_Commitment_Fee*($I96-SUM($J96:BI96)+BI96)*BI$6*(BI12&gt;0)</f>
        <v>-0</v>
      </c>
      <c r="BJ101" s="48" t="n">
        <f aca="false">-In_Commitment_Fee*($I96-SUM($J96:BJ96)+BJ96)*BJ$6*(BJ12&gt;0)</f>
        <v>-0</v>
      </c>
      <c r="BK101" s="48" t="n">
        <f aca="false">-In_Commitment_Fee*($I96-SUM($J96:BK96)+BK96)*BK$6*(BK12&gt;0)</f>
        <v>-0</v>
      </c>
      <c r="BL101" s="48" t="n">
        <f aca="false">-In_Commitment_Fee*($I96-SUM($J96:BL96)+BL96)*BL$6*(BL12&gt;0)</f>
        <v>-0</v>
      </c>
      <c r="BM101" s="48" t="n">
        <f aca="false">-In_Commitment_Fee*($I96-SUM($J96:BM96)+BM96)*BM$6*(BM12&gt;0)</f>
        <v>-0</v>
      </c>
      <c r="BN101" s="48" t="n">
        <f aca="false">-In_Commitment_Fee*($I96-SUM($J96:BN96)+BN96)*BN$6*(BN12&gt;0)</f>
        <v>-0</v>
      </c>
      <c r="BO101" s="48" t="n">
        <f aca="false">-In_Commitment_Fee*($I96-SUM($J96:BO96)+BO96)*BO$6*(BO12&gt;0)</f>
        <v>-0</v>
      </c>
      <c r="BP101" s="48" t="n">
        <f aca="false">-In_Commitment_Fee*($I96-SUM($J96:BP96)+BP96)*BP$6*(BP12&gt;0)</f>
        <v>-0</v>
      </c>
      <c r="BQ101" s="48" t="n">
        <f aca="false">-In_Commitment_Fee*($I96-SUM($J96:BQ96)+BQ96)*BQ$6*(BQ12&gt;0)</f>
        <v>-0</v>
      </c>
      <c r="BR101" s="48" t="n">
        <f aca="false">-In_Commitment_Fee*($I96-SUM($J96:BR96)+BR96)*BR$6*(BR12&gt;0)</f>
        <v>-0</v>
      </c>
      <c r="BS101" s="48" t="n">
        <f aca="false">-In_Commitment_Fee*($I96-SUM($J96:BS96)+BS96)*BS$6*(BS12&gt;0)</f>
        <v>-0</v>
      </c>
      <c r="BT101" s="48" t="n">
        <f aca="false">-In_Commitment_Fee*($I96-SUM($J96:BT96)+BT96)*BT$6*(BT12&gt;0)</f>
        <v>-0</v>
      </c>
      <c r="BU101" s="48" t="n">
        <f aca="false">-In_Commitment_Fee*($I96-SUM($J96:BU96)+BU96)*BU$6*(BU12&gt;0)</f>
        <v>-0</v>
      </c>
      <c r="BV101" s="48" t="n">
        <f aca="false">-In_Commitment_Fee*($I96-SUM($J96:BV96)+BV96)*BV$6*(BV12&gt;0)</f>
        <v>-0</v>
      </c>
      <c r="BW101" s="48" t="n">
        <f aca="false">-In_Commitment_Fee*($I96-SUM($J96:BW96)+BW96)*BW$6*(BW12&gt;0)</f>
        <v>-0</v>
      </c>
      <c r="BX101" s="48" t="n">
        <f aca="false">-In_Commitment_Fee*($I96-SUM($J96:BX96)+BX96)*BX$6*(BX12&gt;0)</f>
        <v>-0</v>
      </c>
      <c r="BY101" s="48" t="n">
        <f aca="false">-In_Commitment_Fee*($I96-SUM($J96:BY96)+BY96)*BY$6*(BY12&gt;0)</f>
        <v>-0</v>
      </c>
      <c r="BZ101" s="48" t="n">
        <f aca="false">-In_Commitment_Fee*($I96-SUM($J96:BZ96)+BZ96)*BZ$6*(BZ12&gt;0)</f>
        <v>-0</v>
      </c>
      <c r="CA101" s="48" t="n">
        <f aca="false">-In_Commitment_Fee*($I96-SUM($J96:CA96)+CA96)*CA$6*(CA12&gt;0)</f>
        <v>-0</v>
      </c>
      <c r="CB101" s="48" t="n">
        <f aca="false">-In_Commitment_Fee*($I96-SUM($J96:CB96)+CB96)*CB$6*(CB12&gt;0)</f>
        <v>-0</v>
      </c>
      <c r="CC101" s="48" t="n">
        <f aca="false">-In_Commitment_Fee*($I96-SUM($J96:CC96)+CC96)*CC$6*(CC12&gt;0)</f>
        <v>-0</v>
      </c>
      <c r="CD101" s="48" t="n">
        <f aca="false">-In_Commitment_Fee*($I96-SUM($J96:CD96)+CD96)*CD$6*(CD12&gt;0)</f>
        <v>-0</v>
      </c>
      <c r="CE101" s="48" t="n">
        <f aca="false">-In_Commitment_Fee*($I96-SUM($J96:CE96)+CE96)*CE$6*(CE12&gt;0)</f>
        <v>-0</v>
      </c>
      <c r="CF101" s="48" t="n">
        <f aca="false">-In_Commitment_Fee*($I96-SUM($J96:CF96)+CF96)*CF$6*(CF12&gt;0)</f>
        <v>-0</v>
      </c>
      <c r="CG101" s="48" t="n">
        <f aca="false">-In_Commitment_Fee*($I96-SUM($J96:CG96)+CG96)*CG$6*(CG12&gt;0)</f>
        <v>-0</v>
      </c>
      <c r="CH101" s="48" t="n">
        <f aca="false">-In_Commitment_Fee*($I96-SUM($J96:CH96)+CH96)*CH$6*(CH12&gt;0)</f>
        <v>-0</v>
      </c>
      <c r="CI101" s="48" t="n">
        <f aca="false">-In_Commitment_Fee*($I96-SUM($J96:CI96)+CI96)*CI$6*(CI12&gt;0)</f>
        <v>-0</v>
      </c>
      <c r="CJ101" s="48" t="n">
        <f aca="false">-In_Commitment_Fee*($I96-SUM($J96:CJ96)+CJ96)*CJ$6*(CJ12&gt;0)</f>
        <v>-0</v>
      </c>
      <c r="CK101" s="48" t="n">
        <f aca="false">-In_Commitment_Fee*($I96-SUM($J96:CK96)+CK96)*CK$6*(CK12&gt;0)</f>
        <v>-0</v>
      </c>
      <c r="CL101" s="48" t="n">
        <f aca="false">-In_Commitment_Fee*($I96-SUM($J96:CL96)+CL96)*CL$6*(CL12&gt;0)</f>
        <v>-0</v>
      </c>
      <c r="CM101" s="48" t="n">
        <f aca="false">-In_Commitment_Fee*($I96-SUM($J96:CM96)+CM96)*CM$6*(CM12&gt;0)</f>
        <v>-0</v>
      </c>
      <c r="CN101" s="48" t="n">
        <f aca="false">-In_Commitment_Fee*($I96-SUM($J96:CN96)+CN96)*CN$6*(CN12&gt;0)</f>
        <v>-0</v>
      </c>
      <c r="CO101" s="48" t="n">
        <f aca="false">-In_Commitment_Fee*($I96-SUM($J96:CO96)+CO96)*CO$6*(CO12&gt;0)</f>
        <v>-0</v>
      </c>
      <c r="CP101" s="48" t="n">
        <f aca="false">-In_Commitment_Fee*($I96-SUM($J96:CP96)+CP96)*CP$6*(CP12&gt;0)</f>
        <v>-0</v>
      </c>
      <c r="CQ101" s="48" t="n">
        <f aca="false">-In_Commitment_Fee*($I96-SUM($J96:CQ96)+CQ96)*CQ$6*(CQ12&gt;0)</f>
        <v>-0</v>
      </c>
      <c r="CR101" s="48" t="n">
        <f aca="false">-In_Commitment_Fee*($I96-SUM($J96:CR96)+CR96)*CR$6*(CR12&gt;0)</f>
        <v>-0</v>
      </c>
      <c r="CS101" s="48" t="n">
        <f aca="false">-In_Commitment_Fee*($I96-SUM($J96:CS96)+CS96)*CS$6*(CS12&gt;0)</f>
        <v>-0</v>
      </c>
      <c r="CT101" s="48" t="n">
        <f aca="false">-In_Commitment_Fee*($I96-SUM($J96:CT96)+CT96)*CT$6*(CT12&gt;0)</f>
        <v>-0</v>
      </c>
      <c r="CU101" s="48" t="n">
        <f aca="false">-In_Commitment_Fee*($I96-SUM($J96:CU96)+CU96)*CU$6*(CU12&gt;0)</f>
        <v>-0</v>
      </c>
      <c r="CV101" s="48" t="n">
        <f aca="false">-In_Commitment_Fee*($I96-SUM($J96:CV96)+CV96)*CV$6*(CV12&gt;0)</f>
        <v>-0</v>
      </c>
      <c r="CW101" s="48" t="n">
        <f aca="false">-In_Commitment_Fee*($I96-SUM($J96:CW96)+CW96)*CW$6*(CW12&gt;0)</f>
        <v>-0</v>
      </c>
      <c r="CX101" s="48" t="n">
        <f aca="false">-In_Commitment_Fee*($I96-SUM($J96:CX96)+CX96)*CX$6*(CX12&gt;0)</f>
        <v>-0</v>
      </c>
      <c r="CY101" s="48" t="n">
        <f aca="false">-In_Commitment_Fee*($I96-SUM($J96:CY96)+CY96)*CY$6*(CY12&gt;0)</f>
        <v>-0</v>
      </c>
      <c r="CZ101" s="48" t="n">
        <f aca="false">-In_Commitment_Fee*($I96-SUM($J96:CZ96)+CZ96)*CZ$6*(CZ12&gt;0)</f>
        <v>-0</v>
      </c>
      <c r="DA101" s="48" t="n">
        <f aca="false">-In_Commitment_Fee*($I96-SUM($J96:DA96)+DA96)*DA$6*(DA12&gt;0)</f>
        <v>-0</v>
      </c>
      <c r="DB101" s="48" t="n">
        <f aca="false">-In_Commitment_Fee*($I96-SUM($J96:DB96)+DB96)*DB$6*(DB12&gt;0)</f>
        <v>-0</v>
      </c>
      <c r="DC101" s="48" t="n">
        <f aca="false">-In_Commitment_Fee*($I96-SUM($J96:DC96)+DC96)*DC$6*(DC12&gt;0)</f>
        <v>-0</v>
      </c>
      <c r="DD101" s="48" t="n">
        <f aca="false">-In_Commitment_Fee*($I96-SUM($J96:DD96)+DD96)*DD$6*(DD12&gt;0)</f>
        <v>-0</v>
      </c>
      <c r="DE101" s="48" t="n">
        <f aca="false">-In_Commitment_Fee*($I96-SUM($J96:DE96)+DE96)*DE$6*(DE12&gt;0)</f>
        <v>-0</v>
      </c>
      <c r="DF101" s="48" t="n">
        <f aca="false">-In_Commitment_Fee*($I96-SUM($J96:DF96)+DF96)*DF$6*(DF12&gt;0)</f>
        <v>-0</v>
      </c>
      <c r="DG101" s="48" t="n">
        <f aca="false">-In_Commitment_Fee*($I96-SUM($J96:DG96)+DG96)*DG$6*(DG12&gt;0)</f>
        <v>-0</v>
      </c>
      <c r="DH101" s="48" t="n">
        <f aca="false">-In_Commitment_Fee*($I96-SUM($J96:DH96)+DH96)*DH$6*(DH12&gt;0)</f>
        <v>-0</v>
      </c>
      <c r="DI101" s="48" t="n">
        <f aca="false">-In_Commitment_Fee*($I96-SUM($J96:DI96)+DI96)*DI$6*(DI12&gt;0)</f>
        <v>-0</v>
      </c>
      <c r="DJ101" s="48" t="n">
        <f aca="false">-In_Commitment_Fee*($I96-SUM($J96:DJ96)+DJ96)*DJ$6*(DJ12&gt;0)</f>
        <v>-0</v>
      </c>
      <c r="DK101" s="48" t="n">
        <f aca="false">-In_Commitment_Fee*($I96-SUM($J96:DK96)+DK96)*DK$6*(DK12&gt;0)</f>
        <v>-0</v>
      </c>
      <c r="DL101" s="48" t="n">
        <f aca="false">-In_Commitment_Fee*($I96-SUM($J96:DL96)+DL96)*DL$6*(DL12&gt;0)</f>
        <v>-0</v>
      </c>
      <c r="DM101" s="48" t="n">
        <f aca="false">-In_Commitment_Fee*($I96-SUM($J96:DM96)+DM96)*DM$6*(DM12&gt;0)</f>
        <v>-0</v>
      </c>
      <c r="DN101" s="48" t="n">
        <f aca="false">-In_Commitment_Fee*($I96-SUM($J96:DN96)+DN96)*DN$6*(DN12&gt;0)</f>
        <v>-0</v>
      </c>
      <c r="DO101" s="48" t="n">
        <f aca="false">-In_Commitment_Fee*($I96-SUM($J96:DO96)+DO96)*DO$6*(DO12&gt;0)</f>
        <v>-0</v>
      </c>
      <c r="DP101" s="48" t="n">
        <f aca="false">-In_Commitment_Fee*($I96-SUM($J96:DP96)+DP96)*DP$6*(DP12&gt;0)</f>
        <v>-0</v>
      </c>
      <c r="DQ101" s="48" t="n">
        <f aca="false">-In_Commitment_Fee*($I96-SUM($J96:DQ96)+DQ96)*DQ$6*(DQ12&gt;0)</f>
        <v>-0</v>
      </c>
      <c r="DR101" s="48" t="n">
        <f aca="false">-In_Commitment_Fee*($I96-SUM($J96:DR96)+DR96)*DR$6*(DR12&gt;0)</f>
        <v>-0</v>
      </c>
      <c r="DS101" s="48" t="n">
        <f aca="false">-In_Commitment_Fee*($I96-SUM($J96:DS96)+DS96)*DS$6*(DS12&gt;0)</f>
        <v>-0</v>
      </c>
      <c r="DT101" s="48" t="n">
        <f aca="false">-In_Commitment_Fee*($I96-SUM($J96:DT96)+DT96)*DT$6*(DT12&gt;0)</f>
        <v>-0</v>
      </c>
      <c r="DU101" s="48" t="n">
        <f aca="false">-In_Commitment_Fee*($I96-SUM($J96:DU96)+DU96)*DU$6*(DU12&gt;0)</f>
        <v>-0</v>
      </c>
      <c r="DV101" s="48" t="n">
        <f aca="false">-In_Commitment_Fee*($I96-SUM($J96:DV96)+DV96)*DV$6*(DV12&gt;0)</f>
        <v>-0</v>
      </c>
      <c r="DW101" s="48" t="n">
        <f aca="false">-In_Commitment_Fee*($I96-SUM($J96:DW96)+DW96)*DW$6*(DW12&gt;0)</f>
        <v>-0</v>
      </c>
      <c r="DX101" s="48" t="n">
        <f aca="false">-In_Commitment_Fee*($I96-SUM($J96:DX96)+DX96)*DX$6*(DX12&gt;0)</f>
        <v>-0</v>
      </c>
      <c r="DY101" s="48" t="n">
        <f aca="false">-In_Commitment_Fee*($I96-SUM($J96:DY96)+DY96)*DY$6*(DY12&gt;0)</f>
        <v>-0</v>
      </c>
      <c r="DZ101" s="48" t="n">
        <f aca="false">-In_Commitment_Fee*($I96-SUM($J96:DZ96)+DZ96)*DZ$6*(DZ12&gt;0)</f>
        <v>-0</v>
      </c>
      <c r="EA101" s="48" t="n">
        <f aca="false">-In_Commitment_Fee*($I96-SUM($J96:EA96)+EA96)*EA$6*(EA12&gt;0)</f>
        <v>-0</v>
      </c>
      <c r="EB101" s="48" t="n">
        <f aca="false">-In_Commitment_Fee*($I96-SUM($J96:EB96)+EB96)*EB$6*(EB12&gt;0)</f>
        <v>-0</v>
      </c>
      <c r="EC101" s="48" t="n">
        <f aca="false">-In_Commitment_Fee*($I96-SUM($J96:EC96)+EC96)*EC$6*(EC12&gt;0)</f>
        <v>-0</v>
      </c>
      <c r="ED101" s="48" t="n">
        <f aca="false">-In_Commitment_Fee*($I96-SUM($J96:ED96)+ED96)*ED$6*(ED12&gt;0)</f>
        <v>-0</v>
      </c>
      <c r="EE101" s="48" t="n">
        <f aca="false">-In_Commitment_Fee*($I96-SUM($J96:EE96)+EE96)*EE$6*(EE12&gt;0)</f>
        <v>-0</v>
      </c>
      <c r="EF101" s="48" t="n">
        <f aca="false">-In_Commitment_Fee*($I96-SUM($J96:EF96)+EF96)*EF$6*(EF12&gt;0)</f>
        <v>-0</v>
      </c>
      <c r="EG101" s="48" t="n">
        <f aca="false">-In_Commitment_Fee*($I96-SUM($J96:EG96)+EG96)*EG$6*(EG12&gt;0)</f>
        <v>-0</v>
      </c>
      <c r="EH101" s="48" t="n">
        <f aca="false">-In_Commitment_Fee*($I96-SUM($J96:EH96)+EH96)*EH$6*(EH12&gt;0)</f>
        <v>-0</v>
      </c>
      <c r="EI101" s="48" t="n">
        <f aca="false">-In_Commitment_Fee*($I96-SUM($J96:EI96)+EI96)*EI$6*(EI12&gt;0)</f>
        <v>-0</v>
      </c>
      <c r="EJ101" s="48" t="n">
        <f aca="false">-In_Commitment_Fee*($I96-SUM($J96:EJ96)+EJ96)*EJ$6*(EJ12&gt;0)</f>
        <v>-0</v>
      </c>
      <c r="EK101" s="48" t="n">
        <f aca="false">-In_Commitment_Fee*($I96-SUM($J96:EK96)+EK96)*EK$6*(EK12&gt;0)</f>
        <v>-0</v>
      </c>
      <c r="EL101" s="48" t="n">
        <f aca="false">-In_Commitment_Fee*($I96-SUM($J96:EL96)+EL96)*EL$6*(EL12&gt;0)</f>
        <v>-0</v>
      </c>
      <c r="EM101" s="48" t="n">
        <f aca="false">-In_Commitment_Fee*($I96-SUM($J96:EM96)+EM96)*EM$6*(EM12&gt;0)</f>
        <v>-0</v>
      </c>
      <c r="EN101" s="48" t="n">
        <f aca="false">-In_Commitment_Fee*($I96-SUM($J96:EN96)+EN96)*EN$6*(EN12&gt;0)</f>
        <v>-0</v>
      </c>
      <c r="EO101" s="48" t="n">
        <f aca="false">-In_Commitment_Fee*($I96-SUM($J96:EO96)+EO96)*EO$6*(EO12&gt;0)</f>
        <v>-0</v>
      </c>
    </row>
    <row r="102" customFormat="false" ht="15" hidden="false" customHeight="false" outlineLevel="0" collapsed="false">
      <c r="C102" s="0" t="s">
        <v>478</v>
      </c>
      <c r="D102" s="11" t="s">
        <v>33</v>
      </c>
      <c r="E102" s="48" t="n">
        <f aca="false">-SUMIFS($J94:$EO94,$J$4:$EO$4,"&gt;"&amp;In_COD,$J$4:$EO$4,"&lt;="&amp;EDATE(In_COD,In_DSRA_Months))</f>
        <v>927.287140093261</v>
      </c>
      <c r="I102" s="48" t="n">
        <f aca="false">SUM(J102:EO102)</f>
        <v>0</v>
      </c>
      <c r="J102" s="48" t="n">
        <f aca="false">$E102*(J19-J14)</f>
        <v>0</v>
      </c>
      <c r="K102" s="48" t="n">
        <f aca="false">$E102*(K19-K14)</f>
        <v>0</v>
      </c>
      <c r="L102" s="48" t="n">
        <f aca="false">$E102*(L19-L14)</f>
        <v>0</v>
      </c>
      <c r="M102" s="48" t="n">
        <f aca="false">$E102*(M19-M14)</f>
        <v>0</v>
      </c>
      <c r="N102" s="48" t="n">
        <f aca="false">$E102*(N19-N14)</f>
        <v>0</v>
      </c>
      <c r="O102" s="48" t="n">
        <f aca="false">$E102*(O19-O14)</f>
        <v>0</v>
      </c>
      <c r="P102" s="48" t="n">
        <f aca="false">$E102*(P19-P14)</f>
        <v>0</v>
      </c>
      <c r="Q102" s="48" t="n">
        <f aca="false">$E102*(Q19-Q14)</f>
        <v>0</v>
      </c>
      <c r="R102" s="48" t="n">
        <f aca="false">$E102*(R19-R14)</f>
        <v>0</v>
      </c>
      <c r="S102" s="48" t="n">
        <f aca="false">$E102*(S19-S14)</f>
        <v>0</v>
      </c>
      <c r="T102" s="48" t="n">
        <f aca="false">$E102*(T19-T14)</f>
        <v>0</v>
      </c>
      <c r="U102" s="48" t="n">
        <f aca="false">$E102*(U19-U14)</f>
        <v>0</v>
      </c>
      <c r="V102" s="48" t="n">
        <f aca="false">$E102*(V19-V14)</f>
        <v>0</v>
      </c>
      <c r="W102" s="48" t="n">
        <f aca="false">$E102*(W19-W14)</f>
        <v>0</v>
      </c>
      <c r="X102" s="48" t="n">
        <f aca="false">$E102*(X19-X14)</f>
        <v>0</v>
      </c>
      <c r="Y102" s="48" t="n">
        <f aca="false">$E102*(Y19-Y14)</f>
        <v>-927.287140093261</v>
      </c>
      <c r="Z102" s="48" t="n">
        <f aca="false">$E102*(Z19-Z14)</f>
        <v>0</v>
      </c>
      <c r="AA102" s="48" t="n">
        <f aca="false">$E102*(AA19-AA14)</f>
        <v>0</v>
      </c>
      <c r="AB102" s="48" t="n">
        <f aca="false">$E102*(AB19-AB14)</f>
        <v>0</v>
      </c>
      <c r="AC102" s="48" t="n">
        <f aca="false">$E102*(AC19-AC14)</f>
        <v>0</v>
      </c>
      <c r="AD102" s="48" t="n">
        <f aca="false">$E102*(AD19-AD14)</f>
        <v>0</v>
      </c>
      <c r="AE102" s="48" t="n">
        <f aca="false">$E102*(AE19-AE14)</f>
        <v>0</v>
      </c>
      <c r="AF102" s="48" t="n">
        <f aca="false">$E102*(AF19-AF14)</f>
        <v>0</v>
      </c>
      <c r="AG102" s="48" t="n">
        <f aca="false">$E102*(AG19-AG14)</f>
        <v>0</v>
      </c>
      <c r="AH102" s="48" t="n">
        <f aca="false">$E102*(AH19-AH14)</f>
        <v>0</v>
      </c>
      <c r="AI102" s="48" t="n">
        <f aca="false">$E102*(AI19-AI14)</f>
        <v>0</v>
      </c>
      <c r="AJ102" s="48" t="n">
        <f aca="false">$E102*(AJ19-AJ14)</f>
        <v>0</v>
      </c>
      <c r="AK102" s="48" t="n">
        <f aca="false">$E102*(AK19-AK14)</f>
        <v>0</v>
      </c>
      <c r="AL102" s="48" t="n">
        <f aca="false">$E102*(AL19-AL14)</f>
        <v>0</v>
      </c>
      <c r="AM102" s="48" t="n">
        <f aca="false">$E102*(AM19-AM14)</f>
        <v>0</v>
      </c>
      <c r="AN102" s="48" t="n">
        <f aca="false">$E102*(AN19-AN14)</f>
        <v>0</v>
      </c>
      <c r="AO102" s="48" t="n">
        <f aca="false">$E102*(AO19-AO14)</f>
        <v>0</v>
      </c>
      <c r="AP102" s="48" t="n">
        <f aca="false">$E102*(AP19-AP14)</f>
        <v>0</v>
      </c>
      <c r="AQ102" s="48" t="n">
        <f aca="false">$E102*(AQ19-AQ14)</f>
        <v>0</v>
      </c>
      <c r="AR102" s="48" t="n">
        <f aca="false">$E102*(AR19-AR14)</f>
        <v>0</v>
      </c>
      <c r="AS102" s="48" t="n">
        <f aca="false">$E102*(AS19-AS14)</f>
        <v>0</v>
      </c>
      <c r="AT102" s="48" t="n">
        <f aca="false">$E102*(AT19-AT14)</f>
        <v>0</v>
      </c>
      <c r="AU102" s="48" t="n">
        <f aca="false">$E102*(AU19-AU14)</f>
        <v>0</v>
      </c>
      <c r="AV102" s="48" t="n">
        <f aca="false">$E102*(AV19-AV14)</f>
        <v>0</v>
      </c>
      <c r="AW102" s="48" t="n">
        <f aca="false">$E102*(AW19-AW14)</f>
        <v>0</v>
      </c>
      <c r="AX102" s="48" t="n">
        <f aca="false">$E102*(AX19-AX14)</f>
        <v>0</v>
      </c>
      <c r="AY102" s="48" t="n">
        <f aca="false">$E102*(AY19-AY14)</f>
        <v>0</v>
      </c>
      <c r="AZ102" s="48" t="n">
        <f aca="false">$E102*(AZ19-AZ14)</f>
        <v>0</v>
      </c>
      <c r="BA102" s="48" t="n">
        <f aca="false">$E102*(BA19-BA14)</f>
        <v>0</v>
      </c>
      <c r="BB102" s="48" t="n">
        <f aca="false">$E102*(BB19-BB14)</f>
        <v>0</v>
      </c>
      <c r="BC102" s="48" t="n">
        <f aca="false">$E102*(BC19-BC14)</f>
        <v>0</v>
      </c>
      <c r="BD102" s="48" t="n">
        <f aca="false">$E102*(BD19-BD14)</f>
        <v>0</v>
      </c>
      <c r="BE102" s="48" t="n">
        <f aca="false">$E102*(BE19-BE14)</f>
        <v>0</v>
      </c>
      <c r="BF102" s="48" t="n">
        <f aca="false">$E102*(BF19-BF14)</f>
        <v>0</v>
      </c>
      <c r="BG102" s="48" t="n">
        <f aca="false">$E102*(BG19-BG14)</f>
        <v>0</v>
      </c>
      <c r="BH102" s="48" t="n">
        <f aca="false">$E102*(BH19-BH14)</f>
        <v>0</v>
      </c>
      <c r="BI102" s="48" t="n">
        <f aca="false">$E102*(BI19-BI14)</f>
        <v>0</v>
      </c>
      <c r="BJ102" s="48" t="n">
        <f aca="false">$E102*(BJ19-BJ14)</f>
        <v>0</v>
      </c>
      <c r="BK102" s="48" t="n">
        <f aca="false">$E102*(BK19-BK14)</f>
        <v>0</v>
      </c>
      <c r="BL102" s="48" t="n">
        <f aca="false">$E102*(BL19-BL14)</f>
        <v>0</v>
      </c>
      <c r="BM102" s="48" t="n">
        <f aca="false">$E102*(BM19-BM14)</f>
        <v>0</v>
      </c>
      <c r="BN102" s="48" t="n">
        <f aca="false">$E102*(BN19-BN14)</f>
        <v>0</v>
      </c>
      <c r="BO102" s="48" t="n">
        <f aca="false">$E102*(BO19-BO14)</f>
        <v>0</v>
      </c>
      <c r="BP102" s="48" t="n">
        <f aca="false">$E102*(BP19-BP14)</f>
        <v>0</v>
      </c>
      <c r="BQ102" s="48" t="n">
        <f aca="false">$E102*(BQ19-BQ14)</f>
        <v>0</v>
      </c>
      <c r="BR102" s="48" t="n">
        <f aca="false">$E102*(BR19-BR14)</f>
        <v>0</v>
      </c>
      <c r="BS102" s="48" t="n">
        <f aca="false">$E102*(BS19-BS14)</f>
        <v>0</v>
      </c>
      <c r="BT102" s="48" t="n">
        <f aca="false">$E102*(BT19-BT14)</f>
        <v>0</v>
      </c>
      <c r="BU102" s="48" t="n">
        <f aca="false">$E102*(BU19-BU14)</f>
        <v>0</v>
      </c>
      <c r="BV102" s="48" t="n">
        <f aca="false">$E102*(BV19-BV14)</f>
        <v>0</v>
      </c>
      <c r="BW102" s="48" t="n">
        <f aca="false">$E102*(BW19-BW14)</f>
        <v>0</v>
      </c>
      <c r="BX102" s="48" t="n">
        <f aca="false">$E102*(BX19-BX14)</f>
        <v>0</v>
      </c>
      <c r="BY102" s="48" t="n">
        <f aca="false">$E102*(BY19-BY14)</f>
        <v>0</v>
      </c>
      <c r="BZ102" s="48" t="n">
        <f aca="false">$E102*(BZ19-BZ14)</f>
        <v>0</v>
      </c>
      <c r="CA102" s="48" t="n">
        <f aca="false">$E102*(CA19-CA14)</f>
        <v>0</v>
      </c>
      <c r="CB102" s="48" t="n">
        <f aca="false">$E102*(CB19-CB14)</f>
        <v>0</v>
      </c>
      <c r="CC102" s="48" t="n">
        <f aca="false">$E102*(CC19-CC14)</f>
        <v>0</v>
      </c>
      <c r="CD102" s="48" t="n">
        <f aca="false">$E102*(CD19-CD14)</f>
        <v>0</v>
      </c>
      <c r="CE102" s="48" t="n">
        <f aca="false">$E102*(CE19-CE14)</f>
        <v>0</v>
      </c>
      <c r="CF102" s="48" t="n">
        <f aca="false">$E102*(CF19-CF14)</f>
        <v>0</v>
      </c>
      <c r="CG102" s="48" t="n">
        <f aca="false">$E102*(CG19-CG14)</f>
        <v>0</v>
      </c>
      <c r="CH102" s="48" t="n">
        <f aca="false">$E102*(CH19-CH14)</f>
        <v>0</v>
      </c>
      <c r="CI102" s="48" t="n">
        <f aca="false">$E102*(CI19-CI14)</f>
        <v>0</v>
      </c>
      <c r="CJ102" s="48" t="n">
        <f aca="false">$E102*(CJ19-CJ14)</f>
        <v>0</v>
      </c>
      <c r="CK102" s="48" t="n">
        <f aca="false">$E102*(CK19-CK14)</f>
        <v>0</v>
      </c>
      <c r="CL102" s="48" t="n">
        <f aca="false">$E102*(CL19-CL14)</f>
        <v>0</v>
      </c>
      <c r="CM102" s="48" t="n">
        <f aca="false">$E102*(CM19-CM14)</f>
        <v>0</v>
      </c>
      <c r="CN102" s="48" t="n">
        <f aca="false">$E102*(CN19-CN14)</f>
        <v>0</v>
      </c>
      <c r="CO102" s="48" t="n">
        <f aca="false">$E102*(CO19-CO14)</f>
        <v>0</v>
      </c>
      <c r="CP102" s="48" t="n">
        <f aca="false">$E102*(CP19-CP14)</f>
        <v>0</v>
      </c>
      <c r="CQ102" s="48" t="n">
        <f aca="false">$E102*(CQ19-CQ14)</f>
        <v>0</v>
      </c>
      <c r="CR102" s="48" t="n">
        <f aca="false">$E102*(CR19-CR14)</f>
        <v>0</v>
      </c>
      <c r="CS102" s="48" t="n">
        <f aca="false">$E102*(CS19-CS14)</f>
        <v>927.287140093261</v>
      </c>
      <c r="CT102" s="48" t="n">
        <f aca="false">$E102*(CT19-CT14)</f>
        <v>0</v>
      </c>
      <c r="CU102" s="48" t="n">
        <f aca="false">$E102*(CU19-CU14)</f>
        <v>0</v>
      </c>
      <c r="CV102" s="48" t="n">
        <f aca="false">$E102*(CV19-CV14)</f>
        <v>0</v>
      </c>
      <c r="CW102" s="48" t="n">
        <f aca="false">$E102*(CW19-CW14)</f>
        <v>0</v>
      </c>
      <c r="CX102" s="48" t="n">
        <f aca="false">$E102*(CX19-CX14)</f>
        <v>0</v>
      </c>
      <c r="CY102" s="48" t="n">
        <f aca="false">$E102*(CY19-CY14)</f>
        <v>0</v>
      </c>
      <c r="CZ102" s="48" t="n">
        <f aca="false">$E102*(CZ19-CZ14)</f>
        <v>0</v>
      </c>
      <c r="DA102" s="48" t="n">
        <f aca="false">$E102*(DA19-DA14)</f>
        <v>0</v>
      </c>
      <c r="DB102" s="48" t="n">
        <f aca="false">$E102*(DB19-DB14)</f>
        <v>0</v>
      </c>
      <c r="DC102" s="48" t="n">
        <f aca="false">$E102*(DC19-DC14)</f>
        <v>0</v>
      </c>
      <c r="DD102" s="48" t="n">
        <f aca="false">$E102*(DD19-DD14)</f>
        <v>0</v>
      </c>
      <c r="DE102" s="48" t="n">
        <f aca="false">$E102*(DE19-DE14)</f>
        <v>0</v>
      </c>
      <c r="DF102" s="48" t="n">
        <f aca="false">$E102*(DF19-DF14)</f>
        <v>0</v>
      </c>
      <c r="DG102" s="48" t="n">
        <f aca="false">$E102*(DG19-DG14)</f>
        <v>0</v>
      </c>
      <c r="DH102" s="48" t="n">
        <f aca="false">$E102*(DH19-DH14)</f>
        <v>0</v>
      </c>
      <c r="DI102" s="48" t="n">
        <f aca="false">$E102*(DI19-DI14)</f>
        <v>0</v>
      </c>
      <c r="DJ102" s="48" t="n">
        <f aca="false">$E102*(DJ19-DJ14)</f>
        <v>0</v>
      </c>
      <c r="DK102" s="48" t="n">
        <f aca="false">$E102*(DK19-DK14)</f>
        <v>0</v>
      </c>
      <c r="DL102" s="48" t="n">
        <f aca="false">$E102*(DL19-DL14)</f>
        <v>0</v>
      </c>
      <c r="DM102" s="48" t="n">
        <f aca="false">$E102*(DM19-DM14)</f>
        <v>0</v>
      </c>
      <c r="DN102" s="48" t="n">
        <f aca="false">$E102*(DN19-DN14)</f>
        <v>0</v>
      </c>
      <c r="DO102" s="48" t="n">
        <f aca="false">$E102*(DO19-DO14)</f>
        <v>0</v>
      </c>
      <c r="DP102" s="48" t="n">
        <f aca="false">$E102*(DP19-DP14)</f>
        <v>0</v>
      </c>
      <c r="DQ102" s="48" t="n">
        <f aca="false">$E102*(DQ19-DQ14)</f>
        <v>0</v>
      </c>
      <c r="DR102" s="48" t="n">
        <f aca="false">$E102*(DR19-DR14)</f>
        <v>0</v>
      </c>
      <c r="DS102" s="48" t="n">
        <f aca="false">$E102*(DS19-DS14)</f>
        <v>0</v>
      </c>
      <c r="DT102" s="48" t="n">
        <f aca="false">$E102*(DT19-DT14)</f>
        <v>0</v>
      </c>
      <c r="DU102" s="48" t="n">
        <f aca="false">$E102*(DU19-DU14)</f>
        <v>0</v>
      </c>
      <c r="DV102" s="48" t="n">
        <f aca="false">$E102*(DV19-DV14)</f>
        <v>0</v>
      </c>
      <c r="DW102" s="48" t="n">
        <f aca="false">$E102*(DW19-DW14)</f>
        <v>0</v>
      </c>
      <c r="DX102" s="48" t="n">
        <f aca="false">$E102*(DX19-DX14)</f>
        <v>0</v>
      </c>
      <c r="DY102" s="48" t="n">
        <f aca="false">$E102*(DY19-DY14)</f>
        <v>0</v>
      </c>
      <c r="DZ102" s="48" t="n">
        <f aca="false">$E102*(DZ19-DZ14)</f>
        <v>0</v>
      </c>
      <c r="EA102" s="48" t="n">
        <f aca="false">$E102*(EA19-EA14)</f>
        <v>0</v>
      </c>
      <c r="EB102" s="48" t="n">
        <f aca="false">$E102*(EB19-EB14)</f>
        <v>0</v>
      </c>
      <c r="EC102" s="48" t="n">
        <f aca="false">$E102*(EC19-EC14)</f>
        <v>0</v>
      </c>
      <c r="ED102" s="48" t="n">
        <f aca="false">$E102*(ED19-ED14)</f>
        <v>0</v>
      </c>
      <c r="EE102" s="48" t="n">
        <f aca="false">$E102*(EE19-EE14)</f>
        <v>0</v>
      </c>
      <c r="EF102" s="48" t="n">
        <f aca="false">$E102*(EF19-EF14)</f>
        <v>0</v>
      </c>
      <c r="EG102" s="48" t="n">
        <f aca="false">$E102*(EG19-EG14)</f>
        <v>0</v>
      </c>
      <c r="EH102" s="48" t="n">
        <f aca="false">$E102*(EH19-EH14)</f>
        <v>0</v>
      </c>
      <c r="EI102" s="48" t="n">
        <f aca="false">$E102*(EI19-EI14)</f>
        <v>0</v>
      </c>
      <c r="EJ102" s="48" t="n">
        <f aca="false">$E102*(EJ19-EJ14)</f>
        <v>0</v>
      </c>
      <c r="EK102" s="48" t="n">
        <f aca="false">$E102*(EK19-EK14)</f>
        <v>0</v>
      </c>
      <c r="EL102" s="48" t="n">
        <f aca="false">$E102*(EL19-EL14)</f>
        <v>0</v>
      </c>
      <c r="EM102" s="48" t="n">
        <f aca="false">$E102*(EM19-EM14)</f>
        <v>0</v>
      </c>
      <c r="EN102" s="48" t="n">
        <f aca="false">$E102*(EN19-EN14)</f>
        <v>0</v>
      </c>
      <c r="EO102" s="48" t="n">
        <f aca="false">$E102*(EO19-EO14)</f>
        <v>0</v>
      </c>
    </row>
    <row r="103" customFormat="false" ht="15" hidden="false" customHeight="false" outlineLevel="0" collapsed="false">
      <c r="C103" s="0" t="s">
        <v>479</v>
      </c>
      <c r="D103" s="11" t="s">
        <v>13</v>
      </c>
      <c r="E103" s="53" t="n">
        <f aca="false">MIN($J103:$EO103)</f>
        <v>2.48397400954825</v>
      </c>
      <c r="J103" s="53" t="str">
        <f aca="false">IF(J94&lt;0,J87/-J94,"")</f>
        <v/>
      </c>
      <c r="K103" s="53" t="str">
        <f aca="false">IF(K94&lt;0,K87/-K94,"")</f>
        <v/>
      </c>
      <c r="L103" s="53" t="str">
        <f aca="false">IF(L94&lt;0,L87/-L94,"")</f>
        <v/>
      </c>
      <c r="M103" s="53" t="str">
        <f aca="false">IF(M94&lt;0,M87/-M94,"")</f>
        <v/>
      </c>
      <c r="N103" s="53" t="str">
        <f aca="false">IF(N94&lt;0,N87/-N94,"")</f>
        <v/>
      </c>
      <c r="O103" s="53" t="str">
        <f aca="false">IF(O94&lt;0,O87/-O94,"")</f>
        <v/>
      </c>
      <c r="P103" s="53" t="str">
        <f aca="false">IF(P94&lt;0,P87/-P94,"")</f>
        <v/>
      </c>
      <c r="Q103" s="53" t="str">
        <f aca="false">IF(Q94&lt;0,Q87/-Q94,"")</f>
        <v/>
      </c>
      <c r="R103" s="53" t="str">
        <f aca="false">IF(R94&lt;0,R87/-R94,"")</f>
        <v/>
      </c>
      <c r="S103" s="53" t="str">
        <f aca="false">IF(S94&lt;0,S87/-S94,"")</f>
        <v/>
      </c>
      <c r="T103" s="53" t="str">
        <f aca="false">IF(T94&lt;0,T87/-T94,"")</f>
        <v/>
      </c>
      <c r="U103" s="53" t="str">
        <f aca="false">IF(U94&lt;0,U87/-U94,"")</f>
        <v/>
      </c>
      <c r="V103" s="53" t="str">
        <f aca="false">IF(V94&lt;0,V87/-V94,"")</f>
        <v/>
      </c>
      <c r="W103" s="53" t="str">
        <f aca="false">IF(W94&lt;0,W87/-W94,"")</f>
        <v/>
      </c>
      <c r="X103" s="53" t="str">
        <f aca="false">IF(X94&lt;0,X87/-X94,"")</f>
        <v/>
      </c>
      <c r="Y103" s="53" t="str">
        <f aca="false">IF(Y94&lt;0,Y87/-Y94,"")</f>
        <v/>
      </c>
      <c r="Z103" s="53" t="n">
        <f aca="false">IF(Z94&lt;0,Z87/-Z94,"")</f>
        <v>2.48397400954825</v>
      </c>
      <c r="AA103" s="53" t="n">
        <f aca="false">IF(AA94&lt;0,AA87/-AA94,"")</f>
        <v>2.48397400954825</v>
      </c>
      <c r="AB103" s="53" t="n">
        <f aca="false">IF(AB94&lt;0,AB87/-AB94,"")</f>
        <v>2.48397400954825</v>
      </c>
      <c r="AC103" s="53" t="n">
        <f aca="false">IF(AC94&lt;0,AC87/-AC94,"")</f>
        <v>2.48397400954825</v>
      </c>
      <c r="AD103" s="53" t="n">
        <f aca="false">IF(AD94&lt;0,AD87/-AD94,"")</f>
        <v>2.48397400954825</v>
      </c>
      <c r="AE103" s="53" t="n">
        <f aca="false">IF(AE94&lt;0,AE87/-AE94,"")</f>
        <v>2.48397400954825</v>
      </c>
      <c r="AF103" s="53" t="n">
        <f aca="false">IF(AF94&lt;0,AF87/-AF94,"")</f>
        <v>2.48397400954825</v>
      </c>
      <c r="AG103" s="53" t="n">
        <f aca="false">IF(AG94&lt;0,AG87/-AG94,"")</f>
        <v>2.48397400954825</v>
      </c>
      <c r="AH103" s="53" t="n">
        <f aca="false">IF(AH94&lt;0,AH87/-AH94,"")</f>
        <v>2.48397400954825</v>
      </c>
      <c r="AI103" s="53" t="n">
        <f aca="false">IF(AI94&lt;0,AI87/-AI94,"")</f>
        <v>2.48397400954825</v>
      </c>
      <c r="AJ103" s="53" t="n">
        <f aca="false">IF(AJ94&lt;0,AJ87/-AJ94,"")</f>
        <v>2.48397400954825</v>
      </c>
      <c r="AK103" s="53" t="n">
        <f aca="false">IF(AK94&lt;0,AK87/-AK94,"")</f>
        <v>2.48397400954825</v>
      </c>
      <c r="AL103" s="53" t="n">
        <f aca="false">IF(AL94&lt;0,AL87/-AL94,"")</f>
        <v>2.48397400954825</v>
      </c>
      <c r="AM103" s="53" t="n">
        <f aca="false">IF(AM94&lt;0,AM87/-AM94,"")</f>
        <v>2.48397400954825</v>
      </c>
      <c r="AN103" s="53" t="n">
        <f aca="false">IF(AN94&lt;0,AN87/-AN94,"")</f>
        <v>2.48397400954825</v>
      </c>
      <c r="AO103" s="53" t="n">
        <f aca="false">IF(AO94&lt;0,AO87/-AO94,"")</f>
        <v>2.48397400954825</v>
      </c>
      <c r="AP103" s="53" t="n">
        <f aca="false">IF(AP94&lt;0,AP87/-AP94,"")</f>
        <v>2.48397400954825</v>
      </c>
      <c r="AQ103" s="53" t="n">
        <f aca="false">IF(AQ94&lt;0,AQ87/-AQ94,"")</f>
        <v>2.48397400954825</v>
      </c>
      <c r="AR103" s="53" t="n">
        <f aca="false">IF(AR94&lt;0,AR87/-AR94,"")</f>
        <v>2.48397400954825</v>
      </c>
      <c r="AS103" s="53" t="n">
        <f aca="false">IF(AS94&lt;0,AS87/-AS94,"")</f>
        <v>2.48397400954825</v>
      </c>
      <c r="AT103" s="53" t="n">
        <f aca="false">IF(AT94&lt;0,AT87/-AT94,"")</f>
        <v>2.48397400954825</v>
      </c>
      <c r="AU103" s="53" t="n">
        <f aca="false">IF(AU94&lt;0,AU87/-AU94,"")</f>
        <v>2.48397400954825</v>
      </c>
      <c r="AV103" s="53" t="n">
        <f aca="false">IF(AV94&lt;0,AV87/-AV94,"")</f>
        <v>2.48397400954825</v>
      </c>
      <c r="AW103" s="53" t="n">
        <f aca="false">IF(AW94&lt;0,AW87/-AW94,"")</f>
        <v>2.48397400954825</v>
      </c>
      <c r="AX103" s="53" t="n">
        <f aca="false">IF(AX94&lt;0,AX87/-AX94,"")</f>
        <v>2.48397400954825</v>
      </c>
      <c r="AY103" s="53" t="n">
        <f aca="false">IF(AY94&lt;0,AY87/-AY94,"")</f>
        <v>2.48397400954825</v>
      </c>
      <c r="AZ103" s="53" t="n">
        <f aca="false">IF(AZ94&lt;0,AZ87/-AZ94,"")</f>
        <v>2.48397400954825</v>
      </c>
      <c r="BA103" s="53" t="n">
        <f aca="false">IF(BA94&lt;0,BA87/-BA94,"")</f>
        <v>2.48397400954825</v>
      </c>
      <c r="BB103" s="53" t="n">
        <f aca="false">IF(BB94&lt;0,BB87/-BB94,"")</f>
        <v>2.48397400954825</v>
      </c>
      <c r="BC103" s="53" t="n">
        <f aca="false">IF(BC94&lt;0,BC87/-BC94,"")</f>
        <v>2.48397400954825</v>
      </c>
      <c r="BD103" s="53" t="n">
        <f aca="false">IF(BD94&lt;0,BD87/-BD94,"")</f>
        <v>2.48397400954825</v>
      </c>
      <c r="BE103" s="53" t="n">
        <f aca="false">IF(BE94&lt;0,BE87/-BE94,"")</f>
        <v>2.48397400954825</v>
      </c>
      <c r="BF103" s="53" t="n">
        <f aca="false">IF(BF94&lt;0,BF87/-BF94,"")</f>
        <v>2.48397400954825</v>
      </c>
      <c r="BG103" s="53" t="n">
        <f aca="false">IF(BG94&lt;0,BG87/-BG94,"")</f>
        <v>2.48397400954825</v>
      </c>
      <c r="BH103" s="53" t="n">
        <f aca="false">IF(BH94&lt;0,BH87/-BH94,"")</f>
        <v>2.48397400954825</v>
      </c>
      <c r="BI103" s="53" t="n">
        <f aca="false">IF(BI94&lt;0,BI87/-BI94,"")</f>
        <v>2.48397400954825</v>
      </c>
      <c r="BJ103" s="53" t="n">
        <f aca="false">IF(BJ94&lt;0,BJ87/-BJ94,"")</f>
        <v>2.48397400954825</v>
      </c>
      <c r="BK103" s="53" t="n">
        <f aca="false">IF(BK94&lt;0,BK87/-BK94,"")</f>
        <v>2.48397400954825</v>
      </c>
      <c r="BL103" s="53" t="n">
        <f aca="false">IF(BL94&lt;0,BL87/-BL94,"")</f>
        <v>2.48397400954825</v>
      </c>
      <c r="BM103" s="53" t="n">
        <f aca="false">IF(BM94&lt;0,BM87/-BM94,"")</f>
        <v>2.48397400954825</v>
      </c>
      <c r="BN103" s="53" t="n">
        <f aca="false">IF(BN94&lt;0,BN87/-BN94,"")</f>
        <v>2.48397400954825</v>
      </c>
      <c r="BO103" s="53" t="n">
        <f aca="false">IF(BO94&lt;0,BO87/-BO94,"")</f>
        <v>2.48397400954825</v>
      </c>
      <c r="BP103" s="53" t="n">
        <f aca="false">IF(BP94&lt;0,BP87/-BP94,"")</f>
        <v>2.48397400954825</v>
      </c>
      <c r="BQ103" s="53" t="n">
        <f aca="false">IF(BQ94&lt;0,BQ87/-BQ94,"")</f>
        <v>2.48397400954825</v>
      </c>
      <c r="BR103" s="53" t="n">
        <f aca="false">IF(BR94&lt;0,BR87/-BR94,"")</f>
        <v>2.48397400954825</v>
      </c>
      <c r="BS103" s="53" t="n">
        <f aca="false">IF(BS94&lt;0,BS87/-BS94,"")</f>
        <v>2.48397400954825</v>
      </c>
      <c r="BT103" s="53" t="n">
        <f aca="false">IF(BT94&lt;0,BT87/-BT94,"")</f>
        <v>2.48397400954825</v>
      </c>
      <c r="BU103" s="53" t="n">
        <f aca="false">IF(BU94&lt;0,BU87/-BU94,"")</f>
        <v>2.48397400954825</v>
      </c>
      <c r="BV103" s="53" t="n">
        <f aca="false">IF(BV94&lt;0,BV87/-BV94,"")</f>
        <v>2.48397400954825</v>
      </c>
      <c r="BW103" s="53" t="n">
        <f aca="false">IF(BW94&lt;0,BW87/-BW94,"")</f>
        <v>2.48397400954825</v>
      </c>
      <c r="BX103" s="53" t="n">
        <f aca="false">IF(BX94&lt;0,BX87/-BX94,"")</f>
        <v>2.48397400954825</v>
      </c>
      <c r="BY103" s="53" t="n">
        <f aca="false">IF(BY94&lt;0,BY87/-BY94,"")</f>
        <v>2.48397400954825</v>
      </c>
      <c r="BZ103" s="53" t="n">
        <f aca="false">IF(BZ94&lt;0,BZ87/-BZ94,"")</f>
        <v>2.48397400954825</v>
      </c>
      <c r="CA103" s="53" t="n">
        <f aca="false">IF(CA94&lt;0,CA87/-CA94,"")</f>
        <v>2.48397400954825</v>
      </c>
      <c r="CB103" s="53" t="n">
        <f aca="false">IF(CB94&lt;0,CB87/-CB94,"")</f>
        <v>2.48397400954825</v>
      </c>
      <c r="CC103" s="53" t="n">
        <f aca="false">IF(CC94&lt;0,CC87/-CC94,"")</f>
        <v>2.48397400954825</v>
      </c>
      <c r="CD103" s="53" t="n">
        <f aca="false">IF(CD94&lt;0,CD87/-CD94,"")</f>
        <v>2.48397400954825</v>
      </c>
      <c r="CE103" s="53" t="n">
        <f aca="false">IF(CE94&lt;0,CE87/-CE94,"")</f>
        <v>2.48397400954825</v>
      </c>
      <c r="CF103" s="53" t="n">
        <f aca="false">IF(CF94&lt;0,CF87/-CF94,"")</f>
        <v>2.48397400954825</v>
      </c>
      <c r="CG103" s="53" t="n">
        <f aca="false">IF(CG94&lt;0,CG87/-CG94,"")</f>
        <v>2.48397400954825</v>
      </c>
      <c r="CH103" s="53" t="n">
        <f aca="false">IF(CH94&lt;0,CH87/-CH94,"")</f>
        <v>2.48397400954825</v>
      </c>
      <c r="CI103" s="53" t="n">
        <f aca="false">IF(CI94&lt;0,CI87/-CI94,"")</f>
        <v>2.48397400954825</v>
      </c>
      <c r="CJ103" s="53" t="n">
        <f aca="false">IF(CJ94&lt;0,CJ87/-CJ94,"")</f>
        <v>2.48397400954825</v>
      </c>
      <c r="CK103" s="53" t="n">
        <f aca="false">IF(CK94&lt;0,CK87/-CK94,"")</f>
        <v>2.48397400954825</v>
      </c>
      <c r="CL103" s="53" t="n">
        <f aca="false">IF(CL94&lt;0,CL87/-CL94,"")</f>
        <v>2.48397400954825</v>
      </c>
      <c r="CM103" s="53" t="n">
        <f aca="false">IF(CM94&lt;0,CM87/-CM94,"")</f>
        <v>2.48397400954825</v>
      </c>
      <c r="CN103" s="53" t="n">
        <f aca="false">IF(CN94&lt;0,CN87/-CN94,"")</f>
        <v>2.48397400954825</v>
      </c>
      <c r="CO103" s="53" t="n">
        <f aca="false">IF(CO94&lt;0,CO87/-CO94,"")</f>
        <v>2.48397400954825</v>
      </c>
      <c r="CP103" s="53" t="n">
        <f aca="false">IF(CP94&lt;0,CP87/-CP94,"")</f>
        <v>2.48397400954825</v>
      </c>
      <c r="CQ103" s="53" t="n">
        <f aca="false">IF(CQ94&lt;0,CQ87/-CQ94,"")</f>
        <v>2.48397400954825</v>
      </c>
      <c r="CR103" s="53" t="n">
        <f aca="false">IF(CR94&lt;0,CR87/-CR94,"")</f>
        <v>2.48397400954825</v>
      </c>
      <c r="CS103" s="53" t="n">
        <f aca="false">IF(CS94&lt;0,CS87/-CS94,"")</f>
        <v>2.48397400954825</v>
      </c>
      <c r="CT103" s="53" t="str">
        <f aca="false">IF(CT94&lt;0,CT87/-CT94,"")</f>
        <v/>
      </c>
      <c r="CU103" s="53" t="str">
        <f aca="false">IF(CU94&lt;0,CU87/-CU94,"")</f>
        <v/>
      </c>
      <c r="CV103" s="53" t="str">
        <f aca="false">IF(CV94&lt;0,CV87/-CV94,"")</f>
        <v/>
      </c>
      <c r="CW103" s="53" t="str">
        <f aca="false">IF(CW94&lt;0,CW87/-CW94,"")</f>
        <v/>
      </c>
      <c r="CX103" s="53" t="str">
        <f aca="false">IF(CX94&lt;0,CX87/-CX94,"")</f>
        <v/>
      </c>
      <c r="CY103" s="53" t="str">
        <f aca="false">IF(CY94&lt;0,CY87/-CY94,"")</f>
        <v/>
      </c>
      <c r="CZ103" s="53" t="str">
        <f aca="false">IF(CZ94&lt;0,CZ87/-CZ94,"")</f>
        <v/>
      </c>
      <c r="DA103" s="53" t="str">
        <f aca="false">IF(DA94&lt;0,DA87/-DA94,"")</f>
        <v/>
      </c>
      <c r="DB103" s="53" t="str">
        <f aca="false">IF(DB94&lt;0,DB87/-DB94,"")</f>
        <v/>
      </c>
      <c r="DC103" s="53" t="str">
        <f aca="false">IF(DC94&lt;0,DC87/-DC94,"")</f>
        <v/>
      </c>
      <c r="DD103" s="53" t="str">
        <f aca="false">IF(DD94&lt;0,DD87/-DD94,"")</f>
        <v/>
      </c>
      <c r="DE103" s="53" t="str">
        <f aca="false">IF(DE94&lt;0,DE87/-DE94,"")</f>
        <v/>
      </c>
      <c r="DF103" s="53" t="str">
        <f aca="false">IF(DF94&lt;0,DF87/-DF94,"")</f>
        <v/>
      </c>
      <c r="DG103" s="53" t="str">
        <f aca="false">IF(DG94&lt;0,DG87/-DG94,"")</f>
        <v/>
      </c>
      <c r="DH103" s="53" t="str">
        <f aca="false">IF(DH94&lt;0,DH87/-DH94,"")</f>
        <v/>
      </c>
      <c r="DI103" s="53" t="str">
        <f aca="false">IF(DI94&lt;0,DI87/-DI94,"")</f>
        <v/>
      </c>
      <c r="DJ103" s="53" t="str">
        <f aca="false">IF(DJ94&lt;0,DJ87/-DJ94,"")</f>
        <v/>
      </c>
      <c r="DK103" s="53" t="str">
        <f aca="false">IF(DK94&lt;0,DK87/-DK94,"")</f>
        <v/>
      </c>
      <c r="DL103" s="53" t="str">
        <f aca="false">IF(DL94&lt;0,DL87/-DL94,"")</f>
        <v/>
      </c>
      <c r="DM103" s="53" t="str">
        <f aca="false">IF(DM94&lt;0,DM87/-DM94,"")</f>
        <v/>
      </c>
      <c r="DN103" s="53" t="str">
        <f aca="false">IF(DN94&lt;0,DN87/-DN94,"")</f>
        <v/>
      </c>
      <c r="DO103" s="53" t="str">
        <f aca="false">IF(DO94&lt;0,DO87/-DO94,"")</f>
        <v/>
      </c>
      <c r="DP103" s="53" t="str">
        <f aca="false">IF(DP94&lt;0,DP87/-DP94,"")</f>
        <v/>
      </c>
      <c r="DQ103" s="53" t="str">
        <f aca="false">IF(DQ94&lt;0,DQ87/-DQ94,"")</f>
        <v/>
      </c>
      <c r="DR103" s="53" t="str">
        <f aca="false">IF(DR94&lt;0,DR87/-DR94,"")</f>
        <v/>
      </c>
      <c r="DS103" s="53" t="str">
        <f aca="false">IF(DS94&lt;0,DS87/-DS94,"")</f>
        <v/>
      </c>
      <c r="DT103" s="53" t="str">
        <f aca="false">IF(DT94&lt;0,DT87/-DT94,"")</f>
        <v/>
      </c>
      <c r="DU103" s="53" t="str">
        <f aca="false">IF(DU94&lt;0,DU87/-DU94,"")</f>
        <v/>
      </c>
      <c r="DV103" s="53" t="str">
        <f aca="false">IF(DV94&lt;0,DV87/-DV94,"")</f>
        <v/>
      </c>
      <c r="DW103" s="53" t="str">
        <f aca="false">IF(DW94&lt;0,DW87/-DW94,"")</f>
        <v/>
      </c>
      <c r="DX103" s="53" t="str">
        <f aca="false">IF(DX94&lt;0,DX87/-DX94,"")</f>
        <v/>
      </c>
      <c r="DY103" s="53" t="str">
        <f aca="false">IF(DY94&lt;0,DY87/-DY94,"")</f>
        <v/>
      </c>
      <c r="DZ103" s="53" t="str">
        <f aca="false">IF(DZ94&lt;0,DZ87/-DZ94,"")</f>
        <v/>
      </c>
      <c r="EA103" s="53" t="str">
        <f aca="false">IF(EA94&lt;0,EA87/-EA94,"")</f>
        <v/>
      </c>
      <c r="EB103" s="53" t="str">
        <f aca="false">IF(EB94&lt;0,EB87/-EB94,"")</f>
        <v/>
      </c>
      <c r="EC103" s="53" t="str">
        <f aca="false">IF(EC94&lt;0,EC87/-EC94,"")</f>
        <v/>
      </c>
      <c r="ED103" s="53" t="str">
        <f aca="false">IF(ED94&lt;0,ED87/-ED94,"")</f>
        <v/>
      </c>
      <c r="EE103" s="53" t="str">
        <f aca="false">IF(EE94&lt;0,EE87/-EE94,"")</f>
        <v/>
      </c>
      <c r="EF103" s="53" t="str">
        <f aca="false">IF(EF94&lt;0,EF87/-EF94,"")</f>
        <v/>
      </c>
      <c r="EG103" s="53" t="str">
        <f aca="false">IF(EG94&lt;0,EG87/-EG94,"")</f>
        <v/>
      </c>
      <c r="EH103" s="53" t="str">
        <f aca="false">IF(EH94&lt;0,EH87/-EH94,"")</f>
        <v/>
      </c>
      <c r="EI103" s="53" t="str">
        <f aca="false">IF(EI94&lt;0,EI87/-EI94,"")</f>
        <v/>
      </c>
      <c r="EJ103" s="53" t="str">
        <f aca="false">IF(EJ94&lt;0,EJ87/-EJ94,"")</f>
        <v/>
      </c>
      <c r="EK103" s="53" t="str">
        <f aca="false">IF(EK94&lt;0,EK87/-EK94,"")</f>
        <v/>
      </c>
      <c r="EL103" s="53" t="str">
        <f aca="false">IF(EL94&lt;0,EL87/-EL94,"")</f>
        <v/>
      </c>
      <c r="EM103" s="53" t="str">
        <f aca="false">IF(EM94&lt;0,EM87/-EM94,"")</f>
        <v/>
      </c>
      <c r="EN103" s="53" t="str">
        <f aca="false">IF(EN94&lt;0,EN87/-EN94,"")</f>
        <v/>
      </c>
      <c r="EO103" s="53" t="str">
        <f aca="false">IF(EO94&lt;0,EO87/-EO94,"")</f>
        <v/>
      </c>
    </row>
    <row r="105" customFormat="false" ht="15" hidden="false" customHeight="false" outlineLevel="0" collapsed="false">
      <c r="A105" s="9" t="s">
        <v>13</v>
      </c>
      <c r="B105" s="9"/>
      <c r="C105" s="9" t="s">
        <v>480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</row>
    <row r="106" customFormat="false" ht="15" hidden="false" customHeight="false" outlineLevel="0" collapsed="false">
      <c r="C106" s="0" t="s">
        <v>481</v>
      </c>
      <c r="D106" s="11" t="s">
        <v>33</v>
      </c>
      <c r="E106" s="48" t="n">
        <f aca="false">$I97-($I68+$I58+$I69+$I55+$I48+$I49+$I50)</f>
        <v>83080.7577025533</v>
      </c>
      <c r="I106" s="48" t="n">
        <f aca="false">SUM(J106:EO106)</f>
        <v>-83080.7577025533</v>
      </c>
      <c r="J106" s="48" t="n">
        <f aca="false">-$E106*J20</f>
        <v>-0</v>
      </c>
      <c r="K106" s="48" t="n">
        <f aca="false">-$E106*K20</f>
        <v>-0</v>
      </c>
      <c r="L106" s="48" t="n">
        <f aca="false">-$E106*L20</f>
        <v>-0</v>
      </c>
      <c r="M106" s="48" t="n">
        <f aca="false">-$E106*M20</f>
        <v>-0</v>
      </c>
      <c r="N106" s="48" t="n">
        <f aca="false">-$E106*N20</f>
        <v>-0</v>
      </c>
      <c r="O106" s="48" t="n">
        <f aca="false">-$E106*O20</f>
        <v>-0</v>
      </c>
      <c r="P106" s="48" t="n">
        <f aca="false">-$E106*P20</f>
        <v>-0</v>
      </c>
      <c r="Q106" s="48" t="n">
        <f aca="false">-$E106*Q20</f>
        <v>-0</v>
      </c>
      <c r="R106" s="48" t="n">
        <f aca="false">-$E106*R20</f>
        <v>-0</v>
      </c>
      <c r="S106" s="48" t="n">
        <f aca="false">-$E106*S20</f>
        <v>-0</v>
      </c>
      <c r="T106" s="48" t="n">
        <f aca="false">-$E106*T20</f>
        <v>-0</v>
      </c>
      <c r="U106" s="48" t="n">
        <f aca="false">-$E106*U20</f>
        <v>-0</v>
      </c>
      <c r="V106" s="48" t="n">
        <f aca="false">-$E106*V20</f>
        <v>-0</v>
      </c>
      <c r="W106" s="48" t="n">
        <f aca="false">-$E106*W20</f>
        <v>-0</v>
      </c>
      <c r="X106" s="48" t="n">
        <f aca="false">-$E106*X20</f>
        <v>-0</v>
      </c>
      <c r="Y106" s="48" t="n">
        <f aca="false">-$E106*Y20</f>
        <v>-0</v>
      </c>
      <c r="Z106" s="48" t="n">
        <f aca="false">-$E106*Z20</f>
        <v>-1046.32850220875</v>
      </c>
      <c r="AA106" s="48" t="n">
        <f aca="false">-$E106*AA20</f>
        <v>-1023.5822304216</v>
      </c>
      <c r="AB106" s="48" t="n">
        <f aca="false">-$E106*AB20</f>
        <v>-1034.95536631517</v>
      </c>
      <c r="AC106" s="48" t="n">
        <f aca="false">-$E106*AC20</f>
        <v>-1046.32850220875</v>
      </c>
      <c r="AD106" s="48" t="n">
        <f aca="false">-$E106*AD20</f>
        <v>-1046.32850220875</v>
      </c>
      <c r="AE106" s="48" t="n">
        <f aca="false">-$E106*AE20</f>
        <v>-1034.95536631517</v>
      </c>
      <c r="AF106" s="48" t="n">
        <f aca="false">-$E106*AF20</f>
        <v>-1034.95536631517</v>
      </c>
      <c r="AG106" s="48" t="n">
        <f aca="false">-$E106*AG20</f>
        <v>-1046.32850220875</v>
      </c>
      <c r="AH106" s="48" t="n">
        <f aca="false">-$E106*AH20</f>
        <v>-1046.32850220875</v>
      </c>
      <c r="AI106" s="48" t="n">
        <f aca="false">-$E106*AI20</f>
        <v>-1023.5822304216</v>
      </c>
      <c r="AJ106" s="48" t="n">
        <f aca="false">-$E106*AJ20</f>
        <v>-1034.95536631517</v>
      </c>
      <c r="AK106" s="48" t="n">
        <f aca="false">-$E106*AK20</f>
        <v>-1046.32850220875</v>
      </c>
      <c r="AL106" s="48" t="n">
        <f aca="false">-$E106*AL20</f>
        <v>-1046.32850220875</v>
      </c>
      <c r="AM106" s="48" t="n">
        <f aca="false">-$E106*AM20</f>
        <v>-1023.5822304216</v>
      </c>
      <c r="AN106" s="48" t="n">
        <f aca="false">-$E106*AN20</f>
        <v>-1034.95536631517</v>
      </c>
      <c r="AO106" s="48" t="n">
        <f aca="false">-$E106*AO20</f>
        <v>-1046.32850220875</v>
      </c>
      <c r="AP106" s="48" t="n">
        <f aca="false">-$E106*AP20</f>
        <v>-1046.32850220875</v>
      </c>
      <c r="AQ106" s="48" t="n">
        <f aca="false">-$E106*AQ20</f>
        <v>-1023.5822304216</v>
      </c>
      <c r="AR106" s="48" t="n">
        <f aca="false">-$E106*AR20</f>
        <v>-1034.95536631517</v>
      </c>
      <c r="AS106" s="48" t="n">
        <f aca="false">-$E106*AS20</f>
        <v>-1046.32850220875</v>
      </c>
      <c r="AT106" s="48" t="n">
        <f aca="false">-$E106*AT20</f>
        <v>-1046.32850220875</v>
      </c>
      <c r="AU106" s="48" t="n">
        <f aca="false">-$E106*AU20</f>
        <v>-1034.95536631517</v>
      </c>
      <c r="AV106" s="48" t="n">
        <f aca="false">-$E106*AV20</f>
        <v>-1034.95536631517</v>
      </c>
      <c r="AW106" s="48" t="n">
        <f aca="false">-$E106*AW20</f>
        <v>-1046.32850220875</v>
      </c>
      <c r="AX106" s="48" t="n">
        <f aca="false">-$E106*AX20</f>
        <v>-1046.32850220875</v>
      </c>
      <c r="AY106" s="48" t="n">
        <f aca="false">-$E106*AY20</f>
        <v>-1023.5822304216</v>
      </c>
      <c r="AZ106" s="48" t="n">
        <f aca="false">-$E106*AZ20</f>
        <v>-1034.95536631517</v>
      </c>
      <c r="BA106" s="48" t="n">
        <f aca="false">-$E106*BA20</f>
        <v>-1046.32850220875</v>
      </c>
      <c r="BB106" s="48" t="n">
        <f aca="false">-$E106*BB20</f>
        <v>-1046.32850220875</v>
      </c>
      <c r="BC106" s="48" t="n">
        <f aca="false">-$E106*BC20</f>
        <v>-1023.5822304216</v>
      </c>
      <c r="BD106" s="48" t="n">
        <f aca="false">-$E106*BD20</f>
        <v>-1034.95536631517</v>
      </c>
      <c r="BE106" s="48" t="n">
        <f aca="false">-$E106*BE20</f>
        <v>-1046.32850220875</v>
      </c>
      <c r="BF106" s="48" t="n">
        <f aca="false">-$E106*BF20</f>
        <v>-1046.32850220875</v>
      </c>
      <c r="BG106" s="48" t="n">
        <f aca="false">-$E106*BG20</f>
        <v>-1023.5822304216</v>
      </c>
      <c r="BH106" s="48" t="n">
        <f aca="false">-$E106*BH20</f>
        <v>-1034.95536631517</v>
      </c>
      <c r="BI106" s="48" t="n">
        <f aca="false">-$E106*BI20</f>
        <v>-1046.32850220875</v>
      </c>
      <c r="BJ106" s="48" t="n">
        <f aca="false">-$E106*BJ20</f>
        <v>-1046.32850220875</v>
      </c>
      <c r="BK106" s="48" t="n">
        <f aca="false">-$E106*BK20</f>
        <v>-1034.95536631517</v>
      </c>
      <c r="BL106" s="48" t="n">
        <f aca="false">-$E106*BL20</f>
        <v>-1034.95536631517</v>
      </c>
      <c r="BM106" s="48" t="n">
        <f aca="false">-$E106*BM20</f>
        <v>-1046.32850220875</v>
      </c>
      <c r="BN106" s="48" t="n">
        <f aca="false">-$E106*BN20</f>
        <v>-1046.32850220875</v>
      </c>
      <c r="BO106" s="48" t="n">
        <f aca="false">-$E106*BO20</f>
        <v>-1023.5822304216</v>
      </c>
      <c r="BP106" s="48" t="n">
        <f aca="false">-$E106*BP20</f>
        <v>-1034.95536631517</v>
      </c>
      <c r="BQ106" s="48" t="n">
        <f aca="false">-$E106*BQ20</f>
        <v>-1046.32850220875</v>
      </c>
      <c r="BR106" s="48" t="n">
        <f aca="false">-$E106*BR20</f>
        <v>-1046.32850220875</v>
      </c>
      <c r="BS106" s="48" t="n">
        <f aca="false">-$E106*BS20</f>
        <v>-1023.5822304216</v>
      </c>
      <c r="BT106" s="48" t="n">
        <f aca="false">-$E106*BT20</f>
        <v>-1034.95536631517</v>
      </c>
      <c r="BU106" s="48" t="n">
        <f aca="false">-$E106*BU20</f>
        <v>-1046.32850220875</v>
      </c>
      <c r="BV106" s="48" t="n">
        <f aca="false">-$E106*BV20</f>
        <v>-1046.32850220875</v>
      </c>
      <c r="BW106" s="48" t="n">
        <f aca="false">-$E106*BW20</f>
        <v>-1023.5822304216</v>
      </c>
      <c r="BX106" s="48" t="n">
        <f aca="false">-$E106*BX20</f>
        <v>-1034.95536631517</v>
      </c>
      <c r="BY106" s="48" t="n">
        <f aca="false">-$E106*BY20</f>
        <v>-1046.32850220875</v>
      </c>
      <c r="BZ106" s="48" t="n">
        <f aca="false">-$E106*BZ20</f>
        <v>-1046.32850220875</v>
      </c>
      <c r="CA106" s="48" t="n">
        <f aca="false">-$E106*CA20</f>
        <v>-1034.95536631517</v>
      </c>
      <c r="CB106" s="48" t="n">
        <f aca="false">-$E106*CB20</f>
        <v>-1034.95536631517</v>
      </c>
      <c r="CC106" s="48" t="n">
        <f aca="false">-$E106*CC20</f>
        <v>-1046.32850220875</v>
      </c>
      <c r="CD106" s="48" t="n">
        <f aca="false">-$E106*CD20</f>
        <v>-1046.32850220875</v>
      </c>
      <c r="CE106" s="48" t="n">
        <f aca="false">-$E106*CE20</f>
        <v>-1023.5822304216</v>
      </c>
      <c r="CF106" s="48" t="n">
        <f aca="false">-$E106*CF20</f>
        <v>-1034.95536631517</v>
      </c>
      <c r="CG106" s="48" t="n">
        <f aca="false">-$E106*CG20</f>
        <v>-1046.32850220875</v>
      </c>
      <c r="CH106" s="48" t="n">
        <f aca="false">-$E106*CH20</f>
        <v>-1046.32850220875</v>
      </c>
      <c r="CI106" s="48" t="n">
        <f aca="false">-$E106*CI20</f>
        <v>-1023.5822304216</v>
      </c>
      <c r="CJ106" s="48" t="n">
        <f aca="false">-$E106*CJ20</f>
        <v>-1034.95536631517</v>
      </c>
      <c r="CK106" s="48" t="n">
        <f aca="false">-$E106*CK20</f>
        <v>-1046.32850220875</v>
      </c>
      <c r="CL106" s="48" t="n">
        <f aca="false">-$E106*CL20</f>
        <v>-1046.32850220875</v>
      </c>
      <c r="CM106" s="48" t="n">
        <f aca="false">-$E106*CM20</f>
        <v>-1023.5822304216</v>
      </c>
      <c r="CN106" s="48" t="n">
        <f aca="false">-$E106*CN20</f>
        <v>-1034.95536631517</v>
      </c>
      <c r="CO106" s="48" t="n">
        <f aca="false">-$E106*CO20</f>
        <v>-1046.32850220875</v>
      </c>
      <c r="CP106" s="48" t="n">
        <f aca="false">-$E106*CP20</f>
        <v>-1046.32850220875</v>
      </c>
      <c r="CQ106" s="48" t="n">
        <f aca="false">-$E106*CQ20</f>
        <v>-1034.95536631517</v>
      </c>
      <c r="CR106" s="48" t="n">
        <f aca="false">-$E106*CR20</f>
        <v>-1034.95536631517</v>
      </c>
      <c r="CS106" s="48" t="n">
        <f aca="false">-$E106*CS20</f>
        <v>-1046.32850220875</v>
      </c>
      <c r="CT106" s="48" t="n">
        <f aca="false">-$E106*CT20</f>
        <v>-1046.32850220875</v>
      </c>
      <c r="CU106" s="48" t="n">
        <f aca="false">-$E106*CU20</f>
        <v>-1023.5822304216</v>
      </c>
      <c r="CV106" s="48" t="n">
        <f aca="false">-$E106*CV20</f>
        <v>-1034.95536631517</v>
      </c>
      <c r="CW106" s="48" t="n">
        <f aca="false">-$E106*CW20</f>
        <v>-1046.32850220875</v>
      </c>
      <c r="CX106" s="48" t="n">
        <f aca="false">-$E106*CX20</f>
        <v>-1046.32850220875</v>
      </c>
      <c r="CY106" s="48" t="n">
        <f aca="false">-$E106*CY20</f>
        <v>-1023.5822304216</v>
      </c>
      <c r="CZ106" s="48" t="n">
        <f aca="false">-$E106*CZ20</f>
        <v>-1034.95536631517</v>
      </c>
      <c r="DA106" s="48" t="n">
        <f aca="false">-$E106*DA20</f>
        <v>-1046.32850220875</v>
      </c>
      <c r="DB106" s="48" t="n">
        <f aca="false">-$E106*DB20</f>
        <v>-0</v>
      </c>
      <c r="DC106" s="48" t="n">
        <f aca="false">-$E106*DC20</f>
        <v>-0</v>
      </c>
      <c r="DD106" s="48" t="n">
        <f aca="false">-$E106*DD20</f>
        <v>-0</v>
      </c>
      <c r="DE106" s="48" t="n">
        <f aca="false">-$E106*DE20</f>
        <v>-0</v>
      </c>
      <c r="DF106" s="48" t="n">
        <f aca="false">-$E106*DF20</f>
        <v>-0</v>
      </c>
      <c r="DG106" s="48" t="n">
        <f aca="false">-$E106*DG20</f>
        <v>-0</v>
      </c>
      <c r="DH106" s="48" t="n">
        <f aca="false">-$E106*DH20</f>
        <v>-0</v>
      </c>
      <c r="DI106" s="48" t="n">
        <f aca="false">-$E106*DI20</f>
        <v>-0</v>
      </c>
      <c r="DJ106" s="48" t="n">
        <f aca="false">-$E106*DJ20</f>
        <v>-0</v>
      </c>
      <c r="DK106" s="48" t="n">
        <f aca="false">-$E106*DK20</f>
        <v>-0</v>
      </c>
      <c r="DL106" s="48" t="n">
        <f aca="false">-$E106*DL20</f>
        <v>-0</v>
      </c>
      <c r="DM106" s="48" t="n">
        <f aca="false">-$E106*DM20</f>
        <v>-0</v>
      </c>
      <c r="DN106" s="48" t="n">
        <f aca="false">-$E106*DN20</f>
        <v>-0</v>
      </c>
      <c r="DO106" s="48" t="n">
        <f aca="false">-$E106*DO20</f>
        <v>-0</v>
      </c>
      <c r="DP106" s="48" t="n">
        <f aca="false">-$E106*DP20</f>
        <v>-0</v>
      </c>
      <c r="DQ106" s="48" t="n">
        <f aca="false">-$E106*DQ20</f>
        <v>-0</v>
      </c>
      <c r="DR106" s="48" t="n">
        <f aca="false">-$E106*DR20</f>
        <v>-0</v>
      </c>
      <c r="DS106" s="48" t="n">
        <f aca="false">-$E106*DS20</f>
        <v>-0</v>
      </c>
      <c r="DT106" s="48" t="n">
        <f aca="false">-$E106*DT20</f>
        <v>-0</v>
      </c>
      <c r="DU106" s="48" t="n">
        <f aca="false">-$E106*DU20</f>
        <v>-0</v>
      </c>
      <c r="DV106" s="48" t="n">
        <f aca="false">-$E106*DV20</f>
        <v>-0</v>
      </c>
      <c r="DW106" s="48" t="n">
        <f aca="false">-$E106*DW20</f>
        <v>-0</v>
      </c>
      <c r="DX106" s="48" t="n">
        <f aca="false">-$E106*DX20</f>
        <v>-0</v>
      </c>
      <c r="DY106" s="48" t="n">
        <f aca="false">-$E106*DY20</f>
        <v>-0</v>
      </c>
      <c r="DZ106" s="48" t="n">
        <f aca="false">-$E106*DZ20</f>
        <v>-0</v>
      </c>
      <c r="EA106" s="48" t="n">
        <f aca="false">-$E106*EA20</f>
        <v>-0</v>
      </c>
      <c r="EB106" s="48" t="n">
        <f aca="false">-$E106*EB20</f>
        <v>-0</v>
      </c>
      <c r="EC106" s="48" t="n">
        <f aca="false">-$E106*EC20</f>
        <v>-0</v>
      </c>
      <c r="ED106" s="48" t="n">
        <f aca="false">-$E106*ED20</f>
        <v>-0</v>
      </c>
      <c r="EE106" s="48" t="n">
        <f aca="false">-$E106*EE20</f>
        <v>-0</v>
      </c>
      <c r="EF106" s="48" t="n">
        <f aca="false">-$E106*EF20</f>
        <v>-0</v>
      </c>
      <c r="EG106" s="48" t="n">
        <f aca="false">-$E106*EG20</f>
        <v>-0</v>
      </c>
      <c r="EH106" s="48" t="n">
        <f aca="false">-$E106*EH20</f>
        <v>-0</v>
      </c>
      <c r="EI106" s="48" t="n">
        <f aca="false">-$E106*EI20</f>
        <v>-0</v>
      </c>
      <c r="EJ106" s="48" t="n">
        <f aca="false">-$E106*EJ20</f>
        <v>-0</v>
      </c>
      <c r="EK106" s="48" t="n">
        <f aca="false">-$E106*EK20</f>
        <v>-0</v>
      </c>
      <c r="EL106" s="48" t="n">
        <f aca="false">-$E106*EL20</f>
        <v>-0</v>
      </c>
      <c r="EM106" s="48" t="n">
        <f aca="false">-$E106*EM20</f>
        <v>-0</v>
      </c>
      <c r="EN106" s="48" t="n">
        <f aca="false">-$E106*EN20</f>
        <v>-0</v>
      </c>
      <c r="EO106" s="48" t="n">
        <f aca="false">-$E106*EO20</f>
        <v>-0</v>
      </c>
    </row>
    <row r="107" customFormat="false" ht="15" hidden="false" customHeight="false" outlineLevel="0" collapsed="false">
      <c r="C107" s="0" t="s">
        <v>482</v>
      </c>
      <c r="D107" s="11" t="s">
        <v>33</v>
      </c>
      <c r="I107" s="48" t="n">
        <f aca="false">SUM(J107:EO107)</f>
        <v>187609.540202044</v>
      </c>
      <c r="J107" s="48" t="n">
        <f aca="false">J83+J106+J93+J100+J101+J52+J59</f>
        <v>-12.8099380746857</v>
      </c>
      <c r="K107" s="48" t="n">
        <f aca="false">K83+K106+K93+K100+K101+K52+K59</f>
        <v>-19.6746856821167</v>
      </c>
      <c r="L107" s="48" t="n">
        <f aca="false">L83+L106+L93+L100+L101+L52+L59</f>
        <v>-33.1554888346782</v>
      </c>
      <c r="M107" s="48" t="n">
        <f aca="false">M83+M106+M93+M100+M101+M52+M59</f>
        <v>-33.5198348658285</v>
      </c>
      <c r="N107" s="48" t="n">
        <f aca="false">N83+N106+N93+N100+N101+N52+N59</f>
        <v>-33.5198348658285</v>
      </c>
      <c r="O107" s="48" t="n">
        <f aca="false">O83+O106+O93+O100+O101+O52+O59</f>
        <v>-33.1554888346782</v>
      </c>
      <c r="P107" s="48" t="n">
        <f aca="false">P83+P106+P93+P100+P101+P52+P59</f>
        <v>-33.1554888346782</v>
      </c>
      <c r="Q107" s="48" t="n">
        <f aca="false">Q83+Q106+Q93+Q100+Q101+Q52+Q59</f>
        <v>-33.5198348658285</v>
      </c>
      <c r="R107" s="48" t="n">
        <f aca="false">R83+R106+R93+R100+R101+R52+R59</f>
        <v>-928.575842568013</v>
      </c>
      <c r="S107" s="48" t="n">
        <f aca="false">S83+S106+S93+S100+S101+S52+S59</f>
        <v>-156.507584054135</v>
      </c>
      <c r="T107" s="48" t="n">
        <f aca="false">T83+T106+T93+T100+T101+T52+T59</f>
        <v>-138.336002143563</v>
      </c>
      <c r="U107" s="48" t="n">
        <f aca="false">U83+U106+U93+U100+U101+U52+U59</f>
        <v>-129.790754824659</v>
      </c>
      <c r="V107" s="48" t="n">
        <f aca="false">V83+V106+V93+V100+V101+V52+V59</f>
        <v>-119.614722612237</v>
      </c>
      <c r="W107" s="48" t="n">
        <f aca="false">W83+W106+W93+W100+W101+W52+W59</f>
        <v>-108.101519607337</v>
      </c>
      <c r="X107" s="48" t="n">
        <f aca="false">X83+X106+X93+X100+X101+X52+X59</f>
        <v>-99.4560379834396</v>
      </c>
      <c r="Y107" s="48" t="n">
        <f aca="false">Y83+Y106+Y93+Y100+Y101+Y52+Y59</f>
        <v>-90.4835383111278</v>
      </c>
      <c r="Z107" s="48" t="n">
        <f aca="false">Z83+Z106+Z93+Z100+Z101+Z52+Z59</f>
        <v>772.499403042138</v>
      </c>
      <c r="AA107" s="48" t="n">
        <f aca="false">AA83+AA106+AA93+AA100+AA101+AA52+AA59</f>
        <v>764.551637340443</v>
      </c>
      <c r="AB107" s="48" t="n">
        <f aca="false">AB83+AB106+AB93+AB100+AB101+AB52+AB59</f>
        <v>783.715332566448</v>
      </c>
      <c r="AC107" s="48" t="n">
        <f aca="false">AC83+AC106+AC93+AC100+AC101+AC52+AC59</f>
        <v>803.06052320603</v>
      </c>
      <c r="AD107" s="48" t="n">
        <f aca="false">AD83+AD106+AD93+AD100+AD101+AD52+AD59</f>
        <v>799.646369134438</v>
      </c>
      <c r="AE107" s="48" t="n">
        <f aca="false">AE83+AE106+AE93+AE100+AE101+AE52+AE59</f>
        <v>806.218702228295</v>
      </c>
      <c r="AF107" s="48" t="n">
        <f aca="false">AF83+AF106+AF93+AF100+AF101+AF52+AF59</f>
        <v>811.038962512584</v>
      </c>
      <c r="AG107" s="48" t="n">
        <f aca="false">AG83+AG106+AG93+AG100+AG101+AG52+AG59</f>
        <v>830.435642498539</v>
      </c>
      <c r="AH107" s="48" t="n">
        <f aca="false">AH83+AH106+AH93+AH100+AH101+AH52+AH59</f>
        <v>826.929679232095</v>
      </c>
      <c r="AI107" s="48" t="n">
        <f aca="false">AI83+AI106+AI93+AI100+AI101+AI52+AI59</f>
        <v>818.607924886882</v>
      </c>
      <c r="AJ107" s="48" t="n">
        <f aca="false">AJ83+AJ106+AJ93+AJ100+AJ101+AJ52+AJ59</f>
        <v>871.326688267435</v>
      </c>
      <c r="AK107" s="48" t="n">
        <f aca="false">AK83+AK106+AK93+AK100+AK101+AK52+AK59</f>
        <v>891.573872169257</v>
      </c>
      <c r="AL107" s="48" t="n">
        <f aca="false">AL83+AL106+AL93+AL100+AL101+AL52+AL59</f>
        <v>888.426732651231</v>
      </c>
      <c r="AM107" s="48" t="n">
        <f aca="false">AM83+AM106+AM93+AM100+AM101+AM52+AM59</f>
        <v>879.485517664766</v>
      </c>
      <c r="AN107" s="48" t="n">
        <f aca="false">AN83+AN106+AN93+AN100+AN101+AN52+AN59</f>
        <v>899.908807819445</v>
      </c>
      <c r="AO107" s="48" t="n">
        <f aca="false">AO83+AO106+AO93+AO100+AO101+AO52+AO59</f>
        <v>920.516640144411</v>
      </c>
      <c r="AP107" s="48" t="n">
        <f aca="false">AP83+AP106+AP93+AP100+AP101+AP52+AP59</f>
        <v>917.601865595968</v>
      </c>
      <c r="AQ107" s="48" t="n">
        <f aca="false">AQ83+AQ106+AQ93+AQ100+AQ101+AQ52+AQ59</f>
        <v>908.639344824879</v>
      </c>
      <c r="AR107" s="48" t="n">
        <f aca="false">AR83+AR106+AR93+AR100+AR101+AR52+AR59</f>
        <v>929.42981714393</v>
      </c>
      <c r="AS107" s="48" t="n">
        <f aca="false">AS83+AS106+AS93+AS100+AS101+AS52+AS59</f>
        <v>950.408580226017</v>
      </c>
      <c r="AT107" s="48" t="n">
        <f aca="false">AT83+AT106+AT93+AT100+AT101+AT52+AT59</f>
        <v>947.738743129474</v>
      </c>
      <c r="AU107" s="48" t="n">
        <f aca="false">AU83+AU106+AU93+AU100+AU101+AU52+AU59</f>
        <v>953.987180482778</v>
      </c>
      <c r="AV107" s="48" t="n">
        <f aca="false">AV83+AV106+AV93+AV100+AV101+AV52+AV59</f>
        <v>960.055627143355</v>
      </c>
      <c r="AW107" s="48" t="n">
        <f aca="false">AW83+AW106+AW93+AW100+AW101+AW52+AW59</f>
        <v>981.417524799516</v>
      </c>
      <c r="AX107" s="48" t="n">
        <f aca="false">AX83+AX106+AX93+AX100+AX101+AX52+AX59</f>
        <v>979.007230130301</v>
      </c>
      <c r="AY107" s="48" t="n">
        <f aca="false">AY83+AY106+AY93+AY100+AY101+AY52+AY59</f>
        <v>970.034377573364</v>
      </c>
      <c r="AZ107" s="48" t="n">
        <f aca="false">AZ83+AZ106+AZ93+AZ100+AZ101+AZ52+AZ59</f>
        <v>991.593076710082</v>
      </c>
      <c r="BA107" s="48" t="n">
        <f aca="false">BA83+BA106+BA93+BA100+BA101+BA52+BA59</f>
        <v>1013.34801615719</v>
      </c>
      <c r="BB107" s="48" t="n">
        <f aca="false">BB83+BB106+BB93+BB100+BB101+BB52+BB59</f>
        <v>1011.20963615095</v>
      </c>
      <c r="BC107" s="48" t="n">
        <f aca="false">BC83+BC106+BC93+BC100+BC101+BC52+BC59</f>
        <v>1002.24747425589</v>
      </c>
      <c r="BD107" s="48" t="n">
        <f aca="false">BD83+BD106+BD93+BD100+BD101+BD52+BD59</f>
        <v>1024.20683005897</v>
      </c>
      <c r="BE107" s="48" t="n">
        <f aca="false">BE83+BE106+BE93+BE100+BE101+BE52+BE59</f>
        <v>1046.36662388742</v>
      </c>
      <c r="BF107" s="48" t="n">
        <f aca="false">BF83+BF106+BF93+BF100+BF101+BF52+BF59</f>
        <v>1044.51455181837</v>
      </c>
      <c r="BG107" s="48" t="n">
        <f aca="false">BG83+BG106+BG93+BG100+BG101+BG52+BG59</f>
        <v>1035.57488825101</v>
      </c>
      <c r="BH107" s="48" t="n">
        <f aca="false">BH83+BH106+BH93+BH100+BH101+BH52+BH59</f>
        <v>1057.94711039107</v>
      </c>
      <c r="BI107" s="48" t="n">
        <f aca="false">BI83+BI106+BI93+BI100+BI101+BI52+BI59</f>
        <v>1080.52413167556</v>
      </c>
      <c r="BJ107" s="48" t="n">
        <f aca="false">BJ83+BJ106+BJ93+BJ100+BJ101+BJ52+BJ59</f>
        <v>1078.9734236845</v>
      </c>
      <c r="BK107" s="48" t="n">
        <f aca="false">BK83+BK106+BK93+BK100+BK101+BK52+BK59</f>
        <v>1085.55746531445</v>
      </c>
      <c r="BL107" s="48" t="n">
        <f aca="false">BL83+BL106+BL93+BL100+BL101+BL52+BL59</f>
        <v>1092.99005780355</v>
      </c>
      <c r="BM107" s="48" t="n">
        <f aca="false">BM83+BM106+BM93+BM100+BM101+BM52+BM59</f>
        <v>1115.99871823733</v>
      </c>
      <c r="BN107" s="48" t="n">
        <f aca="false">BN83+BN106+BN93+BN100+BN101+BN52+BN59</f>
        <v>1114.76659140257</v>
      </c>
      <c r="BO107" s="48" t="n">
        <f aca="false">BO83+BO106+BO93+BO100+BO101+BO52+BO59</f>
        <v>1105.91137533393</v>
      </c>
      <c r="BP107" s="48" t="n">
        <f aca="false">BP83+BP106+BP93+BP100+BP101+BP52+BP59</f>
        <v>1129.14981299772</v>
      </c>
      <c r="BQ107" s="48" t="n">
        <f aca="false">BQ83+BQ106+BQ93+BQ100+BQ101+BQ52+BQ59</f>
        <v>1152.60231035184</v>
      </c>
      <c r="BR107" s="48" t="n">
        <f aca="false">BR83+BR106+BR93+BR100+BR101+BR52+BR59</f>
        <v>1151.7038428417</v>
      </c>
      <c r="BS107" s="48" t="n">
        <f aca="false">BS83+BS106+BS93+BS100+BS101+BS52+BS59</f>
        <v>1142.9105108876</v>
      </c>
      <c r="BT107" s="48" t="n">
        <f aca="false">BT83+BT106+BT93+BT100+BT101+BT52+BT59</f>
        <v>1166.60211678839</v>
      </c>
      <c r="BU107" s="48" t="n">
        <f aca="false">BU83+BU106+BU93+BU100+BU101+BU52+BU59</f>
        <v>1190.51268114391</v>
      </c>
      <c r="BV107" s="48" t="n">
        <f aca="false">BV83+BV106+BV93+BV100+BV101+BV52+BV59</f>
        <v>1189.96511102742</v>
      </c>
      <c r="BW107" s="48" t="n">
        <f aca="false">BW83+BW106+BW93+BW100+BW101+BW52+BW59</f>
        <v>1181.24817433713</v>
      </c>
      <c r="BX107" s="48" t="n">
        <f aca="false">BX83+BX106+BX93+BX100+BX101+BX52+BX59</f>
        <v>1205.40766303009</v>
      </c>
      <c r="BY107" s="48" t="n">
        <f aca="false">BY83+BY106+BY93+BY100+BY101+BY52+BY59</f>
        <v>1229.79120469312</v>
      </c>
      <c r="BZ107" s="48" t="n">
        <f aca="false">BZ83+BZ106+BZ93+BZ100+BZ101+BZ52+BZ59</f>
        <v>1229.61256474785</v>
      </c>
      <c r="CA107" s="48" t="n">
        <f aca="false">CA83+CA106+CA93+CA100+CA101+CA52+CA59</f>
        <v>1236.69670391463</v>
      </c>
      <c r="CB107" s="48" t="n">
        <f aca="false">CB83+CB106+CB93+CB100+CB101+CB52+CB59</f>
        <v>1245.75451179004</v>
      </c>
      <c r="CC107" s="48" t="n">
        <f aca="false">CC83+CC106+CC93+CC100+CC101+CC52+CC59</f>
        <v>1270.62811636771</v>
      </c>
      <c r="CD107" s="48" t="n">
        <f aca="false">CD83+CD106+CD93+CD100+CD101+CD52+CD59</f>
        <v>1270.83874955786</v>
      </c>
      <c r="CE107" s="48" t="n">
        <f aca="false">CE83+CE106+CE93+CE100+CE101+CE52+CE59</f>
        <v>1262.32270181882</v>
      </c>
      <c r="CF107" s="48" t="n">
        <f aca="false">CF83+CF106+CF93+CF100+CF101+CF52+CF59</f>
        <v>1287.4664673995</v>
      </c>
      <c r="CG107" s="48" t="n">
        <f aca="false">CG83+CG106+CG93+CG100+CG101+CG52+CG59</f>
        <v>1312.8451166754</v>
      </c>
      <c r="CH107" s="48" t="n">
        <f aca="false">CH83+CH106+CH93+CH100+CH101+CH52+CH59</f>
        <v>1313.46334968125</v>
      </c>
      <c r="CI107" s="48" t="n">
        <f aca="false">CI83+CI106+CI93+CI100+CI101+CI52+CI59</f>
        <v>1305.07199842098</v>
      </c>
      <c r="CJ107" s="48" t="n">
        <f aca="false">CJ83+CJ106+CJ93+CJ100+CJ101+CJ52+CJ59</f>
        <v>1330.73223283817</v>
      </c>
      <c r="CK107" s="48" t="n">
        <f aca="false">CK83+CK106+CK93+CK100+CK101+CK52+CK59</f>
        <v>1356.6330896616</v>
      </c>
      <c r="CL107" s="48" t="n">
        <f aca="false">CL83+CL106+CL93+CL100+CL101+CL52+CL59</f>
        <v>1357.679571081</v>
      </c>
      <c r="CM107" s="48" t="n">
        <f aca="false">CM83+CM106+CM93+CM100+CM101+CM52+CM59</f>
        <v>1349.43068886587</v>
      </c>
      <c r="CN107" s="48" t="n">
        <f aca="false">CN83+CN106+CN93+CN100+CN101+CN52+CN59</f>
        <v>1375.62514543027</v>
      </c>
      <c r="CO107" s="48" t="n">
        <f aca="false">CO83+CO106+CO93+CO100+CO101+CO52+CO59</f>
        <v>1402.06619780135</v>
      </c>
      <c r="CP107" s="48" t="n">
        <f aca="false">CP83+CP106+CP93+CP100+CP101+CP52+CP59</f>
        <v>1403.5625293691</v>
      </c>
      <c r="CQ107" s="48" t="n">
        <f aca="false">CQ83+CQ106+CQ93+CQ100+CQ101+CQ52+CQ59</f>
        <v>1411.35228922405</v>
      </c>
      <c r="CR107" s="48" t="n">
        <f aca="false">CR83+CR106+CR93+CR100+CR101+CR52+CR59</f>
        <v>1422.34723761591</v>
      </c>
      <c r="CS107" s="48" t="n">
        <f aca="false">CS83+CS106+CS93+CS100+CS101+CS52+CS59</f>
        <v>1449.34880928072</v>
      </c>
      <c r="CT107" s="48" t="n">
        <f aca="false">CT83+CT106+CT93+CT100+CT101+CT52+CT59</f>
        <v>1451.31907734168</v>
      </c>
      <c r="CU107" s="48" t="n">
        <f aca="false">CU83+CU106+CU93+CU100+CU101+CU52+CU59</f>
        <v>1431.94036090531</v>
      </c>
      <c r="CV107" s="48" t="n">
        <f aca="false">CV83+CV106+CV93+CV100+CV101+CV52+CV59</f>
        <v>1447.85080935981</v>
      </c>
      <c r="CW107" s="48" t="n">
        <f aca="false">CW83+CW106+CW93+CW100+CW101+CW52+CW59</f>
        <v>1463.76125781431</v>
      </c>
      <c r="CX107" s="48" t="n">
        <f aca="false">CX83+CX106+CX93+CX100+CX101+CX52+CX59</f>
        <v>1454.29532974987</v>
      </c>
      <c r="CY107" s="48" t="n">
        <f aca="false">CY83+CY106+CY93+CY100+CY101+CY52+CY59</f>
        <v>1434.55941677741</v>
      </c>
      <c r="CZ107" s="48" t="n">
        <f aca="false">CZ83+CZ106+CZ93+CZ100+CZ101+CZ52+CZ59</f>
        <v>1450.49896585272</v>
      </c>
      <c r="DA107" s="48" t="n">
        <f aca="false">DA83+DA106+DA93+DA100+DA101+DA52+DA59</f>
        <v>1466.43851492802</v>
      </c>
      <c r="DB107" s="48" t="n">
        <f aca="false">DB83+DB106+DB93+DB100+DB101+DB52+DB59</f>
        <v>2503.24466583138</v>
      </c>
      <c r="DC107" s="48" t="n">
        <f aca="false">DC83+DC106+DC93+DC100+DC101+DC52+DC59</f>
        <v>2460.4018457948</v>
      </c>
      <c r="DD107" s="48" t="n">
        <f aca="false">DD83+DD106+DD93+DD100+DD101+DD52+DD59</f>
        <v>2487.73964408141</v>
      </c>
      <c r="DE107" s="48" t="n">
        <f aca="false">DE83+DE106+DE93+DE100+DE101+DE52+DE59</f>
        <v>2515.07744236801</v>
      </c>
      <c r="DF107" s="48" t="n">
        <f aca="false">DF83+DF106+DF93+DF100+DF101+DF52+DF59</f>
        <v>2505.49855853058</v>
      </c>
      <c r="DG107" s="48" t="n">
        <f aca="false">DG83+DG106+DG93+DG100+DG101+DG52+DG59</f>
        <v>2489.65041143909</v>
      </c>
      <c r="DH107" s="48" t="n">
        <f aca="false">DH83+DH106+DH93+DH100+DH101+DH52+DH59</f>
        <v>2489.65041143909</v>
      </c>
      <c r="DI107" s="48" t="n">
        <f aca="false">DI83+DI106+DI93+DI100+DI101+DI52+DI59</f>
        <v>2517.00920716919</v>
      </c>
      <c r="DJ107" s="48" t="n">
        <f aca="false">DJ83+DJ106+DJ93+DJ100+DJ101+DJ52+DJ59</f>
        <v>2507.37368674959</v>
      </c>
      <c r="DK107" s="48" t="n">
        <f aca="false">DK83+DK106+DK93+DK100+DK101+DK52+DK59</f>
        <v>2463.79908392978</v>
      </c>
      <c r="DL107" s="48" t="n">
        <f aca="false">DL83+DL106+DL93+DL100+DL101+DL52+DL59</f>
        <v>2491.17462930678</v>
      </c>
      <c r="DM107" s="48" t="n">
        <f aca="false">DM83+DM106+DM93+DM100+DM101+DM52+DM59</f>
        <v>2518.55017468377</v>
      </c>
      <c r="DN107" s="48" t="n">
        <f aca="false">DN83+DN106+DN93+DN100+DN101+DN52+DN59</f>
        <v>2508.85791904168</v>
      </c>
      <c r="DO107" s="48" t="n">
        <f aca="false">DO83+DO106+DO93+DO100+DO101+DO52+DO59</f>
        <v>2464.91206834606</v>
      </c>
      <c r="DP107" s="48" t="n">
        <f aca="false">DP83+DP106+DP93+DP100+DP101+DP52+DP59</f>
        <v>2492.29998021657</v>
      </c>
      <c r="DQ107" s="48" t="n">
        <f aca="false">DQ83+DQ106+DQ93+DQ100+DQ101+DQ52+DQ59</f>
        <v>2519.68789208708</v>
      </c>
      <c r="DR107" s="48" t="n">
        <f aca="false">DR83+DR106+DR93+DR100+DR101+DR52+DR59</f>
        <v>2509.93880816482</v>
      </c>
      <c r="DS107" s="48" t="n">
        <f aca="false">DS83+DS106+DS93+DS100+DS101+DS52+DS59</f>
        <v>2465.61807007059</v>
      </c>
      <c r="DT107" s="48" t="n">
        <f aca="false">DT83+DT106+DT93+DT100+DT101+DT52+DT59</f>
        <v>2493.0138264047</v>
      </c>
      <c r="DU107" s="48" t="n">
        <f aca="false">DU83+DU106+DU93+DU100+DU101+DU52+DU59</f>
        <v>2520.40958273882</v>
      </c>
      <c r="DV107" s="48" t="n">
        <f aca="false">DV83+DV106+DV93+DV100+DV101+DV52+DV59</f>
        <v>2510.60358323846</v>
      </c>
      <c r="DW107" s="48" t="n">
        <f aca="false">DW83+DW106+DW93+DW100+DW101+DW52+DW59</f>
        <v>2493.30320185874</v>
      </c>
      <c r="DX107" s="48" t="n">
        <f aca="false">DX83+DX106+DX93+DX100+DX101+DX52+DX59</f>
        <v>2493.30320185874</v>
      </c>
      <c r="DY107" s="48" t="n">
        <f aca="false">DY83+DY106+DY93+DY100+DY101+DY52+DY59</f>
        <v>2520.7021381429</v>
      </c>
      <c r="DZ107" s="48" t="n">
        <f aca="false">DZ83+DZ106+DZ93+DZ100+DZ101+DZ52+DZ59</f>
        <v>2510.83914170753</v>
      </c>
      <c r="EA107" s="48" t="n">
        <f aca="false">EA83+EA106+EA93+EA100+EA101+EA52+EA59</f>
        <v>2465.75749862902</v>
      </c>
      <c r="EB107" s="48" t="n">
        <f aca="false">EB83+EB106+EB93+EB100+EB101+EB52+EB59</f>
        <v>2493.15480416934</v>
      </c>
      <c r="EC107" s="48" t="n">
        <f aca="false">EC83+EC106+EC93+EC100+EC101+EC52+EC59</f>
        <v>2520.55210970967</v>
      </c>
      <c r="ED107" s="48" t="n">
        <f aca="false">ED83+ED106+ED93+ED100+ED101+ED52+ED59</f>
        <v>2510.63204110907</v>
      </c>
      <c r="EE107" s="48" t="n">
        <f aca="false">EE83+EE106+EE93+EE100+EE101+EE52+EE59</f>
        <v>2465.16427204806</v>
      </c>
      <c r="EF107" s="48" t="n">
        <f aca="false">EF83+EF106+EF93+EF100+EF101+EF52+EF59</f>
        <v>2492.55498618193</v>
      </c>
      <c r="EG107" s="48" t="n">
        <f aca="false">EG83+EG106+EG93+EG100+EG101+EG52+EG59</f>
        <v>2519.9457003158</v>
      </c>
      <c r="EH107" s="48" t="n">
        <f aca="false">EH83+EH106+EH93+EH100+EH101+EH52+EH59</f>
        <v>2509.96849063659</v>
      </c>
      <c r="EI107" s="48" t="n">
        <f aca="false">EI83+EI106+EI93+EI100+EI101+EI52+EI59</f>
        <v>2464.11073922956</v>
      </c>
      <c r="EJ107" s="48" t="n">
        <f aca="false">EJ83+EJ106+EJ93+EJ100+EJ101+EJ52+EJ59</f>
        <v>2491.48974744322</v>
      </c>
      <c r="EK107" s="48" t="n">
        <f aca="false">EK83+EK106+EK93+EK100+EK101+EK52+EK59</f>
        <v>2518.86875565688</v>
      </c>
      <c r="EL107" s="48" t="n">
        <f aca="false">EL83+EL106+EL93+EL100+EL101+EL52+EL59</f>
        <v>2508.83434249719</v>
      </c>
      <c r="EM107" s="48" t="n">
        <f aca="false">EM83+EM106+EM93+EM100+EM101+EM52+EM59</f>
        <v>2489.94472543768</v>
      </c>
      <c r="EN107" s="48" t="n">
        <f aca="false">EN83+EN106+EN93+EN100+EN101+EN52+EN59</f>
        <v>2489.94472543768</v>
      </c>
      <c r="EO107" s="48" t="n">
        <f aca="false">EO83+EO106+EO93+EO100+EO101+EO52+EO59</f>
        <v>2517.30675538754</v>
      </c>
    </row>
    <row r="108" customFormat="false" ht="15" hidden="false" customHeight="false" outlineLevel="0" collapsed="false">
      <c r="C108" s="0" t="s">
        <v>483</v>
      </c>
      <c r="D108" s="11" t="s">
        <v>33</v>
      </c>
      <c r="J108" s="18" t="n">
        <f aca="false">I112</f>
        <v>0</v>
      </c>
      <c r="K108" s="18" t="n">
        <f aca="false">J112</f>
        <v>12.8099380746857</v>
      </c>
      <c r="L108" s="18" t="n">
        <f aca="false">K112</f>
        <v>32.4846237568024</v>
      </c>
      <c r="M108" s="18" t="n">
        <f aca="false">L112</f>
        <v>65.6401125914806</v>
      </c>
      <c r="N108" s="18" t="n">
        <f aca="false">M112</f>
        <v>99.1599474573091</v>
      </c>
      <c r="O108" s="18" t="n">
        <f aca="false">N112</f>
        <v>132.679782323138</v>
      </c>
      <c r="P108" s="18" t="n">
        <f aca="false">O112</f>
        <v>165.835271157816</v>
      </c>
      <c r="Q108" s="18" t="n">
        <f aca="false">P112</f>
        <v>198.990759992494</v>
      </c>
      <c r="R108" s="18" t="n">
        <f aca="false">Q112</f>
        <v>232.510594858322</v>
      </c>
      <c r="S108" s="18" t="n">
        <f aca="false">R112</f>
        <v>1161.08643742634</v>
      </c>
      <c r="T108" s="18" t="n">
        <f aca="false">S112</f>
        <v>1317.59402148047</v>
      </c>
      <c r="U108" s="18" t="n">
        <f aca="false">T112</f>
        <v>1455.93002362403</v>
      </c>
      <c r="V108" s="18" t="n">
        <f aca="false">U112</f>
        <v>1585.72077844869</v>
      </c>
      <c r="W108" s="18" t="n">
        <f aca="false">V112</f>
        <v>1705.33550106093</v>
      </c>
      <c r="X108" s="18" t="n">
        <f aca="false">W112</f>
        <v>1813.43702066827</v>
      </c>
      <c r="Y108" s="18" t="n">
        <f aca="false">X112</f>
        <v>1912.89305865171</v>
      </c>
      <c r="Z108" s="18" t="n">
        <f aca="false">Y112</f>
        <v>2003.37659696283</v>
      </c>
      <c r="AA108" s="18" t="n">
        <f aca="false">Z112</f>
        <v>1617.12689544177</v>
      </c>
      <c r="AB108" s="18" t="n">
        <f aca="false">AA112</f>
        <v>1234.85107677154</v>
      </c>
      <c r="AC108" s="18" t="n">
        <f aca="false">AB112</f>
        <v>842.993410488321</v>
      </c>
      <c r="AD108" s="18" t="n">
        <f aca="false">AC112</f>
        <v>441.463148885306</v>
      </c>
      <c r="AE108" s="18" t="n">
        <f aca="false">AD112</f>
        <v>41.6399643180869</v>
      </c>
      <c r="AF108" s="18" t="n">
        <f aca="false">AE112</f>
        <v>0</v>
      </c>
      <c r="AG108" s="18" t="n">
        <f aca="false">AF112</f>
        <v>0</v>
      </c>
      <c r="AH108" s="18" t="n">
        <f aca="false">AG112</f>
        <v>0</v>
      </c>
      <c r="AI108" s="18" t="n">
        <f aca="false">AH112</f>
        <v>0</v>
      </c>
      <c r="AJ108" s="18" t="n">
        <f aca="false">AI112</f>
        <v>0</v>
      </c>
      <c r="AK108" s="18" t="n">
        <f aca="false">AJ112</f>
        <v>0</v>
      </c>
      <c r="AL108" s="18" t="n">
        <f aca="false">AK112</f>
        <v>0</v>
      </c>
      <c r="AM108" s="18" t="n">
        <f aca="false">AL112</f>
        <v>0</v>
      </c>
      <c r="AN108" s="18" t="n">
        <f aca="false">AM112</f>
        <v>0</v>
      </c>
      <c r="AO108" s="18" t="n">
        <f aca="false">AN112</f>
        <v>0</v>
      </c>
      <c r="AP108" s="18" t="n">
        <f aca="false">AO112</f>
        <v>0</v>
      </c>
      <c r="AQ108" s="18" t="n">
        <f aca="false">AP112</f>
        <v>0</v>
      </c>
      <c r="AR108" s="18" t="n">
        <f aca="false">AQ112</f>
        <v>0</v>
      </c>
      <c r="AS108" s="18" t="n">
        <f aca="false">AR112</f>
        <v>0</v>
      </c>
      <c r="AT108" s="18" t="n">
        <f aca="false">AS112</f>
        <v>0</v>
      </c>
      <c r="AU108" s="18" t="n">
        <f aca="false">AT112</f>
        <v>0</v>
      </c>
      <c r="AV108" s="18" t="n">
        <f aca="false">AU112</f>
        <v>0</v>
      </c>
      <c r="AW108" s="18" t="n">
        <f aca="false">AV112</f>
        <v>0</v>
      </c>
      <c r="AX108" s="18" t="n">
        <f aca="false">AW112</f>
        <v>0</v>
      </c>
      <c r="AY108" s="18" t="n">
        <f aca="false">AX112</f>
        <v>0</v>
      </c>
      <c r="AZ108" s="18" t="n">
        <f aca="false">AY112</f>
        <v>0</v>
      </c>
      <c r="BA108" s="18" t="n">
        <f aca="false">AZ112</f>
        <v>0</v>
      </c>
      <c r="BB108" s="18" t="n">
        <f aca="false">BA112</f>
        <v>0</v>
      </c>
      <c r="BC108" s="18" t="n">
        <f aca="false">BB112</f>
        <v>0</v>
      </c>
      <c r="BD108" s="18" t="n">
        <f aca="false">BC112</f>
        <v>0</v>
      </c>
      <c r="BE108" s="18" t="n">
        <f aca="false">BD112</f>
        <v>0</v>
      </c>
      <c r="BF108" s="18" t="n">
        <f aca="false">BE112</f>
        <v>0</v>
      </c>
      <c r="BG108" s="18" t="n">
        <f aca="false">BF112</f>
        <v>0</v>
      </c>
      <c r="BH108" s="18" t="n">
        <f aca="false">BG112</f>
        <v>0</v>
      </c>
      <c r="BI108" s="18" t="n">
        <f aca="false">BH112</f>
        <v>0</v>
      </c>
      <c r="BJ108" s="18" t="n">
        <f aca="false">BI112</f>
        <v>0</v>
      </c>
      <c r="BK108" s="18" t="n">
        <f aca="false">BJ112</f>
        <v>0</v>
      </c>
      <c r="BL108" s="18" t="n">
        <f aca="false">BK112</f>
        <v>0</v>
      </c>
      <c r="BM108" s="18" t="n">
        <f aca="false">BL112</f>
        <v>0</v>
      </c>
      <c r="BN108" s="18" t="n">
        <f aca="false">BM112</f>
        <v>0</v>
      </c>
      <c r="BO108" s="18" t="n">
        <f aca="false">BN112</f>
        <v>0</v>
      </c>
      <c r="BP108" s="18" t="n">
        <f aca="false">BO112</f>
        <v>0</v>
      </c>
      <c r="BQ108" s="18" t="n">
        <f aca="false">BP112</f>
        <v>0</v>
      </c>
      <c r="BR108" s="18" t="n">
        <f aca="false">BQ112</f>
        <v>0</v>
      </c>
      <c r="BS108" s="18" t="n">
        <f aca="false">BR112</f>
        <v>0</v>
      </c>
      <c r="BT108" s="18" t="n">
        <f aca="false">BS112</f>
        <v>0</v>
      </c>
      <c r="BU108" s="18" t="n">
        <f aca="false">BT112</f>
        <v>0</v>
      </c>
      <c r="BV108" s="18" t="n">
        <f aca="false">BU112</f>
        <v>0</v>
      </c>
      <c r="BW108" s="18" t="n">
        <f aca="false">BV112</f>
        <v>0</v>
      </c>
      <c r="BX108" s="18" t="n">
        <f aca="false">BW112</f>
        <v>0</v>
      </c>
      <c r="BY108" s="18" t="n">
        <f aca="false">BX112</f>
        <v>0</v>
      </c>
      <c r="BZ108" s="18" t="n">
        <f aca="false">BY112</f>
        <v>0</v>
      </c>
      <c r="CA108" s="18" t="n">
        <f aca="false">BZ112</f>
        <v>0</v>
      </c>
      <c r="CB108" s="18" t="n">
        <f aca="false">CA112</f>
        <v>0</v>
      </c>
      <c r="CC108" s="18" t="n">
        <f aca="false">CB112</f>
        <v>0</v>
      </c>
      <c r="CD108" s="18" t="n">
        <f aca="false">CC112</f>
        <v>0</v>
      </c>
      <c r="CE108" s="18" t="n">
        <f aca="false">CD112</f>
        <v>0</v>
      </c>
      <c r="CF108" s="18" t="n">
        <f aca="false">CE112</f>
        <v>0</v>
      </c>
      <c r="CG108" s="18" t="n">
        <f aca="false">CF112</f>
        <v>0</v>
      </c>
      <c r="CH108" s="18" t="n">
        <f aca="false">CG112</f>
        <v>0</v>
      </c>
      <c r="CI108" s="18" t="n">
        <f aca="false">CH112</f>
        <v>0</v>
      </c>
      <c r="CJ108" s="18" t="n">
        <f aca="false">CI112</f>
        <v>0</v>
      </c>
      <c r="CK108" s="18" t="n">
        <f aca="false">CJ112</f>
        <v>0</v>
      </c>
      <c r="CL108" s="18" t="n">
        <f aca="false">CK112</f>
        <v>0</v>
      </c>
      <c r="CM108" s="18" t="n">
        <f aca="false">CL112</f>
        <v>0</v>
      </c>
      <c r="CN108" s="18" t="n">
        <f aca="false">CM112</f>
        <v>0</v>
      </c>
      <c r="CO108" s="18" t="n">
        <f aca="false">CN112</f>
        <v>0</v>
      </c>
      <c r="CP108" s="18" t="n">
        <f aca="false">CO112</f>
        <v>0</v>
      </c>
      <c r="CQ108" s="18" t="n">
        <f aca="false">CP112</f>
        <v>0</v>
      </c>
      <c r="CR108" s="18" t="n">
        <f aca="false">CQ112</f>
        <v>0</v>
      </c>
      <c r="CS108" s="18" t="n">
        <f aca="false">CR112</f>
        <v>0</v>
      </c>
      <c r="CT108" s="18" t="n">
        <f aca="false">CS112</f>
        <v>0</v>
      </c>
      <c r="CU108" s="18" t="n">
        <f aca="false">CT112</f>
        <v>0</v>
      </c>
      <c r="CV108" s="18" t="n">
        <f aca="false">CU112</f>
        <v>0</v>
      </c>
      <c r="CW108" s="18" t="n">
        <f aca="false">CV112</f>
        <v>0</v>
      </c>
      <c r="CX108" s="18" t="n">
        <f aca="false">CW112</f>
        <v>0</v>
      </c>
      <c r="CY108" s="18" t="n">
        <f aca="false">CX112</f>
        <v>0</v>
      </c>
      <c r="CZ108" s="18" t="n">
        <f aca="false">CY112</f>
        <v>0</v>
      </c>
      <c r="DA108" s="18" t="n">
        <f aca="false">CZ112</f>
        <v>0</v>
      </c>
      <c r="DB108" s="18" t="n">
        <f aca="false">DA112</f>
        <v>0</v>
      </c>
      <c r="DC108" s="18" t="n">
        <f aca="false">DB112</f>
        <v>0</v>
      </c>
      <c r="DD108" s="18" t="n">
        <f aca="false">DC112</f>
        <v>0</v>
      </c>
      <c r="DE108" s="18" t="n">
        <f aca="false">DD112</f>
        <v>0</v>
      </c>
      <c r="DF108" s="18" t="n">
        <f aca="false">DE112</f>
        <v>0</v>
      </c>
      <c r="DG108" s="18" t="n">
        <f aca="false">DF112</f>
        <v>0</v>
      </c>
      <c r="DH108" s="18" t="n">
        <f aca="false">DG112</f>
        <v>0</v>
      </c>
      <c r="DI108" s="18" t="n">
        <f aca="false">DH112</f>
        <v>0</v>
      </c>
      <c r="DJ108" s="18" t="n">
        <f aca="false">DI112</f>
        <v>0</v>
      </c>
      <c r="DK108" s="18" t="n">
        <f aca="false">DJ112</f>
        <v>0</v>
      </c>
      <c r="DL108" s="18" t="n">
        <f aca="false">DK112</f>
        <v>0</v>
      </c>
      <c r="DM108" s="18" t="n">
        <f aca="false">DL112</f>
        <v>0</v>
      </c>
      <c r="DN108" s="18" t="n">
        <f aca="false">DM112</f>
        <v>0</v>
      </c>
      <c r="DO108" s="18" t="n">
        <f aca="false">DN112</f>
        <v>0</v>
      </c>
      <c r="DP108" s="18" t="n">
        <f aca="false">DO112</f>
        <v>0</v>
      </c>
      <c r="DQ108" s="18" t="n">
        <f aca="false">DP112</f>
        <v>0</v>
      </c>
      <c r="DR108" s="18" t="n">
        <f aca="false">DQ112</f>
        <v>0</v>
      </c>
      <c r="DS108" s="18" t="n">
        <f aca="false">DR112</f>
        <v>0</v>
      </c>
      <c r="DT108" s="18" t="n">
        <f aca="false">DS112</f>
        <v>0</v>
      </c>
      <c r="DU108" s="18" t="n">
        <f aca="false">DT112</f>
        <v>0</v>
      </c>
      <c r="DV108" s="18" t="n">
        <f aca="false">DU112</f>
        <v>0</v>
      </c>
      <c r="DW108" s="18" t="n">
        <f aca="false">DV112</f>
        <v>0</v>
      </c>
      <c r="DX108" s="18" t="n">
        <f aca="false">DW112</f>
        <v>0</v>
      </c>
      <c r="DY108" s="18" t="n">
        <f aca="false">DX112</f>
        <v>0</v>
      </c>
      <c r="DZ108" s="18" t="n">
        <f aca="false">DY112</f>
        <v>0</v>
      </c>
      <c r="EA108" s="18" t="n">
        <f aca="false">DZ112</f>
        <v>0</v>
      </c>
      <c r="EB108" s="18" t="n">
        <f aca="false">EA112</f>
        <v>0</v>
      </c>
      <c r="EC108" s="18" t="n">
        <f aca="false">EB112</f>
        <v>0</v>
      </c>
      <c r="ED108" s="18" t="n">
        <f aca="false">EC112</f>
        <v>0</v>
      </c>
      <c r="EE108" s="18" t="n">
        <f aca="false">ED112</f>
        <v>0</v>
      </c>
      <c r="EF108" s="18" t="n">
        <f aca="false">EE112</f>
        <v>0</v>
      </c>
      <c r="EG108" s="18" t="n">
        <f aca="false">EF112</f>
        <v>0</v>
      </c>
      <c r="EH108" s="18" t="n">
        <f aca="false">EG112</f>
        <v>0</v>
      </c>
      <c r="EI108" s="18" t="n">
        <f aca="false">EH112</f>
        <v>0</v>
      </c>
      <c r="EJ108" s="18" t="n">
        <f aca="false">EI112</f>
        <v>0</v>
      </c>
      <c r="EK108" s="18" t="n">
        <f aca="false">EJ112</f>
        <v>0</v>
      </c>
      <c r="EL108" s="18" t="n">
        <f aca="false">EK112</f>
        <v>0</v>
      </c>
      <c r="EM108" s="18" t="n">
        <f aca="false">EL112</f>
        <v>0</v>
      </c>
      <c r="EN108" s="18" t="n">
        <f aca="false">EM112</f>
        <v>0</v>
      </c>
      <c r="EO108" s="18" t="n">
        <f aca="false">EN112</f>
        <v>0</v>
      </c>
    </row>
    <row r="109" customFormat="false" ht="15" hidden="false" customHeight="false" outlineLevel="0" collapsed="false">
      <c r="C109" s="0" t="s">
        <v>484</v>
      </c>
      <c r="D109" s="11" t="s">
        <v>33</v>
      </c>
      <c r="I109" s="48" t="n">
        <f aca="false">SUM(J109:EO109)</f>
        <v>2003.37659696283</v>
      </c>
      <c r="J109" s="48" t="n">
        <f aca="false">MAX(0,-J107)</f>
        <v>12.8099380746857</v>
      </c>
      <c r="K109" s="48" t="n">
        <f aca="false">MAX(0,-K107)</f>
        <v>19.6746856821167</v>
      </c>
      <c r="L109" s="48" t="n">
        <f aca="false">MAX(0,-L107)</f>
        <v>33.1554888346782</v>
      </c>
      <c r="M109" s="48" t="n">
        <f aca="false">MAX(0,-M107)</f>
        <v>33.5198348658285</v>
      </c>
      <c r="N109" s="48" t="n">
        <f aca="false">MAX(0,-N107)</f>
        <v>33.5198348658285</v>
      </c>
      <c r="O109" s="48" t="n">
        <f aca="false">MAX(0,-O107)</f>
        <v>33.1554888346782</v>
      </c>
      <c r="P109" s="48" t="n">
        <f aca="false">MAX(0,-P107)</f>
        <v>33.1554888346782</v>
      </c>
      <c r="Q109" s="48" t="n">
        <f aca="false">MAX(0,-Q107)</f>
        <v>33.5198348658285</v>
      </c>
      <c r="R109" s="48" t="n">
        <f aca="false">MAX(0,-R107)</f>
        <v>928.575842568013</v>
      </c>
      <c r="S109" s="48" t="n">
        <f aca="false">MAX(0,-S107)</f>
        <v>156.507584054135</v>
      </c>
      <c r="T109" s="48" t="n">
        <f aca="false">MAX(0,-T107)</f>
        <v>138.336002143563</v>
      </c>
      <c r="U109" s="48" t="n">
        <f aca="false">MAX(0,-U107)</f>
        <v>129.790754824659</v>
      </c>
      <c r="V109" s="48" t="n">
        <f aca="false">MAX(0,-V107)</f>
        <v>119.614722612237</v>
      </c>
      <c r="W109" s="48" t="n">
        <f aca="false">MAX(0,-W107)</f>
        <v>108.101519607337</v>
      </c>
      <c r="X109" s="48" t="n">
        <f aca="false">MAX(0,-X107)</f>
        <v>99.4560379834396</v>
      </c>
      <c r="Y109" s="48" t="n">
        <f aca="false">MAX(0,-Y107)</f>
        <v>90.4835383111278</v>
      </c>
      <c r="Z109" s="48" t="n">
        <f aca="false">MAX(0,-Z107)</f>
        <v>0</v>
      </c>
      <c r="AA109" s="48" t="n">
        <f aca="false">MAX(0,-AA107)</f>
        <v>0</v>
      </c>
      <c r="AB109" s="48" t="n">
        <f aca="false">MAX(0,-AB107)</f>
        <v>0</v>
      </c>
      <c r="AC109" s="48" t="n">
        <f aca="false">MAX(0,-AC107)</f>
        <v>0</v>
      </c>
      <c r="AD109" s="48" t="n">
        <f aca="false">MAX(0,-AD107)</f>
        <v>0</v>
      </c>
      <c r="AE109" s="48" t="n">
        <f aca="false">MAX(0,-AE107)</f>
        <v>0</v>
      </c>
      <c r="AF109" s="48" t="n">
        <f aca="false">MAX(0,-AF107)</f>
        <v>0</v>
      </c>
      <c r="AG109" s="48" t="n">
        <f aca="false">MAX(0,-AG107)</f>
        <v>0</v>
      </c>
      <c r="AH109" s="48" t="n">
        <f aca="false">MAX(0,-AH107)</f>
        <v>0</v>
      </c>
      <c r="AI109" s="48" t="n">
        <f aca="false">MAX(0,-AI107)</f>
        <v>0</v>
      </c>
      <c r="AJ109" s="48" t="n">
        <f aca="false">MAX(0,-AJ107)</f>
        <v>0</v>
      </c>
      <c r="AK109" s="48" t="n">
        <f aca="false">MAX(0,-AK107)</f>
        <v>0</v>
      </c>
      <c r="AL109" s="48" t="n">
        <f aca="false">MAX(0,-AL107)</f>
        <v>0</v>
      </c>
      <c r="AM109" s="48" t="n">
        <f aca="false">MAX(0,-AM107)</f>
        <v>0</v>
      </c>
      <c r="AN109" s="48" t="n">
        <f aca="false">MAX(0,-AN107)</f>
        <v>0</v>
      </c>
      <c r="AO109" s="48" t="n">
        <f aca="false">MAX(0,-AO107)</f>
        <v>0</v>
      </c>
      <c r="AP109" s="48" t="n">
        <f aca="false">MAX(0,-AP107)</f>
        <v>0</v>
      </c>
      <c r="AQ109" s="48" t="n">
        <f aca="false">MAX(0,-AQ107)</f>
        <v>0</v>
      </c>
      <c r="AR109" s="48" t="n">
        <f aca="false">MAX(0,-AR107)</f>
        <v>0</v>
      </c>
      <c r="AS109" s="48" t="n">
        <f aca="false">MAX(0,-AS107)</f>
        <v>0</v>
      </c>
      <c r="AT109" s="48" t="n">
        <f aca="false">MAX(0,-AT107)</f>
        <v>0</v>
      </c>
      <c r="AU109" s="48" t="n">
        <f aca="false">MAX(0,-AU107)</f>
        <v>0</v>
      </c>
      <c r="AV109" s="48" t="n">
        <f aca="false">MAX(0,-AV107)</f>
        <v>0</v>
      </c>
      <c r="AW109" s="48" t="n">
        <f aca="false">MAX(0,-AW107)</f>
        <v>0</v>
      </c>
      <c r="AX109" s="48" t="n">
        <f aca="false">MAX(0,-AX107)</f>
        <v>0</v>
      </c>
      <c r="AY109" s="48" t="n">
        <f aca="false">MAX(0,-AY107)</f>
        <v>0</v>
      </c>
      <c r="AZ109" s="48" t="n">
        <f aca="false">MAX(0,-AZ107)</f>
        <v>0</v>
      </c>
      <c r="BA109" s="48" t="n">
        <f aca="false">MAX(0,-BA107)</f>
        <v>0</v>
      </c>
      <c r="BB109" s="48" t="n">
        <f aca="false">MAX(0,-BB107)</f>
        <v>0</v>
      </c>
      <c r="BC109" s="48" t="n">
        <f aca="false">MAX(0,-BC107)</f>
        <v>0</v>
      </c>
      <c r="BD109" s="48" t="n">
        <f aca="false">MAX(0,-BD107)</f>
        <v>0</v>
      </c>
      <c r="BE109" s="48" t="n">
        <f aca="false">MAX(0,-BE107)</f>
        <v>0</v>
      </c>
      <c r="BF109" s="48" t="n">
        <f aca="false">MAX(0,-BF107)</f>
        <v>0</v>
      </c>
      <c r="BG109" s="48" t="n">
        <f aca="false">MAX(0,-BG107)</f>
        <v>0</v>
      </c>
      <c r="BH109" s="48" t="n">
        <f aca="false">MAX(0,-BH107)</f>
        <v>0</v>
      </c>
      <c r="BI109" s="48" t="n">
        <f aca="false">MAX(0,-BI107)</f>
        <v>0</v>
      </c>
      <c r="BJ109" s="48" t="n">
        <f aca="false">MAX(0,-BJ107)</f>
        <v>0</v>
      </c>
      <c r="BK109" s="48" t="n">
        <f aca="false">MAX(0,-BK107)</f>
        <v>0</v>
      </c>
      <c r="BL109" s="48" t="n">
        <f aca="false">MAX(0,-BL107)</f>
        <v>0</v>
      </c>
      <c r="BM109" s="48" t="n">
        <f aca="false">MAX(0,-BM107)</f>
        <v>0</v>
      </c>
      <c r="BN109" s="48" t="n">
        <f aca="false">MAX(0,-BN107)</f>
        <v>0</v>
      </c>
      <c r="BO109" s="48" t="n">
        <f aca="false">MAX(0,-BO107)</f>
        <v>0</v>
      </c>
      <c r="BP109" s="48" t="n">
        <f aca="false">MAX(0,-BP107)</f>
        <v>0</v>
      </c>
      <c r="BQ109" s="48" t="n">
        <f aca="false">MAX(0,-BQ107)</f>
        <v>0</v>
      </c>
      <c r="BR109" s="48" t="n">
        <f aca="false">MAX(0,-BR107)</f>
        <v>0</v>
      </c>
      <c r="BS109" s="48" t="n">
        <f aca="false">MAX(0,-BS107)</f>
        <v>0</v>
      </c>
      <c r="BT109" s="48" t="n">
        <f aca="false">MAX(0,-BT107)</f>
        <v>0</v>
      </c>
      <c r="BU109" s="48" t="n">
        <f aca="false">MAX(0,-BU107)</f>
        <v>0</v>
      </c>
      <c r="BV109" s="48" t="n">
        <f aca="false">MAX(0,-BV107)</f>
        <v>0</v>
      </c>
      <c r="BW109" s="48" t="n">
        <f aca="false">MAX(0,-BW107)</f>
        <v>0</v>
      </c>
      <c r="BX109" s="48" t="n">
        <f aca="false">MAX(0,-BX107)</f>
        <v>0</v>
      </c>
      <c r="BY109" s="48" t="n">
        <f aca="false">MAX(0,-BY107)</f>
        <v>0</v>
      </c>
      <c r="BZ109" s="48" t="n">
        <f aca="false">MAX(0,-BZ107)</f>
        <v>0</v>
      </c>
      <c r="CA109" s="48" t="n">
        <f aca="false">MAX(0,-CA107)</f>
        <v>0</v>
      </c>
      <c r="CB109" s="48" t="n">
        <f aca="false">MAX(0,-CB107)</f>
        <v>0</v>
      </c>
      <c r="CC109" s="48" t="n">
        <f aca="false">MAX(0,-CC107)</f>
        <v>0</v>
      </c>
      <c r="CD109" s="48" t="n">
        <f aca="false">MAX(0,-CD107)</f>
        <v>0</v>
      </c>
      <c r="CE109" s="48" t="n">
        <f aca="false">MAX(0,-CE107)</f>
        <v>0</v>
      </c>
      <c r="CF109" s="48" t="n">
        <f aca="false">MAX(0,-CF107)</f>
        <v>0</v>
      </c>
      <c r="CG109" s="48" t="n">
        <f aca="false">MAX(0,-CG107)</f>
        <v>0</v>
      </c>
      <c r="CH109" s="48" t="n">
        <f aca="false">MAX(0,-CH107)</f>
        <v>0</v>
      </c>
      <c r="CI109" s="48" t="n">
        <f aca="false">MAX(0,-CI107)</f>
        <v>0</v>
      </c>
      <c r="CJ109" s="48" t="n">
        <f aca="false">MAX(0,-CJ107)</f>
        <v>0</v>
      </c>
      <c r="CK109" s="48" t="n">
        <f aca="false">MAX(0,-CK107)</f>
        <v>0</v>
      </c>
      <c r="CL109" s="48" t="n">
        <f aca="false">MAX(0,-CL107)</f>
        <v>0</v>
      </c>
      <c r="CM109" s="48" t="n">
        <f aca="false">MAX(0,-CM107)</f>
        <v>0</v>
      </c>
      <c r="CN109" s="48" t="n">
        <f aca="false">MAX(0,-CN107)</f>
        <v>0</v>
      </c>
      <c r="CO109" s="48" t="n">
        <f aca="false">MAX(0,-CO107)</f>
        <v>0</v>
      </c>
      <c r="CP109" s="48" t="n">
        <f aca="false">MAX(0,-CP107)</f>
        <v>0</v>
      </c>
      <c r="CQ109" s="48" t="n">
        <f aca="false">MAX(0,-CQ107)</f>
        <v>0</v>
      </c>
      <c r="CR109" s="48" t="n">
        <f aca="false">MAX(0,-CR107)</f>
        <v>0</v>
      </c>
      <c r="CS109" s="48" t="n">
        <f aca="false">MAX(0,-CS107)</f>
        <v>0</v>
      </c>
      <c r="CT109" s="48" t="n">
        <f aca="false">MAX(0,-CT107)</f>
        <v>0</v>
      </c>
      <c r="CU109" s="48" t="n">
        <f aca="false">MAX(0,-CU107)</f>
        <v>0</v>
      </c>
      <c r="CV109" s="48" t="n">
        <f aca="false">MAX(0,-CV107)</f>
        <v>0</v>
      </c>
      <c r="CW109" s="48" t="n">
        <f aca="false">MAX(0,-CW107)</f>
        <v>0</v>
      </c>
      <c r="CX109" s="48" t="n">
        <f aca="false">MAX(0,-CX107)</f>
        <v>0</v>
      </c>
      <c r="CY109" s="48" t="n">
        <f aca="false">MAX(0,-CY107)</f>
        <v>0</v>
      </c>
      <c r="CZ109" s="48" t="n">
        <f aca="false">MAX(0,-CZ107)</f>
        <v>0</v>
      </c>
      <c r="DA109" s="48" t="n">
        <f aca="false">MAX(0,-DA107)</f>
        <v>0</v>
      </c>
      <c r="DB109" s="48" t="n">
        <f aca="false">MAX(0,-DB107)</f>
        <v>0</v>
      </c>
      <c r="DC109" s="48" t="n">
        <f aca="false">MAX(0,-DC107)</f>
        <v>0</v>
      </c>
      <c r="DD109" s="48" t="n">
        <f aca="false">MAX(0,-DD107)</f>
        <v>0</v>
      </c>
      <c r="DE109" s="48" t="n">
        <f aca="false">MAX(0,-DE107)</f>
        <v>0</v>
      </c>
      <c r="DF109" s="48" t="n">
        <f aca="false">MAX(0,-DF107)</f>
        <v>0</v>
      </c>
      <c r="DG109" s="48" t="n">
        <f aca="false">MAX(0,-DG107)</f>
        <v>0</v>
      </c>
      <c r="DH109" s="48" t="n">
        <f aca="false">MAX(0,-DH107)</f>
        <v>0</v>
      </c>
      <c r="DI109" s="48" t="n">
        <f aca="false">MAX(0,-DI107)</f>
        <v>0</v>
      </c>
      <c r="DJ109" s="48" t="n">
        <f aca="false">MAX(0,-DJ107)</f>
        <v>0</v>
      </c>
      <c r="DK109" s="48" t="n">
        <f aca="false">MAX(0,-DK107)</f>
        <v>0</v>
      </c>
      <c r="DL109" s="48" t="n">
        <f aca="false">MAX(0,-DL107)</f>
        <v>0</v>
      </c>
      <c r="DM109" s="48" t="n">
        <f aca="false">MAX(0,-DM107)</f>
        <v>0</v>
      </c>
      <c r="DN109" s="48" t="n">
        <f aca="false">MAX(0,-DN107)</f>
        <v>0</v>
      </c>
      <c r="DO109" s="48" t="n">
        <f aca="false">MAX(0,-DO107)</f>
        <v>0</v>
      </c>
      <c r="DP109" s="48" t="n">
        <f aca="false">MAX(0,-DP107)</f>
        <v>0</v>
      </c>
      <c r="DQ109" s="48" t="n">
        <f aca="false">MAX(0,-DQ107)</f>
        <v>0</v>
      </c>
      <c r="DR109" s="48" t="n">
        <f aca="false">MAX(0,-DR107)</f>
        <v>0</v>
      </c>
      <c r="DS109" s="48" t="n">
        <f aca="false">MAX(0,-DS107)</f>
        <v>0</v>
      </c>
      <c r="DT109" s="48" t="n">
        <f aca="false">MAX(0,-DT107)</f>
        <v>0</v>
      </c>
      <c r="DU109" s="48" t="n">
        <f aca="false">MAX(0,-DU107)</f>
        <v>0</v>
      </c>
      <c r="DV109" s="48" t="n">
        <f aca="false">MAX(0,-DV107)</f>
        <v>0</v>
      </c>
      <c r="DW109" s="48" t="n">
        <f aca="false">MAX(0,-DW107)</f>
        <v>0</v>
      </c>
      <c r="DX109" s="48" t="n">
        <f aca="false">MAX(0,-DX107)</f>
        <v>0</v>
      </c>
      <c r="DY109" s="48" t="n">
        <f aca="false">MAX(0,-DY107)</f>
        <v>0</v>
      </c>
      <c r="DZ109" s="48" t="n">
        <f aca="false">MAX(0,-DZ107)</f>
        <v>0</v>
      </c>
      <c r="EA109" s="48" t="n">
        <f aca="false">MAX(0,-EA107)</f>
        <v>0</v>
      </c>
      <c r="EB109" s="48" t="n">
        <f aca="false">MAX(0,-EB107)</f>
        <v>0</v>
      </c>
      <c r="EC109" s="48" t="n">
        <f aca="false">MAX(0,-EC107)</f>
        <v>0</v>
      </c>
      <c r="ED109" s="48" t="n">
        <f aca="false">MAX(0,-ED107)</f>
        <v>0</v>
      </c>
      <c r="EE109" s="48" t="n">
        <f aca="false">MAX(0,-EE107)</f>
        <v>0</v>
      </c>
      <c r="EF109" s="48" t="n">
        <f aca="false">MAX(0,-EF107)</f>
        <v>0</v>
      </c>
      <c r="EG109" s="48" t="n">
        <f aca="false">MAX(0,-EG107)</f>
        <v>0</v>
      </c>
      <c r="EH109" s="48" t="n">
        <f aca="false">MAX(0,-EH107)</f>
        <v>0</v>
      </c>
      <c r="EI109" s="48" t="n">
        <f aca="false">MAX(0,-EI107)</f>
        <v>0</v>
      </c>
      <c r="EJ109" s="48" t="n">
        <f aca="false">MAX(0,-EJ107)</f>
        <v>0</v>
      </c>
      <c r="EK109" s="48" t="n">
        <f aca="false">MAX(0,-EK107)</f>
        <v>0</v>
      </c>
      <c r="EL109" s="48" t="n">
        <f aca="false">MAX(0,-EL107)</f>
        <v>0</v>
      </c>
      <c r="EM109" s="48" t="n">
        <f aca="false">MAX(0,-EM107)</f>
        <v>0</v>
      </c>
      <c r="EN109" s="48" t="n">
        <f aca="false">MAX(0,-EN107)</f>
        <v>0</v>
      </c>
      <c r="EO109" s="48" t="n">
        <f aca="false">MAX(0,-EO107)</f>
        <v>0</v>
      </c>
    </row>
    <row r="110" customFormat="false" ht="15" hidden="false" customHeight="false" outlineLevel="0" collapsed="false">
      <c r="C110" s="0" t="s">
        <v>485</v>
      </c>
      <c r="D110" s="11" t="s">
        <v>33</v>
      </c>
      <c r="I110" s="48" t="n">
        <f aca="false">SUM(J110:EO110)</f>
        <v>-2003.37659696283</v>
      </c>
      <c r="J110" s="48" t="n">
        <f aca="false">-MIN(J108,In_Loss_Cap*MAX(0,J107))</f>
        <v>-0</v>
      </c>
      <c r="K110" s="48" t="n">
        <f aca="false">-MIN(K108,In_Loss_Cap*MAX(0,K107))</f>
        <v>-0</v>
      </c>
      <c r="L110" s="48" t="n">
        <f aca="false">-MIN(L108,In_Loss_Cap*MAX(0,L107))</f>
        <v>-0</v>
      </c>
      <c r="M110" s="48" t="n">
        <f aca="false">-MIN(M108,In_Loss_Cap*MAX(0,M107))</f>
        <v>-0</v>
      </c>
      <c r="N110" s="48" t="n">
        <f aca="false">-MIN(N108,In_Loss_Cap*MAX(0,N107))</f>
        <v>-0</v>
      </c>
      <c r="O110" s="48" t="n">
        <f aca="false">-MIN(O108,In_Loss_Cap*MAX(0,O107))</f>
        <v>-0</v>
      </c>
      <c r="P110" s="48" t="n">
        <f aca="false">-MIN(P108,In_Loss_Cap*MAX(0,P107))</f>
        <v>-0</v>
      </c>
      <c r="Q110" s="48" t="n">
        <f aca="false">-MIN(Q108,In_Loss_Cap*MAX(0,Q107))</f>
        <v>-0</v>
      </c>
      <c r="R110" s="48" t="n">
        <f aca="false">-MIN(R108,In_Loss_Cap*MAX(0,R107))</f>
        <v>-0</v>
      </c>
      <c r="S110" s="48" t="n">
        <f aca="false">-MIN(S108,In_Loss_Cap*MAX(0,S107))</f>
        <v>-0</v>
      </c>
      <c r="T110" s="48" t="n">
        <f aca="false">-MIN(T108,In_Loss_Cap*MAX(0,T107))</f>
        <v>-0</v>
      </c>
      <c r="U110" s="48" t="n">
        <f aca="false">-MIN(U108,In_Loss_Cap*MAX(0,U107))</f>
        <v>-0</v>
      </c>
      <c r="V110" s="48" t="n">
        <f aca="false">-MIN(V108,In_Loss_Cap*MAX(0,V107))</f>
        <v>-0</v>
      </c>
      <c r="W110" s="48" t="n">
        <f aca="false">-MIN(W108,In_Loss_Cap*MAX(0,W107))</f>
        <v>-0</v>
      </c>
      <c r="X110" s="48" t="n">
        <f aca="false">-MIN(X108,In_Loss_Cap*MAX(0,X107))</f>
        <v>-0</v>
      </c>
      <c r="Y110" s="48" t="n">
        <f aca="false">-MIN(Y108,In_Loss_Cap*MAX(0,Y107))</f>
        <v>-0</v>
      </c>
      <c r="Z110" s="48" t="n">
        <f aca="false">-MIN(Z108,In_Loss_Cap*MAX(0,Z107))</f>
        <v>-386.249701521069</v>
      </c>
      <c r="AA110" s="48" t="n">
        <f aca="false">-MIN(AA108,In_Loss_Cap*MAX(0,AA107))</f>
        <v>-382.275818670221</v>
      </c>
      <c r="AB110" s="48" t="n">
        <f aca="false">-MIN(AB108,In_Loss_Cap*MAX(0,AB107))</f>
        <v>-391.857666283224</v>
      </c>
      <c r="AC110" s="48" t="n">
        <f aca="false">-MIN(AC108,In_Loss_Cap*MAX(0,AC107))</f>
        <v>-401.530261603015</v>
      </c>
      <c r="AD110" s="48" t="n">
        <f aca="false">-MIN(AD108,In_Loss_Cap*MAX(0,AD107))</f>
        <v>-399.823184567219</v>
      </c>
      <c r="AE110" s="48" t="n">
        <f aca="false">-MIN(AE108,In_Loss_Cap*MAX(0,AE107))</f>
        <v>-41.6399643180869</v>
      </c>
      <c r="AF110" s="48" t="n">
        <f aca="false">-MIN(AF108,In_Loss_Cap*MAX(0,AF107))</f>
        <v>-0</v>
      </c>
      <c r="AG110" s="48" t="n">
        <f aca="false">-MIN(AG108,In_Loss_Cap*MAX(0,AG107))</f>
        <v>-0</v>
      </c>
      <c r="AH110" s="48" t="n">
        <f aca="false">-MIN(AH108,In_Loss_Cap*MAX(0,AH107))</f>
        <v>-0</v>
      </c>
      <c r="AI110" s="48" t="n">
        <f aca="false">-MIN(AI108,In_Loss_Cap*MAX(0,AI107))</f>
        <v>-0</v>
      </c>
      <c r="AJ110" s="48" t="n">
        <f aca="false">-MIN(AJ108,In_Loss_Cap*MAX(0,AJ107))</f>
        <v>-0</v>
      </c>
      <c r="AK110" s="48" t="n">
        <f aca="false">-MIN(AK108,In_Loss_Cap*MAX(0,AK107))</f>
        <v>-0</v>
      </c>
      <c r="AL110" s="48" t="n">
        <f aca="false">-MIN(AL108,In_Loss_Cap*MAX(0,AL107))</f>
        <v>-0</v>
      </c>
      <c r="AM110" s="48" t="n">
        <f aca="false">-MIN(AM108,In_Loss_Cap*MAX(0,AM107))</f>
        <v>-0</v>
      </c>
      <c r="AN110" s="48" t="n">
        <f aca="false">-MIN(AN108,In_Loss_Cap*MAX(0,AN107))</f>
        <v>-0</v>
      </c>
      <c r="AO110" s="48" t="n">
        <f aca="false">-MIN(AO108,In_Loss_Cap*MAX(0,AO107))</f>
        <v>-0</v>
      </c>
      <c r="AP110" s="48" t="n">
        <f aca="false">-MIN(AP108,In_Loss_Cap*MAX(0,AP107))</f>
        <v>-0</v>
      </c>
      <c r="AQ110" s="48" t="n">
        <f aca="false">-MIN(AQ108,In_Loss_Cap*MAX(0,AQ107))</f>
        <v>-0</v>
      </c>
      <c r="AR110" s="48" t="n">
        <f aca="false">-MIN(AR108,In_Loss_Cap*MAX(0,AR107))</f>
        <v>-0</v>
      </c>
      <c r="AS110" s="48" t="n">
        <f aca="false">-MIN(AS108,In_Loss_Cap*MAX(0,AS107))</f>
        <v>-0</v>
      </c>
      <c r="AT110" s="48" t="n">
        <f aca="false">-MIN(AT108,In_Loss_Cap*MAX(0,AT107))</f>
        <v>-0</v>
      </c>
      <c r="AU110" s="48" t="n">
        <f aca="false">-MIN(AU108,In_Loss_Cap*MAX(0,AU107))</f>
        <v>-0</v>
      </c>
      <c r="AV110" s="48" t="n">
        <f aca="false">-MIN(AV108,In_Loss_Cap*MAX(0,AV107))</f>
        <v>-0</v>
      </c>
      <c r="AW110" s="48" t="n">
        <f aca="false">-MIN(AW108,In_Loss_Cap*MAX(0,AW107))</f>
        <v>-0</v>
      </c>
      <c r="AX110" s="48" t="n">
        <f aca="false">-MIN(AX108,In_Loss_Cap*MAX(0,AX107))</f>
        <v>-0</v>
      </c>
      <c r="AY110" s="48" t="n">
        <f aca="false">-MIN(AY108,In_Loss_Cap*MAX(0,AY107))</f>
        <v>-0</v>
      </c>
      <c r="AZ110" s="48" t="n">
        <f aca="false">-MIN(AZ108,In_Loss_Cap*MAX(0,AZ107))</f>
        <v>-0</v>
      </c>
      <c r="BA110" s="48" t="n">
        <f aca="false">-MIN(BA108,In_Loss_Cap*MAX(0,BA107))</f>
        <v>-0</v>
      </c>
      <c r="BB110" s="48" t="n">
        <f aca="false">-MIN(BB108,In_Loss_Cap*MAX(0,BB107))</f>
        <v>-0</v>
      </c>
      <c r="BC110" s="48" t="n">
        <f aca="false">-MIN(BC108,In_Loss_Cap*MAX(0,BC107))</f>
        <v>-0</v>
      </c>
      <c r="BD110" s="48" t="n">
        <f aca="false">-MIN(BD108,In_Loss_Cap*MAX(0,BD107))</f>
        <v>-0</v>
      </c>
      <c r="BE110" s="48" t="n">
        <f aca="false">-MIN(BE108,In_Loss_Cap*MAX(0,BE107))</f>
        <v>-0</v>
      </c>
      <c r="BF110" s="48" t="n">
        <f aca="false">-MIN(BF108,In_Loss_Cap*MAX(0,BF107))</f>
        <v>-0</v>
      </c>
      <c r="BG110" s="48" t="n">
        <f aca="false">-MIN(BG108,In_Loss_Cap*MAX(0,BG107))</f>
        <v>-0</v>
      </c>
      <c r="BH110" s="48" t="n">
        <f aca="false">-MIN(BH108,In_Loss_Cap*MAX(0,BH107))</f>
        <v>-0</v>
      </c>
      <c r="BI110" s="48" t="n">
        <f aca="false">-MIN(BI108,In_Loss_Cap*MAX(0,BI107))</f>
        <v>-0</v>
      </c>
      <c r="BJ110" s="48" t="n">
        <f aca="false">-MIN(BJ108,In_Loss_Cap*MAX(0,BJ107))</f>
        <v>-0</v>
      </c>
      <c r="BK110" s="48" t="n">
        <f aca="false">-MIN(BK108,In_Loss_Cap*MAX(0,BK107))</f>
        <v>-0</v>
      </c>
      <c r="BL110" s="48" t="n">
        <f aca="false">-MIN(BL108,In_Loss_Cap*MAX(0,BL107))</f>
        <v>-0</v>
      </c>
      <c r="BM110" s="48" t="n">
        <f aca="false">-MIN(BM108,In_Loss_Cap*MAX(0,BM107))</f>
        <v>-0</v>
      </c>
      <c r="BN110" s="48" t="n">
        <f aca="false">-MIN(BN108,In_Loss_Cap*MAX(0,BN107))</f>
        <v>-0</v>
      </c>
      <c r="BO110" s="48" t="n">
        <f aca="false">-MIN(BO108,In_Loss_Cap*MAX(0,BO107))</f>
        <v>-0</v>
      </c>
      <c r="BP110" s="48" t="n">
        <f aca="false">-MIN(BP108,In_Loss_Cap*MAX(0,BP107))</f>
        <v>-0</v>
      </c>
      <c r="BQ110" s="48" t="n">
        <f aca="false">-MIN(BQ108,In_Loss_Cap*MAX(0,BQ107))</f>
        <v>-0</v>
      </c>
      <c r="BR110" s="48" t="n">
        <f aca="false">-MIN(BR108,In_Loss_Cap*MAX(0,BR107))</f>
        <v>-0</v>
      </c>
      <c r="BS110" s="48" t="n">
        <f aca="false">-MIN(BS108,In_Loss_Cap*MAX(0,BS107))</f>
        <v>-0</v>
      </c>
      <c r="BT110" s="48" t="n">
        <f aca="false">-MIN(BT108,In_Loss_Cap*MAX(0,BT107))</f>
        <v>-0</v>
      </c>
      <c r="BU110" s="48" t="n">
        <f aca="false">-MIN(BU108,In_Loss_Cap*MAX(0,BU107))</f>
        <v>-0</v>
      </c>
      <c r="BV110" s="48" t="n">
        <f aca="false">-MIN(BV108,In_Loss_Cap*MAX(0,BV107))</f>
        <v>-0</v>
      </c>
      <c r="BW110" s="48" t="n">
        <f aca="false">-MIN(BW108,In_Loss_Cap*MAX(0,BW107))</f>
        <v>-0</v>
      </c>
      <c r="BX110" s="48" t="n">
        <f aca="false">-MIN(BX108,In_Loss_Cap*MAX(0,BX107))</f>
        <v>-0</v>
      </c>
      <c r="BY110" s="48" t="n">
        <f aca="false">-MIN(BY108,In_Loss_Cap*MAX(0,BY107))</f>
        <v>-0</v>
      </c>
      <c r="BZ110" s="48" t="n">
        <f aca="false">-MIN(BZ108,In_Loss_Cap*MAX(0,BZ107))</f>
        <v>-0</v>
      </c>
      <c r="CA110" s="48" t="n">
        <f aca="false">-MIN(CA108,In_Loss_Cap*MAX(0,CA107))</f>
        <v>-0</v>
      </c>
      <c r="CB110" s="48" t="n">
        <f aca="false">-MIN(CB108,In_Loss_Cap*MAX(0,CB107))</f>
        <v>-0</v>
      </c>
      <c r="CC110" s="48" t="n">
        <f aca="false">-MIN(CC108,In_Loss_Cap*MAX(0,CC107))</f>
        <v>-0</v>
      </c>
      <c r="CD110" s="48" t="n">
        <f aca="false">-MIN(CD108,In_Loss_Cap*MAX(0,CD107))</f>
        <v>-0</v>
      </c>
      <c r="CE110" s="48" t="n">
        <f aca="false">-MIN(CE108,In_Loss_Cap*MAX(0,CE107))</f>
        <v>-0</v>
      </c>
      <c r="CF110" s="48" t="n">
        <f aca="false">-MIN(CF108,In_Loss_Cap*MAX(0,CF107))</f>
        <v>-0</v>
      </c>
      <c r="CG110" s="48" t="n">
        <f aca="false">-MIN(CG108,In_Loss_Cap*MAX(0,CG107))</f>
        <v>-0</v>
      </c>
      <c r="CH110" s="48" t="n">
        <f aca="false">-MIN(CH108,In_Loss_Cap*MAX(0,CH107))</f>
        <v>-0</v>
      </c>
      <c r="CI110" s="48" t="n">
        <f aca="false">-MIN(CI108,In_Loss_Cap*MAX(0,CI107))</f>
        <v>-0</v>
      </c>
      <c r="CJ110" s="48" t="n">
        <f aca="false">-MIN(CJ108,In_Loss_Cap*MAX(0,CJ107))</f>
        <v>-0</v>
      </c>
      <c r="CK110" s="48" t="n">
        <f aca="false">-MIN(CK108,In_Loss_Cap*MAX(0,CK107))</f>
        <v>-0</v>
      </c>
      <c r="CL110" s="48" t="n">
        <f aca="false">-MIN(CL108,In_Loss_Cap*MAX(0,CL107))</f>
        <v>-0</v>
      </c>
      <c r="CM110" s="48" t="n">
        <f aca="false">-MIN(CM108,In_Loss_Cap*MAX(0,CM107))</f>
        <v>-0</v>
      </c>
      <c r="CN110" s="48" t="n">
        <f aca="false">-MIN(CN108,In_Loss_Cap*MAX(0,CN107))</f>
        <v>-0</v>
      </c>
      <c r="CO110" s="48" t="n">
        <f aca="false">-MIN(CO108,In_Loss_Cap*MAX(0,CO107))</f>
        <v>-0</v>
      </c>
      <c r="CP110" s="48" t="n">
        <f aca="false">-MIN(CP108,In_Loss_Cap*MAX(0,CP107))</f>
        <v>-0</v>
      </c>
      <c r="CQ110" s="48" t="n">
        <f aca="false">-MIN(CQ108,In_Loss_Cap*MAX(0,CQ107))</f>
        <v>-0</v>
      </c>
      <c r="CR110" s="48" t="n">
        <f aca="false">-MIN(CR108,In_Loss_Cap*MAX(0,CR107))</f>
        <v>-0</v>
      </c>
      <c r="CS110" s="48" t="n">
        <f aca="false">-MIN(CS108,In_Loss_Cap*MAX(0,CS107))</f>
        <v>-0</v>
      </c>
      <c r="CT110" s="48" t="n">
        <f aca="false">-MIN(CT108,In_Loss_Cap*MAX(0,CT107))</f>
        <v>-0</v>
      </c>
      <c r="CU110" s="48" t="n">
        <f aca="false">-MIN(CU108,In_Loss_Cap*MAX(0,CU107))</f>
        <v>-0</v>
      </c>
      <c r="CV110" s="48" t="n">
        <f aca="false">-MIN(CV108,In_Loss_Cap*MAX(0,CV107))</f>
        <v>-0</v>
      </c>
      <c r="CW110" s="48" t="n">
        <f aca="false">-MIN(CW108,In_Loss_Cap*MAX(0,CW107))</f>
        <v>-0</v>
      </c>
      <c r="CX110" s="48" t="n">
        <f aca="false">-MIN(CX108,In_Loss_Cap*MAX(0,CX107))</f>
        <v>-0</v>
      </c>
      <c r="CY110" s="48" t="n">
        <f aca="false">-MIN(CY108,In_Loss_Cap*MAX(0,CY107))</f>
        <v>-0</v>
      </c>
      <c r="CZ110" s="48" t="n">
        <f aca="false">-MIN(CZ108,In_Loss_Cap*MAX(0,CZ107))</f>
        <v>-0</v>
      </c>
      <c r="DA110" s="48" t="n">
        <f aca="false">-MIN(DA108,In_Loss_Cap*MAX(0,DA107))</f>
        <v>-0</v>
      </c>
      <c r="DB110" s="48" t="n">
        <f aca="false">-MIN(DB108,In_Loss_Cap*MAX(0,DB107))</f>
        <v>-0</v>
      </c>
      <c r="DC110" s="48" t="n">
        <f aca="false">-MIN(DC108,In_Loss_Cap*MAX(0,DC107))</f>
        <v>-0</v>
      </c>
      <c r="DD110" s="48" t="n">
        <f aca="false">-MIN(DD108,In_Loss_Cap*MAX(0,DD107))</f>
        <v>-0</v>
      </c>
      <c r="DE110" s="48" t="n">
        <f aca="false">-MIN(DE108,In_Loss_Cap*MAX(0,DE107))</f>
        <v>-0</v>
      </c>
      <c r="DF110" s="48" t="n">
        <f aca="false">-MIN(DF108,In_Loss_Cap*MAX(0,DF107))</f>
        <v>-0</v>
      </c>
      <c r="DG110" s="48" t="n">
        <f aca="false">-MIN(DG108,In_Loss_Cap*MAX(0,DG107))</f>
        <v>-0</v>
      </c>
      <c r="DH110" s="48" t="n">
        <f aca="false">-MIN(DH108,In_Loss_Cap*MAX(0,DH107))</f>
        <v>-0</v>
      </c>
      <c r="DI110" s="48" t="n">
        <f aca="false">-MIN(DI108,In_Loss_Cap*MAX(0,DI107))</f>
        <v>-0</v>
      </c>
      <c r="DJ110" s="48" t="n">
        <f aca="false">-MIN(DJ108,In_Loss_Cap*MAX(0,DJ107))</f>
        <v>-0</v>
      </c>
      <c r="DK110" s="48" t="n">
        <f aca="false">-MIN(DK108,In_Loss_Cap*MAX(0,DK107))</f>
        <v>-0</v>
      </c>
      <c r="DL110" s="48" t="n">
        <f aca="false">-MIN(DL108,In_Loss_Cap*MAX(0,DL107))</f>
        <v>-0</v>
      </c>
      <c r="DM110" s="48" t="n">
        <f aca="false">-MIN(DM108,In_Loss_Cap*MAX(0,DM107))</f>
        <v>-0</v>
      </c>
      <c r="DN110" s="48" t="n">
        <f aca="false">-MIN(DN108,In_Loss_Cap*MAX(0,DN107))</f>
        <v>-0</v>
      </c>
      <c r="DO110" s="48" t="n">
        <f aca="false">-MIN(DO108,In_Loss_Cap*MAX(0,DO107))</f>
        <v>-0</v>
      </c>
      <c r="DP110" s="48" t="n">
        <f aca="false">-MIN(DP108,In_Loss_Cap*MAX(0,DP107))</f>
        <v>-0</v>
      </c>
      <c r="DQ110" s="48" t="n">
        <f aca="false">-MIN(DQ108,In_Loss_Cap*MAX(0,DQ107))</f>
        <v>-0</v>
      </c>
      <c r="DR110" s="48" t="n">
        <f aca="false">-MIN(DR108,In_Loss_Cap*MAX(0,DR107))</f>
        <v>-0</v>
      </c>
      <c r="DS110" s="48" t="n">
        <f aca="false">-MIN(DS108,In_Loss_Cap*MAX(0,DS107))</f>
        <v>-0</v>
      </c>
      <c r="DT110" s="48" t="n">
        <f aca="false">-MIN(DT108,In_Loss_Cap*MAX(0,DT107))</f>
        <v>-0</v>
      </c>
      <c r="DU110" s="48" t="n">
        <f aca="false">-MIN(DU108,In_Loss_Cap*MAX(0,DU107))</f>
        <v>-0</v>
      </c>
      <c r="DV110" s="48" t="n">
        <f aca="false">-MIN(DV108,In_Loss_Cap*MAX(0,DV107))</f>
        <v>-0</v>
      </c>
      <c r="DW110" s="48" t="n">
        <f aca="false">-MIN(DW108,In_Loss_Cap*MAX(0,DW107))</f>
        <v>-0</v>
      </c>
      <c r="DX110" s="48" t="n">
        <f aca="false">-MIN(DX108,In_Loss_Cap*MAX(0,DX107))</f>
        <v>-0</v>
      </c>
      <c r="DY110" s="48" t="n">
        <f aca="false">-MIN(DY108,In_Loss_Cap*MAX(0,DY107))</f>
        <v>-0</v>
      </c>
      <c r="DZ110" s="48" t="n">
        <f aca="false">-MIN(DZ108,In_Loss_Cap*MAX(0,DZ107))</f>
        <v>-0</v>
      </c>
      <c r="EA110" s="48" t="n">
        <f aca="false">-MIN(EA108,In_Loss_Cap*MAX(0,EA107))</f>
        <v>-0</v>
      </c>
      <c r="EB110" s="48" t="n">
        <f aca="false">-MIN(EB108,In_Loss_Cap*MAX(0,EB107))</f>
        <v>-0</v>
      </c>
      <c r="EC110" s="48" t="n">
        <f aca="false">-MIN(EC108,In_Loss_Cap*MAX(0,EC107))</f>
        <v>-0</v>
      </c>
      <c r="ED110" s="48" t="n">
        <f aca="false">-MIN(ED108,In_Loss_Cap*MAX(0,ED107))</f>
        <v>-0</v>
      </c>
      <c r="EE110" s="48" t="n">
        <f aca="false">-MIN(EE108,In_Loss_Cap*MAX(0,EE107))</f>
        <v>-0</v>
      </c>
      <c r="EF110" s="48" t="n">
        <f aca="false">-MIN(EF108,In_Loss_Cap*MAX(0,EF107))</f>
        <v>-0</v>
      </c>
      <c r="EG110" s="48" t="n">
        <f aca="false">-MIN(EG108,In_Loss_Cap*MAX(0,EG107))</f>
        <v>-0</v>
      </c>
      <c r="EH110" s="48" t="n">
        <f aca="false">-MIN(EH108,In_Loss_Cap*MAX(0,EH107))</f>
        <v>-0</v>
      </c>
      <c r="EI110" s="48" t="n">
        <f aca="false">-MIN(EI108,In_Loss_Cap*MAX(0,EI107))</f>
        <v>-0</v>
      </c>
      <c r="EJ110" s="48" t="n">
        <f aca="false">-MIN(EJ108,In_Loss_Cap*MAX(0,EJ107))</f>
        <v>-0</v>
      </c>
      <c r="EK110" s="48" t="n">
        <f aca="false">-MIN(EK108,In_Loss_Cap*MAX(0,EK107))</f>
        <v>-0</v>
      </c>
      <c r="EL110" s="48" t="n">
        <f aca="false">-MIN(EL108,In_Loss_Cap*MAX(0,EL107))</f>
        <v>-0</v>
      </c>
      <c r="EM110" s="48" t="n">
        <f aca="false">-MIN(EM108,In_Loss_Cap*MAX(0,EM107))</f>
        <v>-0</v>
      </c>
      <c r="EN110" s="48" t="n">
        <f aca="false">-MIN(EN108,In_Loss_Cap*MAX(0,EN107))</f>
        <v>-0</v>
      </c>
      <c r="EO110" s="48" t="n">
        <f aca="false">-MIN(EO108,In_Loss_Cap*MAX(0,EO107))</f>
        <v>-0</v>
      </c>
    </row>
    <row r="111" customFormat="false" ht="15" hidden="false" customHeight="false" outlineLevel="0" collapsed="false">
      <c r="C111" s="0" t="s">
        <v>486</v>
      </c>
      <c r="D111" s="11" t="s">
        <v>33</v>
      </c>
      <c r="E111" s="46" t="n">
        <f aca="false">EDATE(In_NTP,In_Loss_Years*Months_In_Year)</f>
        <v>48852</v>
      </c>
      <c r="I111" s="48" t="n">
        <f aca="false">SUM(J111:EO111)</f>
        <v>0</v>
      </c>
      <c r="J111" s="48" t="n">
        <f aca="false">-(J108+J109+J110)*N(AND(J$3&lt;=$E111,J$4&gt;=$E111))</f>
        <v>-0</v>
      </c>
      <c r="K111" s="48" t="n">
        <f aca="false">-(K108+K109+K110)*N(AND(K$3&lt;=$E111,K$4&gt;=$E111))</f>
        <v>-0</v>
      </c>
      <c r="L111" s="48" t="n">
        <f aca="false">-(L108+L109+L110)*N(AND(L$3&lt;=$E111,L$4&gt;=$E111))</f>
        <v>-0</v>
      </c>
      <c r="M111" s="48" t="n">
        <f aca="false">-(M108+M109+M110)*N(AND(M$3&lt;=$E111,M$4&gt;=$E111))</f>
        <v>-0</v>
      </c>
      <c r="N111" s="48" t="n">
        <f aca="false">-(N108+N109+N110)*N(AND(N$3&lt;=$E111,N$4&gt;=$E111))</f>
        <v>-0</v>
      </c>
      <c r="O111" s="48" t="n">
        <f aca="false">-(O108+O109+O110)*N(AND(O$3&lt;=$E111,O$4&gt;=$E111))</f>
        <v>-0</v>
      </c>
      <c r="P111" s="48" t="n">
        <f aca="false">-(P108+P109+P110)*N(AND(P$3&lt;=$E111,P$4&gt;=$E111))</f>
        <v>-0</v>
      </c>
      <c r="Q111" s="48" t="n">
        <f aca="false">-(Q108+Q109+Q110)*N(AND(Q$3&lt;=$E111,Q$4&gt;=$E111))</f>
        <v>-0</v>
      </c>
      <c r="R111" s="48" t="n">
        <f aca="false">-(R108+R109+R110)*N(AND(R$3&lt;=$E111,R$4&gt;=$E111))</f>
        <v>-0</v>
      </c>
      <c r="S111" s="48" t="n">
        <f aca="false">-(S108+S109+S110)*N(AND(S$3&lt;=$E111,S$4&gt;=$E111))</f>
        <v>-0</v>
      </c>
      <c r="T111" s="48" t="n">
        <f aca="false">-(T108+T109+T110)*N(AND(T$3&lt;=$E111,T$4&gt;=$E111))</f>
        <v>-0</v>
      </c>
      <c r="U111" s="48" t="n">
        <f aca="false">-(U108+U109+U110)*N(AND(U$3&lt;=$E111,U$4&gt;=$E111))</f>
        <v>-0</v>
      </c>
      <c r="V111" s="48" t="n">
        <f aca="false">-(V108+V109+V110)*N(AND(V$3&lt;=$E111,V$4&gt;=$E111))</f>
        <v>-0</v>
      </c>
      <c r="W111" s="48" t="n">
        <f aca="false">-(W108+W109+W110)*N(AND(W$3&lt;=$E111,W$4&gt;=$E111))</f>
        <v>-0</v>
      </c>
      <c r="X111" s="48" t="n">
        <f aca="false">-(X108+X109+X110)*N(AND(X$3&lt;=$E111,X$4&gt;=$E111))</f>
        <v>-0</v>
      </c>
      <c r="Y111" s="48" t="n">
        <f aca="false">-(Y108+Y109+Y110)*N(AND(Y$3&lt;=$E111,Y$4&gt;=$E111))</f>
        <v>-0</v>
      </c>
      <c r="Z111" s="48" t="n">
        <f aca="false">-(Z108+Z109+Z110)*N(AND(Z$3&lt;=$E111,Z$4&gt;=$E111))</f>
        <v>-0</v>
      </c>
      <c r="AA111" s="48" t="n">
        <f aca="false">-(AA108+AA109+AA110)*N(AND(AA$3&lt;=$E111,AA$4&gt;=$E111))</f>
        <v>-0</v>
      </c>
      <c r="AB111" s="48" t="n">
        <f aca="false">-(AB108+AB109+AB110)*N(AND(AB$3&lt;=$E111,AB$4&gt;=$E111))</f>
        <v>-0</v>
      </c>
      <c r="AC111" s="48" t="n">
        <f aca="false">-(AC108+AC109+AC110)*N(AND(AC$3&lt;=$E111,AC$4&gt;=$E111))</f>
        <v>-0</v>
      </c>
      <c r="AD111" s="48" t="n">
        <f aca="false">-(AD108+AD109+AD110)*N(AND(AD$3&lt;=$E111,AD$4&gt;=$E111))</f>
        <v>-0</v>
      </c>
      <c r="AE111" s="48" t="n">
        <f aca="false">-(AE108+AE109+AE110)*N(AND(AE$3&lt;=$E111,AE$4&gt;=$E111))</f>
        <v>-0</v>
      </c>
      <c r="AF111" s="48" t="n">
        <f aca="false">-(AF108+AF109+AF110)*N(AND(AF$3&lt;=$E111,AF$4&gt;=$E111))</f>
        <v>-0</v>
      </c>
      <c r="AG111" s="48" t="n">
        <f aca="false">-(AG108+AG109+AG110)*N(AND(AG$3&lt;=$E111,AG$4&gt;=$E111))</f>
        <v>-0</v>
      </c>
      <c r="AH111" s="48" t="n">
        <f aca="false">-(AH108+AH109+AH110)*N(AND(AH$3&lt;=$E111,AH$4&gt;=$E111))</f>
        <v>-0</v>
      </c>
      <c r="AI111" s="48" t="n">
        <f aca="false">-(AI108+AI109+AI110)*N(AND(AI$3&lt;=$E111,AI$4&gt;=$E111))</f>
        <v>-0</v>
      </c>
      <c r="AJ111" s="48" t="n">
        <f aca="false">-(AJ108+AJ109+AJ110)*N(AND(AJ$3&lt;=$E111,AJ$4&gt;=$E111))</f>
        <v>-0</v>
      </c>
      <c r="AK111" s="48" t="n">
        <f aca="false">-(AK108+AK109+AK110)*N(AND(AK$3&lt;=$E111,AK$4&gt;=$E111))</f>
        <v>-0</v>
      </c>
      <c r="AL111" s="48" t="n">
        <f aca="false">-(AL108+AL109+AL110)*N(AND(AL$3&lt;=$E111,AL$4&gt;=$E111))</f>
        <v>-0</v>
      </c>
      <c r="AM111" s="48" t="n">
        <f aca="false">-(AM108+AM109+AM110)*N(AND(AM$3&lt;=$E111,AM$4&gt;=$E111))</f>
        <v>-0</v>
      </c>
      <c r="AN111" s="48" t="n">
        <f aca="false">-(AN108+AN109+AN110)*N(AND(AN$3&lt;=$E111,AN$4&gt;=$E111))</f>
        <v>-0</v>
      </c>
      <c r="AO111" s="48" t="n">
        <f aca="false">-(AO108+AO109+AO110)*N(AND(AO$3&lt;=$E111,AO$4&gt;=$E111))</f>
        <v>-0</v>
      </c>
      <c r="AP111" s="48" t="n">
        <f aca="false">-(AP108+AP109+AP110)*N(AND(AP$3&lt;=$E111,AP$4&gt;=$E111))</f>
        <v>-0</v>
      </c>
      <c r="AQ111" s="48" t="n">
        <f aca="false">-(AQ108+AQ109+AQ110)*N(AND(AQ$3&lt;=$E111,AQ$4&gt;=$E111))</f>
        <v>-0</v>
      </c>
      <c r="AR111" s="48" t="n">
        <f aca="false">-(AR108+AR109+AR110)*N(AND(AR$3&lt;=$E111,AR$4&gt;=$E111))</f>
        <v>-0</v>
      </c>
      <c r="AS111" s="48" t="n">
        <f aca="false">-(AS108+AS109+AS110)*N(AND(AS$3&lt;=$E111,AS$4&gt;=$E111))</f>
        <v>-0</v>
      </c>
      <c r="AT111" s="48" t="n">
        <f aca="false">-(AT108+AT109+AT110)*N(AND(AT$3&lt;=$E111,AT$4&gt;=$E111))</f>
        <v>-0</v>
      </c>
      <c r="AU111" s="48" t="n">
        <f aca="false">-(AU108+AU109+AU110)*N(AND(AU$3&lt;=$E111,AU$4&gt;=$E111))</f>
        <v>-0</v>
      </c>
      <c r="AV111" s="48" t="n">
        <f aca="false">-(AV108+AV109+AV110)*N(AND(AV$3&lt;=$E111,AV$4&gt;=$E111))</f>
        <v>-0</v>
      </c>
      <c r="AW111" s="48" t="n">
        <f aca="false">-(AW108+AW109+AW110)*N(AND(AW$3&lt;=$E111,AW$4&gt;=$E111))</f>
        <v>-0</v>
      </c>
      <c r="AX111" s="48" t="n">
        <f aca="false">-(AX108+AX109+AX110)*N(AND(AX$3&lt;=$E111,AX$4&gt;=$E111))</f>
        <v>-0</v>
      </c>
      <c r="AY111" s="48" t="n">
        <f aca="false">-(AY108+AY109+AY110)*N(AND(AY$3&lt;=$E111,AY$4&gt;=$E111))</f>
        <v>-0</v>
      </c>
      <c r="AZ111" s="48" t="n">
        <f aca="false">-(AZ108+AZ109+AZ110)*N(AND(AZ$3&lt;=$E111,AZ$4&gt;=$E111))</f>
        <v>-0</v>
      </c>
      <c r="BA111" s="48" t="n">
        <f aca="false">-(BA108+BA109+BA110)*N(AND(BA$3&lt;=$E111,BA$4&gt;=$E111))</f>
        <v>-0</v>
      </c>
      <c r="BB111" s="48" t="n">
        <f aca="false">-(BB108+BB109+BB110)*N(AND(BB$3&lt;=$E111,BB$4&gt;=$E111))</f>
        <v>-0</v>
      </c>
      <c r="BC111" s="48" t="n">
        <f aca="false">-(BC108+BC109+BC110)*N(AND(BC$3&lt;=$E111,BC$4&gt;=$E111))</f>
        <v>-0</v>
      </c>
      <c r="BD111" s="48" t="n">
        <f aca="false">-(BD108+BD109+BD110)*N(AND(BD$3&lt;=$E111,BD$4&gt;=$E111))</f>
        <v>-0</v>
      </c>
      <c r="BE111" s="48" t="n">
        <f aca="false">-(BE108+BE109+BE110)*N(AND(BE$3&lt;=$E111,BE$4&gt;=$E111))</f>
        <v>-0</v>
      </c>
      <c r="BF111" s="48" t="n">
        <f aca="false">-(BF108+BF109+BF110)*N(AND(BF$3&lt;=$E111,BF$4&gt;=$E111))</f>
        <v>-0</v>
      </c>
      <c r="BG111" s="48" t="n">
        <f aca="false">-(BG108+BG109+BG110)*N(AND(BG$3&lt;=$E111,BG$4&gt;=$E111))</f>
        <v>-0</v>
      </c>
      <c r="BH111" s="48" t="n">
        <f aca="false">-(BH108+BH109+BH110)*N(AND(BH$3&lt;=$E111,BH$4&gt;=$E111))</f>
        <v>-0</v>
      </c>
      <c r="BI111" s="48" t="n">
        <f aca="false">-(BI108+BI109+BI110)*N(AND(BI$3&lt;=$E111,BI$4&gt;=$E111))</f>
        <v>-0</v>
      </c>
      <c r="BJ111" s="48" t="n">
        <f aca="false">-(BJ108+BJ109+BJ110)*N(AND(BJ$3&lt;=$E111,BJ$4&gt;=$E111))</f>
        <v>-0</v>
      </c>
      <c r="BK111" s="48" t="n">
        <f aca="false">-(BK108+BK109+BK110)*N(AND(BK$3&lt;=$E111,BK$4&gt;=$E111))</f>
        <v>-0</v>
      </c>
      <c r="BL111" s="48" t="n">
        <f aca="false">-(BL108+BL109+BL110)*N(AND(BL$3&lt;=$E111,BL$4&gt;=$E111))</f>
        <v>-0</v>
      </c>
      <c r="BM111" s="48" t="n">
        <f aca="false">-(BM108+BM109+BM110)*N(AND(BM$3&lt;=$E111,BM$4&gt;=$E111))</f>
        <v>-0</v>
      </c>
      <c r="BN111" s="48" t="n">
        <f aca="false">-(BN108+BN109+BN110)*N(AND(BN$3&lt;=$E111,BN$4&gt;=$E111))</f>
        <v>-0</v>
      </c>
      <c r="BO111" s="48" t="n">
        <f aca="false">-(BO108+BO109+BO110)*N(AND(BO$3&lt;=$E111,BO$4&gt;=$E111))</f>
        <v>-0</v>
      </c>
      <c r="BP111" s="48" t="n">
        <f aca="false">-(BP108+BP109+BP110)*N(AND(BP$3&lt;=$E111,BP$4&gt;=$E111))</f>
        <v>-0</v>
      </c>
      <c r="BQ111" s="48" t="n">
        <f aca="false">-(BQ108+BQ109+BQ110)*N(AND(BQ$3&lt;=$E111,BQ$4&gt;=$E111))</f>
        <v>-0</v>
      </c>
      <c r="BR111" s="48" t="n">
        <f aca="false">-(BR108+BR109+BR110)*N(AND(BR$3&lt;=$E111,BR$4&gt;=$E111))</f>
        <v>-0</v>
      </c>
      <c r="BS111" s="48" t="n">
        <f aca="false">-(BS108+BS109+BS110)*N(AND(BS$3&lt;=$E111,BS$4&gt;=$E111))</f>
        <v>-0</v>
      </c>
      <c r="BT111" s="48" t="n">
        <f aca="false">-(BT108+BT109+BT110)*N(AND(BT$3&lt;=$E111,BT$4&gt;=$E111))</f>
        <v>-0</v>
      </c>
      <c r="BU111" s="48" t="n">
        <f aca="false">-(BU108+BU109+BU110)*N(AND(BU$3&lt;=$E111,BU$4&gt;=$E111))</f>
        <v>-0</v>
      </c>
      <c r="BV111" s="48" t="n">
        <f aca="false">-(BV108+BV109+BV110)*N(AND(BV$3&lt;=$E111,BV$4&gt;=$E111))</f>
        <v>-0</v>
      </c>
      <c r="BW111" s="48" t="n">
        <f aca="false">-(BW108+BW109+BW110)*N(AND(BW$3&lt;=$E111,BW$4&gt;=$E111))</f>
        <v>-0</v>
      </c>
      <c r="BX111" s="48" t="n">
        <f aca="false">-(BX108+BX109+BX110)*N(AND(BX$3&lt;=$E111,BX$4&gt;=$E111))</f>
        <v>-0</v>
      </c>
      <c r="BY111" s="48" t="n">
        <f aca="false">-(BY108+BY109+BY110)*N(AND(BY$3&lt;=$E111,BY$4&gt;=$E111))</f>
        <v>-0</v>
      </c>
      <c r="BZ111" s="48" t="n">
        <f aca="false">-(BZ108+BZ109+BZ110)*N(AND(BZ$3&lt;=$E111,BZ$4&gt;=$E111))</f>
        <v>-0</v>
      </c>
      <c r="CA111" s="48" t="n">
        <f aca="false">-(CA108+CA109+CA110)*N(AND(CA$3&lt;=$E111,CA$4&gt;=$E111))</f>
        <v>-0</v>
      </c>
      <c r="CB111" s="48" t="n">
        <f aca="false">-(CB108+CB109+CB110)*N(AND(CB$3&lt;=$E111,CB$4&gt;=$E111))</f>
        <v>-0</v>
      </c>
      <c r="CC111" s="48" t="n">
        <f aca="false">-(CC108+CC109+CC110)*N(AND(CC$3&lt;=$E111,CC$4&gt;=$E111))</f>
        <v>-0</v>
      </c>
      <c r="CD111" s="48" t="n">
        <f aca="false">-(CD108+CD109+CD110)*N(AND(CD$3&lt;=$E111,CD$4&gt;=$E111))</f>
        <v>-0</v>
      </c>
      <c r="CE111" s="48" t="n">
        <f aca="false">-(CE108+CE109+CE110)*N(AND(CE$3&lt;=$E111,CE$4&gt;=$E111))</f>
        <v>-0</v>
      </c>
      <c r="CF111" s="48" t="n">
        <f aca="false">-(CF108+CF109+CF110)*N(AND(CF$3&lt;=$E111,CF$4&gt;=$E111))</f>
        <v>-0</v>
      </c>
      <c r="CG111" s="48" t="n">
        <f aca="false">-(CG108+CG109+CG110)*N(AND(CG$3&lt;=$E111,CG$4&gt;=$E111))</f>
        <v>-0</v>
      </c>
      <c r="CH111" s="48" t="n">
        <f aca="false">-(CH108+CH109+CH110)*N(AND(CH$3&lt;=$E111,CH$4&gt;=$E111))</f>
        <v>-0</v>
      </c>
      <c r="CI111" s="48" t="n">
        <f aca="false">-(CI108+CI109+CI110)*N(AND(CI$3&lt;=$E111,CI$4&gt;=$E111))</f>
        <v>-0</v>
      </c>
      <c r="CJ111" s="48" t="n">
        <f aca="false">-(CJ108+CJ109+CJ110)*N(AND(CJ$3&lt;=$E111,CJ$4&gt;=$E111))</f>
        <v>-0</v>
      </c>
      <c r="CK111" s="48" t="n">
        <f aca="false">-(CK108+CK109+CK110)*N(AND(CK$3&lt;=$E111,CK$4&gt;=$E111))</f>
        <v>-0</v>
      </c>
      <c r="CL111" s="48" t="n">
        <f aca="false">-(CL108+CL109+CL110)*N(AND(CL$3&lt;=$E111,CL$4&gt;=$E111))</f>
        <v>-0</v>
      </c>
      <c r="CM111" s="48" t="n">
        <f aca="false">-(CM108+CM109+CM110)*N(AND(CM$3&lt;=$E111,CM$4&gt;=$E111))</f>
        <v>-0</v>
      </c>
      <c r="CN111" s="48" t="n">
        <f aca="false">-(CN108+CN109+CN110)*N(AND(CN$3&lt;=$E111,CN$4&gt;=$E111))</f>
        <v>-0</v>
      </c>
      <c r="CO111" s="48" t="n">
        <f aca="false">-(CO108+CO109+CO110)*N(AND(CO$3&lt;=$E111,CO$4&gt;=$E111))</f>
        <v>-0</v>
      </c>
      <c r="CP111" s="48" t="n">
        <f aca="false">-(CP108+CP109+CP110)*N(AND(CP$3&lt;=$E111,CP$4&gt;=$E111))</f>
        <v>-0</v>
      </c>
      <c r="CQ111" s="48" t="n">
        <f aca="false">-(CQ108+CQ109+CQ110)*N(AND(CQ$3&lt;=$E111,CQ$4&gt;=$E111))</f>
        <v>-0</v>
      </c>
      <c r="CR111" s="48" t="n">
        <f aca="false">-(CR108+CR109+CR110)*N(AND(CR$3&lt;=$E111,CR$4&gt;=$E111))</f>
        <v>-0</v>
      </c>
      <c r="CS111" s="48" t="n">
        <f aca="false">-(CS108+CS109+CS110)*N(AND(CS$3&lt;=$E111,CS$4&gt;=$E111))</f>
        <v>-0</v>
      </c>
      <c r="CT111" s="48" t="n">
        <f aca="false">-(CT108+CT109+CT110)*N(AND(CT$3&lt;=$E111,CT$4&gt;=$E111))</f>
        <v>-0</v>
      </c>
      <c r="CU111" s="48" t="n">
        <f aca="false">-(CU108+CU109+CU110)*N(AND(CU$3&lt;=$E111,CU$4&gt;=$E111))</f>
        <v>-0</v>
      </c>
      <c r="CV111" s="48" t="n">
        <f aca="false">-(CV108+CV109+CV110)*N(AND(CV$3&lt;=$E111,CV$4&gt;=$E111))</f>
        <v>-0</v>
      </c>
      <c r="CW111" s="48" t="n">
        <f aca="false">-(CW108+CW109+CW110)*N(AND(CW$3&lt;=$E111,CW$4&gt;=$E111))</f>
        <v>-0</v>
      </c>
      <c r="CX111" s="48" t="n">
        <f aca="false">-(CX108+CX109+CX110)*N(AND(CX$3&lt;=$E111,CX$4&gt;=$E111))</f>
        <v>-0</v>
      </c>
      <c r="CY111" s="48" t="n">
        <f aca="false">-(CY108+CY109+CY110)*N(AND(CY$3&lt;=$E111,CY$4&gt;=$E111))</f>
        <v>-0</v>
      </c>
      <c r="CZ111" s="48" t="n">
        <f aca="false">-(CZ108+CZ109+CZ110)*N(AND(CZ$3&lt;=$E111,CZ$4&gt;=$E111))</f>
        <v>-0</v>
      </c>
      <c r="DA111" s="48" t="n">
        <f aca="false">-(DA108+DA109+DA110)*N(AND(DA$3&lt;=$E111,DA$4&gt;=$E111))</f>
        <v>-0</v>
      </c>
      <c r="DB111" s="48" t="n">
        <f aca="false">-(DB108+DB109+DB110)*N(AND(DB$3&lt;=$E111,DB$4&gt;=$E111))</f>
        <v>-0</v>
      </c>
      <c r="DC111" s="48" t="n">
        <f aca="false">-(DC108+DC109+DC110)*N(AND(DC$3&lt;=$E111,DC$4&gt;=$E111))</f>
        <v>-0</v>
      </c>
      <c r="DD111" s="48" t="n">
        <f aca="false">-(DD108+DD109+DD110)*N(AND(DD$3&lt;=$E111,DD$4&gt;=$E111))</f>
        <v>-0</v>
      </c>
      <c r="DE111" s="48" t="n">
        <f aca="false">-(DE108+DE109+DE110)*N(AND(DE$3&lt;=$E111,DE$4&gt;=$E111))</f>
        <v>-0</v>
      </c>
      <c r="DF111" s="48" t="n">
        <f aca="false">-(DF108+DF109+DF110)*N(AND(DF$3&lt;=$E111,DF$4&gt;=$E111))</f>
        <v>-0</v>
      </c>
      <c r="DG111" s="48" t="n">
        <f aca="false">-(DG108+DG109+DG110)*N(AND(DG$3&lt;=$E111,DG$4&gt;=$E111))</f>
        <v>-0</v>
      </c>
      <c r="DH111" s="48" t="n">
        <f aca="false">-(DH108+DH109+DH110)*N(AND(DH$3&lt;=$E111,DH$4&gt;=$E111))</f>
        <v>-0</v>
      </c>
      <c r="DI111" s="48" t="n">
        <f aca="false">-(DI108+DI109+DI110)*N(AND(DI$3&lt;=$E111,DI$4&gt;=$E111))</f>
        <v>-0</v>
      </c>
      <c r="DJ111" s="48" t="n">
        <f aca="false">-(DJ108+DJ109+DJ110)*N(AND(DJ$3&lt;=$E111,DJ$4&gt;=$E111))</f>
        <v>-0</v>
      </c>
      <c r="DK111" s="48" t="n">
        <f aca="false">-(DK108+DK109+DK110)*N(AND(DK$3&lt;=$E111,DK$4&gt;=$E111))</f>
        <v>-0</v>
      </c>
      <c r="DL111" s="48" t="n">
        <f aca="false">-(DL108+DL109+DL110)*N(AND(DL$3&lt;=$E111,DL$4&gt;=$E111))</f>
        <v>-0</v>
      </c>
      <c r="DM111" s="48" t="n">
        <f aca="false">-(DM108+DM109+DM110)*N(AND(DM$3&lt;=$E111,DM$4&gt;=$E111))</f>
        <v>-0</v>
      </c>
      <c r="DN111" s="48" t="n">
        <f aca="false">-(DN108+DN109+DN110)*N(AND(DN$3&lt;=$E111,DN$4&gt;=$E111))</f>
        <v>-0</v>
      </c>
      <c r="DO111" s="48" t="n">
        <f aca="false">-(DO108+DO109+DO110)*N(AND(DO$3&lt;=$E111,DO$4&gt;=$E111))</f>
        <v>-0</v>
      </c>
      <c r="DP111" s="48" t="n">
        <f aca="false">-(DP108+DP109+DP110)*N(AND(DP$3&lt;=$E111,DP$4&gt;=$E111))</f>
        <v>-0</v>
      </c>
      <c r="DQ111" s="48" t="n">
        <f aca="false">-(DQ108+DQ109+DQ110)*N(AND(DQ$3&lt;=$E111,DQ$4&gt;=$E111))</f>
        <v>-0</v>
      </c>
      <c r="DR111" s="48" t="n">
        <f aca="false">-(DR108+DR109+DR110)*N(AND(DR$3&lt;=$E111,DR$4&gt;=$E111))</f>
        <v>-0</v>
      </c>
      <c r="DS111" s="48" t="n">
        <f aca="false">-(DS108+DS109+DS110)*N(AND(DS$3&lt;=$E111,DS$4&gt;=$E111))</f>
        <v>-0</v>
      </c>
      <c r="DT111" s="48" t="n">
        <f aca="false">-(DT108+DT109+DT110)*N(AND(DT$3&lt;=$E111,DT$4&gt;=$E111))</f>
        <v>-0</v>
      </c>
      <c r="DU111" s="48" t="n">
        <f aca="false">-(DU108+DU109+DU110)*N(AND(DU$3&lt;=$E111,DU$4&gt;=$E111))</f>
        <v>-0</v>
      </c>
      <c r="DV111" s="48" t="n">
        <f aca="false">-(DV108+DV109+DV110)*N(AND(DV$3&lt;=$E111,DV$4&gt;=$E111))</f>
        <v>-0</v>
      </c>
      <c r="DW111" s="48" t="n">
        <f aca="false">-(DW108+DW109+DW110)*N(AND(DW$3&lt;=$E111,DW$4&gt;=$E111))</f>
        <v>-0</v>
      </c>
      <c r="DX111" s="48" t="n">
        <f aca="false">-(DX108+DX109+DX110)*N(AND(DX$3&lt;=$E111,DX$4&gt;=$E111))</f>
        <v>-0</v>
      </c>
      <c r="DY111" s="48" t="n">
        <f aca="false">-(DY108+DY109+DY110)*N(AND(DY$3&lt;=$E111,DY$4&gt;=$E111))</f>
        <v>-0</v>
      </c>
      <c r="DZ111" s="48" t="n">
        <f aca="false">-(DZ108+DZ109+DZ110)*N(AND(DZ$3&lt;=$E111,DZ$4&gt;=$E111))</f>
        <v>-0</v>
      </c>
      <c r="EA111" s="48" t="n">
        <f aca="false">-(EA108+EA109+EA110)*N(AND(EA$3&lt;=$E111,EA$4&gt;=$E111))</f>
        <v>-0</v>
      </c>
      <c r="EB111" s="48" t="n">
        <f aca="false">-(EB108+EB109+EB110)*N(AND(EB$3&lt;=$E111,EB$4&gt;=$E111))</f>
        <v>-0</v>
      </c>
      <c r="EC111" s="48" t="n">
        <f aca="false">-(EC108+EC109+EC110)*N(AND(EC$3&lt;=$E111,EC$4&gt;=$E111))</f>
        <v>-0</v>
      </c>
      <c r="ED111" s="48" t="n">
        <f aca="false">-(ED108+ED109+ED110)*N(AND(ED$3&lt;=$E111,ED$4&gt;=$E111))</f>
        <v>-0</v>
      </c>
      <c r="EE111" s="48" t="n">
        <f aca="false">-(EE108+EE109+EE110)*N(AND(EE$3&lt;=$E111,EE$4&gt;=$E111))</f>
        <v>-0</v>
      </c>
      <c r="EF111" s="48" t="n">
        <f aca="false">-(EF108+EF109+EF110)*N(AND(EF$3&lt;=$E111,EF$4&gt;=$E111))</f>
        <v>-0</v>
      </c>
      <c r="EG111" s="48" t="n">
        <f aca="false">-(EG108+EG109+EG110)*N(AND(EG$3&lt;=$E111,EG$4&gt;=$E111))</f>
        <v>-0</v>
      </c>
      <c r="EH111" s="48" t="n">
        <f aca="false">-(EH108+EH109+EH110)*N(AND(EH$3&lt;=$E111,EH$4&gt;=$E111))</f>
        <v>-0</v>
      </c>
      <c r="EI111" s="48" t="n">
        <f aca="false">-(EI108+EI109+EI110)*N(AND(EI$3&lt;=$E111,EI$4&gt;=$E111))</f>
        <v>-0</v>
      </c>
      <c r="EJ111" s="48" t="n">
        <f aca="false">-(EJ108+EJ109+EJ110)*N(AND(EJ$3&lt;=$E111,EJ$4&gt;=$E111))</f>
        <v>-0</v>
      </c>
      <c r="EK111" s="48" t="n">
        <f aca="false">-(EK108+EK109+EK110)*N(AND(EK$3&lt;=$E111,EK$4&gt;=$E111))</f>
        <v>-0</v>
      </c>
      <c r="EL111" s="48" t="n">
        <f aca="false">-(EL108+EL109+EL110)*N(AND(EL$3&lt;=$E111,EL$4&gt;=$E111))</f>
        <v>-0</v>
      </c>
      <c r="EM111" s="48" t="n">
        <f aca="false">-(EM108+EM109+EM110)*N(AND(EM$3&lt;=$E111,EM$4&gt;=$E111))</f>
        <v>-0</v>
      </c>
      <c r="EN111" s="48" t="n">
        <f aca="false">-(EN108+EN109+EN110)*N(AND(EN$3&lt;=$E111,EN$4&gt;=$E111))</f>
        <v>-0</v>
      </c>
      <c r="EO111" s="48" t="n">
        <f aca="false">-(EO108+EO109+EO110)*N(AND(EO$3&lt;=$E111,EO$4&gt;=$E111))</f>
        <v>-0</v>
      </c>
    </row>
    <row r="112" customFormat="false" ht="15" hidden="false" customHeight="false" outlineLevel="0" collapsed="false">
      <c r="C112" s="0" t="s">
        <v>487</v>
      </c>
      <c r="D112" s="11" t="s">
        <v>33</v>
      </c>
      <c r="I112" s="59"/>
      <c r="J112" s="48" t="n">
        <f aca="false">SUM(J108:J111)</f>
        <v>12.8099380746857</v>
      </c>
      <c r="K112" s="48" t="n">
        <f aca="false">SUM(K108:K111)</f>
        <v>32.4846237568024</v>
      </c>
      <c r="L112" s="48" t="n">
        <f aca="false">SUM(L108:L111)</f>
        <v>65.6401125914806</v>
      </c>
      <c r="M112" s="48" t="n">
        <f aca="false">SUM(M108:M111)</f>
        <v>99.1599474573091</v>
      </c>
      <c r="N112" s="48" t="n">
        <f aca="false">SUM(N108:N111)</f>
        <v>132.679782323138</v>
      </c>
      <c r="O112" s="48" t="n">
        <f aca="false">SUM(O108:O111)</f>
        <v>165.835271157816</v>
      </c>
      <c r="P112" s="48" t="n">
        <f aca="false">SUM(P108:P111)</f>
        <v>198.990759992494</v>
      </c>
      <c r="Q112" s="48" t="n">
        <f aca="false">SUM(Q108:Q111)</f>
        <v>232.510594858322</v>
      </c>
      <c r="R112" s="48" t="n">
        <f aca="false">SUM(R108:R111)</f>
        <v>1161.08643742634</v>
      </c>
      <c r="S112" s="48" t="n">
        <f aca="false">SUM(S108:S111)</f>
        <v>1317.59402148047</v>
      </c>
      <c r="T112" s="48" t="n">
        <f aca="false">SUM(T108:T111)</f>
        <v>1455.93002362403</v>
      </c>
      <c r="U112" s="48" t="n">
        <f aca="false">SUM(U108:U111)</f>
        <v>1585.72077844869</v>
      </c>
      <c r="V112" s="48" t="n">
        <f aca="false">SUM(V108:V111)</f>
        <v>1705.33550106093</v>
      </c>
      <c r="W112" s="48" t="n">
        <f aca="false">SUM(W108:W111)</f>
        <v>1813.43702066827</v>
      </c>
      <c r="X112" s="48" t="n">
        <f aca="false">SUM(X108:X111)</f>
        <v>1912.89305865171</v>
      </c>
      <c r="Y112" s="48" t="n">
        <f aca="false">SUM(Y108:Y111)</f>
        <v>2003.37659696283</v>
      </c>
      <c r="Z112" s="48" t="n">
        <f aca="false">SUM(Z108:Z111)</f>
        <v>1617.12689544177</v>
      </c>
      <c r="AA112" s="48" t="n">
        <f aca="false">SUM(AA108:AA111)</f>
        <v>1234.85107677154</v>
      </c>
      <c r="AB112" s="48" t="n">
        <f aca="false">SUM(AB108:AB111)</f>
        <v>842.993410488321</v>
      </c>
      <c r="AC112" s="48" t="n">
        <f aca="false">SUM(AC108:AC111)</f>
        <v>441.463148885306</v>
      </c>
      <c r="AD112" s="48" t="n">
        <f aca="false">SUM(AD108:AD111)</f>
        <v>41.6399643180869</v>
      </c>
      <c r="AE112" s="48" t="n">
        <f aca="false">SUM(AE108:AE111)</f>
        <v>0</v>
      </c>
      <c r="AF112" s="48" t="n">
        <f aca="false">SUM(AF108:AF111)</f>
        <v>0</v>
      </c>
      <c r="AG112" s="48" t="n">
        <f aca="false">SUM(AG108:AG111)</f>
        <v>0</v>
      </c>
      <c r="AH112" s="48" t="n">
        <f aca="false">SUM(AH108:AH111)</f>
        <v>0</v>
      </c>
      <c r="AI112" s="48" t="n">
        <f aca="false">SUM(AI108:AI111)</f>
        <v>0</v>
      </c>
      <c r="AJ112" s="48" t="n">
        <f aca="false">SUM(AJ108:AJ111)</f>
        <v>0</v>
      </c>
      <c r="AK112" s="48" t="n">
        <f aca="false">SUM(AK108:AK111)</f>
        <v>0</v>
      </c>
      <c r="AL112" s="48" t="n">
        <f aca="false">SUM(AL108:AL111)</f>
        <v>0</v>
      </c>
      <c r="AM112" s="48" t="n">
        <f aca="false">SUM(AM108:AM111)</f>
        <v>0</v>
      </c>
      <c r="AN112" s="48" t="n">
        <f aca="false">SUM(AN108:AN111)</f>
        <v>0</v>
      </c>
      <c r="AO112" s="48" t="n">
        <f aca="false">SUM(AO108:AO111)</f>
        <v>0</v>
      </c>
      <c r="AP112" s="48" t="n">
        <f aca="false">SUM(AP108:AP111)</f>
        <v>0</v>
      </c>
      <c r="AQ112" s="48" t="n">
        <f aca="false">SUM(AQ108:AQ111)</f>
        <v>0</v>
      </c>
      <c r="AR112" s="48" t="n">
        <f aca="false">SUM(AR108:AR111)</f>
        <v>0</v>
      </c>
      <c r="AS112" s="48" t="n">
        <f aca="false">SUM(AS108:AS111)</f>
        <v>0</v>
      </c>
      <c r="AT112" s="48" t="n">
        <f aca="false">SUM(AT108:AT111)</f>
        <v>0</v>
      </c>
      <c r="AU112" s="48" t="n">
        <f aca="false">SUM(AU108:AU111)</f>
        <v>0</v>
      </c>
      <c r="AV112" s="48" t="n">
        <f aca="false">SUM(AV108:AV111)</f>
        <v>0</v>
      </c>
      <c r="AW112" s="48" t="n">
        <f aca="false">SUM(AW108:AW111)</f>
        <v>0</v>
      </c>
      <c r="AX112" s="48" t="n">
        <f aca="false">SUM(AX108:AX111)</f>
        <v>0</v>
      </c>
      <c r="AY112" s="48" t="n">
        <f aca="false">SUM(AY108:AY111)</f>
        <v>0</v>
      </c>
      <c r="AZ112" s="48" t="n">
        <f aca="false">SUM(AZ108:AZ111)</f>
        <v>0</v>
      </c>
      <c r="BA112" s="48" t="n">
        <f aca="false">SUM(BA108:BA111)</f>
        <v>0</v>
      </c>
      <c r="BB112" s="48" t="n">
        <f aca="false">SUM(BB108:BB111)</f>
        <v>0</v>
      </c>
      <c r="BC112" s="48" t="n">
        <f aca="false">SUM(BC108:BC111)</f>
        <v>0</v>
      </c>
      <c r="BD112" s="48" t="n">
        <f aca="false">SUM(BD108:BD111)</f>
        <v>0</v>
      </c>
      <c r="BE112" s="48" t="n">
        <f aca="false">SUM(BE108:BE111)</f>
        <v>0</v>
      </c>
      <c r="BF112" s="48" t="n">
        <f aca="false">SUM(BF108:BF111)</f>
        <v>0</v>
      </c>
      <c r="BG112" s="48" t="n">
        <f aca="false">SUM(BG108:BG111)</f>
        <v>0</v>
      </c>
      <c r="BH112" s="48" t="n">
        <f aca="false">SUM(BH108:BH111)</f>
        <v>0</v>
      </c>
      <c r="BI112" s="48" t="n">
        <f aca="false">SUM(BI108:BI111)</f>
        <v>0</v>
      </c>
      <c r="BJ112" s="48" t="n">
        <f aca="false">SUM(BJ108:BJ111)</f>
        <v>0</v>
      </c>
      <c r="BK112" s="48" t="n">
        <f aca="false">SUM(BK108:BK111)</f>
        <v>0</v>
      </c>
      <c r="BL112" s="48" t="n">
        <f aca="false">SUM(BL108:BL111)</f>
        <v>0</v>
      </c>
      <c r="BM112" s="48" t="n">
        <f aca="false">SUM(BM108:BM111)</f>
        <v>0</v>
      </c>
      <c r="BN112" s="48" t="n">
        <f aca="false">SUM(BN108:BN111)</f>
        <v>0</v>
      </c>
      <c r="BO112" s="48" t="n">
        <f aca="false">SUM(BO108:BO111)</f>
        <v>0</v>
      </c>
      <c r="BP112" s="48" t="n">
        <f aca="false">SUM(BP108:BP111)</f>
        <v>0</v>
      </c>
      <c r="BQ112" s="48" t="n">
        <f aca="false">SUM(BQ108:BQ111)</f>
        <v>0</v>
      </c>
      <c r="BR112" s="48" t="n">
        <f aca="false">SUM(BR108:BR111)</f>
        <v>0</v>
      </c>
      <c r="BS112" s="48" t="n">
        <f aca="false">SUM(BS108:BS111)</f>
        <v>0</v>
      </c>
      <c r="BT112" s="48" t="n">
        <f aca="false">SUM(BT108:BT111)</f>
        <v>0</v>
      </c>
      <c r="BU112" s="48" t="n">
        <f aca="false">SUM(BU108:BU111)</f>
        <v>0</v>
      </c>
      <c r="BV112" s="48" t="n">
        <f aca="false">SUM(BV108:BV111)</f>
        <v>0</v>
      </c>
      <c r="BW112" s="48" t="n">
        <f aca="false">SUM(BW108:BW111)</f>
        <v>0</v>
      </c>
      <c r="BX112" s="48" t="n">
        <f aca="false">SUM(BX108:BX111)</f>
        <v>0</v>
      </c>
      <c r="BY112" s="48" t="n">
        <f aca="false">SUM(BY108:BY111)</f>
        <v>0</v>
      </c>
      <c r="BZ112" s="48" t="n">
        <f aca="false">SUM(BZ108:BZ111)</f>
        <v>0</v>
      </c>
      <c r="CA112" s="48" t="n">
        <f aca="false">SUM(CA108:CA111)</f>
        <v>0</v>
      </c>
      <c r="CB112" s="48" t="n">
        <f aca="false">SUM(CB108:CB111)</f>
        <v>0</v>
      </c>
      <c r="CC112" s="48" t="n">
        <f aca="false">SUM(CC108:CC111)</f>
        <v>0</v>
      </c>
      <c r="CD112" s="48" t="n">
        <f aca="false">SUM(CD108:CD111)</f>
        <v>0</v>
      </c>
      <c r="CE112" s="48" t="n">
        <f aca="false">SUM(CE108:CE111)</f>
        <v>0</v>
      </c>
      <c r="CF112" s="48" t="n">
        <f aca="false">SUM(CF108:CF111)</f>
        <v>0</v>
      </c>
      <c r="CG112" s="48" t="n">
        <f aca="false">SUM(CG108:CG111)</f>
        <v>0</v>
      </c>
      <c r="CH112" s="48" t="n">
        <f aca="false">SUM(CH108:CH111)</f>
        <v>0</v>
      </c>
      <c r="CI112" s="48" t="n">
        <f aca="false">SUM(CI108:CI111)</f>
        <v>0</v>
      </c>
      <c r="CJ112" s="48" t="n">
        <f aca="false">SUM(CJ108:CJ111)</f>
        <v>0</v>
      </c>
      <c r="CK112" s="48" t="n">
        <f aca="false">SUM(CK108:CK111)</f>
        <v>0</v>
      </c>
      <c r="CL112" s="48" t="n">
        <f aca="false">SUM(CL108:CL111)</f>
        <v>0</v>
      </c>
      <c r="CM112" s="48" t="n">
        <f aca="false">SUM(CM108:CM111)</f>
        <v>0</v>
      </c>
      <c r="CN112" s="48" t="n">
        <f aca="false">SUM(CN108:CN111)</f>
        <v>0</v>
      </c>
      <c r="CO112" s="48" t="n">
        <f aca="false">SUM(CO108:CO111)</f>
        <v>0</v>
      </c>
      <c r="CP112" s="48" t="n">
        <f aca="false">SUM(CP108:CP111)</f>
        <v>0</v>
      </c>
      <c r="CQ112" s="48" t="n">
        <f aca="false">SUM(CQ108:CQ111)</f>
        <v>0</v>
      </c>
      <c r="CR112" s="48" t="n">
        <f aca="false">SUM(CR108:CR111)</f>
        <v>0</v>
      </c>
      <c r="CS112" s="48" t="n">
        <f aca="false">SUM(CS108:CS111)</f>
        <v>0</v>
      </c>
      <c r="CT112" s="48" t="n">
        <f aca="false">SUM(CT108:CT111)</f>
        <v>0</v>
      </c>
      <c r="CU112" s="48" t="n">
        <f aca="false">SUM(CU108:CU111)</f>
        <v>0</v>
      </c>
      <c r="CV112" s="48" t="n">
        <f aca="false">SUM(CV108:CV111)</f>
        <v>0</v>
      </c>
      <c r="CW112" s="48" t="n">
        <f aca="false">SUM(CW108:CW111)</f>
        <v>0</v>
      </c>
      <c r="CX112" s="48" t="n">
        <f aca="false">SUM(CX108:CX111)</f>
        <v>0</v>
      </c>
      <c r="CY112" s="48" t="n">
        <f aca="false">SUM(CY108:CY111)</f>
        <v>0</v>
      </c>
      <c r="CZ112" s="48" t="n">
        <f aca="false">SUM(CZ108:CZ111)</f>
        <v>0</v>
      </c>
      <c r="DA112" s="48" t="n">
        <f aca="false">SUM(DA108:DA111)</f>
        <v>0</v>
      </c>
      <c r="DB112" s="48" t="n">
        <f aca="false">SUM(DB108:DB111)</f>
        <v>0</v>
      </c>
      <c r="DC112" s="48" t="n">
        <f aca="false">SUM(DC108:DC111)</f>
        <v>0</v>
      </c>
      <c r="DD112" s="48" t="n">
        <f aca="false">SUM(DD108:DD111)</f>
        <v>0</v>
      </c>
      <c r="DE112" s="48" t="n">
        <f aca="false">SUM(DE108:DE111)</f>
        <v>0</v>
      </c>
      <c r="DF112" s="48" t="n">
        <f aca="false">SUM(DF108:DF111)</f>
        <v>0</v>
      </c>
      <c r="DG112" s="48" t="n">
        <f aca="false">SUM(DG108:DG111)</f>
        <v>0</v>
      </c>
      <c r="DH112" s="48" t="n">
        <f aca="false">SUM(DH108:DH111)</f>
        <v>0</v>
      </c>
      <c r="DI112" s="48" t="n">
        <f aca="false">SUM(DI108:DI111)</f>
        <v>0</v>
      </c>
      <c r="DJ112" s="48" t="n">
        <f aca="false">SUM(DJ108:DJ111)</f>
        <v>0</v>
      </c>
      <c r="DK112" s="48" t="n">
        <f aca="false">SUM(DK108:DK111)</f>
        <v>0</v>
      </c>
      <c r="DL112" s="48" t="n">
        <f aca="false">SUM(DL108:DL111)</f>
        <v>0</v>
      </c>
      <c r="DM112" s="48" t="n">
        <f aca="false">SUM(DM108:DM111)</f>
        <v>0</v>
      </c>
      <c r="DN112" s="48" t="n">
        <f aca="false">SUM(DN108:DN111)</f>
        <v>0</v>
      </c>
      <c r="DO112" s="48" t="n">
        <f aca="false">SUM(DO108:DO111)</f>
        <v>0</v>
      </c>
      <c r="DP112" s="48" t="n">
        <f aca="false">SUM(DP108:DP111)</f>
        <v>0</v>
      </c>
      <c r="DQ112" s="48" t="n">
        <f aca="false">SUM(DQ108:DQ111)</f>
        <v>0</v>
      </c>
      <c r="DR112" s="48" t="n">
        <f aca="false">SUM(DR108:DR111)</f>
        <v>0</v>
      </c>
      <c r="DS112" s="48" t="n">
        <f aca="false">SUM(DS108:DS111)</f>
        <v>0</v>
      </c>
      <c r="DT112" s="48" t="n">
        <f aca="false">SUM(DT108:DT111)</f>
        <v>0</v>
      </c>
      <c r="DU112" s="48" t="n">
        <f aca="false">SUM(DU108:DU111)</f>
        <v>0</v>
      </c>
      <c r="DV112" s="48" t="n">
        <f aca="false">SUM(DV108:DV111)</f>
        <v>0</v>
      </c>
      <c r="DW112" s="48" t="n">
        <f aca="false">SUM(DW108:DW111)</f>
        <v>0</v>
      </c>
      <c r="DX112" s="48" t="n">
        <f aca="false">SUM(DX108:DX111)</f>
        <v>0</v>
      </c>
      <c r="DY112" s="48" t="n">
        <f aca="false">SUM(DY108:DY111)</f>
        <v>0</v>
      </c>
      <c r="DZ112" s="48" t="n">
        <f aca="false">SUM(DZ108:DZ111)</f>
        <v>0</v>
      </c>
      <c r="EA112" s="48" t="n">
        <f aca="false">SUM(EA108:EA111)</f>
        <v>0</v>
      </c>
      <c r="EB112" s="48" t="n">
        <f aca="false">SUM(EB108:EB111)</f>
        <v>0</v>
      </c>
      <c r="EC112" s="48" t="n">
        <f aca="false">SUM(EC108:EC111)</f>
        <v>0</v>
      </c>
      <c r="ED112" s="48" t="n">
        <f aca="false">SUM(ED108:ED111)</f>
        <v>0</v>
      </c>
      <c r="EE112" s="48" t="n">
        <f aca="false">SUM(EE108:EE111)</f>
        <v>0</v>
      </c>
      <c r="EF112" s="48" t="n">
        <f aca="false">SUM(EF108:EF111)</f>
        <v>0</v>
      </c>
      <c r="EG112" s="48" t="n">
        <f aca="false">SUM(EG108:EG111)</f>
        <v>0</v>
      </c>
      <c r="EH112" s="48" t="n">
        <f aca="false">SUM(EH108:EH111)</f>
        <v>0</v>
      </c>
      <c r="EI112" s="48" t="n">
        <f aca="false">SUM(EI108:EI111)</f>
        <v>0</v>
      </c>
      <c r="EJ112" s="48" t="n">
        <f aca="false">SUM(EJ108:EJ111)</f>
        <v>0</v>
      </c>
      <c r="EK112" s="48" t="n">
        <f aca="false">SUM(EK108:EK111)</f>
        <v>0</v>
      </c>
      <c r="EL112" s="48" t="n">
        <f aca="false">SUM(EL108:EL111)</f>
        <v>0</v>
      </c>
      <c r="EM112" s="48" t="n">
        <f aca="false">SUM(EM108:EM111)</f>
        <v>0</v>
      </c>
      <c r="EN112" s="48" t="n">
        <f aca="false">SUM(EN108:EN111)</f>
        <v>0</v>
      </c>
      <c r="EO112" s="48" t="n">
        <f aca="false">SUM(EO108:EO111)</f>
        <v>0</v>
      </c>
    </row>
    <row r="113" customFormat="false" ht="15" hidden="false" customHeight="false" outlineLevel="0" collapsed="false">
      <c r="C113" s="0" t="s">
        <v>488</v>
      </c>
      <c r="D113" s="11" t="s">
        <v>33</v>
      </c>
      <c r="J113" s="48" t="n">
        <f aca="false">-In_CIT*(MAX(0,J107)+J110)-In_RH_On*In_RH_Rate*MAX(0,J107)</f>
        <v>-0</v>
      </c>
      <c r="K113" s="48" t="n">
        <f aca="false">-In_CIT*(MAX(0,K107)+K110)-In_RH_On*In_RH_Rate*MAX(0,K107)</f>
        <v>-0</v>
      </c>
      <c r="L113" s="48" t="n">
        <f aca="false">-In_CIT*(MAX(0,L107)+L110)-In_RH_On*In_RH_Rate*MAX(0,L107)</f>
        <v>-0</v>
      </c>
      <c r="M113" s="48" t="n">
        <f aca="false">-In_CIT*(MAX(0,M107)+M110)-In_RH_On*In_RH_Rate*MAX(0,M107)</f>
        <v>-0</v>
      </c>
      <c r="N113" s="48" t="n">
        <f aca="false">-In_CIT*(MAX(0,N107)+N110)-In_RH_On*In_RH_Rate*MAX(0,N107)</f>
        <v>-0</v>
      </c>
      <c r="O113" s="48" t="n">
        <f aca="false">-In_CIT*(MAX(0,O107)+O110)-In_RH_On*In_RH_Rate*MAX(0,O107)</f>
        <v>-0</v>
      </c>
      <c r="P113" s="48" t="n">
        <f aca="false">-In_CIT*(MAX(0,P107)+P110)-In_RH_On*In_RH_Rate*MAX(0,P107)</f>
        <v>-0</v>
      </c>
      <c r="Q113" s="48" t="n">
        <f aca="false">-In_CIT*(MAX(0,Q107)+Q110)-In_RH_On*In_RH_Rate*MAX(0,Q107)</f>
        <v>-0</v>
      </c>
      <c r="R113" s="48" t="n">
        <f aca="false">-In_CIT*(MAX(0,R107)+R110)-In_RH_On*In_RH_Rate*MAX(0,R107)</f>
        <v>-0</v>
      </c>
      <c r="S113" s="48" t="n">
        <f aca="false">-In_CIT*(MAX(0,S107)+S110)-In_RH_On*In_RH_Rate*MAX(0,S107)</f>
        <v>-0</v>
      </c>
      <c r="T113" s="48" t="n">
        <f aca="false">-In_CIT*(MAX(0,T107)+T110)-In_RH_On*In_RH_Rate*MAX(0,T107)</f>
        <v>-0</v>
      </c>
      <c r="U113" s="48" t="n">
        <f aca="false">-In_CIT*(MAX(0,U107)+U110)-In_RH_On*In_RH_Rate*MAX(0,U107)</f>
        <v>-0</v>
      </c>
      <c r="V113" s="48" t="n">
        <f aca="false">-In_CIT*(MAX(0,V107)+V110)-In_RH_On*In_RH_Rate*MAX(0,V107)</f>
        <v>-0</v>
      </c>
      <c r="W113" s="48" t="n">
        <f aca="false">-In_CIT*(MAX(0,W107)+W110)-In_RH_On*In_RH_Rate*MAX(0,W107)</f>
        <v>-0</v>
      </c>
      <c r="X113" s="48" t="n">
        <f aca="false">-In_CIT*(MAX(0,X107)+X110)-In_RH_On*In_RH_Rate*MAX(0,X107)</f>
        <v>-0</v>
      </c>
      <c r="Y113" s="48" t="n">
        <f aca="false">-In_CIT*(MAX(0,Y107)+Y110)-In_RH_On*In_RH_Rate*MAX(0,Y107)</f>
        <v>-0</v>
      </c>
      <c r="Z113" s="48" t="n">
        <f aca="false">-In_CIT*(MAX(0,Z107)+Z110)-In_RH_On*In_RH_Rate*MAX(0,Z107)</f>
        <v>-57.9374552281603</v>
      </c>
      <c r="AA113" s="48" t="n">
        <f aca="false">-In_CIT*(MAX(0,AA107)+AA110)-In_RH_On*In_RH_Rate*MAX(0,AA107)</f>
        <v>-57.3413728005332</v>
      </c>
      <c r="AB113" s="48" t="n">
        <f aca="false">-In_CIT*(MAX(0,AB107)+AB110)-In_RH_On*In_RH_Rate*MAX(0,AB107)</f>
        <v>-58.7786499424836</v>
      </c>
      <c r="AC113" s="48" t="n">
        <f aca="false">-In_CIT*(MAX(0,AC107)+AC110)-In_RH_On*In_RH_Rate*MAX(0,AC107)</f>
        <v>-60.2295392404522</v>
      </c>
      <c r="AD113" s="48" t="n">
        <f aca="false">-In_CIT*(MAX(0,AD107)+AD110)-In_RH_On*In_RH_Rate*MAX(0,AD107)</f>
        <v>-59.9734776850828</v>
      </c>
      <c r="AE113" s="48" t="n">
        <f aca="false">-In_CIT*(MAX(0,AE107)+AE110)-In_RH_On*In_RH_Rate*MAX(0,AE107)</f>
        <v>-114.686810686531</v>
      </c>
      <c r="AF113" s="48" t="n">
        <f aca="false">-In_CIT*(MAX(0,AF107)+AF110)-In_RH_On*In_RH_Rate*MAX(0,AF107)</f>
        <v>-121.655844376888</v>
      </c>
      <c r="AG113" s="48" t="n">
        <f aca="false">-In_CIT*(MAX(0,AG107)+AG110)-In_RH_On*In_RH_Rate*MAX(0,AG107)</f>
        <v>-124.565346374781</v>
      </c>
      <c r="AH113" s="48" t="n">
        <f aca="false">-In_CIT*(MAX(0,AH107)+AH110)-In_RH_On*In_RH_Rate*MAX(0,AH107)</f>
        <v>-124.039451884814</v>
      </c>
      <c r="AI113" s="48" t="n">
        <f aca="false">-In_CIT*(MAX(0,AI107)+AI110)-In_RH_On*In_RH_Rate*MAX(0,AI107)</f>
        <v>-122.791188733032</v>
      </c>
      <c r="AJ113" s="48" t="n">
        <f aca="false">-In_CIT*(MAX(0,AJ107)+AJ110)-In_RH_On*In_RH_Rate*MAX(0,AJ107)</f>
        <v>-130.699003240115</v>
      </c>
      <c r="AK113" s="48" t="n">
        <f aca="false">-In_CIT*(MAX(0,AK107)+AK110)-In_RH_On*In_RH_Rate*MAX(0,AK107)</f>
        <v>-133.736080825388</v>
      </c>
      <c r="AL113" s="48" t="n">
        <f aca="false">-In_CIT*(MAX(0,AL107)+AL110)-In_RH_On*In_RH_Rate*MAX(0,AL107)</f>
        <v>-133.264009897685</v>
      </c>
      <c r="AM113" s="48" t="n">
        <f aca="false">-In_CIT*(MAX(0,AM107)+AM110)-In_RH_On*In_RH_Rate*MAX(0,AM107)</f>
        <v>-131.922827649715</v>
      </c>
      <c r="AN113" s="48" t="n">
        <f aca="false">-In_CIT*(MAX(0,AN107)+AN110)-In_RH_On*In_RH_Rate*MAX(0,AN107)</f>
        <v>-134.986321172917</v>
      </c>
      <c r="AO113" s="48" t="n">
        <f aca="false">-In_CIT*(MAX(0,AO107)+AO110)-In_RH_On*In_RH_Rate*MAX(0,AO107)</f>
        <v>-138.077496021662</v>
      </c>
      <c r="AP113" s="48" t="n">
        <f aca="false">-In_CIT*(MAX(0,AP107)+AP110)-In_RH_On*In_RH_Rate*MAX(0,AP107)</f>
        <v>-137.640279839395</v>
      </c>
      <c r="AQ113" s="48" t="n">
        <f aca="false">-In_CIT*(MAX(0,AQ107)+AQ110)-In_RH_On*In_RH_Rate*MAX(0,AQ107)</f>
        <v>-136.295901723732</v>
      </c>
      <c r="AR113" s="48" t="n">
        <f aca="false">-In_CIT*(MAX(0,AR107)+AR110)-In_RH_On*In_RH_Rate*MAX(0,AR107)</f>
        <v>-139.41447257159</v>
      </c>
      <c r="AS113" s="48" t="n">
        <f aca="false">-In_CIT*(MAX(0,AS107)+AS110)-In_RH_On*In_RH_Rate*MAX(0,AS107)</f>
        <v>-142.561287033903</v>
      </c>
      <c r="AT113" s="48" t="n">
        <f aca="false">-In_CIT*(MAX(0,AT107)+AT110)-In_RH_On*In_RH_Rate*MAX(0,AT107)</f>
        <v>-142.160811469421</v>
      </c>
      <c r="AU113" s="48" t="n">
        <f aca="false">-In_CIT*(MAX(0,AU107)+AU110)-In_RH_On*In_RH_Rate*MAX(0,AU107)</f>
        <v>-143.098077072417</v>
      </c>
      <c r="AV113" s="48" t="n">
        <f aca="false">-In_CIT*(MAX(0,AV107)+AV110)-In_RH_On*In_RH_Rate*MAX(0,AV107)</f>
        <v>-144.008344071503</v>
      </c>
      <c r="AW113" s="48" t="n">
        <f aca="false">-In_CIT*(MAX(0,AW107)+AW110)-In_RH_On*In_RH_Rate*MAX(0,AW107)</f>
        <v>-147.212628719927</v>
      </c>
      <c r="AX113" s="48" t="n">
        <f aca="false">-In_CIT*(MAX(0,AX107)+AX110)-In_RH_On*In_RH_Rate*MAX(0,AX107)</f>
        <v>-146.851084519545</v>
      </c>
      <c r="AY113" s="48" t="n">
        <f aca="false">-In_CIT*(MAX(0,AY107)+AY110)-In_RH_On*In_RH_Rate*MAX(0,AY107)</f>
        <v>-145.505156636005</v>
      </c>
      <c r="AZ113" s="48" t="n">
        <f aca="false">-In_CIT*(MAX(0,AZ107)+AZ110)-In_RH_On*In_RH_Rate*MAX(0,AZ107)</f>
        <v>-148.738961506512</v>
      </c>
      <c r="BA113" s="48" t="n">
        <f aca="false">-In_CIT*(MAX(0,BA107)+BA110)-In_RH_On*In_RH_Rate*MAX(0,BA107)</f>
        <v>-152.002202423579</v>
      </c>
      <c r="BB113" s="48" t="n">
        <f aca="false">-In_CIT*(MAX(0,BB107)+BB110)-In_RH_On*In_RH_Rate*MAX(0,BB107)</f>
        <v>-151.681445422642</v>
      </c>
      <c r="BC113" s="48" t="n">
        <f aca="false">-In_CIT*(MAX(0,BC107)+BC110)-In_RH_On*In_RH_Rate*MAX(0,BC107)</f>
        <v>-150.337121138384</v>
      </c>
      <c r="BD113" s="48" t="n">
        <f aca="false">-In_CIT*(MAX(0,BD107)+BD110)-In_RH_On*In_RH_Rate*MAX(0,BD107)</f>
        <v>-153.631024508846</v>
      </c>
      <c r="BE113" s="48" t="n">
        <f aca="false">-In_CIT*(MAX(0,BE107)+BE110)-In_RH_On*In_RH_Rate*MAX(0,BE107)</f>
        <v>-156.954993583113</v>
      </c>
      <c r="BF113" s="48" t="n">
        <f aca="false">-In_CIT*(MAX(0,BF107)+BF110)-In_RH_On*In_RH_Rate*MAX(0,BF107)</f>
        <v>-156.677182772755</v>
      </c>
      <c r="BG113" s="48" t="n">
        <f aca="false">-In_CIT*(MAX(0,BG107)+BG110)-In_RH_On*In_RH_Rate*MAX(0,BG107)</f>
        <v>-155.336233237651</v>
      </c>
      <c r="BH113" s="48" t="n">
        <f aca="false">-In_CIT*(MAX(0,BH107)+BH110)-In_RH_On*In_RH_Rate*MAX(0,BH107)</f>
        <v>-158.692066558661</v>
      </c>
      <c r="BI113" s="48" t="n">
        <f aca="false">-In_CIT*(MAX(0,BI107)+BI110)-In_RH_On*In_RH_Rate*MAX(0,BI107)</f>
        <v>-162.078619751334</v>
      </c>
      <c r="BJ113" s="48" t="n">
        <f aca="false">-In_CIT*(MAX(0,BJ107)+BJ110)-In_RH_On*In_RH_Rate*MAX(0,BJ107)</f>
        <v>-161.846013552675</v>
      </c>
      <c r="BK113" s="48" t="n">
        <f aca="false">-In_CIT*(MAX(0,BK107)+BK110)-In_RH_On*In_RH_Rate*MAX(0,BK107)</f>
        <v>-162.833619797167</v>
      </c>
      <c r="BL113" s="48" t="n">
        <f aca="false">-In_CIT*(MAX(0,BL107)+BL110)-In_RH_On*In_RH_Rate*MAX(0,BL107)</f>
        <v>-163.948508670533</v>
      </c>
      <c r="BM113" s="48" t="n">
        <f aca="false">-In_CIT*(MAX(0,BM107)+BM110)-In_RH_On*In_RH_Rate*MAX(0,BM107)</f>
        <v>-167.3998077356</v>
      </c>
      <c r="BN113" s="48" t="n">
        <f aca="false">-In_CIT*(MAX(0,BN107)+BN110)-In_RH_On*In_RH_Rate*MAX(0,BN107)</f>
        <v>-167.214988710385</v>
      </c>
      <c r="BO113" s="48" t="n">
        <f aca="false">-In_CIT*(MAX(0,BO107)+BO110)-In_RH_On*In_RH_Rate*MAX(0,BO107)</f>
        <v>-165.886706300089</v>
      </c>
      <c r="BP113" s="48" t="n">
        <f aca="false">-In_CIT*(MAX(0,BP107)+BP110)-In_RH_On*In_RH_Rate*MAX(0,BP107)</f>
        <v>-169.372471949658</v>
      </c>
      <c r="BQ113" s="48" t="n">
        <f aca="false">-In_CIT*(MAX(0,BQ107)+BQ110)-In_RH_On*In_RH_Rate*MAX(0,BQ107)</f>
        <v>-172.890346552776</v>
      </c>
      <c r="BR113" s="48" t="n">
        <f aca="false">-In_CIT*(MAX(0,BR107)+BR110)-In_RH_On*In_RH_Rate*MAX(0,BR107)</f>
        <v>-172.755576426254</v>
      </c>
      <c r="BS113" s="48" t="n">
        <f aca="false">-In_CIT*(MAX(0,BS107)+BS110)-In_RH_On*In_RH_Rate*MAX(0,BS107)</f>
        <v>-171.43657663314</v>
      </c>
      <c r="BT113" s="48" t="n">
        <f aca="false">-In_CIT*(MAX(0,BT107)+BT110)-In_RH_On*In_RH_Rate*MAX(0,BT107)</f>
        <v>-174.990317518259</v>
      </c>
      <c r="BU113" s="48" t="n">
        <f aca="false">-In_CIT*(MAX(0,BU107)+BU110)-In_RH_On*In_RH_Rate*MAX(0,BU107)</f>
        <v>-178.576902171586</v>
      </c>
      <c r="BV113" s="48" t="n">
        <f aca="false">-In_CIT*(MAX(0,BV107)+BV110)-In_RH_On*In_RH_Rate*MAX(0,BV107)</f>
        <v>-178.494766654113</v>
      </c>
      <c r="BW113" s="48" t="n">
        <f aca="false">-In_CIT*(MAX(0,BW107)+BW110)-In_RH_On*In_RH_Rate*MAX(0,BW107)</f>
        <v>-177.187226150569</v>
      </c>
      <c r="BX113" s="48" t="n">
        <f aca="false">-In_CIT*(MAX(0,BX107)+BX110)-In_RH_On*In_RH_Rate*MAX(0,BX107)</f>
        <v>-180.811149454513</v>
      </c>
      <c r="BY113" s="48" t="n">
        <f aca="false">-In_CIT*(MAX(0,BY107)+BY110)-In_RH_On*In_RH_Rate*MAX(0,BY107)</f>
        <v>-184.468680703967</v>
      </c>
      <c r="BZ113" s="48" t="n">
        <f aca="false">-In_CIT*(MAX(0,BZ107)+BZ110)-In_RH_On*In_RH_Rate*MAX(0,BZ107)</f>
        <v>-184.441884712178</v>
      </c>
      <c r="CA113" s="48" t="n">
        <f aca="false">-In_CIT*(MAX(0,CA107)+CA110)-In_RH_On*In_RH_Rate*MAX(0,CA107)</f>
        <v>-185.504505587195</v>
      </c>
      <c r="CB113" s="48" t="n">
        <f aca="false">-In_CIT*(MAX(0,CB107)+CB110)-In_RH_On*In_RH_Rate*MAX(0,CB107)</f>
        <v>-186.863176768506</v>
      </c>
      <c r="CC113" s="48" t="n">
        <f aca="false">-In_CIT*(MAX(0,CC107)+CC110)-In_RH_On*In_RH_Rate*MAX(0,CC107)</f>
        <v>-190.594217455157</v>
      </c>
      <c r="CD113" s="48" t="n">
        <f aca="false">-In_CIT*(MAX(0,CD107)+CD110)-In_RH_On*In_RH_Rate*MAX(0,CD107)</f>
        <v>-190.625812433679</v>
      </c>
      <c r="CE113" s="48" t="n">
        <f aca="false">-In_CIT*(MAX(0,CE107)+CE110)-In_RH_On*In_RH_Rate*MAX(0,CE107)</f>
        <v>-189.348405272822</v>
      </c>
      <c r="CF113" s="48" t="n">
        <f aca="false">-In_CIT*(MAX(0,CF107)+CF110)-In_RH_On*In_RH_Rate*MAX(0,CF107)</f>
        <v>-193.119970109925</v>
      </c>
      <c r="CG113" s="48" t="n">
        <f aca="false">-In_CIT*(MAX(0,CG107)+CG110)-In_RH_On*In_RH_Rate*MAX(0,CG107)</f>
        <v>-196.92676750131</v>
      </c>
      <c r="CH113" s="48" t="n">
        <f aca="false">-In_CIT*(MAX(0,CH107)+CH110)-In_RH_On*In_RH_Rate*MAX(0,CH107)</f>
        <v>-197.019502452187</v>
      </c>
      <c r="CI113" s="48" t="n">
        <f aca="false">-In_CIT*(MAX(0,CI107)+CI110)-In_RH_On*In_RH_Rate*MAX(0,CI107)</f>
        <v>-195.760799763146</v>
      </c>
      <c r="CJ113" s="48" t="n">
        <f aca="false">-In_CIT*(MAX(0,CJ107)+CJ110)-In_RH_On*In_RH_Rate*MAX(0,CJ107)</f>
        <v>-199.609834925726</v>
      </c>
      <c r="CK113" s="48" t="n">
        <f aca="false">-In_CIT*(MAX(0,CK107)+CK110)-In_RH_On*In_RH_Rate*MAX(0,CK107)</f>
        <v>-203.494963449241</v>
      </c>
      <c r="CL113" s="48" t="n">
        <f aca="false">-In_CIT*(MAX(0,CL107)+CL110)-In_RH_On*In_RH_Rate*MAX(0,CL107)</f>
        <v>-203.65193566215</v>
      </c>
      <c r="CM113" s="48" t="n">
        <f aca="false">-In_CIT*(MAX(0,CM107)+CM110)-In_RH_On*In_RH_Rate*MAX(0,CM107)</f>
        <v>-202.414603329881</v>
      </c>
      <c r="CN113" s="48" t="n">
        <f aca="false">-In_CIT*(MAX(0,CN107)+CN110)-In_RH_On*In_RH_Rate*MAX(0,CN107)</f>
        <v>-206.34377181454</v>
      </c>
      <c r="CO113" s="48" t="n">
        <f aca="false">-In_CIT*(MAX(0,CO107)+CO110)-In_RH_On*In_RH_Rate*MAX(0,CO107)</f>
        <v>-210.309929670203</v>
      </c>
      <c r="CP113" s="48" t="n">
        <f aca="false">-In_CIT*(MAX(0,CP107)+CP110)-In_RH_On*In_RH_Rate*MAX(0,CP107)</f>
        <v>-210.534379405364</v>
      </c>
      <c r="CQ113" s="48" t="n">
        <f aca="false">-In_CIT*(MAX(0,CQ107)+CQ110)-In_RH_On*In_RH_Rate*MAX(0,CQ107)</f>
        <v>-211.702843383608</v>
      </c>
      <c r="CR113" s="48" t="n">
        <f aca="false">-In_CIT*(MAX(0,CR107)+CR110)-In_RH_On*In_RH_Rate*MAX(0,CR107)</f>
        <v>-213.352085642387</v>
      </c>
      <c r="CS113" s="48" t="n">
        <f aca="false">-In_CIT*(MAX(0,CS107)+CS110)-In_RH_On*In_RH_Rate*MAX(0,CS107)</f>
        <v>-217.402321392108</v>
      </c>
      <c r="CT113" s="48" t="n">
        <f aca="false">-In_CIT*(MAX(0,CT107)+CT110)-In_RH_On*In_RH_Rate*MAX(0,CT107)</f>
        <v>-217.697861601253</v>
      </c>
      <c r="CU113" s="48" t="n">
        <f aca="false">-In_CIT*(MAX(0,CU107)+CU110)-In_RH_On*In_RH_Rate*MAX(0,CU107)</f>
        <v>-214.791054135796</v>
      </c>
      <c r="CV113" s="48" t="n">
        <f aca="false">-In_CIT*(MAX(0,CV107)+CV110)-In_RH_On*In_RH_Rate*MAX(0,CV107)</f>
        <v>-217.177621403972</v>
      </c>
      <c r="CW113" s="48" t="n">
        <f aca="false">-In_CIT*(MAX(0,CW107)+CW110)-In_RH_On*In_RH_Rate*MAX(0,CW107)</f>
        <v>-219.564188672147</v>
      </c>
      <c r="CX113" s="48" t="n">
        <f aca="false">-In_CIT*(MAX(0,CX107)+CX110)-In_RH_On*In_RH_Rate*MAX(0,CX107)</f>
        <v>-218.144299462481</v>
      </c>
      <c r="CY113" s="48" t="n">
        <f aca="false">-In_CIT*(MAX(0,CY107)+CY110)-In_RH_On*In_RH_Rate*MAX(0,CY107)</f>
        <v>-215.183912516612</v>
      </c>
      <c r="CZ113" s="48" t="n">
        <f aca="false">-In_CIT*(MAX(0,CZ107)+CZ110)-In_RH_On*In_RH_Rate*MAX(0,CZ107)</f>
        <v>-217.574844877908</v>
      </c>
      <c r="DA113" s="48" t="n">
        <f aca="false">-In_CIT*(MAX(0,DA107)+DA110)-In_RH_On*In_RH_Rate*MAX(0,DA107)</f>
        <v>-219.965777239203</v>
      </c>
      <c r="DB113" s="48" t="n">
        <f aca="false">-In_CIT*(MAX(0,DB107)+DB110)-In_RH_On*In_RH_Rate*MAX(0,DB107)</f>
        <v>-375.486699874706</v>
      </c>
      <c r="DC113" s="48" t="n">
        <f aca="false">-In_CIT*(MAX(0,DC107)+DC110)-In_RH_On*In_RH_Rate*MAX(0,DC107)</f>
        <v>-369.06027686922</v>
      </c>
      <c r="DD113" s="48" t="n">
        <f aca="false">-In_CIT*(MAX(0,DD107)+DD110)-In_RH_On*In_RH_Rate*MAX(0,DD107)</f>
        <v>-373.160946612211</v>
      </c>
      <c r="DE113" s="48" t="n">
        <f aca="false">-In_CIT*(MAX(0,DE107)+DE110)-In_RH_On*In_RH_Rate*MAX(0,DE107)</f>
        <v>-377.261616355202</v>
      </c>
      <c r="DF113" s="48" t="n">
        <f aca="false">-In_CIT*(MAX(0,DF107)+DF110)-In_RH_On*In_RH_Rate*MAX(0,DF107)</f>
        <v>-375.824783779587</v>
      </c>
      <c r="DG113" s="48" t="n">
        <f aca="false">-In_CIT*(MAX(0,DG107)+DG110)-In_RH_On*In_RH_Rate*MAX(0,DG107)</f>
        <v>-373.447561715863</v>
      </c>
      <c r="DH113" s="48" t="n">
        <f aca="false">-In_CIT*(MAX(0,DH107)+DH110)-In_RH_On*In_RH_Rate*MAX(0,DH107)</f>
        <v>-373.447561715863</v>
      </c>
      <c r="DI113" s="48" t="n">
        <f aca="false">-In_CIT*(MAX(0,DI107)+DI110)-In_RH_On*In_RH_Rate*MAX(0,DI107)</f>
        <v>-377.551381075378</v>
      </c>
      <c r="DJ113" s="48" t="n">
        <f aca="false">-In_CIT*(MAX(0,DJ107)+DJ110)-In_RH_On*In_RH_Rate*MAX(0,DJ107)</f>
        <v>-376.106053012438</v>
      </c>
      <c r="DK113" s="48" t="n">
        <f aca="false">-In_CIT*(MAX(0,DK107)+DK110)-In_RH_On*In_RH_Rate*MAX(0,DK107)</f>
        <v>-369.569862589467</v>
      </c>
      <c r="DL113" s="48" t="n">
        <f aca="false">-In_CIT*(MAX(0,DL107)+DL110)-In_RH_On*In_RH_Rate*MAX(0,DL107)</f>
        <v>-373.676194396016</v>
      </c>
      <c r="DM113" s="48" t="n">
        <f aca="false">-In_CIT*(MAX(0,DM107)+DM110)-In_RH_On*In_RH_Rate*MAX(0,DM107)</f>
        <v>-377.782526202566</v>
      </c>
      <c r="DN113" s="48" t="n">
        <f aca="false">-In_CIT*(MAX(0,DN107)+DN110)-In_RH_On*In_RH_Rate*MAX(0,DN107)</f>
        <v>-376.328687856252</v>
      </c>
      <c r="DO113" s="48" t="n">
        <f aca="false">-In_CIT*(MAX(0,DO107)+DO110)-In_RH_On*In_RH_Rate*MAX(0,DO107)</f>
        <v>-369.736810251908</v>
      </c>
      <c r="DP113" s="48" t="n">
        <f aca="false">-In_CIT*(MAX(0,DP107)+DP110)-In_RH_On*In_RH_Rate*MAX(0,DP107)</f>
        <v>-373.844997032485</v>
      </c>
      <c r="DQ113" s="48" t="n">
        <f aca="false">-In_CIT*(MAX(0,DQ107)+DQ110)-In_RH_On*In_RH_Rate*MAX(0,DQ107)</f>
        <v>-377.953183813062</v>
      </c>
      <c r="DR113" s="48" t="n">
        <f aca="false">-In_CIT*(MAX(0,DR107)+DR110)-In_RH_On*In_RH_Rate*MAX(0,DR107)</f>
        <v>-376.490821224723</v>
      </c>
      <c r="DS113" s="48" t="n">
        <f aca="false">-In_CIT*(MAX(0,DS107)+DS110)-In_RH_On*In_RH_Rate*MAX(0,DS107)</f>
        <v>-369.842710510588</v>
      </c>
      <c r="DT113" s="48" t="n">
        <f aca="false">-In_CIT*(MAX(0,DT107)+DT110)-In_RH_On*In_RH_Rate*MAX(0,DT107)</f>
        <v>-373.952073960706</v>
      </c>
      <c r="DU113" s="48" t="n">
        <f aca="false">-In_CIT*(MAX(0,DU107)+DU110)-In_RH_On*In_RH_Rate*MAX(0,DU107)</f>
        <v>-378.061437410823</v>
      </c>
      <c r="DV113" s="48" t="n">
        <f aca="false">-In_CIT*(MAX(0,DV107)+DV110)-In_RH_On*In_RH_Rate*MAX(0,DV107)</f>
        <v>-376.590537485769</v>
      </c>
      <c r="DW113" s="48" t="n">
        <f aca="false">-In_CIT*(MAX(0,DW107)+DW110)-In_RH_On*In_RH_Rate*MAX(0,DW107)</f>
        <v>-373.995480278811</v>
      </c>
      <c r="DX113" s="48" t="n">
        <f aca="false">-In_CIT*(MAX(0,DX107)+DX110)-In_RH_On*In_RH_Rate*MAX(0,DX107)</f>
        <v>-373.995480278811</v>
      </c>
      <c r="DY113" s="48" t="n">
        <f aca="false">-In_CIT*(MAX(0,DY107)+DY110)-In_RH_On*In_RH_Rate*MAX(0,DY107)</f>
        <v>-378.105320721436</v>
      </c>
      <c r="DZ113" s="48" t="n">
        <f aca="false">-In_CIT*(MAX(0,DZ107)+DZ110)-In_RH_On*In_RH_Rate*MAX(0,DZ107)</f>
        <v>-376.625871256129</v>
      </c>
      <c r="EA113" s="48" t="n">
        <f aca="false">-In_CIT*(MAX(0,EA107)+EA110)-In_RH_On*In_RH_Rate*MAX(0,EA107)</f>
        <v>-369.863624794353</v>
      </c>
      <c r="EB113" s="48" t="n">
        <f aca="false">-In_CIT*(MAX(0,EB107)+EB110)-In_RH_On*In_RH_Rate*MAX(0,EB107)</f>
        <v>-373.973220625402</v>
      </c>
      <c r="EC113" s="48" t="n">
        <f aca="false">-In_CIT*(MAX(0,EC107)+EC110)-In_RH_On*In_RH_Rate*MAX(0,EC107)</f>
        <v>-378.08281645645</v>
      </c>
      <c r="ED113" s="48" t="n">
        <f aca="false">-In_CIT*(MAX(0,ED107)+ED110)-In_RH_On*In_RH_Rate*MAX(0,ED107)</f>
        <v>-376.59480616636</v>
      </c>
      <c r="EE113" s="48" t="n">
        <f aca="false">-In_CIT*(MAX(0,EE107)+EE110)-In_RH_On*In_RH_Rate*MAX(0,EE107)</f>
        <v>-369.774640807209</v>
      </c>
      <c r="EF113" s="48" t="n">
        <f aca="false">-In_CIT*(MAX(0,EF107)+EF110)-In_RH_On*In_RH_Rate*MAX(0,EF107)</f>
        <v>-373.883247927289</v>
      </c>
      <c r="EG113" s="48" t="n">
        <f aca="false">-In_CIT*(MAX(0,EG107)+EG110)-In_RH_On*In_RH_Rate*MAX(0,EG107)</f>
        <v>-377.99185504737</v>
      </c>
      <c r="EH113" s="48" t="n">
        <f aca="false">-In_CIT*(MAX(0,EH107)+EH110)-In_RH_On*In_RH_Rate*MAX(0,EH107)</f>
        <v>-376.495273595489</v>
      </c>
      <c r="EI113" s="48" t="n">
        <f aca="false">-In_CIT*(MAX(0,EI107)+EI110)-In_RH_On*In_RH_Rate*MAX(0,EI107)</f>
        <v>-369.616610884433</v>
      </c>
      <c r="EJ113" s="48" t="n">
        <f aca="false">-In_CIT*(MAX(0,EJ107)+EJ110)-In_RH_On*In_RH_Rate*MAX(0,EJ107)</f>
        <v>-373.723462116483</v>
      </c>
      <c r="EK113" s="48" t="n">
        <f aca="false">-In_CIT*(MAX(0,EK107)+EK110)-In_RH_On*In_RH_Rate*MAX(0,EK107)</f>
        <v>-377.830313348532</v>
      </c>
      <c r="EL113" s="48" t="n">
        <f aca="false">-In_CIT*(MAX(0,EL107)+EL110)-In_RH_On*In_RH_Rate*MAX(0,EL107)</f>
        <v>-376.325151374579</v>
      </c>
      <c r="EM113" s="48" t="n">
        <f aca="false">-In_CIT*(MAX(0,EM107)+EM110)-In_RH_On*In_RH_Rate*MAX(0,EM107)</f>
        <v>-373.491708815652</v>
      </c>
      <c r="EN113" s="48" t="n">
        <f aca="false">-In_CIT*(MAX(0,EN107)+EN110)-In_RH_On*In_RH_Rate*MAX(0,EN107)</f>
        <v>-373.491708815652</v>
      </c>
      <c r="EO113" s="48" t="n">
        <f aca="false">-In_CIT*(MAX(0,EO107)+EO110)-In_RH_On*In_RH_Rate*MAX(0,EO107)</f>
        <v>-377.596013308131</v>
      </c>
    </row>
    <row r="114" customFormat="false" ht="15" hidden="false" customHeight="false" outlineLevel="0" collapsed="false">
      <c r="C114" s="0" t="s">
        <v>489</v>
      </c>
      <c r="D114" s="11" t="s">
        <v>33</v>
      </c>
      <c r="I114" s="48" t="n">
        <f aca="false">SUM(J114:EO114)</f>
        <v>1.2764438395152E-008</v>
      </c>
      <c r="J114" s="48" t="n">
        <f aca="false">ABS(J113-J86)</f>
        <v>0</v>
      </c>
      <c r="K114" s="48" t="n">
        <f aca="false">ABS(K113-K86)</f>
        <v>0</v>
      </c>
      <c r="L114" s="48" t="n">
        <f aca="false">ABS(L113-L86)</f>
        <v>0</v>
      </c>
      <c r="M114" s="48" t="n">
        <f aca="false">ABS(M113-M86)</f>
        <v>0</v>
      </c>
      <c r="N114" s="48" t="n">
        <f aca="false">ABS(N113-N86)</f>
        <v>0</v>
      </c>
      <c r="O114" s="48" t="n">
        <f aca="false">ABS(O113-O86)</f>
        <v>0</v>
      </c>
      <c r="P114" s="48" t="n">
        <f aca="false">ABS(P113-P86)</f>
        <v>0</v>
      </c>
      <c r="Q114" s="48" t="n">
        <f aca="false">ABS(Q113-Q86)</f>
        <v>0</v>
      </c>
      <c r="R114" s="48" t="n">
        <f aca="false">ABS(R113-R86)</f>
        <v>0</v>
      </c>
      <c r="S114" s="48" t="n">
        <f aca="false">ABS(S113-S86)</f>
        <v>0</v>
      </c>
      <c r="T114" s="48" t="n">
        <f aca="false">ABS(T113-T86)</f>
        <v>0</v>
      </c>
      <c r="U114" s="48" t="n">
        <f aca="false">ABS(U113-U86)</f>
        <v>0</v>
      </c>
      <c r="V114" s="48" t="n">
        <f aca="false">ABS(V113-V86)</f>
        <v>0</v>
      </c>
      <c r="W114" s="48" t="n">
        <f aca="false">ABS(W113-W86)</f>
        <v>0</v>
      </c>
      <c r="X114" s="48" t="n">
        <f aca="false">ABS(X113-X86)</f>
        <v>0</v>
      </c>
      <c r="Y114" s="48" t="n">
        <f aca="false">ABS(Y113-Y86)</f>
        <v>0</v>
      </c>
      <c r="Z114" s="48" t="n">
        <f aca="false">ABS(Z113-Z86)</f>
        <v>0</v>
      </c>
      <c r="AA114" s="48" t="n">
        <f aca="false">ABS(AA113-AA86)</f>
        <v>7.12674363967381E-012</v>
      </c>
      <c r="AB114" s="48" t="n">
        <f aca="false">ABS(AB113-AB86)</f>
        <v>1.38342670652492E-011</v>
      </c>
      <c r="AC114" s="48" t="n">
        <f aca="false">ABS(AC113-AC86)</f>
        <v>2.02859951059509E-011</v>
      </c>
      <c r="AD114" s="48" t="n">
        <f aca="false">ABS(AD113-AD86)</f>
        <v>2.64748223344213E-011</v>
      </c>
      <c r="AE114" s="48" t="n">
        <f aca="false">ABS(AE113-AE86)</f>
        <v>1.322746356891E-010</v>
      </c>
      <c r="AF114" s="48" t="n">
        <f aca="false">ABS(AF113-AF86)</f>
        <v>6.25277607468888E-011</v>
      </c>
      <c r="AG114" s="48" t="n">
        <f aca="false">ABS(AG113-AG86)</f>
        <v>6.63646915199934E-011</v>
      </c>
      <c r="AH114" s="48" t="n">
        <f aca="false">ABS(AH113-AH86)</f>
        <v>6.86242174197105E-011</v>
      </c>
      <c r="AI114" s="48" t="n">
        <f aca="false">ABS(AI113-AI86)</f>
        <v>6.90505430611665E-011</v>
      </c>
      <c r="AJ114" s="48" t="n">
        <f aca="false">ABS(AJ113-AJ86)</f>
        <v>6.75299816066399E-011</v>
      </c>
      <c r="AK114" s="48" t="n">
        <f aca="false">ABS(AK113-AK86)</f>
        <v>6.46878106635995E-011</v>
      </c>
      <c r="AL114" s="48" t="n">
        <f aca="false">ABS(AL113-AL86)</f>
        <v>6.03392891207477E-011</v>
      </c>
      <c r="AM114" s="48" t="n">
        <f aca="false">ABS(AM113-AM86)</f>
        <v>5.42854650120717E-011</v>
      </c>
      <c r="AN114" s="48" t="n">
        <f aca="false">ABS(AN113-AN86)</f>
        <v>4.65263383375714E-011</v>
      </c>
      <c r="AO114" s="48" t="n">
        <f aca="false">ABS(AO113-AO86)</f>
        <v>3.74598130292725E-011</v>
      </c>
      <c r="AP114" s="48" t="n">
        <f aca="false">ABS(AP113-AP86)</f>
        <v>2.71427325060358E-011</v>
      </c>
      <c r="AQ114" s="48" t="n">
        <f aca="false">ABS(AQ113-AQ86)</f>
        <v>1.54898316395702E-011</v>
      </c>
      <c r="AR114" s="48" t="n">
        <f aca="false">ABS(AR113-AR86)</f>
        <v>2.41584530158434E-012</v>
      </c>
      <c r="AS114" s="48" t="n">
        <f aca="false">ABS(AS113-AS86)</f>
        <v>1.15960574476048E-011</v>
      </c>
      <c r="AT114" s="48" t="n">
        <f aca="false">ABS(AT113-AT86)</f>
        <v>2.64606114797061E-011</v>
      </c>
      <c r="AU114" s="48" t="n">
        <f aca="false">ABS(AU113-AU86)</f>
        <v>4.220623850415E-011</v>
      </c>
      <c r="AV114" s="48" t="n">
        <f aca="false">ABS(AV113-AV86)</f>
        <v>5.88329385209363E-011</v>
      </c>
      <c r="AW114" s="48" t="n">
        <f aca="false">ABS(AW113-AW86)</f>
        <v>7.60564944357611E-011</v>
      </c>
      <c r="AX114" s="48" t="n">
        <f aca="false">ABS(AX113-AX86)</f>
        <v>9.36779542826116E-011</v>
      </c>
      <c r="AY114" s="48" t="n">
        <f aca="false">ABS(AY113-AY86)</f>
        <v>1.11725739770918E-010</v>
      </c>
      <c r="AZ114" s="48" t="n">
        <f aca="false">ABS(AZ113-AZ86)</f>
        <v>1.30285116028972E-010</v>
      </c>
      <c r="BA114" s="48" t="n">
        <f aca="false">ABS(BA113-BA86)</f>
        <v>1.48844492287026E-010</v>
      </c>
      <c r="BB114" s="48" t="n">
        <f aca="false">ABS(BB113-BB86)</f>
        <v>1.67233338288497E-010</v>
      </c>
      <c r="BC114" s="48" t="n">
        <f aca="false">ABS(BC113-BC86)</f>
        <v>1.85593762580538E-010</v>
      </c>
      <c r="BD114" s="48" t="n">
        <f aca="false">ABS(BD113-BD86)</f>
        <v>2.03897343453718E-010</v>
      </c>
      <c r="BE114" s="48" t="n">
        <f aca="false">ABS(BE113-BE86)</f>
        <v>2.21689333557151E-010</v>
      </c>
      <c r="BF114" s="48" t="n">
        <f aca="false">ABS(BF113-BF86)</f>
        <v>2.38856046053115E-010</v>
      </c>
      <c r="BG114" s="48" t="n">
        <f aca="false">ABS(BG113-BG86)</f>
        <v>2.55425902651041E-010</v>
      </c>
      <c r="BH114" s="48" t="n">
        <f aca="false">ABS(BH113-BH86)</f>
        <v>2.7151259018865E-010</v>
      </c>
      <c r="BI114" s="48" t="n">
        <f aca="false">ABS(BI113-BI86)</f>
        <v>2.86632939605624E-010</v>
      </c>
      <c r="BJ114" s="48" t="n">
        <f aca="false">ABS(BJ113-BJ86)</f>
        <v>3.00644842354814E-010</v>
      </c>
      <c r="BK114" s="48" t="n">
        <f aca="false">ABS(BK113-BK86)</f>
        <v>3.13661985273939E-010</v>
      </c>
      <c r="BL114" s="48" t="n">
        <f aca="false">ABS(BL113-BL86)</f>
        <v>3.25684368363E-010</v>
      </c>
      <c r="BM114" s="48" t="n">
        <f aca="false">ABS(BM113-BM86)</f>
        <v>3.36427774527692E-010</v>
      </c>
      <c r="BN114" s="48" t="n">
        <f aca="false">ABS(BN113-BN86)</f>
        <v>3.45778516930295E-010</v>
      </c>
      <c r="BO114" s="48" t="n">
        <f aca="false">ABS(BO113-BO86)</f>
        <v>3.53736595570808E-010</v>
      </c>
      <c r="BP114" s="48" t="n">
        <f aca="false">ABS(BP113-BP86)</f>
        <v>3.60586227543536E-010</v>
      </c>
      <c r="BQ114" s="48" t="n">
        <f aca="false">ABS(BQ113-BQ86)</f>
        <v>3.65730556950439E-010</v>
      </c>
      <c r="BR114" s="48" t="n">
        <f aca="false">ABS(BR113-BR86)</f>
        <v>3.69198005500948E-010</v>
      </c>
      <c r="BS114" s="48" t="n">
        <f aca="false">ABS(BS113-BS86)</f>
        <v>3.71215946870507E-010</v>
      </c>
      <c r="BT114" s="48" t="n">
        <f aca="false">ABS(BT113-BT86)</f>
        <v>3.71841224477976E-010</v>
      </c>
      <c r="BU114" s="48" t="n">
        <f aca="false">ABS(BU113-BU86)</f>
        <v>3.70675934391329E-010</v>
      </c>
      <c r="BV114" s="48" t="n">
        <f aca="false">ABS(BV113-BV86)</f>
        <v>3.67776920029428E-010</v>
      </c>
      <c r="BW114" s="48" t="n">
        <f aca="false">ABS(BW113-BW86)</f>
        <v>3.63314711648854E-010</v>
      </c>
      <c r="BX114" s="48" t="n">
        <f aca="false">ABS(BX113-BX86)</f>
        <v>3.57573526343913E-010</v>
      </c>
      <c r="BY114" s="48" t="n">
        <f aca="false">ABS(BY113-BY86)</f>
        <v>3.50070195054286E-010</v>
      </c>
      <c r="BZ114" s="48" t="n">
        <f aca="false">ABS(BZ113-BZ86)</f>
        <v>3.40889982908266E-010</v>
      </c>
      <c r="CA114" s="48" t="n">
        <f aca="false">ABS(CA113-CA86)</f>
        <v>3.30373950419016E-010</v>
      </c>
      <c r="CB114" s="48" t="n">
        <f aca="false">ABS(CB113-CB86)</f>
        <v>3.18493675877107E-010</v>
      </c>
      <c r="CC114" s="48" t="n">
        <f aca="false">ABS(CC113-CC86)</f>
        <v>3.0533442441083E-010</v>
      </c>
      <c r="CD114" s="48" t="n">
        <f aca="false">ABS(CD113-CD86)</f>
        <v>2.90839352601324E-010</v>
      </c>
      <c r="CE114" s="48" t="n">
        <f aca="false">ABS(CE113-CE86)</f>
        <v>2.75264255833463E-010</v>
      </c>
      <c r="CF114" s="48" t="n">
        <f aca="false">ABS(CF113-CF86)</f>
        <v>2.58921772910981E-010</v>
      </c>
      <c r="CG114" s="48" t="n">
        <f aca="false">ABS(CG113-CG86)</f>
        <v>2.41499265030143E-010</v>
      </c>
      <c r="CH114" s="48" t="n">
        <f aca="false">ABS(CH113-CH86)</f>
        <v>2.23138840738102E-010</v>
      </c>
      <c r="CI114" s="48" t="n">
        <f aca="false">ABS(CI113-CI86)</f>
        <v>2.04238403966883E-010</v>
      </c>
      <c r="CJ114" s="48" t="n">
        <f aca="false">ABS(CJ113-CJ86)</f>
        <v>1.85110593520221E-010</v>
      </c>
      <c r="CK114" s="48" t="n">
        <f aca="false">ABS(CK113-CK86)</f>
        <v>1.65442770594382E-010</v>
      </c>
      <c r="CL114" s="48" t="n">
        <f aca="false">ABS(CL113-CL86)</f>
        <v>1.45490730574238E-010</v>
      </c>
      <c r="CM114" s="48" t="n">
        <f aca="false">ABS(CM113-CM86)</f>
        <v>1.25538690554095E-010</v>
      </c>
      <c r="CN114" s="48" t="n">
        <f aca="false">ABS(CN113-CN86)</f>
        <v>1.06012976175407E-010</v>
      </c>
      <c r="CO114" s="48" t="n">
        <f aca="false">ABS(CO113-CO86)</f>
        <v>8.66862137627322E-011</v>
      </c>
      <c r="CP114" s="48" t="n">
        <f aca="false">ABS(CP113-CP86)</f>
        <v>6.75868250255007E-011</v>
      </c>
      <c r="CQ114" s="48" t="n">
        <f aca="false">ABS(CQ113-CQ86)</f>
        <v>4.93400875711814E-011</v>
      </c>
      <c r="CR114" s="48" t="n">
        <f aca="false">ABS(CR113-CR86)</f>
        <v>3.18891579809133E-011</v>
      </c>
      <c r="CS114" s="48" t="n">
        <f aca="false">ABS(CS113-CS86)</f>
        <v>1.54614099301398E-011</v>
      </c>
      <c r="CT114" s="48" t="n">
        <f aca="false">ABS(CT113-CT86)</f>
        <v>0</v>
      </c>
      <c r="CU114" s="48" t="n">
        <f aca="false">ABS(CU113-CU86)</f>
        <v>0</v>
      </c>
      <c r="CV114" s="48" t="n">
        <f aca="false">ABS(CV113-CV86)</f>
        <v>0</v>
      </c>
      <c r="CW114" s="48" t="n">
        <f aca="false">ABS(CW113-CW86)</f>
        <v>0</v>
      </c>
      <c r="CX114" s="48" t="n">
        <f aca="false">ABS(CX113-CX86)</f>
        <v>0</v>
      </c>
      <c r="CY114" s="48" t="n">
        <f aca="false">ABS(CY113-CY86)</f>
        <v>0</v>
      </c>
      <c r="CZ114" s="48" t="n">
        <f aca="false">ABS(CZ113-CZ86)</f>
        <v>0</v>
      </c>
      <c r="DA114" s="48" t="n">
        <f aca="false">ABS(DA113-DA86)</f>
        <v>0</v>
      </c>
      <c r="DB114" s="48" t="n">
        <f aca="false">ABS(DB113-DB86)</f>
        <v>0</v>
      </c>
      <c r="DC114" s="48" t="n">
        <f aca="false">ABS(DC113-DC86)</f>
        <v>0</v>
      </c>
      <c r="DD114" s="48" t="n">
        <f aca="false">ABS(DD113-DD86)</f>
        <v>0</v>
      </c>
      <c r="DE114" s="48" t="n">
        <f aca="false">ABS(DE113-DE86)</f>
        <v>0</v>
      </c>
      <c r="DF114" s="48" t="n">
        <f aca="false">ABS(DF113-DF86)</f>
        <v>0</v>
      </c>
      <c r="DG114" s="48" t="n">
        <f aca="false">ABS(DG113-DG86)</f>
        <v>0</v>
      </c>
      <c r="DH114" s="48" t="n">
        <f aca="false">ABS(DH113-DH86)</f>
        <v>0</v>
      </c>
      <c r="DI114" s="48" t="n">
        <f aca="false">ABS(DI113-DI86)</f>
        <v>0</v>
      </c>
      <c r="DJ114" s="48" t="n">
        <f aca="false">ABS(DJ113-DJ86)</f>
        <v>0</v>
      </c>
      <c r="DK114" s="48" t="n">
        <f aca="false">ABS(DK113-DK86)</f>
        <v>0</v>
      </c>
      <c r="DL114" s="48" t="n">
        <f aca="false">ABS(DL113-DL86)</f>
        <v>0</v>
      </c>
      <c r="DM114" s="48" t="n">
        <f aca="false">ABS(DM113-DM86)</f>
        <v>0</v>
      </c>
      <c r="DN114" s="48" t="n">
        <f aca="false">ABS(DN113-DN86)</f>
        <v>0</v>
      </c>
      <c r="DO114" s="48" t="n">
        <f aca="false">ABS(DO113-DO86)</f>
        <v>0</v>
      </c>
      <c r="DP114" s="48" t="n">
        <f aca="false">ABS(DP113-DP86)</f>
        <v>0</v>
      </c>
      <c r="DQ114" s="48" t="n">
        <f aca="false">ABS(DQ113-DQ86)</f>
        <v>0</v>
      </c>
      <c r="DR114" s="48" t="n">
        <f aca="false">ABS(DR113-DR86)</f>
        <v>0</v>
      </c>
      <c r="DS114" s="48" t="n">
        <f aca="false">ABS(DS113-DS86)</f>
        <v>0</v>
      </c>
      <c r="DT114" s="48" t="n">
        <f aca="false">ABS(DT113-DT86)</f>
        <v>0</v>
      </c>
      <c r="DU114" s="48" t="n">
        <f aca="false">ABS(DU113-DU86)</f>
        <v>0</v>
      </c>
      <c r="DV114" s="48" t="n">
        <f aca="false">ABS(DV113-DV86)</f>
        <v>0</v>
      </c>
      <c r="DW114" s="48" t="n">
        <f aca="false">ABS(DW113-DW86)</f>
        <v>0</v>
      </c>
      <c r="DX114" s="48" t="n">
        <f aca="false">ABS(DX113-DX86)</f>
        <v>0</v>
      </c>
      <c r="DY114" s="48" t="n">
        <f aca="false">ABS(DY113-DY86)</f>
        <v>0</v>
      </c>
      <c r="DZ114" s="48" t="n">
        <f aca="false">ABS(DZ113-DZ86)</f>
        <v>0</v>
      </c>
      <c r="EA114" s="48" t="n">
        <f aca="false">ABS(EA113-EA86)</f>
        <v>0</v>
      </c>
      <c r="EB114" s="48" t="n">
        <f aca="false">ABS(EB113-EB86)</f>
        <v>0</v>
      </c>
      <c r="EC114" s="48" t="n">
        <f aca="false">ABS(EC113-EC86)</f>
        <v>0</v>
      </c>
      <c r="ED114" s="48" t="n">
        <f aca="false">ABS(ED113-ED86)</f>
        <v>0</v>
      </c>
      <c r="EE114" s="48" t="n">
        <f aca="false">ABS(EE113-EE86)</f>
        <v>0</v>
      </c>
      <c r="EF114" s="48" t="n">
        <f aca="false">ABS(EF113-EF86)</f>
        <v>0</v>
      </c>
      <c r="EG114" s="48" t="n">
        <f aca="false">ABS(EG113-EG86)</f>
        <v>0</v>
      </c>
      <c r="EH114" s="48" t="n">
        <f aca="false">ABS(EH113-EH86)</f>
        <v>0</v>
      </c>
      <c r="EI114" s="48" t="n">
        <f aca="false">ABS(EI113-EI86)</f>
        <v>0</v>
      </c>
      <c r="EJ114" s="48" t="n">
        <f aca="false">ABS(EJ113-EJ86)</f>
        <v>0</v>
      </c>
      <c r="EK114" s="48" t="n">
        <f aca="false">ABS(EK113-EK86)</f>
        <v>0</v>
      </c>
      <c r="EL114" s="48" t="n">
        <f aca="false">ABS(EL113-EL86)</f>
        <v>0</v>
      </c>
      <c r="EM114" s="48" t="n">
        <f aca="false">ABS(EM113-EM86)</f>
        <v>0</v>
      </c>
      <c r="EN114" s="48" t="n">
        <f aca="false">ABS(EN113-EN86)</f>
        <v>0</v>
      </c>
      <c r="EO114" s="48" t="n">
        <f aca="false">ABS(EO113-EO86)</f>
        <v>0</v>
      </c>
    </row>
    <row r="116" customFormat="false" ht="15" hidden="false" customHeight="false" outlineLevel="0" collapsed="false">
      <c r="A116" s="9" t="s">
        <v>13</v>
      </c>
      <c r="B116" s="9"/>
      <c r="C116" s="9" t="s">
        <v>490</v>
      </c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</row>
    <row r="117" customFormat="false" ht="15" hidden="false" customHeight="false" outlineLevel="0" collapsed="false">
      <c r="C117" s="0" t="s">
        <v>96</v>
      </c>
      <c r="D117" s="11" t="s">
        <v>33</v>
      </c>
      <c r="E117" s="48" t="n">
        <f aca="false">-($I48+$I49+$I50)</f>
        <v>5150</v>
      </c>
    </row>
    <row r="118" customFormat="false" ht="15" hidden="false" customHeight="false" outlineLevel="0" collapsed="false">
      <c r="C118" s="0" t="s">
        <v>97</v>
      </c>
      <c r="D118" s="11" t="s">
        <v>33</v>
      </c>
      <c r="E118" s="48" t="n">
        <f aca="false">-($I52+$I55+$E59)</f>
        <v>1114.92155376243</v>
      </c>
    </row>
    <row r="119" customFormat="false" ht="15" hidden="false" customHeight="false" outlineLevel="0" collapsed="false">
      <c r="C119" s="0" t="s">
        <v>98</v>
      </c>
      <c r="D119" s="11" t="s">
        <v>33</v>
      </c>
      <c r="E119" s="48" t="n">
        <f aca="false">-$I68</f>
        <v>64716.25</v>
      </c>
    </row>
    <row r="120" customFormat="false" ht="15" hidden="false" customHeight="false" outlineLevel="0" collapsed="false">
      <c r="C120" s="0" t="s">
        <v>99</v>
      </c>
      <c r="D120" s="11" t="s">
        <v>33</v>
      </c>
      <c r="E120" s="48" t="n">
        <f aca="false">-$I58</f>
        <v>8154.82315068493</v>
      </c>
    </row>
    <row r="121" customFormat="false" ht="15" hidden="false" customHeight="false" outlineLevel="0" collapsed="false">
      <c r="C121" s="0" t="s">
        <v>100</v>
      </c>
      <c r="D121" s="11" t="s">
        <v>33</v>
      </c>
      <c r="E121" s="48" t="n">
        <f aca="false">-$I69</f>
        <v>2500</v>
      </c>
    </row>
    <row r="122" customFormat="false" ht="15" hidden="false" customHeight="false" outlineLevel="0" collapsed="false">
      <c r="C122" s="0" t="s">
        <v>101</v>
      </c>
      <c r="D122" s="11" t="s">
        <v>33</v>
      </c>
      <c r="E122" s="48" t="n">
        <f aca="false">$I97-$I100-$I101</f>
        <v>3107.96939753469</v>
      </c>
    </row>
    <row r="123" customFormat="false" ht="15" hidden="false" customHeight="false" outlineLevel="0" collapsed="false">
      <c r="C123" s="0" t="s">
        <v>102</v>
      </c>
      <c r="D123" s="11" t="s">
        <v>33</v>
      </c>
      <c r="E123" s="48" t="n">
        <f aca="false">-SUMIF($J$4:$EO$4,"&lt;="&amp;In_COD,$J83:$EO83)</f>
        <v>340.170197534084</v>
      </c>
    </row>
    <row r="124" customFormat="false" ht="15" hidden="false" customHeight="false" outlineLevel="0" collapsed="false">
      <c r="C124" s="25" t="s">
        <v>103</v>
      </c>
      <c r="D124" s="11" t="s">
        <v>33</v>
      </c>
      <c r="E124" s="57" t="n">
        <f aca="false">SUM($E117:$E123)</f>
        <v>85084.1342995161</v>
      </c>
    </row>
    <row r="125" customFormat="false" ht="15" hidden="false" customHeight="false" outlineLevel="0" collapsed="false">
      <c r="C125" s="0" t="s">
        <v>491</v>
      </c>
      <c r="D125" s="11" t="s">
        <v>33</v>
      </c>
      <c r="E125" s="48" t="n">
        <f aca="false">$E124-$E99</f>
        <v>41686.7978709354</v>
      </c>
      <c r="F125" s="48" t="n">
        <f aca="false">$E125+$E102</f>
        <v>42614.0850110287</v>
      </c>
    </row>
    <row r="126" customFormat="false" ht="15" hidden="false" customHeight="false" outlineLevel="0" collapsed="false">
      <c r="C126" s="0" t="s">
        <v>107</v>
      </c>
      <c r="D126" s="11" t="s">
        <v>27</v>
      </c>
      <c r="E126" s="49" t="n">
        <f aca="false">$E99/$E124</f>
        <v>0.510052041850856</v>
      </c>
    </row>
    <row r="127" customFormat="false" ht="15" hidden="false" customHeight="false" outlineLevel="0" collapsed="false">
      <c r="C127" s="0" t="s">
        <v>492</v>
      </c>
      <c r="D127" s="11" t="s">
        <v>33</v>
      </c>
      <c r="E127" s="48" t="n">
        <f aca="false">$E88*In_DSCR/In_DSCR_Max_Low</f>
        <v>97998.0507020143</v>
      </c>
      <c r="F127" s="48" t="n">
        <f aca="false">$E88*In_DSCR/In_DSCR_Max_High</f>
        <v>89831.5464768464</v>
      </c>
    </row>
    <row r="128" customFormat="false" ht="15" hidden="false" customHeight="false" outlineLevel="0" collapsed="false">
      <c r="C128" s="0" t="s">
        <v>493</v>
      </c>
      <c r="D128" s="11" t="s">
        <v>27</v>
      </c>
      <c r="E128" s="49" t="n">
        <f aca="false">$E127/$E124</f>
        <v>1.15177819588595</v>
      </c>
      <c r="F128" s="49" t="n">
        <f aca="false">$F127/$E124</f>
        <v>1.05579667956212</v>
      </c>
    </row>
    <row r="130" customFormat="false" ht="15" hidden="false" customHeight="false" outlineLevel="0" collapsed="false">
      <c r="A130" s="9" t="s">
        <v>13</v>
      </c>
      <c r="B130" s="9"/>
      <c r="C130" s="9" t="s">
        <v>123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</row>
    <row r="131" customFormat="false" ht="15" hidden="false" customHeight="false" outlineLevel="0" collapsed="false">
      <c r="C131" s="0" t="s">
        <v>494</v>
      </c>
      <c r="D131" s="11" t="s">
        <v>33</v>
      </c>
      <c r="I131" s="48" t="n">
        <f aca="false">SUM(J131:EO131)</f>
        <v>-41686.7978709354</v>
      </c>
      <c r="J131" s="48" t="n">
        <f aca="false">(J63+J70+J96+J100+J101+J83)*(J$4&lt;=In_COD)</f>
        <v>-4662.80993807469</v>
      </c>
      <c r="K131" s="48" t="n">
        <f aca="false">(K63+K70+K96+K100+K101+K83)*(K$4&lt;=In_COD)</f>
        <v>-706.535577057768</v>
      </c>
      <c r="L131" s="48" t="n">
        <f aca="false">(L63+L70+L96+L100+L101+L83)*(L$4&lt;=In_COD)</f>
        <v>-104.360496659404</v>
      </c>
      <c r="M131" s="48" t="n">
        <f aca="false">(M63+M70+M96+M100+M101+M83)*(M$4&lt;=In_COD)</f>
        <v>-105.507315304013</v>
      </c>
      <c r="N131" s="48" t="n">
        <f aca="false">(N63+N70+N96+N100+N101+N83)*(N$4&lt;=In_COD)</f>
        <v>-105.507315304013</v>
      </c>
      <c r="O131" s="48" t="n">
        <f aca="false">(O63+O70+O96+O100+O101+O83)*(O$4&lt;=In_COD)</f>
        <v>-104.360496659404</v>
      </c>
      <c r="P131" s="48" t="n">
        <f aca="false">(P63+P70+P96+P100+P101+P83)*(P$4&lt;=In_COD)</f>
        <v>-104.360496659404</v>
      </c>
      <c r="Q131" s="48" t="n">
        <f aca="false">(Q63+Q70+Q96+Q100+Q101+Q83)*(Q$4&lt;=In_COD)</f>
        <v>-105.507315304013</v>
      </c>
      <c r="R131" s="48" t="n">
        <f aca="false">(R63+R70+R96+R100+R101+R83)*(R$4&lt;=In_COD)</f>
        <v>-4598.78508914336</v>
      </c>
      <c r="S131" s="48" t="n">
        <f aca="false">(S63+S70+S96+S100+S101+S83)*(S$4&lt;=In_COD)</f>
        <v>-7416.60009090345</v>
      </c>
      <c r="T131" s="48" t="n">
        <f aca="false">(T63+T70+T96+T100+T101+T83)*(T$4&lt;=In_COD)</f>
        <v>-3768.65166995178</v>
      </c>
      <c r="U131" s="48" t="n">
        <f aca="false">(U63+U70+U96+U100+U101+U83)*(U$4&lt;=In_COD)</f>
        <v>-3800.0000014</v>
      </c>
      <c r="V131" s="48" t="n">
        <f aca="false">(V63+V70+V96+V100+V101+V83)*(V$4&lt;=In_COD)</f>
        <v>-3789.82396918758</v>
      </c>
      <c r="W131" s="48" t="n">
        <f aca="false">(W63+W70+W96+W100+W101+W83)*(W$4&lt;=In_COD)</f>
        <v>-3698.52360864843</v>
      </c>
      <c r="X131" s="48" t="n">
        <f aca="false">(X63+X70+X96+X100+X101+X83)*(X$4&lt;=In_COD)</f>
        <v>-3729.77170579166</v>
      </c>
      <c r="Y131" s="48" t="n">
        <f aca="false">(Y63+Y70+Y96+Y100+Y101+Y83)*(Y$4&lt;=In_COD)</f>
        <v>-4885.69278488647</v>
      </c>
      <c r="Z131" s="48" t="n">
        <f aca="false">(Z63+Z70+Z96+Z100+Z101+Z83)*(Z$4&lt;=In_COD)</f>
        <v>0</v>
      </c>
      <c r="AA131" s="48" t="n">
        <f aca="false">(AA63+AA70+AA96+AA100+AA101+AA83)*(AA$4&lt;=In_COD)</f>
        <v>0</v>
      </c>
      <c r="AB131" s="48" t="n">
        <f aca="false">(AB63+AB70+AB96+AB100+AB101+AB83)*(AB$4&lt;=In_COD)</f>
        <v>0</v>
      </c>
      <c r="AC131" s="48" t="n">
        <f aca="false">(AC63+AC70+AC96+AC100+AC101+AC83)*(AC$4&lt;=In_COD)</f>
        <v>0</v>
      </c>
      <c r="AD131" s="48" t="n">
        <f aca="false">(AD63+AD70+AD96+AD100+AD101+AD83)*(AD$4&lt;=In_COD)</f>
        <v>0</v>
      </c>
      <c r="AE131" s="48" t="n">
        <f aca="false">(AE63+AE70+AE96+AE100+AE101+AE83)*(AE$4&lt;=In_COD)</f>
        <v>0</v>
      </c>
      <c r="AF131" s="48" t="n">
        <f aca="false">(AF63+AF70+AF96+AF100+AF101+AF83)*(AF$4&lt;=In_COD)</f>
        <v>0</v>
      </c>
      <c r="AG131" s="48" t="n">
        <f aca="false">(AG63+AG70+AG96+AG100+AG101+AG83)*(AG$4&lt;=In_COD)</f>
        <v>0</v>
      </c>
      <c r="AH131" s="48" t="n">
        <f aca="false">(AH63+AH70+AH96+AH100+AH101+AH83)*(AH$4&lt;=In_COD)</f>
        <v>0</v>
      </c>
      <c r="AI131" s="48" t="n">
        <f aca="false">(AI63+AI70+AI96+AI100+AI101+AI83)*(AI$4&lt;=In_COD)</f>
        <v>0</v>
      </c>
      <c r="AJ131" s="48" t="n">
        <f aca="false">(AJ63+AJ70+AJ96+AJ100+AJ101+AJ83)*(AJ$4&lt;=In_COD)</f>
        <v>0</v>
      </c>
      <c r="AK131" s="48" t="n">
        <f aca="false">(AK63+AK70+AK96+AK100+AK101+AK83)*(AK$4&lt;=In_COD)</f>
        <v>0</v>
      </c>
      <c r="AL131" s="48" t="n">
        <f aca="false">(AL63+AL70+AL96+AL100+AL101+AL83)*(AL$4&lt;=In_COD)</f>
        <v>0</v>
      </c>
      <c r="AM131" s="48" t="n">
        <f aca="false">(AM63+AM70+AM96+AM100+AM101+AM83)*(AM$4&lt;=In_COD)</f>
        <v>0</v>
      </c>
      <c r="AN131" s="48" t="n">
        <f aca="false">(AN63+AN70+AN96+AN100+AN101+AN83)*(AN$4&lt;=In_COD)</f>
        <v>0</v>
      </c>
      <c r="AO131" s="48" t="n">
        <f aca="false">(AO63+AO70+AO96+AO100+AO101+AO83)*(AO$4&lt;=In_COD)</f>
        <v>0</v>
      </c>
      <c r="AP131" s="48" t="n">
        <f aca="false">(AP63+AP70+AP96+AP100+AP101+AP83)*(AP$4&lt;=In_COD)</f>
        <v>0</v>
      </c>
      <c r="AQ131" s="48" t="n">
        <f aca="false">(AQ63+AQ70+AQ96+AQ100+AQ101+AQ83)*(AQ$4&lt;=In_COD)</f>
        <v>0</v>
      </c>
      <c r="AR131" s="48" t="n">
        <f aca="false">(AR63+AR70+AR96+AR100+AR101+AR83)*(AR$4&lt;=In_COD)</f>
        <v>0</v>
      </c>
      <c r="AS131" s="48" t="n">
        <f aca="false">(AS63+AS70+AS96+AS100+AS101+AS83)*(AS$4&lt;=In_COD)</f>
        <v>0</v>
      </c>
      <c r="AT131" s="48" t="n">
        <f aca="false">(AT63+AT70+AT96+AT100+AT101+AT83)*(AT$4&lt;=In_COD)</f>
        <v>0</v>
      </c>
      <c r="AU131" s="48" t="n">
        <f aca="false">(AU63+AU70+AU96+AU100+AU101+AU83)*(AU$4&lt;=In_COD)</f>
        <v>0</v>
      </c>
      <c r="AV131" s="48" t="n">
        <f aca="false">(AV63+AV70+AV96+AV100+AV101+AV83)*(AV$4&lt;=In_COD)</f>
        <v>0</v>
      </c>
      <c r="AW131" s="48" t="n">
        <f aca="false">(AW63+AW70+AW96+AW100+AW101+AW83)*(AW$4&lt;=In_COD)</f>
        <v>0</v>
      </c>
      <c r="AX131" s="48" t="n">
        <f aca="false">(AX63+AX70+AX96+AX100+AX101+AX83)*(AX$4&lt;=In_COD)</f>
        <v>0</v>
      </c>
      <c r="AY131" s="48" t="n">
        <f aca="false">(AY63+AY70+AY96+AY100+AY101+AY83)*(AY$4&lt;=In_COD)</f>
        <v>0</v>
      </c>
      <c r="AZ131" s="48" t="n">
        <f aca="false">(AZ63+AZ70+AZ96+AZ100+AZ101+AZ83)*(AZ$4&lt;=In_COD)</f>
        <v>0</v>
      </c>
      <c r="BA131" s="48" t="n">
        <f aca="false">(BA63+BA70+BA96+BA100+BA101+BA83)*(BA$4&lt;=In_COD)</f>
        <v>0</v>
      </c>
      <c r="BB131" s="48" t="n">
        <f aca="false">(BB63+BB70+BB96+BB100+BB101+BB83)*(BB$4&lt;=In_COD)</f>
        <v>0</v>
      </c>
      <c r="BC131" s="48" t="n">
        <f aca="false">(BC63+BC70+BC96+BC100+BC101+BC83)*(BC$4&lt;=In_COD)</f>
        <v>0</v>
      </c>
      <c r="BD131" s="48" t="n">
        <f aca="false">(BD63+BD70+BD96+BD100+BD101+BD83)*(BD$4&lt;=In_COD)</f>
        <v>0</v>
      </c>
      <c r="BE131" s="48" t="n">
        <f aca="false">(BE63+BE70+BE96+BE100+BE101+BE83)*(BE$4&lt;=In_COD)</f>
        <v>0</v>
      </c>
      <c r="BF131" s="48" t="n">
        <f aca="false">(BF63+BF70+BF96+BF100+BF101+BF83)*(BF$4&lt;=In_COD)</f>
        <v>0</v>
      </c>
      <c r="BG131" s="48" t="n">
        <f aca="false">(BG63+BG70+BG96+BG100+BG101+BG83)*(BG$4&lt;=In_COD)</f>
        <v>0</v>
      </c>
      <c r="BH131" s="48" t="n">
        <f aca="false">(BH63+BH70+BH96+BH100+BH101+BH83)*(BH$4&lt;=In_COD)</f>
        <v>0</v>
      </c>
      <c r="BI131" s="48" t="n">
        <f aca="false">(BI63+BI70+BI96+BI100+BI101+BI83)*(BI$4&lt;=In_COD)</f>
        <v>0</v>
      </c>
      <c r="BJ131" s="48" t="n">
        <f aca="false">(BJ63+BJ70+BJ96+BJ100+BJ101+BJ83)*(BJ$4&lt;=In_COD)</f>
        <v>0</v>
      </c>
      <c r="BK131" s="48" t="n">
        <f aca="false">(BK63+BK70+BK96+BK100+BK101+BK83)*(BK$4&lt;=In_COD)</f>
        <v>0</v>
      </c>
      <c r="BL131" s="48" t="n">
        <f aca="false">(BL63+BL70+BL96+BL100+BL101+BL83)*(BL$4&lt;=In_COD)</f>
        <v>0</v>
      </c>
      <c r="BM131" s="48" t="n">
        <f aca="false">(BM63+BM70+BM96+BM100+BM101+BM83)*(BM$4&lt;=In_COD)</f>
        <v>0</v>
      </c>
      <c r="BN131" s="48" t="n">
        <f aca="false">(BN63+BN70+BN96+BN100+BN101+BN83)*(BN$4&lt;=In_COD)</f>
        <v>0</v>
      </c>
      <c r="BO131" s="48" t="n">
        <f aca="false">(BO63+BO70+BO96+BO100+BO101+BO83)*(BO$4&lt;=In_COD)</f>
        <v>0</v>
      </c>
      <c r="BP131" s="48" t="n">
        <f aca="false">(BP63+BP70+BP96+BP100+BP101+BP83)*(BP$4&lt;=In_COD)</f>
        <v>0</v>
      </c>
      <c r="BQ131" s="48" t="n">
        <f aca="false">(BQ63+BQ70+BQ96+BQ100+BQ101+BQ83)*(BQ$4&lt;=In_COD)</f>
        <v>0</v>
      </c>
      <c r="BR131" s="48" t="n">
        <f aca="false">(BR63+BR70+BR96+BR100+BR101+BR83)*(BR$4&lt;=In_COD)</f>
        <v>0</v>
      </c>
      <c r="BS131" s="48" t="n">
        <f aca="false">(BS63+BS70+BS96+BS100+BS101+BS83)*(BS$4&lt;=In_COD)</f>
        <v>0</v>
      </c>
      <c r="BT131" s="48" t="n">
        <f aca="false">(BT63+BT70+BT96+BT100+BT101+BT83)*(BT$4&lt;=In_COD)</f>
        <v>0</v>
      </c>
      <c r="BU131" s="48" t="n">
        <f aca="false">(BU63+BU70+BU96+BU100+BU101+BU83)*(BU$4&lt;=In_COD)</f>
        <v>0</v>
      </c>
      <c r="BV131" s="48" t="n">
        <f aca="false">(BV63+BV70+BV96+BV100+BV101+BV83)*(BV$4&lt;=In_COD)</f>
        <v>0</v>
      </c>
      <c r="BW131" s="48" t="n">
        <f aca="false">(BW63+BW70+BW96+BW100+BW101+BW83)*(BW$4&lt;=In_COD)</f>
        <v>0</v>
      </c>
      <c r="BX131" s="48" t="n">
        <f aca="false">(BX63+BX70+BX96+BX100+BX101+BX83)*(BX$4&lt;=In_COD)</f>
        <v>0</v>
      </c>
      <c r="BY131" s="48" t="n">
        <f aca="false">(BY63+BY70+BY96+BY100+BY101+BY83)*(BY$4&lt;=In_COD)</f>
        <v>0</v>
      </c>
      <c r="BZ131" s="48" t="n">
        <f aca="false">(BZ63+BZ70+BZ96+BZ100+BZ101+BZ83)*(BZ$4&lt;=In_COD)</f>
        <v>0</v>
      </c>
      <c r="CA131" s="48" t="n">
        <f aca="false">(CA63+CA70+CA96+CA100+CA101+CA83)*(CA$4&lt;=In_COD)</f>
        <v>0</v>
      </c>
      <c r="CB131" s="48" t="n">
        <f aca="false">(CB63+CB70+CB96+CB100+CB101+CB83)*(CB$4&lt;=In_COD)</f>
        <v>0</v>
      </c>
      <c r="CC131" s="48" t="n">
        <f aca="false">(CC63+CC70+CC96+CC100+CC101+CC83)*(CC$4&lt;=In_COD)</f>
        <v>0</v>
      </c>
      <c r="CD131" s="48" t="n">
        <f aca="false">(CD63+CD70+CD96+CD100+CD101+CD83)*(CD$4&lt;=In_COD)</f>
        <v>0</v>
      </c>
      <c r="CE131" s="48" t="n">
        <f aca="false">(CE63+CE70+CE96+CE100+CE101+CE83)*(CE$4&lt;=In_COD)</f>
        <v>0</v>
      </c>
      <c r="CF131" s="48" t="n">
        <f aca="false">(CF63+CF70+CF96+CF100+CF101+CF83)*(CF$4&lt;=In_COD)</f>
        <v>0</v>
      </c>
      <c r="CG131" s="48" t="n">
        <f aca="false">(CG63+CG70+CG96+CG100+CG101+CG83)*(CG$4&lt;=In_COD)</f>
        <v>0</v>
      </c>
      <c r="CH131" s="48" t="n">
        <f aca="false">(CH63+CH70+CH96+CH100+CH101+CH83)*(CH$4&lt;=In_COD)</f>
        <v>0</v>
      </c>
      <c r="CI131" s="48" t="n">
        <f aca="false">(CI63+CI70+CI96+CI100+CI101+CI83)*(CI$4&lt;=In_COD)</f>
        <v>0</v>
      </c>
      <c r="CJ131" s="48" t="n">
        <f aca="false">(CJ63+CJ70+CJ96+CJ100+CJ101+CJ83)*(CJ$4&lt;=In_COD)</f>
        <v>0</v>
      </c>
      <c r="CK131" s="48" t="n">
        <f aca="false">(CK63+CK70+CK96+CK100+CK101+CK83)*(CK$4&lt;=In_COD)</f>
        <v>0</v>
      </c>
      <c r="CL131" s="48" t="n">
        <f aca="false">(CL63+CL70+CL96+CL100+CL101+CL83)*(CL$4&lt;=In_COD)</f>
        <v>0</v>
      </c>
      <c r="CM131" s="48" t="n">
        <f aca="false">(CM63+CM70+CM96+CM100+CM101+CM83)*(CM$4&lt;=In_COD)</f>
        <v>0</v>
      </c>
      <c r="CN131" s="48" t="n">
        <f aca="false">(CN63+CN70+CN96+CN100+CN101+CN83)*(CN$4&lt;=In_COD)</f>
        <v>0</v>
      </c>
      <c r="CO131" s="48" t="n">
        <f aca="false">(CO63+CO70+CO96+CO100+CO101+CO83)*(CO$4&lt;=In_COD)</f>
        <v>0</v>
      </c>
      <c r="CP131" s="48" t="n">
        <f aca="false">(CP63+CP70+CP96+CP100+CP101+CP83)*(CP$4&lt;=In_COD)</f>
        <v>0</v>
      </c>
      <c r="CQ131" s="48" t="n">
        <f aca="false">(CQ63+CQ70+CQ96+CQ100+CQ101+CQ83)*(CQ$4&lt;=In_COD)</f>
        <v>0</v>
      </c>
      <c r="CR131" s="48" t="n">
        <f aca="false">(CR63+CR70+CR96+CR100+CR101+CR83)*(CR$4&lt;=In_COD)</f>
        <v>0</v>
      </c>
      <c r="CS131" s="48" t="n">
        <f aca="false">(CS63+CS70+CS96+CS100+CS101+CS83)*(CS$4&lt;=In_COD)</f>
        <v>0</v>
      </c>
      <c r="CT131" s="48" t="n">
        <f aca="false">(CT63+CT70+CT96+CT100+CT101+CT83)*(CT$4&lt;=In_COD)</f>
        <v>0</v>
      </c>
      <c r="CU131" s="48" t="n">
        <f aca="false">(CU63+CU70+CU96+CU100+CU101+CU83)*(CU$4&lt;=In_COD)</f>
        <v>0</v>
      </c>
      <c r="CV131" s="48" t="n">
        <f aca="false">(CV63+CV70+CV96+CV100+CV101+CV83)*(CV$4&lt;=In_COD)</f>
        <v>0</v>
      </c>
      <c r="CW131" s="48" t="n">
        <f aca="false">(CW63+CW70+CW96+CW100+CW101+CW83)*(CW$4&lt;=In_COD)</f>
        <v>0</v>
      </c>
      <c r="CX131" s="48" t="n">
        <f aca="false">(CX63+CX70+CX96+CX100+CX101+CX83)*(CX$4&lt;=In_COD)</f>
        <v>0</v>
      </c>
      <c r="CY131" s="48" t="n">
        <f aca="false">(CY63+CY70+CY96+CY100+CY101+CY83)*(CY$4&lt;=In_COD)</f>
        <v>0</v>
      </c>
      <c r="CZ131" s="48" t="n">
        <f aca="false">(CZ63+CZ70+CZ96+CZ100+CZ101+CZ83)*(CZ$4&lt;=In_COD)</f>
        <v>0</v>
      </c>
      <c r="DA131" s="48" t="n">
        <f aca="false">(DA63+DA70+DA96+DA100+DA101+DA83)*(DA$4&lt;=In_COD)</f>
        <v>0</v>
      </c>
      <c r="DB131" s="48" t="n">
        <f aca="false">(DB63+DB70+DB96+DB100+DB101+DB83)*(DB$4&lt;=In_COD)</f>
        <v>0</v>
      </c>
      <c r="DC131" s="48" t="n">
        <f aca="false">(DC63+DC70+DC96+DC100+DC101+DC83)*(DC$4&lt;=In_COD)</f>
        <v>0</v>
      </c>
      <c r="DD131" s="48" t="n">
        <f aca="false">(DD63+DD70+DD96+DD100+DD101+DD83)*(DD$4&lt;=In_COD)</f>
        <v>0</v>
      </c>
      <c r="DE131" s="48" t="n">
        <f aca="false">(DE63+DE70+DE96+DE100+DE101+DE83)*(DE$4&lt;=In_COD)</f>
        <v>0</v>
      </c>
      <c r="DF131" s="48" t="n">
        <f aca="false">(DF63+DF70+DF96+DF100+DF101+DF83)*(DF$4&lt;=In_COD)</f>
        <v>0</v>
      </c>
      <c r="DG131" s="48" t="n">
        <f aca="false">(DG63+DG70+DG96+DG100+DG101+DG83)*(DG$4&lt;=In_COD)</f>
        <v>0</v>
      </c>
      <c r="DH131" s="48" t="n">
        <f aca="false">(DH63+DH70+DH96+DH100+DH101+DH83)*(DH$4&lt;=In_COD)</f>
        <v>0</v>
      </c>
      <c r="DI131" s="48" t="n">
        <f aca="false">(DI63+DI70+DI96+DI100+DI101+DI83)*(DI$4&lt;=In_COD)</f>
        <v>0</v>
      </c>
      <c r="DJ131" s="48" t="n">
        <f aca="false">(DJ63+DJ70+DJ96+DJ100+DJ101+DJ83)*(DJ$4&lt;=In_COD)</f>
        <v>0</v>
      </c>
      <c r="DK131" s="48" t="n">
        <f aca="false">(DK63+DK70+DK96+DK100+DK101+DK83)*(DK$4&lt;=In_COD)</f>
        <v>0</v>
      </c>
      <c r="DL131" s="48" t="n">
        <f aca="false">(DL63+DL70+DL96+DL100+DL101+DL83)*(DL$4&lt;=In_COD)</f>
        <v>0</v>
      </c>
      <c r="DM131" s="48" t="n">
        <f aca="false">(DM63+DM70+DM96+DM100+DM101+DM83)*(DM$4&lt;=In_COD)</f>
        <v>0</v>
      </c>
      <c r="DN131" s="48" t="n">
        <f aca="false">(DN63+DN70+DN96+DN100+DN101+DN83)*(DN$4&lt;=In_COD)</f>
        <v>0</v>
      </c>
      <c r="DO131" s="48" t="n">
        <f aca="false">(DO63+DO70+DO96+DO100+DO101+DO83)*(DO$4&lt;=In_COD)</f>
        <v>0</v>
      </c>
      <c r="DP131" s="48" t="n">
        <f aca="false">(DP63+DP70+DP96+DP100+DP101+DP83)*(DP$4&lt;=In_COD)</f>
        <v>0</v>
      </c>
      <c r="DQ131" s="48" t="n">
        <f aca="false">(DQ63+DQ70+DQ96+DQ100+DQ101+DQ83)*(DQ$4&lt;=In_COD)</f>
        <v>0</v>
      </c>
      <c r="DR131" s="48" t="n">
        <f aca="false">(DR63+DR70+DR96+DR100+DR101+DR83)*(DR$4&lt;=In_COD)</f>
        <v>0</v>
      </c>
      <c r="DS131" s="48" t="n">
        <f aca="false">(DS63+DS70+DS96+DS100+DS101+DS83)*(DS$4&lt;=In_COD)</f>
        <v>0</v>
      </c>
      <c r="DT131" s="48" t="n">
        <f aca="false">(DT63+DT70+DT96+DT100+DT101+DT83)*(DT$4&lt;=In_COD)</f>
        <v>0</v>
      </c>
      <c r="DU131" s="48" t="n">
        <f aca="false">(DU63+DU70+DU96+DU100+DU101+DU83)*(DU$4&lt;=In_COD)</f>
        <v>0</v>
      </c>
      <c r="DV131" s="48" t="n">
        <f aca="false">(DV63+DV70+DV96+DV100+DV101+DV83)*(DV$4&lt;=In_COD)</f>
        <v>0</v>
      </c>
      <c r="DW131" s="48" t="n">
        <f aca="false">(DW63+DW70+DW96+DW100+DW101+DW83)*(DW$4&lt;=In_COD)</f>
        <v>0</v>
      </c>
      <c r="DX131" s="48" t="n">
        <f aca="false">(DX63+DX70+DX96+DX100+DX101+DX83)*(DX$4&lt;=In_COD)</f>
        <v>0</v>
      </c>
      <c r="DY131" s="48" t="n">
        <f aca="false">(DY63+DY70+DY96+DY100+DY101+DY83)*(DY$4&lt;=In_COD)</f>
        <v>0</v>
      </c>
      <c r="DZ131" s="48" t="n">
        <f aca="false">(DZ63+DZ70+DZ96+DZ100+DZ101+DZ83)*(DZ$4&lt;=In_COD)</f>
        <v>0</v>
      </c>
      <c r="EA131" s="48" t="n">
        <f aca="false">(EA63+EA70+EA96+EA100+EA101+EA83)*(EA$4&lt;=In_COD)</f>
        <v>0</v>
      </c>
      <c r="EB131" s="48" t="n">
        <f aca="false">(EB63+EB70+EB96+EB100+EB101+EB83)*(EB$4&lt;=In_COD)</f>
        <v>0</v>
      </c>
      <c r="EC131" s="48" t="n">
        <f aca="false">(EC63+EC70+EC96+EC100+EC101+EC83)*(EC$4&lt;=In_COD)</f>
        <v>0</v>
      </c>
      <c r="ED131" s="48" t="n">
        <f aca="false">(ED63+ED70+ED96+ED100+ED101+ED83)*(ED$4&lt;=In_COD)</f>
        <v>0</v>
      </c>
      <c r="EE131" s="48" t="n">
        <f aca="false">(EE63+EE70+EE96+EE100+EE101+EE83)*(EE$4&lt;=In_COD)</f>
        <v>0</v>
      </c>
      <c r="EF131" s="48" t="n">
        <f aca="false">(EF63+EF70+EF96+EF100+EF101+EF83)*(EF$4&lt;=In_COD)</f>
        <v>0</v>
      </c>
      <c r="EG131" s="48" t="n">
        <f aca="false">(EG63+EG70+EG96+EG100+EG101+EG83)*(EG$4&lt;=In_COD)</f>
        <v>0</v>
      </c>
      <c r="EH131" s="48" t="n">
        <f aca="false">(EH63+EH70+EH96+EH100+EH101+EH83)*(EH$4&lt;=In_COD)</f>
        <v>0</v>
      </c>
      <c r="EI131" s="48" t="n">
        <f aca="false">(EI63+EI70+EI96+EI100+EI101+EI83)*(EI$4&lt;=In_COD)</f>
        <v>0</v>
      </c>
      <c r="EJ131" s="48" t="n">
        <f aca="false">(EJ63+EJ70+EJ96+EJ100+EJ101+EJ83)*(EJ$4&lt;=In_COD)</f>
        <v>0</v>
      </c>
      <c r="EK131" s="48" t="n">
        <f aca="false">(EK63+EK70+EK96+EK100+EK101+EK83)*(EK$4&lt;=In_COD)</f>
        <v>0</v>
      </c>
      <c r="EL131" s="48" t="n">
        <f aca="false">(EL63+EL70+EL96+EL100+EL101+EL83)*(EL$4&lt;=In_COD)</f>
        <v>0</v>
      </c>
      <c r="EM131" s="48" t="n">
        <f aca="false">(EM63+EM70+EM96+EM100+EM101+EM83)*(EM$4&lt;=In_COD)</f>
        <v>0</v>
      </c>
      <c r="EN131" s="48" t="n">
        <f aca="false">(EN63+EN70+EN96+EN100+EN101+EN83)*(EN$4&lt;=In_COD)</f>
        <v>0</v>
      </c>
      <c r="EO131" s="48" t="n">
        <f aca="false">(EO63+EO70+EO96+EO100+EO101+EO83)*(EO$4&lt;=In_COD)</f>
        <v>0</v>
      </c>
    </row>
    <row r="132" customFormat="false" ht="15" hidden="false" customHeight="false" outlineLevel="0" collapsed="false">
      <c r="C132" s="0" t="s">
        <v>495</v>
      </c>
      <c r="D132" s="11" t="s">
        <v>33</v>
      </c>
      <c r="E132" s="48" t="n">
        <f aca="false">IF($E44=1,In_COD_Price,In_COD_Price_CN)*$F25*(1-$E29)</f>
        <v>114975</v>
      </c>
    </row>
    <row r="133" customFormat="false" ht="15" hidden="false" customHeight="false" outlineLevel="0" collapsed="false">
      <c r="C133" s="0" t="s">
        <v>496</v>
      </c>
      <c r="D133" s="11" t="s">
        <v>33</v>
      </c>
      <c r="E133" s="48" t="n">
        <f aca="false">$E132+$I62-$E99-In_Sale_Costs</f>
        <v>71077.6635714193</v>
      </c>
    </row>
    <row r="134" customFormat="false" ht="15" hidden="false" customHeight="false" outlineLevel="0" collapsed="false">
      <c r="C134" s="0" t="s">
        <v>126</v>
      </c>
      <c r="D134" s="11" t="s">
        <v>33</v>
      </c>
      <c r="E134" s="48" t="n">
        <f aca="false">-In_CIT*In_Sale_Gain_Taxed*MAX(0,$E133+$I131)</f>
        <v>-0</v>
      </c>
    </row>
    <row r="135" customFormat="false" ht="15" hidden="false" customHeight="false" outlineLevel="0" collapsed="false">
      <c r="C135" s="25" t="s">
        <v>497</v>
      </c>
      <c r="D135" s="11" t="s">
        <v>33</v>
      </c>
      <c r="I135" s="57" t="n">
        <f aca="false">SUM(J135:EO135)</f>
        <v>29390.8657004839</v>
      </c>
      <c r="J135" s="57" t="n">
        <f aca="false">J131+($E133+$E134)*J14</f>
        <v>-4662.80993807469</v>
      </c>
      <c r="K135" s="57" t="n">
        <f aca="false">K131+($E133+$E134)*K14</f>
        <v>-706.535577057768</v>
      </c>
      <c r="L135" s="57" t="n">
        <f aca="false">L131+($E133+$E134)*L14</f>
        <v>-104.360496659404</v>
      </c>
      <c r="M135" s="57" t="n">
        <f aca="false">M131+($E133+$E134)*M14</f>
        <v>-105.507315304013</v>
      </c>
      <c r="N135" s="57" t="n">
        <f aca="false">N131+($E133+$E134)*N14</f>
        <v>-105.507315304013</v>
      </c>
      <c r="O135" s="57" t="n">
        <f aca="false">O131+($E133+$E134)*O14</f>
        <v>-104.360496659404</v>
      </c>
      <c r="P135" s="57" t="n">
        <f aca="false">P131+($E133+$E134)*P14</f>
        <v>-104.360496659404</v>
      </c>
      <c r="Q135" s="57" t="n">
        <f aca="false">Q131+($E133+$E134)*Q14</f>
        <v>-105.507315304013</v>
      </c>
      <c r="R135" s="57" t="n">
        <f aca="false">R131+($E133+$E134)*R14</f>
        <v>-4598.78508914336</v>
      </c>
      <c r="S135" s="57" t="n">
        <f aca="false">S131+($E133+$E134)*S14</f>
        <v>-7416.60009090345</v>
      </c>
      <c r="T135" s="57" t="n">
        <f aca="false">T131+($E133+$E134)*T14</f>
        <v>-3768.65166995178</v>
      </c>
      <c r="U135" s="57" t="n">
        <f aca="false">U131+($E133+$E134)*U14</f>
        <v>-3800.0000014</v>
      </c>
      <c r="V135" s="57" t="n">
        <f aca="false">V131+($E133+$E134)*V14</f>
        <v>-3789.82396918758</v>
      </c>
      <c r="W135" s="57" t="n">
        <f aca="false">W131+($E133+$E134)*W14</f>
        <v>-3698.52360864843</v>
      </c>
      <c r="X135" s="57" t="n">
        <f aca="false">X131+($E133+$E134)*X14</f>
        <v>-3729.77170579166</v>
      </c>
      <c r="Y135" s="57" t="n">
        <f aca="false">Y131+($E133+$E134)*Y14</f>
        <v>66191.9707865328</v>
      </c>
      <c r="Z135" s="57" t="n">
        <f aca="false">Z131+($E133+$E134)*Z14</f>
        <v>0</v>
      </c>
      <c r="AA135" s="57" t="n">
        <f aca="false">AA131+($E133+$E134)*AA14</f>
        <v>0</v>
      </c>
      <c r="AB135" s="57" t="n">
        <f aca="false">AB131+($E133+$E134)*AB14</f>
        <v>0</v>
      </c>
      <c r="AC135" s="57" t="n">
        <f aca="false">AC131+($E133+$E134)*AC14</f>
        <v>0</v>
      </c>
      <c r="AD135" s="57" t="n">
        <f aca="false">AD131+($E133+$E134)*AD14</f>
        <v>0</v>
      </c>
      <c r="AE135" s="57" t="n">
        <f aca="false">AE131+($E133+$E134)*AE14</f>
        <v>0</v>
      </c>
      <c r="AF135" s="57" t="n">
        <f aca="false">AF131+($E133+$E134)*AF14</f>
        <v>0</v>
      </c>
      <c r="AG135" s="57" t="n">
        <f aca="false">AG131+($E133+$E134)*AG14</f>
        <v>0</v>
      </c>
      <c r="AH135" s="57" t="n">
        <f aca="false">AH131+($E133+$E134)*AH14</f>
        <v>0</v>
      </c>
      <c r="AI135" s="57" t="n">
        <f aca="false">AI131+($E133+$E134)*AI14</f>
        <v>0</v>
      </c>
      <c r="AJ135" s="57" t="n">
        <f aca="false">AJ131+($E133+$E134)*AJ14</f>
        <v>0</v>
      </c>
      <c r="AK135" s="57" t="n">
        <f aca="false">AK131+($E133+$E134)*AK14</f>
        <v>0</v>
      </c>
      <c r="AL135" s="57" t="n">
        <f aca="false">AL131+($E133+$E134)*AL14</f>
        <v>0</v>
      </c>
      <c r="AM135" s="57" t="n">
        <f aca="false">AM131+($E133+$E134)*AM14</f>
        <v>0</v>
      </c>
      <c r="AN135" s="57" t="n">
        <f aca="false">AN131+($E133+$E134)*AN14</f>
        <v>0</v>
      </c>
      <c r="AO135" s="57" t="n">
        <f aca="false">AO131+($E133+$E134)*AO14</f>
        <v>0</v>
      </c>
      <c r="AP135" s="57" t="n">
        <f aca="false">AP131+($E133+$E134)*AP14</f>
        <v>0</v>
      </c>
      <c r="AQ135" s="57" t="n">
        <f aca="false">AQ131+($E133+$E134)*AQ14</f>
        <v>0</v>
      </c>
      <c r="AR135" s="57" t="n">
        <f aca="false">AR131+($E133+$E134)*AR14</f>
        <v>0</v>
      </c>
      <c r="AS135" s="57" t="n">
        <f aca="false">AS131+($E133+$E134)*AS14</f>
        <v>0</v>
      </c>
      <c r="AT135" s="57" t="n">
        <f aca="false">AT131+($E133+$E134)*AT14</f>
        <v>0</v>
      </c>
      <c r="AU135" s="57" t="n">
        <f aca="false">AU131+($E133+$E134)*AU14</f>
        <v>0</v>
      </c>
      <c r="AV135" s="57" t="n">
        <f aca="false">AV131+($E133+$E134)*AV14</f>
        <v>0</v>
      </c>
      <c r="AW135" s="57" t="n">
        <f aca="false">AW131+($E133+$E134)*AW14</f>
        <v>0</v>
      </c>
      <c r="AX135" s="57" t="n">
        <f aca="false">AX131+($E133+$E134)*AX14</f>
        <v>0</v>
      </c>
      <c r="AY135" s="57" t="n">
        <f aca="false">AY131+($E133+$E134)*AY14</f>
        <v>0</v>
      </c>
      <c r="AZ135" s="57" t="n">
        <f aca="false">AZ131+($E133+$E134)*AZ14</f>
        <v>0</v>
      </c>
      <c r="BA135" s="57" t="n">
        <f aca="false">BA131+($E133+$E134)*BA14</f>
        <v>0</v>
      </c>
      <c r="BB135" s="57" t="n">
        <f aca="false">BB131+($E133+$E134)*BB14</f>
        <v>0</v>
      </c>
      <c r="BC135" s="57" t="n">
        <f aca="false">BC131+($E133+$E134)*BC14</f>
        <v>0</v>
      </c>
      <c r="BD135" s="57" t="n">
        <f aca="false">BD131+($E133+$E134)*BD14</f>
        <v>0</v>
      </c>
      <c r="BE135" s="57" t="n">
        <f aca="false">BE131+($E133+$E134)*BE14</f>
        <v>0</v>
      </c>
      <c r="BF135" s="57" t="n">
        <f aca="false">BF131+($E133+$E134)*BF14</f>
        <v>0</v>
      </c>
      <c r="BG135" s="57" t="n">
        <f aca="false">BG131+($E133+$E134)*BG14</f>
        <v>0</v>
      </c>
      <c r="BH135" s="57" t="n">
        <f aca="false">BH131+($E133+$E134)*BH14</f>
        <v>0</v>
      </c>
      <c r="BI135" s="57" t="n">
        <f aca="false">BI131+($E133+$E134)*BI14</f>
        <v>0</v>
      </c>
      <c r="BJ135" s="57" t="n">
        <f aca="false">BJ131+($E133+$E134)*BJ14</f>
        <v>0</v>
      </c>
      <c r="BK135" s="57" t="n">
        <f aca="false">BK131+($E133+$E134)*BK14</f>
        <v>0</v>
      </c>
      <c r="BL135" s="57" t="n">
        <f aca="false">BL131+($E133+$E134)*BL14</f>
        <v>0</v>
      </c>
      <c r="BM135" s="57" t="n">
        <f aca="false">BM131+($E133+$E134)*BM14</f>
        <v>0</v>
      </c>
      <c r="BN135" s="57" t="n">
        <f aca="false">BN131+($E133+$E134)*BN14</f>
        <v>0</v>
      </c>
      <c r="BO135" s="57" t="n">
        <f aca="false">BO131+($E133+$E134)*BO14</f>
        <v>0</v>
      </c>
      <c r="BP135" s="57" t="n">
        <f aca="false">BP131+($E133+$E134)*BP14</f>
        <v>0</v>
      </c>
      <c r="BQ135" s="57" t="n">
        <f aca="false">BQ131+($E133+$E134)*BQ14</f>
        <v>0</v>
      </c>
      <c r="BR135" s="57" t="n">
        <f aca="false">BR131+($E133+$E134)*BR14</f>
        <v>0</v>
      </c>
      <c r="BS135" s="57" t="n">
        <f aca="false">BS131+($E133+$E134)*BS14</f>
        <v>0</v>
      </c>
      <c r="BT135" s="57" t="n">
        <f aca="false">BT131+($E133+$E134)*BT14</f>
        <v>0</v>
      </c>
      <c r="BU135" s="57" t="n">
        <f aca="false">BU131+($E133+$E134)*BU14</f>
        <v>0</v>
      </c>
      <c r="BV135" s="57" t="n">
        <f aca="false">BV131+($E133+$E134)*BV14</f>
        <v>0</v>
      </c>
      <c r="BW135" s="57" t="n">
        <f aca="false">BW131+($E133+$E134)*BW14</f>
        <v>0</v>
      </c>
      <c r="BX135" s="57" t="n">
        <f aca="false">BX131+($E133+$E134)*BX14</f>
        <v>0</v>
      </c>
      <c r="BY135" s="57" t="n">
        <f aca="false">BY131+($E133+$E134)*BY14</f>
        <v>0</v>
      </c>
      <c r="BZ135" s="57" t="n">
        <f aca="false">BZ131+($E133+$E134)*BZ14</f>
        <v>0</v>
      </c>
      <c r="CA135" s="57" t="n">
        <f aca="false">CA131+($E133+$E134)*CA14</f>
        <v>0</v>
      </c>
      <c r="CB135" s="57" t="n">
        <f aca="false">CB131+($E133+$E134)*CB14</f>
        <v>0</v>
      </c>
      <c r="CC135" s="57" t="n">
        <f aca="false">CC131+($E133+$E134)*CC14</f>
        <v>0</v>
      </c>
      <c r="CD135" s="57" t="n">
        <f aca="false">CD131+($E133+$E134)*CD14</f>
        <v>0</v>
      </c>
      <c r="CE135" s="57" t="n">
        <f aca="false">CE131+($E133+$E134)*CE14</f>
        <v>0</v>
      </c>
      <c r="CF135" s="57" t="n">
        <f aca="false">CF131+($E133+$E134)*CF14</f>
        <v>0</v>
      </c>
      <c r="CG135" s="57" t="n">
        <f aca="false">CG131+($E133+$E134)*CG14</f>
        <v>0</v>
      </c>
      <c r="CH135" s="57" t="n">
        <f aca="false">CH131+($E133+$E134)*CH14</f>
        <v>0</v>
      </c>
      <c r="CI135" s="57" t="n">
        <f aca="false">CI131+($E133+$E134)*CI14</f>
        <v>0</v>
      </c>
      <c r="CJ135" s="57" t="n">
        <f aca="false">CJ131+($E133+$E134)*CJ14</f>
        <v>0</v>
      </c>
      <c r="CK135" s="57" t="n">
        <f aca="false">CK131+($E133+$E134)*CK14</f>
        <v>0</v>
      </c>
      <c r="CL135" s="57" t="n">
        <f aca="false">CL131+($E133+$E134)*CL14</f>
        <v>0</v>
      </c>
      <c r="CM135" s="57" t="n">
        <f aca="false">CM131+($E133+$E134)*CM14</f>
        <v>0</v>
      </c>
      <c r="CN135" s="57" t="n">
        <f aca="false">CN131+($E133+$E134)*CN14</f>
        <v>0</v>
      </c>
      <c r="CO135" s="57" t="n">
        <f aca="false">CO131+($E133+$E134)*CO14</f>
        <v>0</v>
      </c>
      <c r="CP135" s="57" t="n">
        <f aca="false">CP131+($E133+$E134)*CP14</f>
        <v>0</v>
      </c>
      <c r="CQ135" s="57" t="n">
        <f aca="false">CQ131+($E133+$E134)*CQ14</f>
        <v>0</v>
      </c>
      <c r="CR135" s="57" t="n">
        <f aca="false">CR131+($E133+$E134)*CR14</f>
        <v>0</v>
      </c>
      <c r="CS135" s="57" t="n">
        <f aca="false">CS131+($E133+$E134)*CS14</f>
        <v>0</v>
      </c>
      <c r="CT135" s="57" t="n">
        <f aca="false">CT131+($E133+$E134)*CT14</f>
        <v>0</v>
      </c>
      <c r="CU135" s="57" t="n">
        <f aca="false">CU131+($E133+$E134)*CU14</f>
        <v>0</v>
      </c>
      <c r="CV135" s="57" t="n">
        <f aca="false">CV131+($E133+$E134)*CV14</f>
        <v>0</v>
      </c>
      <c r="CW135" s="57" t="n">
        <f aca="false">CW131+($E133+$E134)*CW14</f>
        <v>0</v>
      </c>
      <c r="CX135" s="57" t="n">
        <f aca="false">CX131+($E133+$E134)*CX14</f>
        <v>0</v>
      </c>
      <c r="CY135" s="57" t="n">
        <f aca="false">CY131+($E133+$E134)*CY14</f>
        <v>0</v>
      </c>
      <c r="CZ135" s="57" t="n">
        <f aca="false">CZ131+($E133+$E134)*CZ14</f>
        <v>0</v>
      </c>
      <c r="DA135" s="57" t="n">
        <f aca="false">DA131+($E133+$E134)*DA14</f>
        <v>0</v>
      </c>
      <c r="DB135" s="57" t="n">
        <f aca="false">DB131+($E133+$E134)*DB14</f>
        <v>0</v>
      </c>
      <c r="DC135" s="57" t="n">
        <f aca="false">DC131+($E133+$E134)*DC14</f>
        <v>0</v>
      </c>
      <c r="DD135" s="57" t="n">
        <f aca="false">DD131+($E133+$E134)*DD14</f>
        <v>0</v>
      </c>
      <c r="DE135" s="57" t="n">
        <f aca="false">DE131+($E133+$E134)*DE14</f>
        <v>0</v>
      </c>
      <c r="DF135" s="57" t="n">
        <f aca="false">DF131+($E133+$E134)*DF14</f>
        <v>0</v>
      </c>
      <c r="DG135" s="57" t="n">
        <f aca="false">DG131+($E133+$E134)*DG14</f>
        <v>0</v>
      </c>
      <c r="DH135" s="57" t="n">
        <f aca="false">DH131+($E133+$E134)*DH14</f>
        <v>0</v>
      </c>
      <c r="DI135" s="57" t="n">
        <f aca="false">DI131+($E133+$E134)*DI14</f>
        <v>0</v>
      </c>
      <c r="DJ135" s="57" t="n">
        <f aca="false">DJ131+($E133+$E134)*DJ14</f>
        <v>0</v>
      </c>
      <c r="DK135" s="57" t="n">
        <f aca="false">DK131+($E133+$E134)*DK14</f>
        <v>0</v>
      </c>
      <c r="DL135" s="57" t="n">
        <f aca="false">DL131+($E133+$E134)*DL14</f>
        <v>0</v>
      </c>
      <c r="DM135" s="57" t="n">
        <f aca="false">DM131+($E133+$E134)*DM14</f>
        <v>0</v>
      </c>
      <c r="DN135" s="57" t="n">
        <f aca="false">DN131+($E133+$E134)*DN14</f>
        <v>0</v>
      </c>
      <c r="DO135" s="57" t="n">
        <f aca="false">DO131+($E133+$E134)*DO14</f>
        <v>0</v>
      </c>
      <c r="DP135" s="57" t="n">
        <f aca="false">DP131+($E133+$E134)*DP14</f>
        <v>0</v>
      </c>
      <c r="DQ135" s="57" t="n">
        <f aca="false">DQ131+($E133+$E134)*DQ14</f>
        <v>0</v>
      </c>
      <c r="DR135" s="57" t="n">
        <f aca="false">DR131+($E133+$E134)*DR14</f>
        <v>0</v>
      </c>
      <c r="DS135" s="57" t="n">
        <f aca="false">DS131+($E133+$E134)*DS14</f>
        <v>0</v>
      </c>
      <c r="DT135" s="57" t="n">
        <f aca="false">DT131+($E133+$E134)*DT14</f>
        <v>0</v>
      </c>
      <c r="DU135" s="57" t="n">
        <f aca="false">DU131+($E133+$E134)*DU14</f>
        <v>0</v>
      </c>
      <c r="DV135" s="57" t="n">
        <f aca="false">DV131+($E133+$E134)*DV14</f>
        <v>0</v>
      </c>
      <c r="DW135" s="57" t="n">
        <f aca="false">DW131+($E133+$E134)*DW14</f>
        <v>0</v>
      </c>
      <c r="DX135" s="57" t="n">
        <f aca="false">DX131+($E133+$E134)*DX14</f>
        <v>0</v>
      </c>
      <c r="DY135" s="57" t="n">
        <f aca="false">DY131+($E133+$E134)*DY14</f>
        <v>0</v>
      </c>
      <c r="DZ135" s="57" t="n">
        <f aca="false">DZ131+($E133+$E134)*DZ14</f>
        <v>0</v>
      </c>
      <c r="EA135" s="57" t="n">
        <f aca="false">EA131+($E133+$E134)*EA14</f>
        <v>0</v>
      </c>
      <c r="EB135" s="57" t="n">
        <f aca="false">EB131+($E133+$E134)*EB14</f>
        <v>0</v>
      </c>
      <c r="EC135" s="57" t="n">
        <f aca="false">EC131+($E133+$E134)*EC14</f>
        <v>0</v>
      </c>
      <c r="ED135" s="57" t="n">
        <f aca="false">ED131+($E133+$E134)*ED14</f>
        <v>0</v>
      </c>
      <c r="EE135" s="57" t="n">
        <f aca="false">EE131+($E133+$E134)*EE14</f>
        <v>0</v>
      </c>
      <c r="EF135" s="57" t="n">
        <f aca="false">EF131+($E133+$E134)*EF14</f>
        <v>0</v>
      </c>
      <c r="EG135" s="57" t="n">
        <f aca="false">EG131+($E133+$E134)*EG14</f>
        <v>0</v>
      </c>
      <c r="EH135" s="57" t="n">
        <f aca="false">EH131+($E133+$E134)*EH14</f>
        <v>0</v>
      </c>
      <c r="EI135" s="57" t="n">
        <f aca="false">EI131+($E133+$E134)*EI14</f>
        <v>0</v>
      </c>
      <c r="EJ135" s="57" t="n">
        <f aca="false">EJ131+($E133+$E134)*EJ14</f>
        <v>0</v>
      </c>
      <c r="EK135" s="57" t="n">
        <f aca="false">EK131+($E133+$E134)*EK14</f>
        <v>0</v>
      </c>
      <c r="EL135" s="57" t="n">
        <f aca="false">EL131+($E133+$E134)*EL14</f>
        <v>0</v>
      </c>
      <c r="EM135" s="57" t="n">
        <f aca="false">EM131+($E133+$E134)*EM14</f>
        <v>0</v>
      </c>
      <c r="EN135" s="57" t="n">
        <f aca="false">EN131+($E133+$E134)*EN14</f>
        <v>0</v>
      </c>
      <c r="EO135" s="57" t="n">
        <f aca="false">EO131+($E133+$E134)*EO14</f>
        <v>0</v>
      </c>
    </row>
    <row r="136" customFormat="false" ht="15" hidden="false" customHeight="false" outlineLevel="0" collapsed="false">
      <c r="C136" s="25" t="s">
        <v>87</v>
      </c>
      <c r="D136" s="11" t="s">
        <v>27</v>
      </c>
      <c r="E136" s="33" t="n">
        <f aca="false">XIRR($J135:$EO135,$J$4:$EO$4)</f>
        <v>0.410318082809979</v>
      </c>
    </row>
    <row r="137" customFormat="false" ht="15" hidden="false" customHeight="false" outlineLevel="0" collapsed="false">
      <c r="C137" s="25" t="s">
        <v>88</v>
      </c>
      <c r="D137" s="11" t="s">
        <v>13</v>
      </c>
      <c r="E137" s="60" t="n">
        <f aca="false">($E133+$E134)/-$I131</f>
        <v>1.70504013744302</v>
      </c>
    </row>
    <row r="138" customFormat="false" ht="15" hidden="false" customHeight="false" outlineLevel="0" collapsed="false">
      <c r="C138" s="25" t="s">
        <v>89</v>
      </c>
      <c r="D138" s="11" t="s">
        <v>33</v>
      </c>
      <c r="E138" s="57" t="n">
        <f aca="false">XNPV(In_Discount_Rate,$J135:$EO135,$J$4:$EO$4)</f>
        <v>18560.4545699145</v>
      </c>
    </row>
    <row r="139" customFormat="false" ht="15" hidden="false" customHeight="false" outlineLevel="0" collapsed="false">
      <c r="A139" s="61"/>
      <c r="B139" s="61"/>
      <c r="C139" s="61" t="s">
        <v>498</v>
      </c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  <c r="CE139" s="61"/>
      <c r="CF139" s="61"/>
      <c r="CG139" s="61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  <c r="EA139" s="61"/>
      <c r="EB139" s="61"/>
      <c r="EC139" s="61"/>
      <c r="ED139" s="61"/>
      <c r="EE139" s="61"/>
      <c r="EF139" s="61"/>
      <c r="EG139" s="61"/>
      <c r="EH139" s="61"/>
      <c r="EI139" s="61"/>
      <c r="EJ139" s="61"/>
      <c r="EK139" s="61"/>
      <c r="EL139" s="61"/>
      <c r="EM139" s="61"/>
      <c r="EN139" s="61"/>
      <c r="EO139" s="61"/>
    </row>
    <row r="140" customFormat="false" ht="15" hidden="false" customHeight="false" outlineLevel="0" collapsed="false">
      <c r="C140" s="0" t="s">
        <v>499</v>
      </c>
      <c r="D140" s="11" t="s">
        <v>33</v>
      </c>
      <c r="I140" s="48" t="n">
        <f aca="false">SUM(J140:EO140)</f>
        <v>152264.418966627</v>
      </c>
      <c r="J140" s="48" t="n">
        <f aca="false">(J83+J59+J62+J113)*(J$4&gt;In_COD)-($E132+$I62)*J14</f>
        <v>-0</v>
      </c>
      <c r="K140" s="48" t="n">
        <f aca="false">(K83+K59+K62+K113)*(K$4&gt;In_COD)-($E132+$I62)*K14</f>
        <v>-0</v>
      </c>
      <c r="L140" s="48" t="n">
        <f aca="false">(L83+L59+L62+L113)*(L$4&gt;In_COD)-($E132+$I62)*L14</f>
        <v>-0</v>
      </c>
      <c r="M140" s="48" t="n">
        <f aca="false">(M83+M59+M62+M113)*(M$4&gt;In_COD)-($E132+$I62)*M14</f>
        <v>-0</v>
      </c>
      <c r="N140" s="48" t="n">
        <f aca="false">(N83+N59+N62+N113)*(N$4&gt;In_COD)-($E132+$I62)*N14</f>
        <v>-0</v>
      </c>
      <c r="O140" s="48" t="n">
        <f aca="false">(O83+O59+O62+O113)*(O$4&gt;In_COD)-($E132+$I62)*O14</f>
        <v>-0</v>
      </c>
      <c r="P140" s="48" t="n">
        <f aca="false">(P83+P59+P62+P113)*(P$4&gt;In_COD)-($E132+$I62)*P14</f>
        <v>-0</v>
      </c>
      <c r="Q140" s="48" t="n">
        <f aca="false">(Q83+Q59+Q62+Q113)*(Q$4&gt;In_COD)-($E132+$I62)*Q14</f>
        <v>-0</v>
      </c>
      <c r="R140" s="48" t="n">
        <f aca="false">(R83+R59+R62+R113)*(R$4&gt;In_COD)-($E132+$I62)*R14</f>
        <v>-0</v>
      </c>
      <c r="S140" s="48" t="n">
        <f aca="false">(S83+S59+S62+S113)*(S$4&gt;In_COD)-($E132+$I62)*S14</f>
        <v>-0</v>
      </c>
      <c r="T140" s="48" t="n">
        <f aca="false">(T83+T59+T62+T113)*(T$4&gt;In_COD)-($E132+$I62)*T14</f>
        <v>-0</v>
      </c>
      <c r="U140" s="48" t="n">
        <f aca="false">(U83+U59+U62+U113)*(U$4&gt;In_COD)-($E132+$I62)*U14</f>
        <v>-0</v>
      </c>
      <c r="V140" s="48" t="n">
        <f aca="false">(V83+V59+V62+V113)*(V$4&gt;In_COD)-($E132+$I62)*V14</f>
        <v>-0</v>
      </c>
      <c r="W140" s="48" t="n">
        <f aca="false">(W83+W59+W62+W113)*(W$4&gt;In_COD)-($E132+$I62)*W14</f>
        <v>-0</v>
      </c>
      <c r="X140" s="48" t="n">
        <f aca="false">(X83+X59+X62+X113)*(X$4&gt;In_COD)-($E132+$I62)*X14</f>
        <v>-0</v>
      </c>
      <c r="Y140" s="48" t="n">
        <f aca="false">(Y83+Y59+Y62+Y113)*(Y$4&gt;In_COD)-($E132+$I62)*Y14</f>
        <v>-114975</v>
      </c>
      <c r="Z140" s="48" t="n">
        <f aca="false">(Z83+Z59+Z62+Z113)*(Z$4&gt;In_COD)-($E132+$I62)*Z14</f>
        <v>2303.35715537998</v>
      </c>
      <c r="AA140" s="48" t="n">
        <f aca="false">(AA83+AA59+AA62+AA113)*(AA$4&gt;In_COD)-($E132+$I62)*AA14</f>
        <v>2268.44894488457</v>
      </c>
      <c r="AB140" s="48" t="n">
        <f aca="false">(AB83+AB59+AB62+AB113)*(AB$4&gt;In_COD)-($E132+$I62)*AB14</f>
        <v>2292.85378238356</v>
      </c>
      <c r="AC140" s="48" t="n">
        <f aca="false">(AC83+AC59+AC62+AC113)*(AC$4&gt;In_COD)-($E132+$I62)*AC14</f>
        <v>2317.24500772654</v>
      </c>
      <c r="AD140" s="48" t="n">
        <f aca="false">(AD83+AD59+AD62+AD113)*(AD$4&gt;In_COD)-($E132+$I62)*AD14</f>
        <v>2309.02700771176</v>
      </c>
      <c r="AE140" s="48" t="n">
        <f aca="false">(AE83+AE59+AE62+AE113)*(AE$4&gt;In_COD)-($E132+$I62)*AE14</f>
        <v>2244.43107067096</v>
      </c>
      <c r="AF140" s="48" t="n">
        <f aca="false">(AF83+AF59+AF62+AF113)*(AF$4&gt;In_COD)-($E132+$I62)*AF14</f>
        <v>2237.46203698061</v>
      </c>
      <c r="AG140" s="48" t="n">
        <f aca="false">(AG83+AG59+AG62+AG113)*(AG$4&gt;In_COD)-($E132+$I62)*AG14</f>
        <v>2260.47690730532</v>
      </c>
      <c r="AH140" s="48" t="n">
        <f aca="false">(AH83+AH59+AH62+AH113)*(AH$4&gt;In_COD)-($E132+$I62)*AH14</f>
        <v>2252.47501014438</v>
      </c>
      <c r="AI140" s="48" t="n">
        <f aca="false">(AI83+AI59+AI62+AI113)*(AI$4&gt;In_COD)-($E132+$I62)*AI14</f>
        <v>2217.61091354171</v>
      </c>
      <c r="AJ140" s="48" t="n">
        <f aca="false">(AJ83+AJ59+AJ62+AJ113)*(AJ$4&gt;In_COD)-($E132+$I62)*AJ14</f>
        <v>2268.86305567236</v>
      </c>
      <c r="AK140" s="48" t="n">
        <f aca="false">(AK83+AK59+AK62+AK113)*(AK$4&gt;In_COD)-($E132+$I62)*AK14</f>
        <v>2292.19479192129</v>
      </c>
      <c r="AL140" s="48" t="n">
        <f aca="false">(AL83+AL59+AL62+AL113)*(AL$4&gt;In_COD)-($E132+$I62)*AL14</f>
        <v>2284.08516221084</v>
      </c>
      <c r="AM140" s="48" t="n">
        <f aca="false">(AM83+AM59+AM62+AM113)*(AM$4&gt;In_COD)-($E132+$I62)*AM14</f>
        <v>2248.27717430633</v>
      </c>
      <c r="AN140" s="48" t="n">
        <f aca="false">(AN83+AN59+AN62+AN113)*(AN$4&gt;In_COD)-($E132+$I62)*AN14</f>
        <v>2271.66034747153</v>
      </c>
      <c r="AO140" s="48" t="n">
        <f aca="false">(AO83+AO59+AO62+AO113)*(AO$4&gt;In_COD)-($E132+$I62)*AO14</f>
        <v>2295.01583931119</v>
      </c>
      <c r="AP140" s="48" t="n">
        <f aca="false">(AP83+AP59+AP62+AP113)*(AP$4&gt;In_COD)-($E132+$I62)*AP14</f>
        <v>2286.81726976705</v>
      </c>
      <c r="AQ140" s="48" t="n">
        <f aca="false">(AQ83+AQ59+AQ62+AQ113)*(AQ$4&gt;In_COD)-($E132+$I62)*AQ14</f>
        <v>2250.7015888303</v>
      </c>
      <c r="AR140" s="48" t="n">
        <f aca="false">(AR83+AR59+AR62+AR113)*(AR$4&gt;In_COD)-($E132+$I62)*AR14</f>
        <v>2274.10521232194</v>
      </c>
      <c r="AS140" s="48" t="n">
        <f aca="false">(AS83+AS59+AS62+AS113)*(AS$4&gt;In_COD)-($E132+$I62)*AS14</f>
        <v>2297.48059219911</v>
      </c>
      <c r="AT140" s="48" t="n">
        <f aca="false">(AT83+AT59+AT62+AT113)*(AT$4&gt;In_COD)-($E132+$I62)*AT14</f>
        <v>2289.19102376248</v>
      </c>
      <c r="AU140" s="48" t="n">
        <f aca="false">(AU83+AU59+AU62+AU113)*(AU$4&gt;In_COD)-($E132+$I62)*AU14</f>
        <v>2277.07531538182</v>
      </c>
      <c r="AV140" s="48" t="n">
        <f aca="false">(AV83+AV59+AV62+AV113)*(AV$4&gt;In_COD)-($E132+$I62)*AV14</f>
        <v>2276.16504838274</v>
      </c>
      <c r="AW140" s="48" t="n">
        <f aca="false">(AW83+AW59+AW62+AW113)*(AW$4&gt;In_COD)-($E132+$I62)*AW14</f>
        <v>2299.55607573931</v>
      </c>
      <c r="AX140" s="48" t="n">
        <f aca="false">(AX83+AX59+AX62+AX113)*(AX$4&gt;In_COD)-($E132+$I62)*AX14</f>
        <v>2291.17314750381</v>
      </c>
      <c r="AY140" s="48" t="n">
        <f aca="false">(AY83+AY59+AY62+AY113)*(AY$4&gt;In_COD)-($E132+$I62)*AY14</f>
        <v>2254.42878111867</v>
      </c>
      <c r="AZ140" s="48" t="n">
        <f aca="false">(AZ83+AZ59+AZ62+AZ113)*(AZ$4&gt;In_COD)-($E132+$I62)*AZ14</f>
        <v>2277.86090888988</v>
      </c>
      <c r="BA140" s="48" t="n">
        <f aca="false">(BA83+BA59+BA62+BA113)*(BA$4&gt;In_COD)-($E132+$I62)*BA14</f>
        <v>2301.26360061454</v>
      </c>
      <c r="BB140" s="48" t="n">
        <f aca="false">(BB83+BB59+BB62+BB113)*(BB$4&gt;In_COD)-($E132+$I62)*BB14</f>
        <v>2292.7852897258</v>
      </c>
      <c r="BC140" s="48" t="n">
        <f aca="false">(BC83+BC59+BC62+BC113)*(BC$4&gt;In_COD)-($E132+$I62)*BC14</f>
        <v>2255.71989890022</v>
      </c>
      <c r="BD140" s="48" t="n">
        <f aca="false">(BD83+BD59+BD62+BD113)*(BD$4&gt;In_COD)-($E132+$I62)*BD14</f>
        <v>2279.15996241908</v>
      </c>
      <c r="BE140" s="48" t="n">
        <f aca="false">(BE83+BE59+BE62+BE113)*(BE$4&gt;In_COD)-($E132+$I62)*BE14</f>
        <v>2302.56996023413</v>
      </c>
      <c r="BF140" s="48" t="n">
        <f aca="false">(BF83+BF59+BF62+BF113)*(BF$4&gt;In_COD)-($E132+$I62)*BF14</f>
        <v>2293.99394394046</v>
      </c>
      <c r="BG140" s="48" t="n">
        <f aca="false">(BG83+BG59+BG62+BG113)*(BG$4&gt;In_COD)-($E132+$I62)*BG14</f>
        <v>2256.60283788138</v>
      </c>
      <c r="BH140" s="48" t="n">
        <f aca="false">(BH83+BH59+BH62+BH113)*(BH$4&gt;In_COD)-($E132+$I62)*BH14</f>
        <v>2280.0463275728</v>
      </c>
      <c r="BI140" s="48" t="n">
        <f aca="false">(BI83+BI59+BI62+BI113)*(BI$4&gt;In_COD)-($E132+$I62)*BI14</f>
        <v>2303.45909739256</v>
      </c>
      <c r="BJ140" s="48" t="n">
        <f aca="false">(BJ83+BJ59+BJ62+BJ113)*(BJ$4&gt;In_COD)-($E132+$I62)*BJ14</f>
        <v>2294.78295689115</v>
      </c>
      <c r="BK140" s="48" t="n">
        <f aca="false">(BK83+BK59+BK62+BK113)*(BK$4&gt;In_COD)-($E132+$I62)*BK14</f>
        <v>2281.59990277431</v>
      </c>
      <c r="BL140" s="48" t="n">
        <f aca="false">(BL83+BL59+BL62+BL113)*(BL$4&gt;In_COD)-($E132+$I62)*BL14</f>
        <v>2280.48501390094</v>
      </c>
      <c r="BM140" s="48" t="n">
        <f aca="false">(BM83+BM59+BM62+BM113)*(BM$4&gt;In_COD)-($E132+$I62)*BM14</f>
        <v>2303.89562167732</v>
      </c>
      <c r="BN140" s="48" t="n">
        <f aca="false">(BN83+BN59+BN62+BN113)*(BN$4&gt;In_COD)-($E132+$I62)*BN14</f>
        <v>2295.11661752694</v>
      </c>
      <c r="BO140" s="48" t="n">
        <f aca="false">(BO83+BO59+BO62+BO113)*(BO$4&gt;In_COD)-($E132+$I62)*BO14</f>
        <v>2257.05924775701</v>
      </c>
      <c r="BP140" s="48" t="n">
        <f aca="false">(BP83+BP59+BP62+BP113)*(BP$4&gt;In_COD)-($E132+$I62)*BP14</f>
        <v>2280.49510381919</v>
      </c>
      <c r="BQ140" s="48" t="n">
        <f aca="false">(BQ83+BQ59+BQ62+BQ113)*(BQ$4&gt;In_COD)-($E132+$I62)*BQ14</f>
        <v>2303.89885092781</v>
      </c>
      <c r="BR140" s="48" t="n">
        <f aca="false">(BR83+BR59+BR62+BR113)*(BR$4&gt;In_COD)-($E132+$I62)*BR14</f>
        <v>2295.01456815235</v>
      </c>
      <c r="BS140" s="48" t="n">
        <f aca="false">(BS83+BS59+BS62+BS113)*(BS$4&gt;In_COD)-($E132+$I62)*BS14</f>
        <v>2256.61657950492</v>
      </c>
      <c r="BT140" s="48" t="n">
        <f aca="false">(BT83+BT59+BT62+BT113)*(BT$4&gt;In_COD)-($E132+$I62)*BT14</f>
        <v>2280.04120702133</v>
      </c>
      <c r="BU140" s="48" t="n">
        <f aca="false">(BU83+BU59+BU62+BU113)*(BU$4&gt;In_COD)-($E132+$I62)*BU14</f>
        <v>2303.43299076954</v>
      </c>
      <c r="BV140" s="48" t="n">
        <f aca="false">(BV83+BV59+BV62+BV113)*(BV$4&gt;In_COD)-($E132+$I62)*BV14</f>
        <v>2294.44069416591</v>
      </c>
      <c r="BW140" s="48" t="n">
        <f aca="false">(BW83+BW59+BW62+BW113)*(BW$4&gt;In_COD)-($E132+$I62)*BW14</f>
        <v>2255.69682997581</v>
      </c>
      <c r="BX140" s="48" t="n">
        <f aca="false">(BX83+BX59+BX62+BX113)*(BX$4&gt;In_COD)-($E132+$I62)*BX14</f>
        <v>2279.10495173994</v>
      </c>
      <c r="BY140" s="48" t="n">
        <f aca="false">(BY83+BY59+BY62+BY113)*(BY$4&gt;In_COD)-($E132+$I62)*BY14</f>
        <v>2302.47946555855</v>
      </c>
      <c r="BZ140" s="48" t="n">
        <f aca="false">(BZ83+BZ59+BZ62+BZ113)*(BZ$4&gt;In_COD)-($E132+$I62)*BZ14</f>
        <v>2293.37630460822</v>
      </c>
      <c r="CA140" s="48" t="n">
        <f aca="false">(CA83+CA59+CA62+CA113)*(CA$4&gt;In_COD)-($E132+$I62)*CA14</f>
        <v>2279.00728800865</v>
      </c>
      <c r="CB140" s="48" t="n">
        <f aca="false">(CB83+CB59+CB62+CB113)*(CB$4&gt;In_COD)-($E132+$I62)*CB14</f>
        <v>2277.64861682733</v>
      </c>
      <c r="CC140" s="48" t="n">
        <f aca="false">(CC83+CC59+CC62+CC113)*(CC$4&gt;In_COD)-($E132+$I62)*CC14</f>
        <v>2301.00012332306</v>
      </c>
      <c r="CD140" s="48" t="n">
        <f aca="false">(CD83+CD59+CD62+CD113)*(CD$4&gt;In_COD)-($E132+$I62)*CD14</f>
        <v>2291.78290500628</v>
      </c>
      <c r="CE140" s="48" t="n">
        <f aca="false">(CE83+CE59+CE62+CE113)*(CE$4&gt;In_COD)-($E132+$I62)*CE14</f>
        <v>2252.33066633367</v>
      </c>
      <c r="CF140" s="48" t="n">
        <f aca="false">(CF83+CF59+CF62+CF113)*(CF$4&gt;In_COD)-($E132+$I62)*CF14</f>
        <v>2275.68886895886</v>
      </c>
      <c r="CG140" s="48" t="n">
        <f aca="false">(CG83+CG59+CG62+CG113)*(CG$4&gt;In_COD)-($E132+$I62)*CG14</f>
        <v>2299.01183902977</v>
      </c>
      <c r="CH140" s="48" t="n">
        <f aca="false">(CH83+CH59+CH62+CH113)*(CH$4&gt;In_COD)-($E132+$I62)*CH14</f>
        <v>2289.67767693549</v>
      </c>
      <c r="CI140" s="48" t="n">
        <f aca="false">(CI83+CI59+CI62+CI113)*(CI$4&gt;In_COD)-($E132+$I62)*CI14</f>
        <v>2249.86282259507</v>
      </c>
      <c r="CJ140" s="48" t="n">
        <f aca="false">(CJ83+CJ59+CJ62+CJ113)*(CJ$4&gt;In_COD)-($E132+$I62)*CJ14</f>
        <v>2273.18738323647</v>
      </c>
      <c r="CK140" s="48" t="n">
        <f aca="false">(CK83+CK59+CK62+CK113)*(CK$4&gt;In_COD)-($E132+$I62)*CK14</f>
        <v>2296.47585051693</v>
      </c>
      <c r="CL140" s="48" t="n">
        <f aca="false">(CL83+CL59+CL62+CL113)*(CL$4&gt;In_COD)-($E132+$I62)*CL14</f>
        <v>2287.02151425521</v>
      </c>
      <c r="CM140" s="48" t="n">
        <f aca="false">(CM83+CM59+CM62+CM113)*(CM$4&gt;In_COD)-($E132+$I62)*CM14</f>
        <v>2246.83812571524</v>
      </c>
      <c r="CN140" s="48" t="n">
        <f aca="false">(CN83+CN59+CN62+CN113)*(CN$4&gt;In_COD)-($E132+$I62)*CN14</f>
        <v>2270.12287644219</v>
      </c>
      <c r="CO140" s="48" t="n">
        <f aca="false">(CO83+CO59+CO62+CO113)*(CO$4&gt;In_COD)-($E132+$I62)*CO14</f>
        <v>2293.37063779814</v>
      </c>
      <c r="CP140" s="48" t="n">
        <f aca="false">(CP83+CP59+CP62+CP113)*(CP$4&gt;In_COD)-($E132+$I62)*CP14</f>
        <v>2283.79275846349</v>
      </c>
      <c r="CQ140" s="48" t="n">
        <f aca="false">(CQ83+CQ59+CQ62+CQ113)*(CQ$4&gt;In_COD)-($E132+$I62)*CQ14</f>
        <v>2268.10373363211</v>
      </c>
      <c r="CR140" s="48" t="n">
        <f aca="false">(CR83+CR59+CR62+CR113)*(CR$4&gt;In_COD)-($E132+$I62)*CR14</f>
        <v>2266.45449137334</v>
      </c>
      <c r="CS140" s="48" t="n">
        <f aca="false">(CS83+CS59+CS62+CS113)*(CS$4&gt;In_COD)-($E132+$I62)*CS14</f>
        <v>2289.65487734906</v>
      </c>
      <c r="CT140" s="48" t="n">
        <f aca="false">(CT83+CT59+CT62+CT113)*(CT$4&gt;In_COD)-($E132+$I62)*CT14</f>
        <v>2279.94971794918</v>
      </c>
      <c r="CU140" s="48" t="n">
        <f aca="false">(CU83+CU59+CU62+CU113)*(CU$4&gt;In_COD)-($E132+$I62)*CU14</f>
        <v>2240.73153719111</v>
      </c>
      <c r="CV140" s="48" t="n">
        <f aca="false">(CV83+CV59+CV62+CV113)*(CV$4&gt;In_COD)-($E132+$I62)*CV14</f>
        <v>2265.62855427102</v>
      </c>
      <c r="CW140" s="48" t="n">
        <f aca="false">(CW83+CW59+CW62+CW113)*(CW$4&gt;In_COD)-($E132+$I62)*CW14</f>
        <v>2290.52557135092</v>
      </c>
      <c r="CX140" s="48" t="n">
        <f aca="false">(CX83+CX59+CX62+CX113)*(CX$4&gt;In_COD)-($E132+$I62)*CX14</f>
        <v>2282.47953249614</v>
      </c>
      <c r="CY140" s="48" t="n">
        <f aca="false">(CY83+CY59+CY62+CY113)*(CY$4&gt;In_COD)-($E132+$I62)*CY14</f>
        <v>2242.9577346824</v>
      </c>
      <c r="CZ140" s="48" t="n">
        <f aca="false">(CZ83+CZ59+CZ62+CZ113)*(CZ$4&gt;In_COD)-($E132+$I62)*CZ14</f>
        <v>2267.87948728999</v>
      </c>
      <c r="DA140" s="48" t="n">
        <f aca="false">(DA83+DA59+DA62+DA113)*(DA$4&gt;In_COD)-($E132+$I62)*DA14</f>
        <v>2292.80123989757</v>
      </c>
      <c r="DB140" s="48" t="n">
        <f aca="false">(DB83+DB59+DB62+DB113)*(DB$4&gt;In_COD)-($E132+$I62)*DB14</f>
        <v>2127.75796595667</v>
      </c>
      <c r="DC140" s="48" t="n">
        <f aca="false">(DC83+DC59+DC62+DC113)*(DC$4&gt;In_COD)-($E132+$I62)*DC14</f>
        <v>2091.34156892558</v>
      </c>
      <c r="DD140" s="48" t="n">
        <f aca="false">(DD83+DD59+DD62+DD113)*(DD$4&gt;In_COD)-($E132+$I62)*DD14</f>
        <v>2114.5786974692</v>
      </c>
      <c r="DE140" s="48" t="n">
        <f aca="false">(DE83+DE59+DE62+DE113)*(DE$4&gt;In_COD)-($E132+$I62)*DE14</f>
        <v>2137.81582601281</v>
      </c>
      <c r="DF140" s="48" t="n">
        <f aca="false">(DF83+DF59+DF62+DF113)*(DF$4&gt;In_COD)-($E132+$I62)*DF14</f>
        <v>2129.67377475099</v>
      </c>
      <c r="DG140" s="48" t="n">
        <f aca="false">(DG83+DG59+DG62+DG113)*(DG$4&gt;In_COD)-($E132+$I62)*DG14</f>
        <v>2116.20284972323</v>
      </c>
      <c r="DH140" s="48" t="n">
        <f aca="false">(DH83+DH59+DH62+DH113)*(DH$4&gt;In_COD)-($E132+$I62)*DH14</f>
        <v>2116.20284972323</v>
      </c>
      <c r="DI140" s="48" t="n">
        <f aca="false">(DI83+DI59+DI62+DI113)*(DI$4&gt;In_COD)-($E132+$I62)*DI14</f>
        <v>2139.45782609381</v>
      </c>
      <c r="DJ140" s="48" t="n">
        <f aca="false">(DJ83+DJ59+DJ62+DJ113)*(DJ$4&gt;In_COD)-($E132+$I62)*DJ14</f>
        <v>2131.26763373715</v>
      </c>
      <c r="DK140" s="48" t="n">
        <f aca="false">(DK83+DK59+DK62+DK113)*(DK$4&gt;In_COD)-($E132+$I62)*DK14</f>
        <v>2094.22922134031</v>
      </c>
      <c r="DL140" s="48" t="n">
        <f aca="false">(DL83+DL59+DL62+DL113)*(DL$4&gt;In_COD)-($E132+$I62)*DL14</f>
        <v>2117.49843491076</v>
      </c>
      <c r="DM140" s="48" t="n">
        <f aca="false">(DM83+DM59+DM62+DM113)*(DM$4&gt;In_COD)-($E132+$I62)*DM14</f>
        <v>2140.76764848121</v>
      </c>
      <c r="DN140" s="48" t="n">
        <f aca="false">(DN83+DN59+DN62+DN113)*(DN$4&gt;In_COD)-($E132+$I62)*DN14</f>
        <v>2132.52923118543</v>
      </c>
      <c r="DO140" s="48" t="n">
        <f aca="false">(DO83+DO59+DO62+DO113)*(DO$4&gt;In_COD)-($E132+$I62)*DO14</f>
        <v>2095.17525809415</v>
      </c>
      <c r="DP140" s="48" t="n">
        <f aca="false">(DP83+DP59+DP62+DP113)*(DP$4&gt;In_COD)-($E132+$I62)*DP14</f>
        <v>2118.45498318408</v>
      </c>
      <c r="DQ140" s="48" t="n">
        <f aca="false">(DQ83+DQ59+DQ62+DQ113)*(DQ$4&gt;In_COD)-($E132+$I62)*DQ14</f>
        <v>2141.73470827402</v>
      </c>
      <c r="DR140" s="48" t="n">
        <f aca="false">(DR83+DR59+DR62+DR113)*(DR$4&gt;In_COD)-($E132+$I62)*DR14</f>
        <v>2133.4479869401</v>
      </c>
      <c r="DS140" s="48" t="n">
        <f aca="false">(DS83+DS59+DS62+DS113)*(DS$4&gt;In_COD)-($E132+$I62)*DS14</f>
        <v>2095.77535956</v>
      </c>
      <c r="DT140" s="48" t="n">
        <f aca="false">(DT83+DT59+DT62+DT113)*(DT$4&gt;In_COD)-($E132+$I62)*DT14</f>
        <v>2119.061752444</v>
      </c>
      <c r="DU140" s="48" t="n">
        <f aca="false">(DU83+DU59+DU62+DU113)*(DU$4&gt;In_COD)-($E132+$I62)*DU14</f>
        <v>2142.348145328</v>
      </c>
      <c r="DV140" s="48" t="n">
        <f aca="false">(DV83+DV59+DV62+DV113)*(DV$4&gt;In_COD)-($E132+$I62)*DV14</f>
        <v>2134.01304575269</v>
      </c>
      <c r="DW140" s="48" t="n">
        <f aca="false">(DW83+DW59+DW62+DW113)*(DW$4&gt;In_COD)-($E132+$I62)*DW14</f>
        <v>2119.30772157993</v>
      </c>
      <c r="DX140" s="48" t="n">
        <f aca="false">(DX83+DX59+DX62+DX113)*(DX$4&gt;In_COD)-($E132+$I62)*DX14</f>
        <v>2119.30772157993</v>
      </c>
      <c r="DY140" s="48" t="n">
        <f aca="false">(DY83+DY59+DY62+DY113)*(DY$4&gt;In_COD)-($E132+$I62)*DY14</f>
        <v>2142.59681742147</v>
      </c>
      <c r="DZ140" s="48" t="n">
        <f aca="false">(DZ83+DZ59+DZ62+DZ113)*(DZ$4&gt;In_COD)-($E132+$I62)*DZ14</f>
        <v>2134.2132704514</v>
      </c>
      <c r="EA140" s="48" t="n">
        <f aca="false">(EA83+EA59+EA62+EA113)*(EA$4&gt;In_COD)-($E132+$I62)*EA14</f>
        <v>2095.89387383467</v>
      </c>
      <c r="EB140" s="48" t="n">
        <f aca="false">(EB83+EB59+EB62+EB113)*(EB$4&gt;In_COD)-($E132+$I62)*EB14</f>
        <v>2119.18158354395</v>
      </c>
      <c r="EC140" s="48" t="n">
        <f aca="false">(EC83+EC59+EC62+EC113)*(EC$4&gt;In_COD)-($E132+$I62)*EC14</f>
        <v>2142.46929325322</v>
      </c>
      <c r="ED140" s="48" t="n">
        <f aca="false">(ED83+ED59+ED62+ED113)*(ED$4&gt;In_COD)-($E132+$I62)*ED14</f>
        <v>2134.03723494271</v>
      </c>
      <c r="EE140" s="48" t="n">
        <f aca="false">(EE83+EE59+EE62+EE113)*(EE$4&gt;In_COD)-($E132+$I62)*EE14</f>
        <v>2095.38963124086</v>
      </c>
      <c r="EF140" s="48" t="n">
        <f aca="false">(EF83+EF59+EF62+EF113)*(EF$4&gt;In_COD)-($E132+$I62)*EF14</f>
        <v>2118.67173825464</v>
      </c>
      <c r="EG140" s="48" t="n">
        <f aca="false">(EG83+EG59+EG62+EG113)*(EG$4&gt;In_COD)-($E132+$I62)*EG14</f>
        <v>2141.95384526843</v>
      </c>
      <c r="EH140" s="48" t="n">
        <f aca="false">(EH83+EH59+EH62+EH113)*(EH$4&gt;In_COD)-($E132+$I62)*EH14</f>
        <v>2133.47321704111</v>
      </c>
      <c r="EI140" s="48" t="n">
        <f aca="false">(EI83+EI59+EI62+EI113)*(EI$4&gt;In_COD)-($E132+$I62)*EI14</f>
        <v>2094.49412834513</v>
      </c>
      <c r="EJ140" s="48" t="n">
        <f aca="false">(EJ83+EJ59+EJ62+EJ113)*(EJ$4&gt;In_COD)-($E132+$I62)*EJ14</f>
        <v>2117.76628532674</v>
      </c>
      <c r="EK140" s="48" t="n">
        <f aca="false">(EK83+EK59+EK62+EK113)*(EK$4&gt;In_COD)-($E132+$I62)*EK14</f>
        <v>2141.03844230835</v>
      </c>
      <c r="EL140" s="48" t="n">
        <f aca="false">(EL83+EL59+EL62+EL113)*(EL$4&gt;In_COD)-($E132+$I62)*EL14</f>
        <v>2132.50919112262</v>
      </c>
      <c r="EM140" s="48" t="n">
        <f aca="false">(EM83+EM59+EM62+EM113)*(EM$4&gt;In_COD)-($E132+$I62)*EM14</f>
        <v>2116.45301662203</v>
      </c>
      <c r="EN140" s="48" t="n">
        <f aca="false">(EN83+EN59+EN62+EN113)*(EN$4&gt;In_COD)-($E132+$I62)*EN14</f>
        <v>2116.45301662203</v>
      </c>
      <c r="EO140" s="48" t="n">
        <f aca="false">(EO83+EO59+EO62+EO113)*(EO$4&gt;In_COD)-($E132+$I62)*EO14</f>
        <v>2139.71074207941</v>
      </c>
    </row>
    <row r="141" customFormat="false" ht="15" hidden="false" customHeight="false" outlineLevel="0" collapsed="false">
      <c r="C141" s="25" t="s">
        <v>127</v>
      </c>
      <c r="D141" s="11" t="s">
        <v>27</v>
      </c>
      <c r="E141" s="33" t="n">
        <f aca="false">XIRR(INDEX($J140:$EO140,$E15):$EO140,INDEX($J$4:$EO$4,$E15):$EO$4)</f>
        <v>0.0698570950743652</v>
      </c>
    </row>
    <row r="142" customFormat="false" ht="15" hidden="false" customHeight="false" outlineLevel="0" collapsed="false">
      <c r="C142" s="0" t="s">
        <v>500</v>
      </c>
      <c r="D142" s="11" t="s">
        <v>33</v>
      </c>
      <c r="I142" s="48" t="n">
        <f aca="false">SUM(J142:EO142)</f>
        <v>129577.243471253</v>
      </c>
      <c r="J142" s="48" t="n">
        <f aca="false">J140+J94+J102+$E99*J14</f>
        <v>0</v>
      </c>
      <c r="K142" s="48" t="n">
        <f aca="false">K140+K94+K102+$E99*K14</f>
        <v>0</v>
      </c>
      <c r="L142" s="48" t="n">
        <f aca="false">L140+L94+L102+$E99*L14</f>
        <v>0</v>
      </c>
      <c r="M142" s="48" t="n">
        <f aca="false">M140+M94+M102+$E99*M14</f>
        <v>0</v>
      </c>
      <c r="N142" s="48" t="n">
        <f aca="false">N140+N94+N102+$E99*N14</f>
        <v>0</v>
      </c>
      <c r="O142" s="48" t="n">
        <f aca="false">O140+O94+O102+$E99*O14</f>
        <v>0</v>
      </c>
      <c r="P142" s="48" t="n">
        <f aca="false">P140+P94+P102+$E99*P14</f>
        <v>0</v>
      </c>
      <c r="Q142" s="48" t="n">
        <f aca="false">Q140+Q94+Q102+$E99*Q14</f>
        <v>0</v>
      </c>
      <c r="R142" s="48" t="n">
        <f aca="false">R140+R94+R102+$E99*R14</f>
        <v>0</v>
      </c>
      <c r="S142" s="48" t="n">
        <f aca="false">S140+S94+S102+$E99*S14</f>
        <v>0</v>
      </c>
      <c r="T142" s="48" t="n">
        <f aca="false">T140+T94+T102+$E99*T14</f>
        <v>0</v>
      </c>
      <c r="U142" s="48" t="n">
        <f aca="false">U140+U94+U102+$E99*U14</f>
        <v>0</v>
      </c>
      <c r="V142" s="48" t="n">
        <f aca="false">V140+V94+V102+$E99*V14</f>
        <v>0</v>
      </c>
      <c r="W142" s="48" t="n">
        <f aca="false">W140+W94+W102+$E99*W14</f>
        <v>0</v>
      </c>
      <c r="X142" s="48" t="n">
        <f aca="false">X140+X94+X102+$E99*X14</f>
        <v>0</v>
      </c>
      <c r="Y142" s="48" t="n">
        <f aca="false">Y140+Y94+Y102+$E99*Y14</f>
        <v>-72504.9507115126</v>
      </c>
      <c r="Z142" s="48" t="n">
        <f aca="false">Z140+Z94+Z102+$E99*Z14</f>
        <v>1376.07001528672</v>
      </c>
      <c r="AA142" s="48" t="n">
        <f aca="false">AA140+AA94+AA102+$E99*AA14</f>
        <v>1355.2151766709</v>
      </c>
      <c r="AB142" s="48" t="n">
        <f aca="false">AB140+AB94+AB102+$E99*AB14</f>
        <v>1369.7950975624</v>
      </c>
      <c r="AC142" s="48" t="n">
        <f aca="false">AC140+AC94+AC102+$E99*AC14</f>
        <v>1384.36688628921</v>
      </c>
      <c r="AD142" s="48" t="n">
        <f aca="false">AD140+AD94+AD102+$E99*AD14</f>
        <v>1379.45729448772</v>
      </c>
      <c r="AE142" s="48" t="n">
        <f aca="false">AE140+AE94+AE102+$E99*AE14</f>
        <v>1340.86643511384</v>
      </c>
      <c r="AF142" s="48" t="n">
        <f aca="false">AF140+AF94+AF102+$E99*AF14</f>
        <v>1336.70299989734</v>
      </c>
      <c r="AG142" s="48" t="n">
        <f aca="false">AG140+AG94+AG102+$E99*AG14</f>
        <v>1350.45252757505</v>
      </c>
      <c r="AH142" s="48" t="n">
        <f aca="false">AH140+AH94+AH102+$E99*AH14</f>
        <v>1345.67203978884</v>
      </c>
      <c r="AI142" s="48" t="n">
        <f aca="false">AI140+AI94+AI102+$E99*AI14</f>
        <v>1324.84355566386</v>
      </c>
      <c r="AJ142" s="48" t="n">
        <f aca="false">AJ140+AJ94+AJ102+$E99*AJ14</f>
        <v>1355.46257444714</v>
      </c>
      <c r="AK142" s="48" t="n">
        <f aca="false">AK140+AK94+AK102+$E99*AK14</f>
        <v>1369.40140394292</v>
      </c>
      <c r="AL142" s="48" t="n">
        <f aca="false">AL140+AL94+AL102+$E99*AL14</f>
        <v>1364.55655465259</v>
      </c>
      <c r="AM142" s="48" t="n">
        <f aca="false">AM140+AM94+AM102+$E99*AM14</f>
        <v>1343.16417164848</v>
      </c>
      <c r="AN142" s="48" t="n">
        <f aca="false">AN140+AN94+AN102+$E99*AN14</f>
        <v>1357.13373055068</v>
      </c>
      <c r="AO142" s="48" t="n">
        <f aca="false">AO140+AO94+AO102+$E99*AO14</f>
        <v>1371.08675209479</v>
      </c>
      <c r="AP142" s="48" t="n">
        <f aca="false">AP140+AP94+AP102+$E99*AP14</f>
        <v>1366.18876843143</v>
      </c>
      <c r="AQ142" s="48" t="n">
        <f aca="false">AQ140+AQ94+AQ102+$E99*AQ14</f>
        <v>1344.61256367194</v>
      </c>
      <c r="AR142" s="48" t="n">
        <f aca="false">AR140+AR94+AR102+$E99*AR14</f>
        <v>1358.5943399938</v>
      </c>
      <c r="AS142" s="48" t="n">
        <f aca="false">AS140+AS94+AS102+$E99*AS14</f>
        <v>1372.55924303533</v>
      </c>
      <c r="AT142" s="48" t="n">
        <f aca="false">AT140+AT94+AT102+$E99*AT14</f>
        <v>1367.60689487748</v>
      </c>
      <c r="AU142" s="48" t="n">
        <f aca="false">AU140+AU94+AU102+$E99*AU14</f>
        <v>1360.36873687942</v>
      </c>
      <c r="AV142" s="48" t="n">
        <f aca="false">AV140+AV94+AV102+$E99*AV14</f>
        <v>1359.82492580764</v>
      </c>
      <c r="AW142" s="48" t="n">
        <f aca="false">AW140+AW94+AW102+$E99*AW14</f>
        <v>1373.79917695533</v>
      </c>
      <c r="AX142" s="48" t="n">
        <f aca="false">AX140+AX94+AX102+$E99*AX14</f>
        <v>1368.79105385196</v>
      </c>
      <c r="AY142" s="48" t="n">
        <f aca="false">AY140+AY94+AY102+$E99*AY14</f>
        <v>1346.83926027309</v>
      </c>
      <c r="AZ142" s="48" t="n">
        <f aca="false">AZ140+AZ94+AZ102+$E99*AZ14</f>
        <v>1360.83806560165</v>
      </c>
      <c r="BA142" s="48" t="n">
        <f aca="false">BA140+BA94+BA102+$E99*BA14</f>
        <v>1374.81928526793</v>
      </c>
      <c r="BB142" s="48" t="n">
        <f aca="false">BB140+BB94+BB102+$E99*BB14</f>
        <v>1369.75417872679</v>
      </c>
      <c r="BC142" s="48" t="n">
        <f aca="false">BC140+BC94+BC102+$E99*BC14</f>
        <v>1347.61059895201</v>
      </c>
      <c r="BD142" s="48" t="n">
        <f aca="false">BD140+BD94+BD102+$E99*BD14</f>
        <v>1361.61414524936</v>
      </c>
      <c r="BE142" s="48" t="n">
        <f aca="false">BE140+BE94+BE102+$E99*BE14</f>
        <v>1375.59972971505</v>
      </c>
      <c r="BF142" s="48" t="n">
        <f aca="false">BF140+BF94+BF102+$E99*BF14</f>
        <v>1370.47625207947</v>
      </c>
      <c r="BG142" s="48" t="n">
        <f aca="false">BG140+BG94+BG102+$E99*BG14</f>
        <v>1348.13808373846</v>
      </c>
      <c r="BH142" s="48" t="n">
        <f aca="false">BH140+BH94+BH102+$E99*BH14</f>
        <v>1362.14367689743</v>
      </c>
      <c r="BI142" s="48" t="n">
        <f aca="false">BI140+BI94+BI102+$E99*BI14</f>
        <v>1376.13091741222</v>
      </c>
      <c r="BJ142" s="48" t="n">
        <f aca="false">BJ140+BJ94+BJ102+$E99*BJ14</f>
        <v>1370.94762364272</v>
      </c>
      <c r="BK142" s="48" t="n">
        <f aca="false">BK140+BK94+BK102+$E99*BK14</f>
        <v>1363.071812704</v>
      </c>
      <c r="BL142" s="48" t="n">
        <f aca="false">BL140+BL94+BL102+$E99*BL14</f>
        <v>1362.40575657569</v>
      </c>
      <c r="BM142" s="48" t="n">
        <f aca="false">BM140+BM94+BM102+$E99*BM14</f>
        <v>1376.39170544405</v>
      </c>
      <c r="BN142" s="48" t="n">
        <f aca="false">BN140+BN94+BN102+$E99*BN14</f>
        <v>1371.14695894557</v>
      </c>
      <c r="BO142" s="48" t="n">
        <f aca="false">BO140+BO94+BO102+$E99*BO14</f>
        <v>1348.41075180602</v>
      </c>
      <c r="BP142" s="48" t="n">
        <f aca="false">BP140+BP94+BP102+$E99*BP14</f>
        <v>1362.41178448756</v>
      </c>
      <c r="BQ142" s="48" t="n">
        <f aca="false">BQ140+BQ94+BQ102+$E99*BQ14</f>
        <v>1376.3936346606</v>
      </c>
      <c r="BR142" s="48" t="n">
        <f aca="false">BR140+BR94+BR102+$E99*BR14</f>
        <v>1371.08599267981</v>
      </c>
      <c r="BS142" s="48" t="n">
        <f aca="false">BS140+BS94+BS102+$E99*BS14</f>
        <v>1348.14629324951</v>
      </c>
      <c r="BT142" s="48" t="n">
        <f aca="false">BT140+BT94+BT102+$E99*BT14</f>
        <v>1362.14061778112</v>
      </c>
      <c r="BU142" s="48" t="n">
        <f aca="false">BU140+BU94+BU102+$E99*BU14</f>
        <v>1376.11532081178</v>
      </c>
      <c r="BV142" s="48" t="n">
        <f aca="false">BV140+BV94+BV102+$E99*BV14</f>
        <v>1370.74314928558</v>
      </c>
      <c r="BW142" s="48" t="n">
        <f aca="false">BW140+BW94+BW102+$E99*BW14</f>
        <v>1347.59681713131</v>
      </c>
      <c r="BX142" s="48" t="n">
        <f aca="false">BX140+BX94+BX102+$E99*BX14</f>
        <v>1361.58128080797</v>
      </c>
      <c r="BY142" s="48" t="n">
        <f aca="false">BY140+BY94+BY102+$E99*BY14</f>
        <v>1375.54566644942</v>
      </c>
      <c r="BZ142" s="48" t="n">
        <f aca="false">BZ140+BZ94+BZ102+$E99*BZ14</f>
        <v>1370.10726242301</v>
      </c>
      <c r="CA142" s="48" t="n">
        <f aca="false">CA140+CA94+CA102+$E99*CA14</f>
        <v>1361.52293461018</v>
      </c>
      <c r="CB142" s="48" t="n">
        <f aca="false">CB140+CB94+CB102+$E99*CB14</f>
        <v>1360.71123822655</v>
      </c>
      <c r="CC142" s="48" t="n">
        <f aca="false">CC140+CC94+CC102+$E99*CC14</f>
        <v>1374.6618788493</v>
      </c>
      <c r="CD142" s="48" t="n">
        <f aca="false">CD140+CD94+CD102+$E99*CD14</f>
        <v>1369.15533475108</v>
      </c>
      <c r="CE142" s="48" t="n">
        <f aca="false">CE140+CE94+CE102+$E99*CE14</f>
        <v>1345.58580601061</v>
      </c>
      <c r="CF142" s="48" t="n">
        <f aca="false">CF140+CF94+CF102+$E99*CF14</f>
        <v>1359.54044703033</v>
      </c>
      <c r="CG142" s="48" t="n">
        <f aca="false">CG140+CG94+CG102+$E99*CG14</f>
        <v>1373.4740394422</v>
      </c>
      <c r="CH142" s="48" t="n">
        <f aca="false">CH140+CH94+CH102+$E99*CH14</f>
        <v>1367.89763087449</v>
      </c>
      <c r="CI142" s="48" t="n">
        <f aca="false">CI140+CI94+CI102+$E99*CI14</f>
        <v>1344.11146853623</v>
      </c>
      <c r="CJ142" s="48" t="n">
        <f aca="false">CJ140+CJ94+CJ102+$E99*CJ14</f>
        <v>1358.04601118561</v>
      </c>
      <c r="CK142" s="48" t="n">
        <f aca="false">CK140+CK94+CK102+$E99*CK14</f>
        <v>1371.95899096463</v>
      </c>
      <c r="CL142" s="48" t="n">
        <f aca="false">CL140+CL94+CL102+$E99*CL14</f>
        <v>1366.31078803015</v>
      </c>
      <c r="CM142" s="48" t="n">
        <f aca="false">CM140+CM94+CM102+$E99*CM14</f>
        <v>1342.30445624903</v>
      </c>
      <c r="CN142" s="48" t="n">
        <f aca="false">CN140+CN94+CN102+$E99*CN14</f>
        <v>1356.21521568726</v>
      </c>
      <c r="CO142" s="48" t="n">
        <f aca="false">CO140+CO94+CO102+$E99*CO14</f>
        <v>1370.10387696142</v>
      </c>
      <c r="CP142" s="48" t="n">
        <f aca="false">CP140+CP94+CP102+$E99*CP14</f>
        <v>1364.38186701101</v>
      </c>
      <c r="CQ142" s="48" t="n">
        <f aca="false">CQ140+CQ94+CQ102+$E99*CQ14</f>
        <v>1355.0089408067</v>
      </c>
      <c r="CR142" s="48" t="n">
        <f aca="false">CR140+CR94+CR102+$E99*CR14</f>
        <v>1354.0236516539</v>
      </c>
      <c r="CS142" s="48" t="n">
        <f aca="false">CS140+CS94+CS102+$E99*CS14</f>
        <v>2295.17115005491</v>
      </c>
      <c r="CT142" s="48" t="n">
        <f aca="false">CT140+CT94+CT102+$E99*CT14</f>
        <v>2279.94971794918</v>
      </c>
      <c r="CU142" s="48" t="n">
        <f aca="false">CU140+CU94+CU102+$E99*CU14</f>
        <v>2240.73153719111</v>
      </c>
      <c r="CV142" s="48" t="n">
        <f aca="false">CV140+CV94+CV102+$E99*CV14</f>
        <v>2265.62855427102</v>
      </c>
      <c r="CW142" s="48" t="n">
        <f aca="false">CW140+CW94+CW102+$E99*CW14</f>
        <v>2290.52557135092</v>
      </c>
      <c r="CX142" s="48" t="n">
        <f aca="false">CX140+CX94+CX102+$E99*CX14</f>
        <v>2282.47953249614</v>
      </c>
      <c r="CY142" s="48" t="n">
        <f aca="false">CY140+CY94+CY102+$E99*CY14</f>
        <v>2242.9577346824</v>
      </c>
      <c r="CZ142" s="48" t="n">
        <f aca="false">CZ140+CZ94+CZ102+$E99*CZ14</f>
        <v>2267.87948728999</v>
      </c>
      <c r="DA142" s="48" t="n">
        <f aca="false">DA140+DA94+DA102+$E99*DA14</f>
        <v>2292.80123989757</v>
      </c>
      <c r="DB142" s="48" t="n">
        <f aca="false">DB140+DB94+DB102+$E99*DB14</f>
        <v>2127.75796595667</v>
      </c>
      <c r="DC142" s="48" t="n">
        <f aca="false">DC140+DC94+DC102+$E99*DC14</f>
        <v>2091.34156892558</v>
      </c>
      <c r="DD142" s="48" t="n">
        <f aca="false">DD140+DD94+DD102+$E99*DD14</f>
        <v>2114.5786974692</v>
      </c>
      <c r="DE142" s="48" t="n">
        <f aca="false">DE140+DE94+DE102+$E99*DE14</f>
        <v>2137.81582601281</v>
      </c>
      <c r="DF142" s="48" t="n">
        <f aca="false">DF140+DF94+DF102+$E99*DF14</f>
        <v>2129.67377475099</v>
      </c>
      <c r="DG142" s="48" t="n">
        <f aca="false">DG140+DG94+DG102+$E99*DG14</f>
        <v>2116.20284972323</v>
      </c>
      <c r="DH142" s="48" t="n">
        <f aca="false">DH140+DH94+DH102+$E99*DH14</f>
        <v>2116.20284972323</v>
      </c>
      <c r="DI142" s="48" t="n">
        <f aca="false">DI140+DI94+DI102+$E99*DI14</f>
        <v>2139.45782609381</v>
      </c>
      <c r="DJ142" s="48" t="n">
        <f aca="false">DJ140+DJ94+DJ102+$E99*DJ14</f>
        <v>2131.26763373715</v>
      </c>
      <c r="DK142" s="48" t="n">
        <f aca="false">DK140+DK94+DK102+$E99*DK14</f>
        <v>2094.22922134031</v>
      </c>
      <c r="DL142" s="48" t="n">
        <f aca="false">DL140+DL94+DL102+$E99*DL14</f>
        <v>2117.49843491076</v>
      </c>
      <c r="DM142" s="48" t="n">
        <f aca="false">DM140+DM94+DM102+$E99*DM14</f>
        <v>2140.76764848121</v>
      </c>
      <c r="DN142" s="48" t="n">
        <f aca="false">DN140+DN94+DN102+$E99*DN14</f>
        <v>2132.52923118543</v>
      </c>
      <c r="DO142" s="48" t="n">
        <f aca="false">DO140+DO94+DO102+$E99*DO14</f>
        <v>2095.17525809415</v>
      </c>
      <c r="DP142" s="48" t="n">
        <f aca="false">DP140+DP94+DP102+$E99*DP14</f>
        <v>2118.45498318408</v>
      </c>
      <c r="DQ142" s="48" t="n">
        <f aca="false">DQ140+DQ94+DQ102+$E99*DQ14</f>
        <v>2141.73470827402</v>
      </c>
      <c r="DR142" s="48" t="n">
        <f aca="false">DR140+DR94+DR102+$E99*DR14</f>
        <v>2133.4479869401</v>
      </c>
      <c r="DS142" s="48" t="n">
        <f aca="false">DS140+DS94+DS102+$E99*DS14</f>
        <v>2095.77535956</v>
      </c>
      <c r="DT142" s="48" t="n">
        <f aca="false">DT140+DT94+DT102+$E99*DT14</f>
        <v>2119.061752444</v>
      </c>
      <c r="DU142" s="48" t="n">
        <f aca="false">DU140+DU94+DU102+$E99*DU14</f>
        <v>2142.348145328</v>
      </c>
      <c r="DV142" s="48" t="n">
        <f aca="false">DV140+DV94+DV102+$E99*DV14</f>
        <v>2134.01304575269</v>
      </c>
      <c r="DW142" s="48" t="n">
        <f aca="false">DW140+DW94+DW102+$E99*DW14</f>
        <v>2119.30772157993</v>
      </c>
      <c r="DX142" s="48" t="n">
        <f aca="false">DX140+DX94+DX102+$E99*DX14</f>
        <v>2119.30772157993</v>
      </c>
      <c r="DY142" s="48" t="n">
        <f aca="false">DY140+DY94+DY102+$E99*DY14</f>
        <v>2142.59681742147</v>
      </c>
      <c r="DZ142" s="48" t="n">
        <f aca="false">DZ140+DZ94+DZ102+$E99*DZ14</f>
        <v>2134.2132704514</v>
      </c>
      <c r="EA142" s="48" t="n">
        <f aca="false">EA140+EA94+EA102+$E99*EA14</f>
        <v>2095.89387383467</v>
      </c>
      <c r="EB142" s="48" t="n">
        <f aca="false">EB140+EB94+EB102+$E99*EB14</f>
        <v>2119.18158354395</v>
      </c>
      <c r="EC142" s="48" t="n">
        <f aca="false">EC140+EC94+EC102+$E99*EC14</f>
        <v>2142.46929325322</v>
      </c>
      <c r="ED142" s="48" t="n">
        <f aca="false">ED140+ED94+ED102+$E99*ED14</f>
        <v>2134.03723494271</v>
      </c>
      <c r="EE142" s="48" t="n">
        <f aca="false">EE140+EE94+EE102+$E99*EE14</f>
        <v>2095.38963124086</v>
      </c>
      <c r="EF142" s="48" t="n">
        <f aca="false">EF140+EF94+EF102+$E99*EF14</f>
        <v>2118.67173825464</v>
      </c>
      <c r="EG142" s="48" t="n">
        <f aca="false">EG140+EG94+EG102+$E99*EG14</f>
        <v>2141.95384526843</v>
      </c>
      <c r="EH142" s="48" t="n">
        <f aca="false">EH140+EH94+EH102+$E99*EH14</f>
        <v>2133.47321704111</v>
      </c>
      <c r="EI142" s="48" t="n">
        <f aca="false">EI140+EI94+EI102+$E99*EI14</f>
        <v>2094.49412834513</v>
      </c>
      <c r="EJ142" s="48" t="n">
        <f aca="false">EJ140+EJ94+EJ102+$E99*EJ14</f>
        <v>2117.76628532674</v>
      </c>
      <c r="EK142" s="48" t="n">
        <f aca="false">EK140+EK94+EK102+$E99*EK14</f>
        <v>2141.03844230835</v>
      </c>
      <c r="EL142" s="48" t="n">
        <f aca="false">EL140+EL94+EL102+$E99*EL14</f>
        <v>2132.50919112262</v>
      </c>
      <c r="EM142" s="48" t="n">
        <f aca="false">EM140+EM94+EM102+$E99*EM14</f>
        <v>2116.45301662203</v>
      </c>
      <c r="EN142" s="48" t="n">
        <f aca="false">EN140+EN94+EN102+$E99*EN14</f>
        <v>2116.45301662203</v>
      </c>
      <c r="EO142" s="48" t="n">
        <f aca="false">EO140+EO94+EO102+$E99*EO14</f>
        <v>2139.71074207941</v>
      </c>
    </row>
    <row r="143" customFormat="false" ht="15" hidden="false" customHeight="false" outlineLevel="0" collapsed="false">
      <c r="C143" s="25" t="s">
        <v>501</v>
      </c>
      <c r="D143" s="11" t="s">
        <v>27</v>
      </c>
      <c r="E143" s="33" t="n">
        <f aca="false">XIRR(INDEX($J142:$EO142,$E15):$EO142,INDEX($J$4:$EO$4,$E15):$EO$4)</f>
        <v>0.075903032181457</v>
      </c>
    </row>
    <row r="145" customFormat="false" ht="15" hidden="false" customHeight="false" outlineLevel="0" collapsed="false">
      <c r="A145" s="9" t="s">
        <v>13</v>
      </c>
      <c r="B145" s="9"/>
      <c r="C145" s="9" t="s">
        <v>502</v>
      </c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</row>
    <row r="146" customFormat="false" ht="15" hidden="false" customHeight="false" outlineLevel="0" collapsed="false">
      <c r="C146" s="0" t="s">
        <v>503</v>
      </c>
      <c r="D146" s="11" t="s">
        <v>33</v>
      </c>
      <c r="I146" s="48" t="n">
        <f aca="false">SUM(J146:EO146)</f>
        <v>185263.254064646</v>
      </c>
      <c r="J146" s="48" t="n">
        <f aca="false">J63+J70+J83+J62+J113</f>
        <v>-4662.80993807469</v>
      </c>
      <c r="K146" s="48" t="n">
        <f aca="false">K63+K70+K83+K62+K113</f>
        <v>-706.535577057768</v>
      </c>
      <c r="L146" s="48" t="n">
        <f aca="false">L63+L70+L83+L62+L113</f>
        <v>-104.360496659404</v>
      </c>
      <c r="M146" s="48" t="n">
        <f aca="false">M63+M70+M83+M62+M113</f>
        <v>-105.507315304013</v>
      </c>
      <c r="N146" s="48" t="n">
        <f aca="false">N63+N70+N83+N62+N113</f>
        <v>-105.507315304013</v>
      </c>
      <c r="O146" s="48" t="n">
        <f aca="false">O63+O70+O83+O62+O113</f>
        <v>-104.360496659404</v>
      </c>
      <c r="P146" s="48" t="n">
        <f aca="false">P63+P70+P83+P62+P113</f>
        <v>-104.360496659404</v>
      </c>
      <c r="Q146" s="48" t="n">
        <f aca="false">Q63+Q70+Q83+Q62+Q113</f>
        <v>-105.507315304013</v>
      </c>
      <c r="R146" s="48" t="n">
        <f aca="false">R63+R70+R83+R62+R113</f>
        <v>-8231.1046832519</v>
      </c>
      <c r="S146" s="48" t="n">
        <f aca="false">S63+S70+S83+S62+S113</f>
        <v>-16208.0072938226</v>
      </c>
      <c r="T146" s="48" t="n">
        <f aca="false">T63+T70+T83+T62+T113</f>
        <v>-8142.66396695028</v>
      </c>
      <c r="U146" s="48" t="n">
        <f aca="false">U63+U70+U83+U62+U113</f>
        <v>-8232.14379076292</v>
      </c>
      <c r="V146" s="48" t="n">
        <f aca="false">V63+V70+V83+V62+V113</f>
        <v>-8232.14379076292</v>
      </c>
      <c r="W146" s="48" t="n">
        <f aca="false">W63+W70+W83+W62+W113</f>
        <v>-8054.22607431038</v>
      </c>
      <c r="X146" s="48" t="n">
        <f aca="false">X63+X70+X83+X62+X113</f>
        <v>-8143.71747513605</v>
      </c>
      <c r="Y146" s="48" t="n">
        <f aca="false">Y63+Y70+Y83+Y62+Y113</f>
        <v>-10733.2088759617</v>
      </c>
      <c r="Z146" s="48" t="n">
        <f aca="false">Z63+Z70+Z83+Z62+Z113</f>
        <v>2303.35715537998</v>
      </c>
      <c r="AA146" s="48" t="n">
        <f aca="false">AA63+AA70+AA83+AA62+AA113</f>
        <v>2268.44894488457</v>
      </c>
      <c r="AB146" s="48" t="n">
        <f aca="false">AB63+AB70+AB83+AB62+AB113</f>
        <v>2292.85378238356</v>
      </c>
      <c r="AC146" s="48" t="n">
        <f aca="false">AC63+AC70+AC83+AC62+AC113</f>
        <v>2317.24500772654</v>
      </c>
      <c r="AD146" s="48" t="n">
        <f aca="false">AD63+AD70+AD83+AD62+AD113</f>
        <v>2309.02700771176</v>
      </c>
      <c r="AE146" s="48" t="n">
        <f aca="false">AE63+AE70+AE83+AE62+AE113</f>
        <v>2244.43107067096</v>
      </c>
      <c r="AF146" s="48" t="n">
        <f aca="false">AF63+AF70+AF83+AF62+AF113</f>
        <v>2237.46203698061</v>
      </c>
      <c r="AG146" s="48" t="n">
        <f aca="false">AG63+AG70+AG83+AG62+AG113</f>
        <v>2260.47690730532</v>
      </c>
      <c r="AH146" s="48" t="n">
        <f aca="false">AH63+AH70+AH83+AH62+AH113</f>
        <v>2252.47501014438</v>
      </c>
      <c r="AI146" s="48" t="n">
        <f aca="false">AI63+AI70+AI83+AI62+AI113</f>
        <v>2217.61091354171</v>
      </c>
      <c r="AJ146" s="48" t="n">
        <f aca="false">AJ63+AJ70+AJ83+AJ62+AJ113</f>
        <v>2268.86305567236</v>
      </c>
      <c r="AK146" s="48" t="n">
        <f aca="false">AK63+AK70+AK83+AK62+AK113</f>
        <v>2292.19479192129</v>
      </c>
      <c r="AL146" s="48" t="n">
        <f aca="false">AL63+AL70+AL83+AL62+AL113</f>
        <v>2284.08516221084</v>
      </c>
      <c r="AM146" s="48" t="n">
        <f aca="false">AM63+AM70+AM83+AM62+AM113</f>
        <v>2248.27717430633</v>
      </c>
      <c r="AN146" s="48" t="n">
        <f aca="false">AN63+AN70+AN83+AN62+AN113</f>
        <v>2271.66034747153</v>
      </c>
      <c r="AO146" s="48" t="n">
        <f aca="false">AO63+AO70+AO83+AO62+AO113</f>
        <v>2295.01583931119</v>
      </c>
      <c r="AP146" s="48" t="n">
        <f aca="false">AP63+AP70+AP83+AP62+AP113</f>
        <v>2286.81726976705</v>
      </c>
      <c r="AQ146" s="48" t="n">
        <f aca="false">AQ63+AQ70+AQ83+AQ62+AQ113</f>
        <v>2250.7015888303</v>
      </c>
      <c r="AR146" s="48" t="n">
        <f aca="false">AR63+AR70+AR83+AR62+AR113</f>
        <v>2274.10521232194</v>
      </c>
      <c r="AS146" s="48" t="n">
        <f aca="false">AS63+AS70+AS83+AS62+AS113</f>
        <v>2297.48059219911</v>
      </c>
      <c r="AT146" s="48" t="n">
        <f aca="false">AT63+AT70+AT83+AT62+AT113</f>
        <v>2289.19102376248</v>
      </c>
      <c r="AU146" s="48" t="n">
        <f aca="false">AU63+AU70+AU83+AU62+AU113</f>
        <v>2277.07531538182</v>
      </c>
      <c r="AV146" s="48" t="n">
        <f aca="false">AV63+AV70+AV83+AV62+AV113</f>
        <v>2276.16504838274</v>
      </c>
      <c r="AW146" s="48" t="n">
        <f aca="false">AW63+AW70+AW83+AW62+AW113</f>
        <v>2299.55607573931</v>
      </c>
      <c r="AX146" s="48" t="n">
        <f aca="false">AX63+AX70+AX83+AX62+AX113</f>
        <v>2291.17314750381</v>
      </c>
      <c r="AY146" s="48" t="n">
        <f aca="false">AY63+AY70+AY83+AY62+AY113</f>
        <v>2254.42878111867</v>
      </c>
      <c r="AZ146" s="48" t="n">
        <f aca="false">AZ63+AZ70+AZ83+AZ62+AZ113</f>
        <v>2277.86090888988</v>
      </c>
      <c r="BA146" s="48" t="n">
        <f aca="false">BA63+BA70+BA83+BA62+BA113</f>
        <v>2301.26360061454</v>
      </c>
      <c r="BB146" s="48" t="n">
        <f aca="false">BB63+BB70+BB83+BB62+BB113</f>
        <v>2292.7852897258</v>
      </c>
      <c r="BC146" s="48" t="n">
        <f aca="false">BC63+BC70+BC83+BC62+BC113</f>
        <v>2255.71989890022</v>
      </c>
      <c r="BD146" s="48" t="n">
        <f aca="false">BD63+BD70+BD83+BD62+BD113</f>
        <v>2279.15996241908</v>
      </c>
      <c r="BE146" s="48" t="n">
        <f aca="false">BE63+BE70+BE83+BE62+BE113</f>
        <v>2302.56996023413</v>
      </c>
      <c r="BF146" s="48" t="n">
        <f aca="false">BF63+BF70+BF83+BF62+BF113</f>
        <v>2293.99394394046</v>
      </c>
      <c r="BG146" s="48" t="n">
        <f aca="false">BG63+BG70+BG83+BG62+BG113</f>
        <v>2256.60283788138</v>
      </c>
      <c r="BH146" s="48" t="n">
        <f aca="false">BH63+BH70+BH83+BH62+BH113</f>
        <v>2280.0463275728</v>
      </c>
      <c r="BI146" s="48" t="n">
        <f aca="false">BI63+BI70+BI83+BI62+BI113</f>
        <v>2303.45909739256</v>
      </c>
      <c r="BJ146" s="48" t="n">
        <f aca="false">BJ63+BJ70+BJ83+BJ62+BJ113</f>
        <v>2294.78295689115</v>
      </c>
      <c r="BK146" s="48" t="n">
        <f aca="false">BK63+BK70+BK83+BK62+BK113</f>
        <v>2281.59990277431</v>
      </c>
      <c r="BL146" s="48" t="n">
        <f aca="false">BL63+BL70+BL83+BL62+BL113</f>
        <v>2280.48501390094</v>
      </c>
      <c r="BM146" s="48" t="n">
        <f aca="false">BM63+BM70+BM83+BM62+BM113</f>
        <v>2303.89562167732</v>
      </c>
      <c r="BN146" s="48" t="n">
        <f aca="false">BN63+BN70+BN83+BN62+BN113</f>
        <v>2295.11661752694</v>
      </c>
      <c r="BO146" s="48" t="n">
        <f aca="false">BO63+BO70+BO83+BO62+BO113</f>
        <v>2257.05924775701</v>
      </c>
      <c r="BP146" s="48" t="n">
        <f aca="false">BP63+BP70+BP83+BP62+BP113</f>
        <v>2280.49510381919</v>
      </c>
      <c r="BQ146" s="48" t="n">
        <f aca="false">BQ63+BQ70+BQ83+BQ62+BQ113</f>
        <v>2303.89885092781</v>
      </c>
      <c r="BR146" s="48" t="n">
        <f aca="false">BR63+BR70+BR83+BR62+BR113</f>
        <v>2295.01456815235</v>
      </c>
      <c r="BS146" s="48" t="n">
        <f aca="false">BS63+BS70+BS83+BS62+BS113</f>
        <v>2256.61657950492</v>
      </c>
      <c r="BT146" s="48" t="n">
        <f aca="false">BT63+BT70+BT83+BT62+BT113</f>
        <v>2280.04120702133</v>
      </c>
      <c r="BU146" s="48" t="n">
        <f aca="false">BU63+BU70+BU83+BU62+BU113</f>
        <v>2303.43299076954</v>
      </c>
      <c r="BV146" s="48" t="n">
        <f aca="false">BV63+BV70+BV83+BV62+BV113</f>
        <v>2294.44069416591</v>
      </c>
      <c r="BW146" s="48" t="n">
        <f aca="false">BW63+BW70+BW83+BW62+BW113</f>
        <v>2255.69682997581</v>
      </c>
      <c r="BX146" s="48" t="n">
        <f aca="false">BX63+BX70+BX83+BX62+BX113</f>
        <v>2279.10495173994</v>
      </c>
      <c r="BY146" s="48" t="n">
        <f aca="false">BY63+BY70+BY83+BY62+BY113</f>
        <v>2302.47946555855</v>
      </c>
      <c r="BZ146" s="48" t="n">
        <f aca="false">BZ63+BZ70+BZ83+BZ62+BZ113</f>
        <v>2293.37630460822</v>
      </c>
      <c r="CA146" s="48" t="n">
        <f aca="false">CA63+CA70+CA83+CA62+CA113</f>
        <v>2279.00728800865</v>
      </c>
      <c r="CB146" s="48" t="n">
        <f aca="false">CB63+CB70+CB83+CB62+CB113</f>
        <v>2277.64861682733</v>
      </c>
      <c r="CC146" s="48" t="n">
        <f aca="false">CC63+CC70+CC83+CC62+CC113</f>
        <v>2301.00012332306</v>
      </c>
      <c r="CD146" s="48" t="n">
        <f aca="false">CD63+CD70+CD83+CD62+CD113</f>
        <v>2291.78290500628</v>
      </c>
      <c r="CE146" s="48" t="n">
        <f aca="false">CE63+CE70+CE83+CE62+CE113</f>
        <v>2252.33066633367</v>
      </c>
      <c r="CF146" s="48" t="n">
        <f aca="false">CF63+CF70+CF83+CF62+CF113</f>
        <v>2275.68886895886</v>
      </c>
      <c r="CG146" s="48" t="n">
        <f aca="false">CG63+CG70+CG83+CG62+CG113</f>
        <v>2299.01183902977</v>
      </c>
      <c r="CH146" s="48" t="n">
        <f aca="false">CH63+CH70+CH83+CH62+CH113</f>
        <v>2289.67767693549</v>
      </c>
      <c r="CI146" s="48" t="n">
        <f aca="false">CI63+CI70+CI83+CI62+CI113</f>
        <v>2249.86282259507</v>
      </c>
      <c r="CJ146" s="48" t="n">
        <f aca="false">CJ63+CJ70+CJ83+CJ62+CJ113</f>
        <v>2273.18738323647</v>
      </c>
      <c r="CK146" s="48" t="n">
        <f aca="false">CK63+CK70+CK83+CK62+CK113</f>
        <v>2296.47585051693</v>
      </c>
      <c r="CL146" s="48" t="n">
        <f aca="false">CL63+CL70+CL83+CL62+CL113</f>
        <v>2287.02151425521</v>
      </c>
      <c r="CM146" s="48" t="n">
        <f aca="false">CM63+CM70+CM83+CM62+CM113</f>
        <v>2246.83812571524</v>
      </c>
      <c r="CN146" s="48" t="n">
        <f aca="false">CN63+CN70+CN83+CN62+CN113</f>
        <v>2270.12287644219</v>
      </c>
      <c r="CO146" s="48" t="n">
        <f aca="false">CO63+CO70+CO83+CO62+CO113</f>
        <v>2293.37063779814</v>
      </c>
      <c r="CP146" s="48" t="n">
        <f aca="false">CP63+CP70+CP83+CP62+CP113</f>
        <v>2283.79275846349</v>
      </c>
      <c r="CQ146" s="48" t="n">
        <f aca="false">CQ63+CQ70+CQ83+CQ62+CQ113</f>
        <v>2268.10373363211</v>
      </c>
      <c r="CR146" s="48" t="n">
        <f aca="false">CR63+CR70+CR83+CR62+CR113</f>
        <v>2266.45449137334</v>
      </c>
      <c r="CS146" s="48" t="n">
        <f aca="false">CS63+CS70+CS83+CS62+CS113</f>
        <v>2289.65487734906</v>
      </c>
      <c r="CT146" s="48" t="n">
        <f aca="false">CT63+CT70+CT83+CT62+CT113</f>
        <v>2279.94971794918</v>
      </c>
      <c r="CU146" s="48" t="n">
        <f aca="false">CU63+CU70+CU83+CU62+CU113</f>
        <v>2240.73153719111</v>
      </c>
      <c r="CV146" s="48" t="n">
        <f aca="false">CV63+CV70+CV83+CV62+CV113</f>
        <v>2265.62855427102</v>
      </c>
      <c r="CW146" s="48" t="n">
        <f aca="false">CW63+CW70+CW83+CW62+CW113</f>
        <v>2290.52557135092</v>
      </c>
      <c r="CX146" s="48" t="n">
        <f aca="false">CX63+CX70+CX83+CX62+CX113</f>
        <v>2282.47953249614</v>
      </c>
      <c r="CY146" s="48" t="n">
        <f aca="false">CY63+CY70+CY83+CY62+CY113</f>
        <v>2242.9577346824</v>
      </c>
      <c r="CZ146" s="48" t="n">
        <f aca="false">CZ63+CZ70+CZ83+CZ62+CZ113</f>
        <v>2267.87948728999</v>
      </c>
      <c r="DA146" s="48" t="n">
        <f aca="false">DA63+DA70+DA83+DA62+DA113</f>
        <v>2292.80123989757</v>
      </c>
      <c r="DB146" s="48" t="n">
        <f aca="false">DB63+DB70+DB83+DB62+DB113</f>
        <v>2127.75796595667</v>
      </c>
      <c r="DC146" s="48" t="n">
        <f aca="false">DC63+DC70+DC83+DC62+DC113</f>
        <v>2091.34156892558</v>
      </c>
      <c r="DD146" s="48" t="n">
        <f aca="false">DD63+DD70+DD83+DD62+DD113</f>
        <v>2114.5786974692</v>
      </c>
      <c r="DE146" s="48" t="n">
        <f aca="false">DE63+DE70+DE83+DE62+DE113</f>
        <v>2137.81582601281</v>
      </c>
      <c r="DF146" s="48" t="n">
        <f aca="false">DF63+DF70+DF83+DF62+DF113</f>
        <v>2129.67377475099</v>
      </c>
      <c r="DG146" s="48" t="n">
        <f aca="false">DG63+DG70+DG83+DG62+DG113</f>
        <v>2116.20284972323</v>
      </c>
      <c r="DH146" s="48" t="n">
        <f aca="false">DH63+DH70+DH83+DH62+DH113</f>
        <v>2116.20284972323</v>
      </c>
      <c r="DI146" s="48" t="n">
        <f aca="false">DI63+DI70+DI83+DI62+DI113</f>
        <v>2139.45782609381</v>
      </c>
      <c r="DJ146" s="48" t="n">
        <f aca="false">DJ63+DJ70+DJ83+DJ62+DJ113</f>
        <v>2131.26763373715</v>
      </c>
      <c r="DK146" s="48" t="n">
        <f aca="false">DK63+DK70+DK83+DK62+DK113</f>
        <v>2094.22922134031</v>
      </c>
      <c r="DL146" s="48" t="n">
        <f aca="false">DL63+DL70+DL83+DL62+DL113</f>
        <v>2117.49843491076</v>
      </c>
      <c r="DM146" s="48" t="n">
        <f aca="false">DM63+DM70+DM83+DM62+DM113</f>
        <v>2140.76764848121</v>
      </c>
      <c r="DN146" s="48" t="n">
        <f aca="false">DN63+DN70+DN83+DN62+DN113</f>
        <v>2132.52923118543</v>
      </c>
      <c r="DO146" s="48" t="n">
        <f aca="false">DO63+DO70+DO83+DO62+DO113</f>
        <v>2095.17525809415</v>
      </c>
      <c r="DP146" s="48" t="n">
        <f aca="false">DP63+DP70+DP83+DP62+DP113</f>
        <v>2118.45498318408</v>
      </c>
      <c r="DQ146" s="48" t="n">
        <f aca="false">DQ63+DQ70+DQ83+DQ62+DQ113</f>
        <v>2141.73470827402</v>
      </c>
      <c r="DR146" s="48" t="n">
        <f aca="false">DR63+DR70+DR83+DR62+DR113</f>
        <v>2133.4479869401</v>
      </c>
      <c r="DS146" s="48" t="n">
        <f aca="false">DS63+DS70+DS83+DS62+DS113</f>
        <v>2095.77535956</v>
      </c>
      <c r="DT146" s="48" t="n">
        <f aca="false">DT63+DT70+DT83+DT62+DT113</f>
        <v>2119.061752444</v>
      </c>
      <c r="DU146" s="48" t="n">
        <f aca="false">DU63+DU70+DU83+DU62+DU113</f>
        <v>2142.348145328</v>
      </c>
      <c r="DV146" s="48" t="n">
        <f aca="false">DV63+DV70+DV83+DV62+DV113</f>
        <v>2134.01304575269</v>
      </c>
      <c r="DW146" s="48" t="n">
        <f aca="false">DW63+DW70+DW83+DW62+DW113</f>
        <v>2119.30772157993</v>
      </c>
      <c r="DX146" s="48" t="n">
        <f aca="false">DX63+DX70+DX83+DX62+DX113</f>
        <v>2119.30772157993</v>
      </c>
      <c r="DY146" s="48" t="n">
        <f aca="false">DY63+DY70+DY83+DY62+DY113</f>
        <v>2142.59681742147</v>
      </c>
      <c r="DZ146" s="48" t="n">
        <f aca="false">DZ63+DZ70+DZ83+DZ62+DZ113</f>
        <v>2134.2132704514</v>
      </c>
      <c r="EA146" s="48" t="n">
        <f aca="false">EA63+EA70+EA83+EA62+EA113</f>
        <v>2095.89387383467</v>
      </c>
      <c r="EB146" s="48" t="n">
        <f aca="false">EB63+EB70+EB83+EB62+EB113</f>
        <v>2119.18158354395</v>
      </c>
      <c r="EC146" s="48" t="n">
        <f aca="false">EC63+EC70+EC83+EC62+EC113</f>
        <v>2142.46929325322</v>
      </c>
      <c r="ED146" s="48" t="n">
        <f aca="false">ED63+ED70+ED83+ED62+ED113</f>
        <v>2134.03723494271</v>
      </c>
      <c r="EE146" s="48" t="n">
        <f aca="false">EE63+EE70+EE83+EE62+EE113</f>
        <v>2095.38963124086</v>
      </c>
      <c r="EF146" s="48" t="n">
        <f aca="false">EF63+EF70+EF83+EF62+EF113</f>
        <v>2118.67173825464</v>
      </c>
      <c r="EG146" s="48" t="n">
        <f aca="false">EG63+EG70+EG83+EG62+EG113</f>
        <v>2141.95384526843</v>
      </c>
      <c r="EH146" s="48" t="n">
        <f aca="false">EH63+EH70+EH83+EH62+EH113</f>
        <v>2133.47321704111</v>
      </c>
      <c r="EI146" s="48" t="n">
        <f aca="false">EI63+EI70+EI83+EI62+EI113</f>
        <v>2094.49412834513</v>
      </c>
      <c r="EJ146" s="48" t="n">
        <f aca="false">EJ63+EJ70+EJ83+EJ62+EJ113</f>
        <v>2117.76628532674</v>
      </c>
      <c r="EK146" s="48" t="n">
        <f aca="false">EK63+EK70+EK83+EK62+EK113</f>
        <v>2141.03844230835</v>
      </c>
      <c r="EL146" s="48" t="n">
        <f aca="false">EL63+EL70+EL83+EL62+EL113</f>
        <v>2132.50919112262</v>
      </c>
      <c r="EM146" s="48" t="n">
        <f aca="false">EM63+EM70+EM83+EM62+EM113</f>
        <v>2116.45301662203</v>
      </c>
      <c r="EN146" s="48" t="n">
        <f aca="false">EN63+EN70+EN83+EN62+EN113</f>
        <v>2116.45301662203</v>
      </c>
      <c r="EO146" s="48" t="n">
        <f aca="false">EO63+EO70+EO83+EO62+EO113</f>
        <v>2139.71074207941</v>
      </c>
    </row>
    <row r="147" customFormat="false" ht="15" hidden="false" customHeight="false" outlineLevel="0" collapsed="false">
      <c r="C147" s="25" t="s">
        <v>94</v>
      </c>
      <c r="D147" s="11" t="s">
        <v>27</v>
      </c>
      <c r="E147" s="33" t="n">
        <f aca="false">XIRR($J146:$EO146,$J$4:$EO$4)</f>
        <v>0.0962713849592859</v>
      </c>
    </row>
    <row r="148" customFormat="false" ht="15" hidden="false" customHeight="false" outlineLevel="0" collapsed="false">
      <c r="C148" s="25" t="s">
        <v>504</v>
      </c>
      <c r="D148" s="11" t="s">
        <v>33</v>
      </c>
      <c r="I148" s="57" t="n">
        <f aca="false">SUM(J148:EO148)</f>
        <v>159468.109171737</v>
      </c>
      <c r="J148" s="57" t="n">
        <f aca="false">J63+J70+J96+J100+J101+J83+J94+J102+J62+J113</f>
        <v>-4662.80993807469</v>
      </c>
      <c r="K148" s="57" t="n">
        <f aca="false">K63+K70+K96+K100+K101+K83+K94+K102+K62+K113</f>
        <v>-706.535577057768</v>
      </c>
      <c r="L148" s="57" t="n">
        <f aca="false">L63+L70+L96+L100+L101+L83+L94+L102+L62+L113</f>
        <v>-104.360496659404</v>
      </c>
      <c r="M148" s="57" t="n">
        <f aca="false">M63+M70+M96+M100+M101+M83+M94+M102+M62+M113</f>
        <v>-105.507315304013</v>
      </c>
      <c r="N148" s="57" t="n">
        <f aca="false">N63+N70+N96+N100+N101+N83+N94+N102+N62+N113</f>
        <v>-105.507315304013</v>
      </c>
      <c r="O148" s="57" t="n">
        <f aca="false">O63+O70+O96+O100+O101+O83+O94+O102+O62+O113</f>
        <v>-104.360496659404</v>
      </c>
      <c r="P148" s="57" t="n">
        <f aca="false">P63+P70+P96+P100+P101+P83+P94+P102+P62+P113</f>
        <v>-104.360496659404</v>
      </c>
      <c r="Q148" s="57" t="n">
        <f aca="false">Q63+Q70+Q96+Q100+Q101+Q83+Q94+Q102+Q62+Q113</f>
        <v>-105.507315304013</v>
      </c>
      <c r="R148" s="57" t="n">
        <f aca="false">R63+R70+R96+R100+R101+R83+R94+R102+R62+R113</f>
        <v>-4598.78508914336</v>
      </c>
      <c r="S148" s="57" t="n">
        <f aca="false">S63+S70+S96+S100+S101+S83+S94+S102+S62+S113</f>
        <v>-7416.60009090345</v>
      </c>
      <c r="T148" s="57" t="n">
        <f aca="false">T63+T70+T96+T100+T101+T83+T94+T102+T62+T113</f>
        <v>-3768.65166995178</v>
      </c>
      <c r="U148" s="57" t="n">
        <f aca="false">U63+U70+U96+U100+U101+U83+U94+U102+U62+U113</f>
        <v>-3800.0000014</v>
      </c>
      <c r="V148" s="57" t="n">
        <f aca="false">V63+V70+V96+V100+V101+V83+V94+V102+V62+V113</f>
        <v>-3789.82396918758</v>
      </c>
      <c r="W148" s="57" t="n">
        <f aca="false">W63+W70+W96+W100+W101+W83+W94+W102+W62+W113</f>
        <v>-3698.52360864843</v>
      </c>
      <c r="X148" s="57" t="n">
        <f aca="false">X63+X70+X96+X100+X101+X83+X94+X102+X62+X113</f>
        <v>-3729.77170579166</v>
      </c>
      <c r="Y148" s="57" t="n">
        <f aca="false">Y63+Y70+Y96+Y100+Y101+Y83+Y94+Y102+Y62+Y113</f>
        <v>-5812.97992497973</v>
      </c>
      <c r="Z148" s="57" t="n">
        <f aca="false">Z63+Z70+Z96+Z100+Z101+Z83+Z94+Z102+Z62+Z113</f>
        <v>1376.07001528672</v>
      </c>
      <c r="AA148" s="57" t="n">
        <f aca="false">AA63+AA70+AA96+AA100+AA101+AA83+AA94+AA102+AA62+AA113</f>
        <v>1355.2151766709</v>
      </c>
      <c r="AB148" s="57" t="n">
        <f aca="false">AB63+AB70+AB96+AB100+AB101+AB83+AB94+AB102+AB62+AB113</f>
        <v>1369.7950975624</v>
      </c>
      <c r="AC148" s="57" t="n">
        <f aca="false">AC63+AC70+AC96+AC100+AC101+AC83+AC94+AC102+AC62+AC113</f>
        <v>1384.36688628921</v>
      </c>
      <c r="AD148" s="57" t="n">
        <f aca="false">AD63+AD70+AD96+AD100+AD101+AD83+AD94+AD102+AD62+AD113</f>
        <v>1379.45729448772</v>
      </c>
      <c r="AE148" s="57" t="n">
        <f aca="false">AE63+AE70+AE96+AE100+AE101+AE83+AE94+AE102+AE62+AE113</f>
        <v>1340.86643511384</v>
      </c>
      <c r="AF148" s="57" t="n">
        <f aca="false">AF63+AF70+AF96+AF100+AF101+AF83+AF94+AF102+AF62+AF113</f>
        <v>1336.70299989734</v>
      </c>
      <c r="AG148" s="57" t="n">
        <f aca="false">AG63+AG70+AG96+AG100+AG101+AG83+AG94+AG102+AG62+AG113</f>
        <v>1350.45252757505</v>
      </c>
      <c r="AH148" s="57" t="n">
        <f aca="false">AH63+AH70+AH96+AH100+AH101+AH83+AH94+AH102+AH62+AH113</f>
        <v>1345.67203978884</v>
      </c>
      <c r="AI148" s="57" t="n">
        <f aca="false">AI63+AI70+AI96+AI100+AI101+AI83+AI94+AI102+AI62+AI113</f>
        <v>1324.84355566386</v>
      </c>
      <c r="AJ148" s="57" t="n">
        <f aca="false">AJ63+AJ70+AJ96+AJ100+AJ101+AJ83+AJ94+AJ102+AJ62+AJ113</f>
        <v>1355.46257444714</v>
      </c>
      <c r="AK148" s="57" t="n">
        <f aca="false">AK63+AK70+AK96+AK100+AK101+AK83+AK94+AK102+AK62+AK113</f>
        <v>1369.40140394292</v>
      </c>
      <c r="AL148" s="57" t="n">
        <f aca="false">AL63+AL70+AL96+AL100+AL101+AL83+AL94+AL102+AL62+AL113</f>
        <v>1364.55655465259</v>
      </c>
      <c r="AM148" s="57" t="n">
        <f aca="false">AM63+AM70+AM96+AM100+AM101+AM83+AM94+AM102+AM62+AM113</f>
        <v>1343.16417164848</v>
      </c>
      <c r="AN148" s="57" t="n">
        <f aca="false">AN63+AN70+AN96+AN100+AN101+AN83+AN94+AN102+AN62+AN113</f>
        <v>1357.13373055068</v>
      </c>
      <c r="AO148" s="57" t="n">
        <f aca="false">AO63+AO70+AO96+AO100+AO101+AO83+AO94+AO102+AO62+AO113</f>
        <v>1371.0867520948</v>
      </c>
      <c r="AP148" s="57" t="n">
        <f aca="false">AP63+AP70+AP96+AP100+AP101+AP83+AP94+AP102+AP62+AP113</f>
        <v>1366.18876843143</v>
      </c>
      <c r="AQ148" s="57" t="n">
        <f aca="false">AQ63+AQ70+AQ96+AQ100+AQ101+AQ83+AQ94+AQ102+AQ62+AQ113</f>
        <v>1344.61256367194</v>
      </c>
      <c r="AR148" s="57" t="n">
        <f aca="false">AR63+AR70+AR96+AR100+AR101+AR83+AR94+AR102+AR62+AR113</f>
        <v>1358.5943399938</v>
      </c>
      <c r="AS148" s="57" t="n">
        <f aca="false">AS63+AS70+AS96+AS100+AS101+AS83+AS94+AS102+AS62+AS113</f>
        <v>1372.55924303533</v>
      </c>
      <c r="AT148" s="57" t="n">
        <f aca="false">AT63+AT70+AT96+AT100+AT101+AT83+AT94+AT102+AT62+AT113</f>
        <v>1367.60689487748</v>
      </c>
      <c r="AU148" s="57" t="n">
        <f aca="false">AU63+AU70+AU96+AU100+AU101+AU83+AU94+AU102+AU62+AU113</f>
        <v>1360.36873687942</v>
      </c>
      <c r="AV148" s="57" t="n">
        <f aca="false">AV63+AV70+AV96+AV100+AV101+AV83+AV94+AV102+AV62+AV113</f>
        <v>1359.82492580764</v>
      </c>
      <c r="AW148" s="57" t="n">
        <f aca="false">AW63+AW70+AW96+AW100+AW101+AW83+AW94+AW102+AW62+AW113</f>
        <v>1373.79917695533</v>
      </c>
      <c r="AX148" s="57" t="n">
        <f aca="false">AX63+AX70+AX96+AX100+AX101+AX83+AX94+AX102+AX62+AX113</f>
        <v>1368.79105385196</v>
      </c>
      <c r="AY148" s="57" t="n">
        <f aca="false">AY63+AY70+AY96+AY100+AY101+AY83+AY94+AY102+AY62+AY113</f>
        <v>1346.83926027309</v>
      </c>
      <c r="AZ148" s="57" t="n">
        <f aca="false">AZ63+AZ70+AZ96+AZ100+AZ101+AZ83+AZ94+AZ102+AZ62+AZ113</f>
        <v>1360.83806560165</v>
      </c>
      <c r="BA148" s="57" t="n">
        <f aca="false">BA63+BA70+BA96+BA100+BA101+BA83+BA94+BA102+BA62+BA113</f>
        <v>1374.81928526793</v>
      </c>
      <c r="BB148" s="57" t="n">
        <f aca="false">BB63+BB70+BB96+BB100+BB101+BB83+BB94+BB102+BB62+BB113</f>
        <v>1369.75417872679</v>
      </c>
      <c r="BC148" s="57" t="n">
        <f aca="false">BC63+BC70+BC96+BC100+BC101+BC83+BC94+BC102+BC62+BC113</f>
        <v>1347.61059895201</v>
      </c>
      <c r="BD148" s="57" t="n">
        <f aca="false">BD63+BD70+BD96+BD100+BD101+BD83+BD94+BD102+BD62+BD113</f>
        <v>1361.61414524936</v>
      </c>
      <c r="BE148" s="57" t="n">
        <f aca="false">BE63+BE70+BE96+BE100+BE101+BE83+BE94+BE102+BE62+BE113</f>
        <v>1375.59972971505</v>
      </c>
      <c r="BF148" s="57" t="n">
        <f aca="false">BF63+BF70+BF96+BF100+BF101+BF83+BF94+BF102+BF62+BF113</f>
        <v>1370.47625207947</v>
      </c>
      <c r="BG148" s="57" t="n">
        <f aca="false">BG63+BG70+BG96+BG100+BG101+BG83+BG94+BG102+BG62+BG113</f>
        <v>1348.13808373846</v>
      </c>
      <c r="BH148" s="57" t="n">
        <f aca="false">BH63+BH70+BH96+BH100+BH101+BH83+BH94+BH102+BH62+BH113</f>
        <v>1362.14367689743</v>
      </c>
      <c r="BI148" s="57" t="n">
        <f aca="false">BI63+BI70+BI96+BI100+BI101+BI83+BI94+BI102+BI62+BI113</f>
        <v>1376.13091741222</v>
      </c>
      <c r="BJ148" s="57" t="n">
        <f aca="false">BJ63+BJ70+BJ96+BJ100+BJ101+BJ83+BJ94+BJ102+BJ62+BJ113</f>
        <v>1370.94762364272</v>
      </c>
      <c r="BK148" s="57" t="n">
        <f aca="false">BK63+BK70+BK96+BK100+BK101+BK83+BK94+BK102+BK62+BK113</f>
        <v>1363.071812704</v>
      </c>
      <c r="BL148" s="57" t="n">
        <f aca="false">BL63+BL70+BL96+BL100+BL101+BL83+BL94+BL102+BL62+BL113</f>
        <v>1362.40575657569</v>
      </c>
      <c r="BM148" s="57" t="n">
        <f aca="false">BM63+BM70+BM96+BM100+BM101+BM83+BM94+BM102+BM62+BM113</f>
        <v>1376.39170544405</v>
      </c>
      <c r="BN148" s="57" t="n">
        <f aca="false">BN63+BN70+BN96+BN100+BN101+BN83+BN94+BN102+BN62+BN113</f>
        <v>1371.14695894557</v>
      </c>
      <c r="BO148" s="57" t="n">
        <f aca="false">BO63+BO70+BO96+BO100+BO101+BO83+BO94+BO102+BO62+BO113</f>
        <v>1348.41075180602</v>
      </c>
      <c r="BP148" s="57" t="n">
        <f aca="false">BP63+BP70+BP96+BP100+BP101+BP83+BP94+BP102+BP62+BP113</f>
        <v>1362.41178448756</v>
      </c>
      <c r="BQ148" s="57" t="n">
        <f aca="false">BQ63+BQ70+BQ96+BQ100+BQ101+BQ83+BQ94+BQ102+BQ62+BQ113</f>
        <v>1376.3936346606</v>
      </c>
      <c r="BR148" s="57" t="n">
        <f aca="false">BR63+BR70+BR96+BR100+BR101+BR83+BR94+BR102+BR62+BR113</f>
        <v>1371.08599267981</v>
      </c>
      <c r="BS148" s="57" t="n">
        <f aca="false">BS63+BS70+BS96+BS100+BS101+BS83+BS94+BS102+BS62+BS113</f>
        <v>1348.14629324951</v>
      </c>
      <c r="BT148" s="57" t="n">
        <f aca="false">BT63+BT70+BT96+BT100+BT101+BT83+BT94+BT102+BT62+BT113</f>
        <v>1362.14061778112</v>
      </c>
      <c r="BU148" s="57" t="n">
        <f aca="false">BU63+BU70+BU96+BU100+BU101+BU83+BU94+BU102+BU62+BU113</f>
        <v>1376.11532081178</v>
      </c>
      <c r="BV148" s="57" t="n">
        <f aca="false">BV63+BV70+BV96+BV100+BV101+BV83+BV94+BV102+BV62+BV113</f>
        <v>1370.74314928558</v>
      </c>
      <c r="BW148" s="57" t="n">
        <f aca="false">BW63+BW70+BW96+BW100+BW101+BW83+BW94+BW102+BW62+BW113</f>
        <v>1347.59681713131</v>
      </c>
      <c r="BX148" s="57" t="n">
        <f aca="false">BX63+BX70+BX96+BX100+BX101+BX83+BX94+BX102+BX62+BX113</f>
        <v>1361.58128080797</v>
      </c>
      <c r="BY148" s="57" t="n">
        <f aca="false">BY63+BY70+BY96+BY100+BY101+BY83+BY94+BY102+BY62+BY113</f>
        <v>1375.54566644942</v>
      </c>
      <c r="BZ148" s="57" t="n">
        <f aca="false">BZ63+BZ70+BZ96+BZ100+BZ101+BZ83+BZ94+BZ102+BZ62+BZ113</f>
        <v>1370.10726242301</v>
      </c>
      <c r="CA148" s="57" t="n">
        <f aca="false">CA63+CA70+CA96+CA100+CA101+CA83+CA94+CA102+CA62+CA113</f>
        <v>1361.52293461018</v>
      </c>
      <c r="CB148" s="57" t="n">
        <f aca="false">CB63+CB70+CB96+CB100+CB101+CB83+CB94+CB102+CB62+CB113</f>
        <v>1360.71123822655</v>
      </c>
      <c r="CC148" s="57" t="n">
        <f aca="false">CC63+CC70+CC96+CC100+CC101+CC83+CC94+CC102+CC62+CC113</f>
        <v>1374.6618788493</v>
      </c>
      <c r="CD148" s="57" t="n">
        <f aca="false">CD63+CD70+CD96+CD100+CD101+CD83+CD94+CD102+CD62+CD113</f>
        <v>1369.15533475108</v>
      </c>
      <c r="CE148" s="57" t="n">
        <f aca="false">CE63+CE70+CE96+CE100+CE101+CE83+CE94+CE102+CE62+CE113</f>
        <v>1345.58580601061</v>
      </c>
      <c r="CF148" s="57" t="n">
        <f aca="false">CF63+CF70+CF96+CF100+CF101+CF83+CF94+CF102+CF62+CF113</f>
        <v>1359.54044703033</v>
      </c>
      <c r="CG148" s="57" t="n">
        <f aca="false">CG63+CG70+CG96+CG100+CG101+CG83+CG94+CG102+CG62+CG113</f>
        <v>1373.4740394422</v>
      </c>
      <c r="CH148" s="57" t="n">
        <f aca="false">CH63+CH70+CH96+CH100+CH101+CH83+CH94+CH102+CH62+CH113</f>
        <v>1367.89763087449</v>
      </c>
      <c r="CI148" s="57" t="n">
        <f aca="false">CI63+CI70+CI96+CI100+CI101+CI83+CI94+CI102+CI62+CI113</f>
        <v>1344.11146853623</v>
      </c>
      <c r="CJ148" s="57" t="n">
        <f aca="false">CJ63+CJ70+CJ96+CJ100+CJ101+CJ83+CJ94+CJ102+CJ62+CJ113</f>
        <v>1358.04601118561</v>
      </c>
      <c r="CK148" s="57" t="n">
        <f aca="false">CK63+CK70+CK96+CK100+CK101+CK83+CK94+CK102+CK62+CK113</f>
        <v>1371.95899096463</v>
      </c>
      <c r="CL148" s="57" t="n">
        <f aca="false">CL63+CL70+CL96+CL100+CL101+CL83+CL94+CL102+CL62+CL113</f>
        <v>1366.31078803015</v>
      </c>
      <c r="CM148" s="57" t="n">
        <f aca="false">CM63+CM70+CM96+CM100+CM101+CM83+CM94+CM102+CM62+CM113</f>
        <v>1342.30445624903</v>
      </c>
      <c r="CN148" s="57" t="n">
        <f aca="false">CN63+CN70+CN96+CN100+CN101+CN83+CN94+CN102+CN62+CN113</f>
        <v>1356.21521568726</v>
      </c>
      <c r="CO148" s="57" t="n">
        <f aca="false">CO63+CO70+CO96+CO100+CO101+CO83+CO94+CO102+CO62+CO113</f>
        <v>1370.10387696142</v>
      </c>
      <c r="CP148" s="57" t="n">
        <f aca="false">CP63+CP70+CP96+CP100+CP101+CP83+CP94+CP102+CP62+CP113</f>
        <v>1364.38186701101</v>
      </c>
      <c r="CQ148" s="57" t="n">
        <f aca="false">CQ63+CQ70+CQ96+CQ100+CQ101+CQ83+CQ94+CQ102+CQ62+CQ113</f>
        <v>1355.0089408067</v>
      </c>
      <c r="CR148" s="57" t="n">
        <f aca="false">CR63+CR70+CR96+CR100+CR101+CR83+CR94+CR102+CR62+CR113</f>
        <v>1354.0236516539</v>
      </c>
      <c r="CS148" s="57" t="n">
        <f aca="false">CS63+CS70+CS96+CS100+CS101+CS83+CS94+CS102+CS62+CS113</f>
        <v>2295.17115005491</v>
      </c>
      <c r="CT148" s="57" t="n">
        <f aca="false">CT63+CT70+CT96+CT100+CT101+CT83+CT94+CT102+CT62+CT113</f>
        <v>2279.94971794918</v>
      </c>
      <c r="CU148" s="57" t="n">
        <f aca="false">CU63+CU70+CU96+CU100+CU101+CU83+CU94+CU102+CU62+CU113</f>
        <v>2240.73153719111</v>
      </c>
      <c r="CV148" s="57" t="n">
        <f aca="false">CV63+CV70+CV96+CV100+CV101+CV83+CV94+CV102+CV62+CV113</f>
        <v>2265.62855427102</v>
      </c>
      <c r="CW148" s="57" t="n">
        <f aca="false">CW63+CW70+CW96+CW100+CW101+CW83+CW94+CW102+CW62+CW113</f>
        <v>2290.52557135092</v>
      </c>
      <c r="CX148" s="57" t="n">
        <f aca="false">CX63+CX70+CX96+CX100+CX101+CX83+CX94+CX102+CX62+CX113</f>
        <v>2282.47953249614</v>
      </c>
      <c r="CY148" s="57" t="n">
        <f aca="false">CY63+CY70+CY96+CY100+CY101+CY83+CY94+CY102+CY62+CY113</f>
        <v>2242.9577346824</v>
      </c>
      <c r="CZ148" s="57" t="n">
        <f aca="false">CZ63+CZ70+CZ96+CZ100+CZ101+CZ83+CZ94+CZ102+CZ62+CZ113</f>
        <v>2267.87948728999</v>
      </c>
      <c r="DA148" s="57" t="n">
        <f aca="false">DA63+DA70+DA96+DA100+DA101+DA83+DA94+DA102+DA62+DA113</f>
        <v>2292.80123989757</v>
      </c>
      <c r="DB148" s="57" t="n">
        <f aca="false">DB63+DB70+DB96+DB100+DB101+DB83+DB94+DB102+DB62+DB113</f>
        <v>2127.75796595667</v>
      </c>
      <c r="DC148" s="57" t="n">
        <f aca="false">DC63+DC70+DC96+DC100+DC101+DC83+DC94+DC102+DC62+DC113</f>
        <v>2091.34156892558</v>
      </c>
      <c r="DD148" s="57" t="n">
        <f aca="false">DD63+DD70+DD96+DD100+DD101+DD83+DD94+DD102+DD62+DD113</f>
        <v>2114.5786974692</v>
      </c>
      <c r="DE148" s="57" t="n">
        <f aca="false">DE63+DE70+DE96+DE100+DE101+DE83+DE94+DE102+DE62+DE113</f>
        <v>2137.81582601281</v>
      </c>
      <c r="DF148" s="57" t="n">
        <f aca="false">DF63+DF70+DF96+DF100+DF101+DF83+DF94+DF102+DF62+DF113</f>
        <v>2129.67377475099</v>
      </c>
      <c r="DG148" s="57" t="n">
        <f aca="false">DG63+DG70+DG96+DG100+DG101+DG83+DG94+DG102+DG62+DG113</f>
        <v>2116.20284972323</v>
      </c>
      <c r="DH148" s="57" t="n">
        <f aca="false">DH63+DH70+DH96+DH100+DH101+DH83+DH94+DH102+DH62+DH113</f>
        <v>2116.20284972323</v>
      </c>
      <c r="DI148" s="57" t="n">
        <f aca="false">DI63+DI70+DI96+DI100+DI101+DI83+DI94+DI102+DI62+DI113</f>
        <v>2139.45782609381</v>
      </c>
      <c r="DJ148" s="57" t="n">
        <f aca="false">DJ63+DJ70+DJ96+DJ100+DJ101+DJ83+DJ94+DJ102+DJ62+DJ113</f>
        <v>2131.26763373715</v>
      </c>
      <c r="DK148" s="57" t="n">
        <f aca="false">DK63+DK70+DK96+DK100+DK101+DK83+DK94+DK102+DK62+DK113</f>
        <v>2094.22922134031</v>
      </c>
      <c r="DL148" s="57" t="n">
        <f aca="false">DL63+DL70+DL96+DL100+DL101+DL83+DL94+DL102+DL62+DL113</f>
        <v>2117.49843491076</v>
      </c>
      <c r="DM148" s="57" t="n">
        <f aca="false">DM63+DM70+DM96+DM100+DM101+DM83+DM94+DM102+DM62+DM113</f>
        <v>2140.76764848121</v>
      </c>
      <c r="DN148" s="57" t="n">
        <f aca="false">DN63+DN70+DN96+DN100+DN101+DN83+DN94+DN102+DN62+DN113</f>
        <v>2132.52923118543</v>
      </c>
      <c r="DO148" s="57" t="n">
        <f aca="false">DO63+DO70+DO96+DO100+DO101+DO83+DO94+DO102+DO62+DO113</f>
        <v>2095.17525809415</v>
      </c>
      <c r="DP148" s="57" t="n">
        <f aca="false">DP63+DP70+DP96+DP100+DP101+DP83+DP94+DP102+DP62+DP113</f>
        <v>2118.45498318408</v>
      </c>
      <c r="DQ148" s="57" t="n">
        <f aca="false">DQ63+DQ70+DQ96+DQ100+DQ101+DQ83+DQ94+DQ102+DQ62+DQ113</f>
        <v>2141.73470827402</v>
      </c>
      <c r="DR148" s="57" t="n">
        <f aca="false">DR63+DR70+DR96+DR100+DR101+DR83+DR94+DR102+DR62+DR113</f>
        <v>2133.4479869401</v>
      </c>
      <c r="DS148" s="57" t="n">
        <f aca="false">DS63+DS70+DS96+DS100+DS101+DS83+DS94+DS102+DS62+DS113</f>
        <v>2095.77535956</v>
      </c>
      <c r="DT148" s="57" t="n">
        <f aca="false">DT63+DT70+DT96+DT100+DT101+DT83+DT94+DT102+DT62+DT113</f>
        <v>2119.061752444</v>
      </c>
      <c r="DU148" s="57" t="n">
        <f aca="false">DU63+DU70+DU96+DU100+DU101+DU83+DU94+DU102+DU62+DU113</f>
        <v>2142.348145328</v>
      </c>
      <c r="DV148" s="57" t="n">
        <f aca="false">DV63+DV70+DV96+DV100+DV101+DV83+DV94+DV102+DV62+DV113</f>
        <v>2134.01304575269</v>
      </c>
      <c r="DW148" s="57" t="n">
        <f aca="false">DW63+DW70+DW96+DW100+DW101+DW83+DW94+DW102+DW62+DW113</f>
        <v>2119.30772157993</v>
      </c>
      <c r="DX148" s="57" t="n">
        <f aca="false">DX63+DX70+DX96+DX100+DX101+DX83+DX94+DX102+DX62+DX113</f>
        <v>2119.30772157993</v>
      </c>
      <c r="DY148" s="57" t="n">
        <f aca="false">DY63+DY70+DY96+DY100+DY101+DY83+DY94+DY102+DY62+DY113</f>
        <v>2142.59681742147</v>
      </c>
      <c r="DZ148" s="57" t="n">
        <f aca="false">DZ63+DZ70+DZ96+DZ100+DZ101+DZ83+DZ94+DZ102+DZ62+DZ113</f>
        <v>2134.2132704514</v>
      </c>
      <c r="EA148" s="57" t="n">
        <f aca="false">EA63+EA70+EA96+EA100+EA101+EA83+EA94+EA102+EA62+EA113</f>
        <v>2095.89387383467</v>
      </c>
      <c r="EB148" s="57" t="n">
        <f aca="false">EB63+EB70+EB96+EB100+EB101+EB83+EB94+EB102+EB62+EB113</f>
        <v>2119.18158354395</v>
      </c>
      <c r="EC148" s="57" t="n">
        <f aca="false">EC63+EC70+EC96+EC100+EC101+EC83+EC94+EC102+EC62+EC113</f>
        <v>2142.46929325322</v>
      </c>
      <c r="ED148" s="57" t="n">
        <f aca="false">ED63+ED70+ED96+ED100+ED101+ED83+ED94+ED102+ED62+ED113</f>
        <v>2134.03723494271</v>
      </c>
      <c r="EE148" s="57" t="n">
        <f aca="false">EE63+EE70+EE96+EE100+EE101+EE83+EE94+EE102+EE62+EE113</f>
        <v>2095.38963124086</v>
      </c>
      <c r="EF148" s="57" t="n">
        <f aca="false">EF63+EF70+EF96+EF100+EF101+EF83+EF94+EF102+EF62+EF113</f>
        <v>2118.67173825464</v>
      </c>
      <c r="EG148" s="57" t="n">
        <f aca="false">EG63+EG70+EG96+EG100+EG101+EG83+EG94+EG102+EG62+EG113</f>
        <v>2141.95384526843</v>
      </c>
      <c r="EH148" s="57" t="n">
        <f aca="false">EH63+EH70+EH96+EH100+EH101+EH83+EH94+EH102+EH62+EH113</f>
        <v>2133.47321704111</v>
      </c>
      <c r="EI148" s="57" t="n">
        <f aca="false">EI63+EI70+EI96+EI100+EI101+EI83+EI94+EI102+EI62+EI113</f>
        <v>2094.49412834513</v>
      </c>
      <c r="EJ148" s="57" t="n">
        <f aca="false">EJ63+EJ70+EJ96+EJ100+EJ101+EJ83+EJ94+EJ102+EJ62+EJ113</f>
        <v>2117.76628532674</v>
      </c>
      <c r="EK148" s="57" t="n">
        <f aca="false">EK63+EK70+EK96+EK100+EK101+EK83+EK94+EK102+EK62+EK113</f>
        <v>2141.03844230835</v>
      </c>
      <c r="EL148" s="57" t="n">
        <f aca="false">EL63+EL70+EL96+EL100+EL101+EL83+EL94+EL102+EL62+EL113</f>
        <v>2132.50919112262</v>
      </c>
      <c r="EM148" s="57" t="n">
        <f aca="false">EM63+EM70+EM96+EM100+EM101+EM83+EM94+EM102+EM62+EM113</f>
        <v>2116.45301662203</v>
      </c>
      <c r="EN148" s="57" t="n">
        <f aca="false">EN63+EN70+EN96+EN100+EN101+EN83+EN94+EN102+EN62+EN113</f>
        <v>2116.45301662203</v>
      </c>
      <c r="EO148" s="57" t="n">
        <f aca="false">EO63+EO70+EO96+EO100+EO101+EO83+EO94+EO102+EO62+EO113</f>
        <v>2139.71074207941</v>
      </c>
    </row>
    <row r="149" customFormat="false" ht="15" hidden="false" customHeight="false" outlineLevel="0" collapsed="false">
      <c r="C149" s="25" t="s">
        <v>91</v>
      </c>
      <c r="D149" s="11" t="s">
        <v>27</v>
      </c>
      <c r="E149" s="33" t="n">
        <f aca="false">XIRR($J148:$EO148,$J$4:$EO$4)</f>
        <v>0.117451501890168</v>
      </c>
    </row>
    <row r="150" customFormat="false" ht="15" hidden="false" customHeight="false" outlineLevel="0" collapsed="false">
      <c r="C150" s="25" t="s">
        <v>92</v>
      </c>
      <c r="D150" s="11" t="s">
        <v>13</v>
      </c>
      <c r="E150" s="60" t="n">
        <f aca="false">SUMIF($J148:$EO148,"&gt;0")/-SUMIF($J148:$EO148,"&lt;0")</f>
        <v>4.74214556361978</v>
      </c>
    </row>
    <row r="151" customFormat="false" ht="15" hidden="false" customHeight="false" outlineLevel="0" collapsed="false">
      <c r="C151" s="25" t="s">
        <v>93</v>
      </c>
      <c r="D151" s="11" t="s">
        <v>33</v>
      </c>
      <c r="E151" s="57" t="n">
        <f aca="false">XNPV(In_Discount_Rate,$J148:$EO148,$J$4:$EO$4)</f>
        <v>16680.6940920774</v>
      </c>
    </row>
    <row r="153" customFormat="false" ht="15" hidden="false" customHeight="false" outlineLevel="0" collapsed="false">
      <c r="C153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396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505</v>
      </c>
      <c r="F9" s="8" t="s">
        <v>506</v>
      </c>
    </row>
    <row r="11" customFormat="false" ht="15" hidden="false" customHeight="false" outlineLevel="0" collapsed="false">
      <c r="A11" s="9" t="s">
        <v>13</v>
      </c>
      <c r="B11" s="9"/>
      <c r="C11" s="9" t="s">
        <v>507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508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509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510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511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512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513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514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515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516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N((Calc_1!J$4&gt;=Calc_1!$F18)*ABS(Calc_1!J99)&gt;Tolerance)</f>
        <v>0</v>
      </c>
      <c r="K20" s="50" t="n">
        <f aca="false">N((Calc_1!K$4&gt;=Calc_1!$F18)*ABS(Calc_1!K99)&gt;Tolerance)</f>
        <v>0</v>
      </c>
      <c r="L20" s="50" t="n">
        <f aca="false">N((Calc_1!L$4&gt;=Calc_1!$F18)*ABS(Calc_1!L99)&gt;Tolerance)</f>
        <v>0</v>
      </c>
      <c r="M20" s="50" t="n">
        <f aca="false">N((Calc_1!M$4&gt;=Calc_1!$F18)*ABS(Calc_1!M99)&gt;Tolerance)</f>
        <v>0</v>
      </c>
      <c r="N20" s="50" t="n">
        <f aca="false">N((Calc_1!N$4&gt;=Calc_1!$F18)*ABS(Calc_1!N99)&gt;Tolerance)</f>
        <v>0</v>
      </c>
      <c r="O20" s="50" t="n">
        <f aca="false">N((Calc_1!O$4&gt;=Calc_1!$F18)*ABS(Calc_1!O99)&gt;Tolerance)</f>
        <v>0</v>
      </c>
      <c r="P20" s="50" t="n">
        <f aca="false">N((Calc_1!P$4&gt;=Calc_1!$F18)*ABS(Calc_1!P99)&gt;Tolerance)</f>
        <v>0</v>
      </c>
      <c r="Q20" s="50" t="n">
        <f aca="false">N((Calc_1!Q$4&gt;=Calc_1!$F18)*ABS(Calc_1!Q99)&gt;Tolerance)</f>
        <v>0</v>
      </c>
      <c r="R20" s="50" t="n">
        <f aca="false">N((Calc_1!R$4&gt;=Calc_1!$F18)*ABS(Calc_1!R99)&gt;Tolerance)</f>
        <v>0</v>
      </c>
      <c r="S20" s="50" t="n">
        <f aca="false">N((Calc_1!S$4&gt;=Calc_1!$F18)*ABS(Calc_1!S99)&gt;Tolerance)</f>
        <v>0</v>
      </c>
      <c r="T20" s="50" t="n">
        <f aca="false">N((Calc_1!T$4&gt;=Calc_1!$F18)*ABS(Calc_1!T99)&gt;Tolerance)</f>
        <v>0</v>
      </c>
      <c r="U20" s="50" t="n">
        <f aca="false">N((Calc_1!U$4&gt;=Calc_1!$F18)*ABS(Calc_1!U99)&gt;Tolerance)</f>
        <v>0</v>
      </c>
      <c r="V20" s="50" t="n">
        <f aca="false">N((Calc_1!V$4&gt;=Calc_1!$F18)*ABS(Calc_1!V99)&gt;Tolerance)</f>
        <v>0</v>
      </c>
      <c r="W20" s="50" t="n">
        <f aca="false">N((Calc_1!W$4&gt;=Calc_1!$F18)*ABS(Calc_1!W99)&gt;Tolerance)</f>
        <v>0</v>
      </c>
      <c r="X20" s="50" t="n">
        <f aca="false">N((Calc_1!X$4&gt;=Calc_1!$F18)*ABS(Calc_1!X99)&gt;Tolerance)</f>
        <v>0</v>
      </c>
      <c r="Y20" s="50" t="n">
        <f aca="false">N((Calc_1!Y$4&gt;=Calc_1!$F18)*ABS(Calc_1!Y99)&gt;Tolerance)</f>
        <v>0</v>
      </c>
      <c r="Z20" s="50" t="n">
        <f aca="false">N((Calc_1!Z$4&gt;=Calc_1!$F18)*ABS(Calc_1!Z99)&gt;Tolerance)</f>
        <v>0</v>
      </c>
      <c r="AA20" s="50" t="n">
        <f aca="false">N((Calc_1!AA$4&gt;=Calc_1!$F18)*ABS(Calc_1!AA99)&gt;Tolerance)</f>
        <v>0</v>
      </c>
      <c r="AB20" s="50" t="n">
        <f aca="false">N((Calc_1!AB$4&gt;=Calc_1!$F18)*ABS(Calc_1!AB99)&gt;Tolerance)</f>
        <v>0</v>
      </c>
      <c r="AC20" s="50" t="n">
        <f aca="false">N((Calc_1!AC$4&gt;=Calc_1!$F18)*ABS(Calc_1!AC99)&gt;Tolerance)</f>
        <v>0</v>
      </c>
      <c r="AD20" s="50" t="n">
        <f aca="false">N((Calc_1!AD$4&gt;=Calc_1!$F18)*ABS(Calc_1!AD99)&gt;Tolerance)</f>
        <v>0</v>
      </c>
      <c r="AE20" s="50" t="n">
        <f aca="false">N((Calc_1!AE$4&gt;=Calc_1!$F18)*ABS(Calc_1!AE99)&gt;Tolerance)</f>
        <v>0</v>
      </c>
      <c r="AF20" s="50" t="n">
        <f aca="false">N((Calc_1!AF$4&gt;=Calc_1!$F18)*ABS(Calc_1!AF99)&gt;Tolerance)</f>
        <v>0</v>
      </c>
      <c r="AG20" s="50" t="n">
        <f aca="false">N((Calc_1!AG$4&gt;=Calc_1!$F18)*ABS(Calc_1!AG99)&gt;Tolerance)</f>
        <v>0</v>
      </c>
      <c r="AH20" s="50" t="n">
        <f aca="false">N((Calc_1!AH$4&gt;=Calc_1!$F18)*ABS(Calc_1!AH99)&gt;Tolerance)</f>
        <v>0</v>
      </c>
      <c r="AI20" s="50" t="n">
        <f aca="false">N((Calc_1!AI$4&gt;=Calc_1!$F18)*ABS(Calc_1!AI99)&gt;Tolerance)</f>
        <v>0</v>
      </c>
      <c r="AJ20" s="50" t="n">
        <f aca="false">N((Calc_1!AJ$4&gt;=Calc_1!$F18)*ABS(Calc_1!AJ99)&gt;Tolerance)</f>
        <v>0</v>
      </c>
      <c r="AK20" s="50" t="n">
        <f aca="false">N((Calc_1!AK$4&gt;=Calc_1!$F18)*ABS(Calc_1!AK99)&gt;Tolerance)</f>
        <v>0</v>
      </c>
      <c r="AL20" s="50" t="n">
        <f aca="false">N((Calc_1!AL$4&gt;=Calc_1!$F18)*ABS(Calc_1!AL99)&gt;Tolerance)</f>
        <v>0</v>
      </c>
      <c r="AM20" s="50" t="n">
        <f aca="false">N((Calc_1!AM$4&gt;=Calc_1!$F18)*ABS(Calc_1!AM99)&gt;Tolerance)</f>
        <v>0</v>
      </c>
      <c r="AN20" s="50" t="n">
        <f aca="false">N((Calc_1!AN$4&gt;=Calc_1!$F18)*ABS(Calc_1!AN99)&gt;Tolerance)</f>
        <v>0</v>
      </c>
      <c r="AO20" s="50" t="n">
        <f aca="false">N((Calc_1!AO$4&gt;=Calc_1!$F18)*ABS(Calc_1!AO99)&gt;Tolerance)</f>
        <v>0</v>
      </c>
      <c r="AP20" s="50" t="n">
        <f aca="false">N((Calc_1!AP$4&gt;=Calc_1!$F18)*ABS(Calc_1!AP99)&gt;Tolerance)</f>
        <v>0</v>
      </c>
      <c r="AQ20" s="50" t="n">
        <f aca="false">N((Calc_1!AQ$4&gt;=Calc_1!$F18)*ABS(Calc_1!AQ99)&gt;Tolerance)</f>
        <v>0</v>
      </c>
      <c r="AR20" s="50" t="n">
        <f aca="false">N((Calc_1!AR$4&gt;=Calc_1!$F18)*ABS(Calc_1!AR99)&gt;Tolerance)</f>
        <v>0</v>
      </c>
      <c r="AS20" s="50" t="n">
        <f aca="false">N((Calc_1!AS$4&gt;=Calc_1!$F18)*ABS(Calc_1!AS99)&gt;Tolerance)</f>
        <v>0</v>
      </c>
      <c r="AT20" s="50" t="n">
        <f aca="false">N((Calc_1!AT$4&gt;=Calc_1!$F18)*ABS(Calc_1!AT99)&gt;Tolerance)</f>
        <v>0</v>
      </c>
      <c r="AU20" s="50" t="n">
        <f aca="false">N((Calc_1!AU$4&gt;=Calc_1!$F18)*ABS(Calc_1!AU99)&gt;Tolerance)</f>
        <v>0</v>
      </c>
      <c r="AV20" s="50" t="n">
        <f aca="false">N((Calc_1!AV$4&gt;=Calc_1!$F18)*ABS(Calc_1!AV99)&gt;Tolerance)</f>
        <v>0</v>
      </c>
      <c r="AW20" s="50" t="n">
        <f aca="false">N((Calc_1!AW$4&gt;=Calc_1!$F18)*ABS(Calc_1!AW99)&gt;Tolerance)</f>
        <v>0</v>
      </c>
      <c r="AX20" s="50" t="n">
        <f aca="false">N((Calc_1!AX$4&gt;=Calc_1!$F18)*ABS(Calc_1!AX99)&gt;Tolerance)</f>
        <v>0</v>
      </c>
      <c r="AY20" s="50" t="n">
        <f aca="false">N((Calc_1!AY$4&gt;=Calc_1!$F18)*ABS(Calc_1!AY99)&gt;Tolerance)</f>
        <v>0</v>
      </c>
      <c r="AZ20" s="50" t="n">
        <f aca="false">N((Calc_1!AZ$4&gt;=Calc_1!$F18)*ABS(Calc_1!AZ99)&gt;Tolerance)</f>
        <v>0</v>
      </c>
      <c r="BA20" s="50" t="n">
        <f aca="false">N((Calc_1!BA$4&gt;=Calc_1!$F18)*ABS(Calc_1!BA99)&gt;Tolerance)</f>
        <v>0</v>
      </c>
      <c r="BB20" s="50" t="n">
        <f aca="false">N((Calc_1!BB$4&gt;=Calc_1!$F18)*ABS(Calc_1!BB99)&gt;Tolerance)</f>
        <v>0</v>
      </c>
      <c r="BC20" s="50" t="n">
        <f aca="false">N((Calc_1!BC$4&gt;=Calc_1!$F18)*ABS(Calc_1!BC99)&gt;Tolerance)</f>
        <v>0</v>
      </c>
      <c r="BD20" s="50" t="n">
        <f aca="false">N((Calc_1!BD$4&gt;=Calc_1!$F18)*ABS(Calc_1!BD99)&gt;Tolerance)</f>
        <v>0</v>
      </c>
      <c r="BE20" s="50" t="n">
        <f aca="false">N((Calc_1!BE$4&gt;=Calc_1!$F18)*ABS(Calc_1!BE99)&gt;Tolerance)</f>
        <v>0</v>
      </c>
      <c r="BF20" s="50" t="n">
        <f aca="false">N((Calc_1!BF$4&gt;=Calc_1!$F18)*ABS(Calc_1!BF99)&gt;Tolerance)</f>
        <v>0</v>
      </c>
      <c r="BG20" s="50" t="n">
        <f aca="false">N((Calc_1!BG$4&gt;=Calc_1!$F18)*ABS(Calc_1!BG99)&gt;Tolerance)</f>
        <v>0</v>
      </c>
      <c r="BH20" s="50" t="n">
        <f aca="false">N((Calc_1!BH$4&gt;=Calc_1!$F18)*ABS(Calc_1!BH99)&gt;Tolerance)</f>
        <v>0</v>
      </c>
      <c r="BI20" s="50" t="n">
        <f aca="false">N((Calc_1!BI$4&gt;=Calc_1!$F18)*ABS(Calc_1!BI99)&gt;Tolerance)</f>
        <v>0</v>
      </c>
      <c r="BJ20" s="50" t="n">
        <f aca="false">N((Calc_1!BJ$4&gt;=Calc_1!$F18)*ABS(Calc_1!BJ99)&gt;Tolerance)</f>
        <v>0</v>
      </c>
      <c r="BK20" s="50" t="n">
        <f aca="false">N((Calc_1!BK$4&gt;=Calc_1!$F18)*ABS(Calc_1!BK99)&gt;Tolerance)</f>
        <v>0</v>
      </c>
      <c r="BL20" s="50" t="n">
        <f aca="false">N((Calc_1!BL$4&gt;=Calc_1!$F18)*ABS(Calc_1!BL99)&gt;Tolerance)</f>
        <v>0</v>
      </c>
      <c r="BM20" s="50" t="n">
        <f aca="false">N((Calc_1!BM$4&gt;=Calc_1!$F18)*ABS(Calc_1!BM99)&gt;Tolerance)</f>
        <v>0</v>
      </c>
      <c r="BN20" s="50" t="n">
        <f aca="false">N((Calc_1!BN$4&gt;=Calc_1!$F18)*ABS(Calc_1!BN99)&gt;Tolerance)</f>
        <v>0</v>
      </c>
      <c r="BO20" s="50" t="n">
        <f aca="false">N((Calc_1!BO$4&gt;=Calc_1!$F18)*ABS(Calc_1!BO99)&gt;Tolerance)</f>
        <v>0</v>
      </c>
      <c r="BP20" s="50" t="n">
        <f aca="false">N((Calc_1!BP$4&gt;=Calc_1!$F18)*ABS(Calc_1!BP99)&gt;Tolerance)</f>
        <v>0</v>
      </c>
      <c r="BQ20" s="50" t="n">
        <f aca="false">N((Calc_1!BQ$4&gt;=Calc_1!$F18)*ABS(Calc_1!BQ99)&gt;Tolerance)</f>
        <v>0</v>
      </c>
      <c r="BR20" s="50" t="n">
        <f aca="false">N((Calc_1!BR$4&gt;=Calc_1!$F18)*ABS(Calc_1!BR99)&gt;Tolerance)</f>
        <v>0</v>
      </c>
      <c r="BS20" s="50" t="n">
        <f aca="false">N((Calc_1!BS$4&gt;=Calc_1!$F18)*ABS(Calc_1!BS99)&gt;Tolerance)</f>
        <v>0</v>
      </c>
      <c r="BT20" s="50" t="n">
        <f aca="false">N((Calc_1!BT$4&gt;=Calc_1!$F18)*ABS(Calc_1!BT99)&gt;Tolerance)</f>
        <v>0</v>
      </c>
      <c r="BU20" s="50" t="n">
        <f aca="false">N((Calc_1!BU$4&gt;=Calc_1!$F18)*ABS(Calc_1!BU99)&gt;Tolerance)</f>
        <v>0</v>
      </c>
      <c r="BV20" s="50" t="n">
        <f aca="false">N((Calc_1!BV$4&gt;=Calc_1!$F18)*ABS(Calc_1!BV99)&gt;Tolerance)</f>
        <v>0</v>
      </c>
      <c r="BW20" s="50" t="n">
        <f aca="false">N((Calc_1!BW$4&gt;=Calc_1!$F18)*ABS(Calc_1!BW99)&gt;Tolerance)</f>
        <v>0</v>
      </c>
      <c r="BX20" s="50" t="n">
        <f aca="false">N((Calc_1!BX$4&gt;=Calc_1!$F18)*ABS(Calc_1!BX99)&gt;Tolerance)</f>
        <v>0</v>
      </c>
      <c r="BY20" s="50" t="n">
        <f aca="false">N((Calc_1!BY$4&gt;=Calc_1!$F18)*ABS(Calc_1!BY99)&gt;Tolerance)</f>
        <v>0</v>
      </c>
      <c r="BZ20" s="50" t="n">
        <f aca="false">N((Calc_1!BZ$4&gt;=Calc_1!$F18)*ABS(Calc_1!BZ99)&gt;Tolerance)</f>
        <v>0</v>
      </c>
      <c r="CA20" s="50" t="n">
        <f aca="false">N((Calc_1!CA$4&gt;=Calc_1!$F18)*ABS(Calc_1!CA99)&gt;Tolerance)</f>
        <v>0</v>
      </c>
      <c r="CB20" s="50" t="n">
        <f aca="false">N((Calc_1!CB$4&gt;=Calc_1!$F18)*ABS(Calc_1!CB99)&gt;Tolerance)</f>
        <v>0</v>
      </c>
      <c r="CC20" s="50" t="n">
        <f aca="false">N((Calc_1!CC$4&gt;=Calc_1!$F18)*ABS(Calc_1!CC99)&gt;Tolerance)</f>
        <v>0</v>
      </c>
      <c r="CD20" s="50" t="n">
        <f aca="false">N((Calc_1!CD$4&gt;=Calc_1!$F18)*ABS(Calc_1!CD99)&gt;Tolerance)</f>
        <v>0</v>
      </c>
      <c r="CE20" s="50" t="n">
        <f aca="false">N((Calc_1!CE$4&gt;=Calc_1!$F18)*ABS(Calc_1!CE99)&gt;Tolerance)</f>
        <v>0</v>
      </c>
      <c r="CF20" s="50" t="n">
        <f aca="false">N((Calc_1!CF$4&gt;=Calc_1!$F18)*ABS(Calc_1!CF99)&gt;Tolerance)</f>
        <v>0</v>
      </c>
      <c r="CG20" s="50" t="n">
        <f aca="false">N((Calc_1!CG$4&gt;=Calc_1!$F18)*ABS(Calc_1!CG99)&gt;Tolerance)</f>
        <v>0</v>
      </c>
      <c r="CH20" s="50" t="n">
        <f aca="false">N((Calc_1!CH$4&gt;=Calc_1!$F18)*ABS(Calc_1!CH99)&gt;Tolerance)</f>
        <v>0</v>
      </c>
      <c r="CI20" s="50" t="n">
        <f aca="false">N((Calc_1!CI$4&gt;=Calc_1!$F18)*ABS(Calc_1!CI99)&gt;Tolerance)</f>
        <v>0</v>
      </c>
      <c r="CJ20" s="50" t="n">
        <f aca="false">N((Calc_1!CJ$4&gt;=Calc_1!$F18)*ABS(Calc_1!CJ99)&gt;Tolerance)</f>
        <v>0</v>
      </c>
      <c r="CK20" s="50" t="n">
        <f aca="false">N((Calc_1!CK$4&gt;=Calc_1!$F18)*ABS(Calc_1!CK99)&gt;Tolerance)</f>
        <v>0</v>
      </c>
      <c r="CL20" s="50" t="n">
        <f aca="false">N((Calc_1!CL$4&gt;=Calc_1!$F18)*ABS(Calc_1!CL99)&gt;Tolerance)</f>
        <v>0</v>
      </c>
      <c r="CM20" s="50" t="n">
        <f aca="false">N((Calc_1!CM$4&gt;=Calc_1!$F18)*ABS(Calc_1!CM99)&gt;Tolerance)</f>
        <v>0</v>
      </c>
      <c r="CN20" s="50" t="n">
        <f aca="false">N((Calc_1!CN$4&gt;=Calc_1!$F18)*ABS(Calc_1!CN99)&gt;Tolerance)</f>
        <v>0</v>
      </c>
      <c r="CO20" s="50" t="n">
        <f aca="false">N((Calc_1!CO$4&gt;=Calc_1!$F18)*ABS(Calc_1!CO99)&gt;Tolerance)</f>
        <v>0</v>
      </c>
      <c r="CP20" s="50" t="n">
        <f aca="false">N((Calc_1!CP$4&gt;=Calc_1!$F18)*ABS(Calc_1!CP99)&gt;Tolerance)</f>
        <v>0</v>
      </c>
      <c r="CQ20" s="50" t="n">
        <f aca="false">N((Calc_1!CQ$4&gt;=Calc_1!$F18)*ABS(Calc_1!CQ99)&gt;Tolerance)</f>
        <v>0</v>
      </c>
      <c r="CR20" s="50" t="n">
        <f aca="false">N((Calc_1!CR$4&gt;=Calc_1!$F18)*ABS(Calc_1!CR99)&gt;Tolerance)</f>
        <v>0</v>
      </c>
      <c r="CS20" s="50" t="n">
        <f aca="false">N((Calc_1!CS$4&gt;=Calc_1!$F18)*ABS(Calc_1!CS99)&gt;Tolerance)</f>
        <v>0</v>
      </c>
      <c r="CT20" s="50" t="n">
        <f aca="false">N((Calc_1!CT$4&gt;=Calc_1!$F18)*ABS(Calc_1!CT99)&gt;Tolerance)</f>
        <v>0</v>
      </c>
      <c r="CU20" s="50" t="n">
        <f aca="false">N((Calc_1!CU$4&gt;=Calc_1!$F18)*ABS(Calc_1!CU99)&gt;Tolerance)</f>
        <v>0</v>
      </c>
      <c r="CV20" s="50" t="n">
        <f aca="false">N((Calc_1!CV$4&gt;=Calc_1!$F18)*ABS(Calc_1!CV99)&gt;Tolerance)</f>
        <v>0</v>
      </c>
      <c r="CW20" s="50" t="n">
        <f aca="false">N((Calc_1!CW$4&gt;=Calc_1!$F18)*ABS(Calc_1!CW99)&gt;Tolerance)</f>
        <v>0</v>
      </c>
      <c r="CX20" s="50" t="n">
        <f aca="false">N((Calc_1!CX$4&gt;=Calc_1!$F18)*ABS(Calc_1!CX99)&gt;Tolerance)</f>
        <v>0</v>
      </c>
      <c r="CY20" s="50" t="n">
        <f aca="false">N((Calc_1!CY$4&gt;=Calc_1!$F18)*ABS(Calc_1!CY99)&gt;Tolerance)</f>
        <v>0</v>
      </c>
      <c r="CZ20" s="50" t="n">
        <f aca="false">N((Calc_1!CZ$4&gt;=Calc_1!$F18)*ABS(Calc_1!CZ99)&gt;Tolerance)</f>
        <v>0</v>
      </c>
      <c r="DA20" s="50" t="n">
        <f aca="false">N((Calc_1!DA$4&gt;=Calc_1!$F18)*ABS(Calc_1!DA99)&gt;Tolerance)</f>
        <v>0</v>
      </c>
      <c r="DB20" s="50" t="n">
        <f aca="false">N((Calc_1!DB$4&gt;=Calc_1!$F18)*ABS(Calc_1!DB99)&gt;Tolerance)</f>
        <v>0</v>
      </c>
      <c r="DC20" s="50" t="n">
        <f aca="false">N((Calc_1!DC$4&gt;=Calc_1!$F18)*ABS(Calc_1!DC99)&gt;Tolerance)</f>
        <v>0</v>
      </c>
      <c r="DD20" s="50" t="n">
        <f aca="false">N((Calc_1!DD$4&gt;=Calc_1!$F18)*ABS(Calc_1!DD99)&gt;Tolerance)</f>
        <v>0</v>
      </c>
      <c r="DE20" s="50" t="n">
        <f aca="false">N((Calc_1!DE$4&gt;=Calc_1!$F18)*ABS(Calc_1!DE99)&gt;Tolerance)</f>
        <v>0</v>
      </c>
      <c r="DF20" s="50" t="n">
        <f aca="false">N((Calc_1!DF$4&gt;=Calc_1!$F18)*ABS(Calc_1!DF99)&gt;Tolerance)</f>
        <v>0</v>
      </c>
      <c r="DG20" s="50" t="n">
        <f aca="false">N((Calc_1!DG$4&gt;=Calc_1!$F18)*ABS(Calc_1!DG99)&gt;Tolerance)</f>
        <v>0</v>
      </c>
      <c r="DH20" s="50" t="n">
        <f aca="false">N((Calc_1!DH$4&gt;=Calc_1!$F18)*ABS(Calc_1!DH99)&gt;Tolerance)</f>
        <v>0</v>
      </c>
      <c r="DI20" s="50" t="n">
        <f aca="false">N((Calc_1!DI$4&gt;=Calc_1!$F18)*ABS(Calc_1!DI99)&gt;Tolerance)</f>
        <v>0</v>
      </c>
      <c r="DJ20" s="50" t="n">
        <f aca="false">N((Calc_1!DJ$4&gt;=Calc_1!$F18)*ABS(Calc_1!DJ99)&gt;Tolerance)</f>
        <v>0</v>
      </c>
      <c r="DK20" s="50" t="n">
        <f aca="false">N((Calc_1!DK$4&gt;=Calc_1!$F18)*ABS(Calc_1!DK99)&gt;Tolerance)</f>
        <v>0</v>
      </c>
      <c r="DL20" s="50" t="n">
        <f aca="false">N((Calc_1!DL$4&gt;=Calc_1!$F18)*ABS(Calc_1!DL99)&gt;Tolerance)</f>
        <v>0</v>
      </c>
      <c r="DM20" s="50" t="n">
        <f aca="false">N((Calc_1!DM$4&gt;=Calc_1!$F18)*ABS(Calc_1!DM99)&gt;Tolerance)</f>
        <v>0</v>
      </c>
      <c r="DN20" s="50" t="n">
        <f aca="false">N((Calc_1!DN$4&gt;=Calc_1!$F18)*ABS(Calc_1!DN99)&gt;Tolerance)</f>
        <v>0</v>
      </c>
      <c r="DO20" s="50" t="n">
        <f aca="false">N((Calc_1!DO$4&gt;=Calc_1!$F18)*ABS(Calc_1!DO99)&gt;Tolerance)</f>
        <v>0</v>
      </c>
      <c r="DP20" s="50" t="n">
        <f aca="false">N((Calc_1!DP$4&gt;=Calc_1!$F18)*ABS(Calc_1!DP99)&gt;Tolerance)</f>
        <v>0</v>
      </c>
      <c r="DQ20" s="50" t="n">
        <f aca="false">N((Calc_1!DQ$4&gt;=Calc_1!$F18)*ABS(Calc_1!DQ99)&gt;Tolerance)</f>
        <v>0</v>
      </c>
      <c r="DR20" s="50" t="n">
        <f aca="false">N((Calc_1!DR$4&gt;=Calc_1!$F18)*ABS(Calc_1!DR99)&gt;Tolerance)</f>
        <v>0</v>
      </c>
      <c r="DS20" s="50" t="n">
        <f aca="false">N((Calc_1!DS$4&gt;=Calc_1!$F18)*ABS(Calc_1!DS99)&gt;Tolerance)</f>
        <v>0</v>
      </c>
      <c r="DT20" s="50" t="n">
        <f aca="false">N((Calc_1!DT$4&gt;=Calc_1!$F18)*ABS(Calc_1!DT99)&gt;Tolerance)</f>
        <v>0</v>
      </c>
      <c r="DU20" s="50" t="n">
        <f aca="false">N((Calc_1!DU$4&gt;=Calc_1!$F18)*ABS(Calc_1!DU99)&gt;Tolerance)</f>
        <v>0</v>
      </c>
      <c r="DV20" s="50" t="n">
        <f aca="false">N((Calc_1!DV$4&gt;=Calc_1!$F18)*ABS(Calc_1!DV99)&gt;Tolerance)</f>
        <v>0</v>
      </c>
      <c r="DW20" s="50" t="n">
        <f aca="false">N((Calc_1!DW$4&gt;=Calc_1!$F18)*ABS(Calc_1!DW99)&gt;Tolerance)</f>
        <v>0</v>
      </c>
      <c r="DX20" s="50" t="n">
        <f aca="false">N((Calc_1!DX$4&gt;=Calc_1!$F18)*ABS(Calc_1!DX99)&gt;Tolerance)</f>
        <v>0</v>
      </c>
      <c r="DY20" s="50" t="n">
        <f aca="false">N((Calc_1!DY$4&gt;=Calc_1!$F18)*ABS(Calc_1!DY99)&gt;Tolerance)</f>
        <v>0</v>
      </c>
      <c r="DZ20" s="50" t="n">
        <f aca="false">N((Calc_1!DZ$4&gt;=Calc_1!$F18)*ABS(Calc_1!DZ99)&gt;Tolerance)</f>
        <v>0</v>
      </c>
      <c r="EA20" s="50" t="n">
        <f aca="false">N((Calc_1!EA$4&gt;=Calc_1!$F18)*ABS(Calc_1!EA99)&gt;Tolerance)</f>
        <v>0</v>
      </c>
      <c r="EB20" s="50" t="n">
        <f aca="false">N((Calc_1!EB$4&gt;=Calc_1!$F18)*ABS(Calc_1!EB99)&gt;Tolerance)</f>
        <v>0</v>
      </c>
      <c r="EC20" s="50" t="n">
        <f aca="false">N((Calc_1!EC$4&gt;=Calc_1!$F18)*ABS(Calc_1!EC99)&gt;Tolerance)</f>
        <v>0</v>
      </c>
      <c r="ED20" s="50" t="n">
        <f aca="false">N((Calc_1!ED$4&gt;=Calc_1!$F18)*ABS(Calc_1!ED99)&gt;Tolerance)</f>
        <v>0</v>
      </c>
      <c r="EE20" s="50" t="n">
        <f aca="false">N((Calc_1!EE$4&gt;=Calc_1!$F18)*ABS(Calc_1!EE99)&gt;Tolerance)</f>
        <v>0</v>
      </c>
      <c r="EF20" s="50" t="n">
        <f aca="false">N((Calc_1!EF$4&gt;=Calc_1!$F18)*ABS(Calc_1!EF99)&gt;Tolerance)</f>
        <v>0</v>
      </c>
      <c r="EG20" s="50" t="n">
        <f aca="false">N((Calc_1!EG$4&gt;=Calc_1!$F18)*ABS(Calc_1!EG99)&gt;Tolerance)</f>
        <v>0</v>
      </c>
      <c r="EH20" s="50" t="n">
        <f aca="false">N((Calc_1!EH$4&gt;=Calc_1!$F18)*ABS(Calc_1!EH99)&gt;Tolerance)</f>
        <v>0</v>
      </c>
      <c r="EI20" s="50" t="n">
        <f aca="false">N((Calc_1!EI$4&gt;=Calc_1!$F18)*ABS(Calc_1!EI99)&gt;Tolerance)</f>
        <v>0</v>
      </c>
      <c r="EJ20" s="50" t="n">
        <f aca="false">N((Calc_1!EJ$4&gt;=Calc_1!$F18)*ABS(Calc_1!EJ99)&gt;Tolerance)</f>
        <v>0</v>
      </c>
      <c r="EK20" s="50" t="n">
        <f aca="false">N((Calc_1!EK$4&gt;=Calc_1!$F18)*ABS(Calc_1!EK99)&gt;Tolerance)</f>
        <v>0</v>
      </c>
      <c r="EL20" s="50" t="n">
        <f aca="false">N((Calc_1!EL$4&gt;=Calc_1!$F18)*ABS(Calc_1!EL99)&gt;Tolerance)</f>
        <v>0</v>
      </c>
      <c r="EM20" s="50" t="n">
        <f aca="false">N((Calc_1!EM$4&gt;=Calc_1!$F18)*ABS(Calc_1!EM99)&gt;Tolerance)</f>
        <v>0</v>
      </c>
      <c r="EN20" s="50" t="n">
        <f aca="false">N((Calc_1!EN$4&gt;=Calc_1!$F18)*ABS(Calc_1!EN99)&gt;Tolerance)</f>
        <v>0</v>
      </c>
      <c r="EO20" s="50" t="n">
        <f aca="false">N((Calc_1!EO$4&gt;=Calc_1!$F18)*ABS(Calc_1!EO99)&gt;Tolerance)</f>
        <v>0</v>
      </c>
    </row>
    <row r="21" customFormat="false" ht="15" hidden="false" customHeight="false" outlineLevel="0" collapsed="false">
      <c r="C21" s="0" t="s">
        <v>517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N((Calc_2!J$4&gt;=Calc_2!$F18)*ABS(Calc_2!J99)&gt;Tolerance)</f>
        <v>0</v>
      </c>
      <c r="K21" s="50" t="n">
        <f aca="false">N((Calc_2!K$4&gt;=Calc_2!$F18)*ABS(Calc_2!K99)&gt;Tolerance)</f>
        <v>0</v>
      </c>
      <c r="L21" s="50" t="n">
        <f aca="false">N((Calc_2!L$4&gt;=Calc_2!$F18)*ABS(Calc_2!L99)&gt;Tolerance)</f>
        <v>0</v>
      </c>
      <c r="M21" s="50" t="n">
        <f aca="false">N((Calc_2!M$4&gt;=Calc_2!$F18)*ABS(Calc_2!M99)&gt;Tolerance)</f>
        <v>0</v>
      </c>
      <c r="N21" s="50" t="n">
        <f aca="false">N((Calc_2!N$4&gt;=Calc_2!$F18)*ABS(Calc_2!N99)&gt;Tolerance)</f>
        <v>0</v>
      </c>
      <c r="O21" s="50" t="n">
        <f aca="false">N((Calc_2!O$4&gt;=Calc_2!$F18)*ABS(Calc_2!O99)&gt;Tolerance)</f>
        <v>0</v>
      </c>
      <c r="P21" s="50" t="n">
        <f aca="false">N((Calc_2!P$4&gt;=Calc_2!$F18)*ABS(Calc_2!P99)&gt;Tolerance)</f>
        <v>0</v>
      </c>
      <c r="Q21" s="50" t="n">
        <f aca="false">N((Calc_2!Q$4&gt;=Calc_2!$F18)*ABS(Calc_2!Q99)&gt;Tolerance)</f>
        <v>0</v>
      </c>
      <c r="R21" s="50" t="n">
        <f aca="false">N((Calc_2!R$4&gt;=Calc_2!$F18)*ABS(Calc_2!R99)&gt;Tolerance)</f>
        <v>0</v>
      </c>
      <c r="S21" s="50" t="n">
        <f aca="false">N((Calc_2!S$4&gt;=Calc_2!$F18)*ABS(Calc_2!S99)&gt;Tolerance)</f>
        <v>0</v>
      </c>
      <c r="T21" s="50" t="n">
        <f aca="false">N((Calc_2!T$4&gt;=Calc_2!$F18)*ABS(Calc_2!T99)&gt;Tolerance)</f>
        <v>0</v>
      </c>
      <c r="U21" s="50" t="n">
        <f aca="false">N((Calc_2!U$4&gt;=Calc_2!$F18)*ABS(Calc_2!U99)&gt;Tolerance)</f>
        <v>0</v>
      </c>
      <c r="V21" s="50" t="n">
        <f aca="false">N((Calc_2!V$4&gt;=Calc_2!$F18)*ABS(Calc_2!V99)&gt;Tolerance)</f>
        <v>0</v>
      </c>
      <c r="W21" s="50" t="n">
        <f aca="false">N((Calc_2!W$4&gt;=Calc_2!$F18)*ABS(Calc_2!W99)&gt;Tolerance)</f>
        <v>0</v>
      </c>
      <c r="X21" s="50" t="n">
        <f aca="false">N((Calc_2!X$4&gt;=Calc_2!$F18)*ABS(Calc_2!X99)&gt;Tolerance)</f>
        <v>0</v>
      </c>
      <c r="Y21" s="50" t="n">
        <f aca="false">N((Calc_2!Y$4&gt;=Calc_2!$F18)*ABS(Calc_2!Y99)&gt;Tolerance)</f>
        <v>0</v>
      </c>
      <c r="Z21" s="50" t="n">
        <f aca="false">N((Calc_2!Z$4&gt;=Calc_2!$F18)*ABS(Calc_2!Z99)&gt;Tolerance)</f>
        <v>0</v>
      </c>
      <c r="AA21" s="50" t="n">
        <f aca="false">N((Calc_2!AA$4&gt;=Calc_2!$F18)*ABS(Calc_2!AA99)&gt;Tolerance)</f>
        <v>0</v>
      </c>
      <c r="AB21" s="50" t="n">
        <f aca="false">N((Calc_2!AB$4&gt;=Calc_2!$F18)*ABS(Calc_2!AB99)&gt;Tolerance)</f>
        <v>0</v>
      </c>
      <c r="AC21" s="50" t="n">
        <f aca="false">N((Calc_2!AC$4&gt;=Calc_2!$F18)*ABS(Calc_2!AC99)&gt;Tolerance)</f>
        <v>0</v>
      </c>
      <c r="AD21" s="50" t="n">
        <f aca="false">N((Calc_2!AD$4&gt;=Calc_2!$F18)*ABS(Calc_2!AD99)&gt;Tolerance)</f>
        <v>0</v>
      </c>
      <c r="AE21" s="50" t="n">
        <f aca="false">N((Calc_2!AE$4&gt;=Calc_2!$F18)*ABS(Calc_2!AE99)&gt;Tolerance)</f>
        <v>0</v>
      </c>
      <c r="AF21" s="50" t="n">
        <f aca="false">N((Calc_2!AF$4&gt;=Calc_2!$F18)*ABS(Calc_2!AF99)&gt;Tolerance)</f>
        <v>0</v>
      </c>
      <c r="AG21" s="50" t="n">
        <f aca="false">N((Calc_2!AG$4&gt;=Calc_2!$F18)*ABS(Calc_2!AG99)&gt;Tolerance)</f>
        <v>0</v>
      </c>
      <c r="AH21" s="50" t="n">
        <f aca="false">N((Calc_2!AH$4&gt;=Calc_2!$F18)*ABS(Calc_2!AH99)&gt;Tolerance)</f>
        <v>0</v>
      </c>
      <c r="AI21" s="50" t="n">
        <f aca="false">N((Calc_2!AI$4&gt;=Calc_2!$F18)*ABS(Calc_2!AI99)&gt;Tolerance)</f>
        <v>0</v>
      </c>
      <c r="AJ21" s="50" t="n">
        <f aca="false">N((Calc_2!AJ$4&gt;=Calc_2!$F18)*ABS(Calc_2!AJ99)&gt;Tolerance)</f>
        <v>0</v>
      </c>
      <c r="AK21" s="50" t="n">
        <f aca="false">N((Calc_2!AK$4&gt;=Calc_2!$F18)*ABS(Calc_2!AK99)&gt;Tolerance)</f>
        <v>0</v>
      </c>
      <c r="AL21" s="50" t="n">
        <f aca="false">N((Calc_2!AL$4&gt;=Calc_2!$F18)*ABS(Calc_2!AL99)&gt;Tolerance)</f>
        <v>0</v>
      </c>
      <c r="AM21" s="50" t="n">
        <f aca="false">N((Calc_2!AM$4&gt;=Calc_2!$F18)*ABS(Calc_2!AM99)&gt;Tolerance)</f>
        <v>0</v>
      </c>
      <c r="AN21" s="50" t="n">
        <f aca="false">N((Calc_2!AN$4&gt;=Calc_2!$F18)*ABS(Calc_2!AN99)&gt;Tolerance)</f>
        <v>0</v>
      </c>
      <c r="AO21" s="50" t="n">
        <f aca="false">N((Calc_2!AO$4&gt;=Calc_2!$F18)*ABS(Calc_2!AO99)&gt;Tolerance)</f>
        <v>0</v>
      </c>
      <c r="AP21" s="50" t="n">
        <f aca="false">N((Calc_2!AP$4&gt;=Calc_2!$F18)*ABS(Calc_2!AP99)&gt;Tolerance)</f>
        <v>0</v>
      </c>
      <c r="AQ21" s="50" t="n">
        <f aca="false">N((Calc_2!AQ$4&gt;=Calc_2!$F18)*ABS(Calc_2!AQ99)&gt;Tolerance)</f>
        <v>0</v>
      </c>
      <c r="AR21" s="50" t="n">
        <f aca="false">N((Calc_2!AR$4&gt;=Calc_2!$F18)*ABS(Calc_2!AR99)&gt;Tolerance)</f>
        <v>0</v>
      </c>
      <c r="AS21" s="50" t="n">
        <f aca="false">N((Calc_2!AS$4&gt;=Calc_2!$F18)*ABS(Calc_2!AS99)&gt;Tolerance)</f>
        <v>0</v>
      </c>
      <c r="AT21" s="50" t="n">
        <f aca="false">N((Calc_2!AT$4&gt;=Calc_2!$F18)*ABS(Calc_2!AT99)&gt;Tolerance)</f>
        <v>0</v>
      </c>
      <c r="AU21" s="50" t="n">
        <f aca="false">N((Calc_2!AU$4&gt;=Calc_2!$F18)*ABS(Calc_2!AU99)&gt;Tolerance)</f>
        <v>0</v>
      </c>
      <c r="AV21" s="50" t="n">
        <f aca="false">N((Calc_2!AV$4&gt;=Calc_2!$F18)*ABS(Calc_2!AV99)&gt;Tolerance)</f>
        <v>0</v>
      </c>
      <c r="AW21" s="50" t="n">
        <f aca="false">N((Calc_2!AW$4&gt;=Calc_2!$F18)*ABS(Calc_2!AW99)&gt;Tolerance)</f>
        <v>0</v>
      </c>
      <c r="AX21" s="50" t="n">
        <f aca="false">N((Calc_2!AX$4&gt;=Calc_2!$F18)*ABS(Calc_2!AX99)&gt;Tolerance)</f>
        <v>0</v>
      </c>
      <c r="AY21" s="50" t="n">
        <f aca="false">N((Calc_2!AY$4&gt;=Calc_2!$F18)*ABS(Calc_2!AY99)&gt;Tolerance)</f>
        <v>0</v>
      </c>
      <c r="AZ21" s="50" t="n">
        <f aca="false">N((Calc_2!AZ$4&gt;=Calc_2!$F18)*ABS(Calc_2!AZ99)&gt;Tolerance)</f>
        <v>0</v>
      </c>
      <c r="BA21" s="50" t="n">
        <f aca="false">N((Calc_2!BA$4&gt;=Calc_2!$F18)*ABS(Calc_2!BA99)&gt;Tolerance)</f>
        <v>0</v>
      </c>
      <c r="BB21" s="50" t="n">
        <f aca="false">N((Calc_2!BB$4&gt;=Calc_2!$F18)*ABS(Calc_2!BB99)&gt;Tolerance)</f>
        <v>0</v>
      </c>
      <c r="BC21" s="50" t="n">
        <f aca="false">N((Calc_2!BC$4&gt;=Calc_2!$F18)*ABS(Calc_2!BC99)&gt;Tolerance)</f>
        <v>0</v>
      </c>
      <c r="BD21" s="50" t="n">
        <f aca="false">N((Calc_2!BD$4&gt;=Calc_2!$F18)*ABS(Calc_2!BD99)&gt;Tolerance)</f>
        <v>0</v>
      </c>
      <c r="BE21" s="50" t="n">
        <f aca="false">N((Calc_2!BE$4&gt;=Calc_2!$F18)*ABS(Calc_2!BE99)&gt;Tolerance)</f>
        <v>0</v>
      </c>
      <c r="BF21" s="50" t="n">
        <f aca="false">N((Calc_2!BF$4&gt;=Calc_2!$F18)*ABS(Calc_2!BF99)&gt;Tolerance)</f>
        <v>0</v>
      </c>
      <c r="BG21" s="50" t="n">
        <f aca="false">N((Calc_2!BG$4&gt;=Calc_2!$F18)*ABS(Calc_2!BG99)&gt;Tolerance)</f>
        <v>0</v>
      </c>
      <c r="BH21" s="50" t="n">
        <f aca="false">N((Calc_2!BH$4&gt;=Calc_2!$F18)*ABS(Calc_2!BH99)&gt;Tolerance)</f>
        <v>0</v>
      </c>
      <c r="BI21" s="50" t="n">
        <f aca="false">N((Calc_2!BI$4&gt;=Calc_2!$F18)*ABS(Calc_2!BI99)&gt;Tolerance)</f>
        <v>0</v>
      </c>
      <c r="BJ21" s="50" t="n">
        <f aca="false">N((Calc_2!BJ$4&gt;=Calc_2!$F18)*ABS(Calc_2!BJ99)&gt;Tolerance)</f>
        <v>0</v>
      </c>
      <c r="BK21" s="50" t="n">
        <f aca="false">N((Calc_2!BK$4&gt;=Calc_2!$F18)*ABS(Calc_2!BK99)&gt;Tolerance)</f>
        <v>0</v>
      </c>
      <c r="BL21" s="50" t="n">
        <f aca="false">N((Calc_2!BL$4&gt;=Calc_2!$F18)*ABS(Calc_2!BL99)&gt;Tolerance)</f>
        <v>0</v>
      </c>
      <c r="BM21" s="50" t="n">
        <f aca="false">N((Calc_2!BM$4&gt;=Calc_2!$F18)*ABS(Calc_2!BM99)&gt;Tolerance)</f>
        <v>0</v>
      </c>
      <c r="BN21" s="50" t="n">
        <f aca="false">N((Calc_2!BN$4&gt;=Calc_2!$F18)*ABS(Calc_2!BN99)&gt;Tolerance)</f>
        <v>0</v>
      </c>
      <c r="BO21" s="50" t="n">
        <f aca="false">N((Calc_2!BO$4&gt;=Calc_2!$F18)*ABS(Calc_2!BO99)&gt;Tolerance)</f>
        <v>0</v>
      </c>
      <c r="BP21" s="50" t="n">
        <f aca="false">N((Calc_2!BP$4&gt;=Calc_2!$F18)*ABS(Calc_2!BP99)&gt;Tolerance)</f>
        <v>0</v>
      </c>
      <c r="BQ21" s="50" t="n">
        <f aca="false">N((Calc_2!BQ$4&gt;=Calc_2!$F18)*ABS(Calc_2!BQ99)&gt;Tolerance)</f>
        <v>0</v>
      </c>
      <c r="BR21" s="50" t="n">
        <f aca="false">N((Calc_2!BR$4&gt;=Calc_2!$F18)*ABS(Calc_2!BR99)&gt;Tolerance)</f>
        <v>0</v>
      </c>
      <c r="BS21" s="50" t="n">
        <f aca="false">N((Calc_2!BS$4&gt;=Calc_2!$F18)*ABS(Calc_2!BS99)&gt;Tolerance)</f>
        <v>0</v>
      </c>
      <c r="BT21" s="50" t="n">
        <f aca="false">N((Calc_2!BT$4&gt;=Calc_2!$F18)*ABS(Calc_2!BT99)&gt;Tolerance)</f>
        <v>0</v>
      </c>
      <c r="BU21" s="50" t="n">
        <f aca="false">N((Calc_2!BU$4&gt;=Calc_2!$F18)*ABS(Calc_2!BU99)&gt;Tolerance)</f>
        <v>0</v>
      </c>
      <c r="BV21" s="50" t="n">
        <f aca="false">N((Calc_2!BV$4&gt;=Calc_2!$F18)*ABS(Calc_2!BV99)&gt;Tolerance)</f>
        <v>0</v>
      </c>
      <c r="BW21" s="50" t="n">
        <f aca="false">N((Calc_2!BW$4&gt;=Calc_2!$F18)*ABS(Calc_2!BW99)&gt;Tolerance)</f>
        <v>0</v>
      </c>
      <c r="BX21" s="50" t="n">
        <f aca="false">N((Calc_2!BX$4&gt;=Calc_2!$F18)*ABS(Calc_2!BX99)&gt;Tolerance)</f>
        <v>0</v>
      </c>
      <c r="BY21" s="50" t="n">
        <f aca="false">N((Calc_2!BY$4&gt;=Calc_2!$F18)*ABS(Calc_2!BY99)&gt;Tolerance)</f>
        <v>0</v>
      </c>
      <c r="BZ21" s="50" t="n">
        <f aca="false">N((Calc_2!BZ$4&gt;=Calc_2!$F18)*ABS(Calc_2!BZ99)&gt;Tolerance)</f>
        <v>0</v>
      </c>
      <c r="CA21" s="50" t="n">
        <f aca="false">N((Calc_2!CA$4&gt;=Calc_2!$F18)*ABS(Calc_2!CA99)&gt;Tolerance)</f>
        <v>0</v>
      </c>
      <c r="CB21" s="50" t="n">
        <f aca="false">N((Calc_2!CB$4&gt;=Calc_2!$F18)*ABS(Calc_2!CB99)&gt;Tolerance)</f>
        <v>0</v>
      </c>
      <c r="CC21" s="50" t="n">
        <f aca="false">N((Calc_2!CC$4&gt;=Calc_2!$F18)*ABS(Calc_2!CC99)&gt;Tolerance)</f>
        <v>0</v>
      </c>
      <c r="CD21" s="50" t="n">
        <f aca="false">N((Calc_2!CD$4&gt;=Calc_2!$F18)*ABS(Calc_2!CD99)&gt;Tolerance)</f>
        <v>0</v>
      </c>
      <c r="CE21" s="50" t="n">
        <f aca="false">N((Calc_2!CE$4&gt;=Calc_2!$F18)*ABS(Calc_2!CE99)&gt;Tolerance)</f>
        <v>0</v>
      </c>
      <c r="CF21" s="50" t="n">
        <f aca="false">N((Calc_2!CF$4&gt;=Calc_2!$F18)*ABS(Calc_2!CF99)&gt;Tolerance)</f>
        <v>0</v>
      </c>
      <c r="CG21" s="50" t="n">
        <f aca="false">N((Calc_2!CG$4&gt;=Calc_2!$F18)*ABS(Calc_2!CG99)&gt;Tolerance)</f>
        <v>0</v>
      </c>
      <c r="CH21" s="50" t="n">
        <f aca="false">N((Calc_2!CH$4&gt;=Calc_2!$F18)*ABS(Calc_2!CH99)&gt;Tolerance)</f>
        <v>0</v>
      </c>
      <c r="CI21" s="50" t="n">
        <f aca="false">N((Calc_2!CI$4&gt;=Calc_2!$F18)*ABS(Calc_2!CI99)&gt;Tolerance)</f>
        <v>0</v>
      </c>
      <c r="CJ21" s="50" t="n">
        <f aca="false">N((Calc_2!CJ$4&gt;=Calc_2!$F18)*ABS(Calc_2!CJ99)&gt;Tolerance)</f>
        <v>0</v>
      </c>
      <c r="CK21" s="50" t="n">
        <f aca="false">N((Calc_2!CK$4&gt;=Calc_2!$F18)*ABS(Calc_2!CK99)&gt;Tolerance)</f>
        <v>0</v>
      </c>
      <c r="CL21" s="50" t="n">
        <f aca="false">N((Calc_2!CL$4&gt;=Calc_2!$F18)*ABS(Calc_2!CL99)&gt;Tolerance)</f>
        <v>0</v>
      </c>
      <c r="CM21" s="50" t="n">
        <f aca="false">N((Calc_2!CM$4&gt;=Calc_2!$F18)*ABS(Calc_2!CM99)&gt;Tolerance)</f>
        <v>0</v>
      </c>
      <c r="CN21" s="50" t="n">
        <f aca="false">N((Calc_2!CN$4&gt;=Calc_2!$F18)*ABS(Calc_2!CN99)&gt;Tolerance)</f>
        <v>0</v>
      </c>
      <c r="CO21" s="50" t="n">
        <f aca="false">N((Calc_2!CO$4&gt;=Calc_2!$F18)*ABS(Calc_2!CO99)&gt;Tolerance)</f>
        <v>0</v>
      </c>
      <c r="CP21" s="50" t="n">
        <f aca="false">N((Calc_2!CP$4&gt;=Calc_2!$F18)*ABS(Calc_2!CP99)&gt;Tolerance)</f>
        <v>0</v>
      </c>
      <c r="CQ21" s="50" t="n">
        <f aca="false">N((Calc_2!CQ$4&gt;=Calc_2!$F18)*ABS(Calc_2!CQ99)&gt;Tolerance)</f>
        <v>0</v>
      </c>
      <c r="CR21" s="50" t="n">
        <f aca="false">N((Calc_2!CR$4&gt;=Calc_2!$F18)*ABS(Calc_2!CR99)&gt;Tolerance)</f>
        <v>0</v>
      </c>
      <c r="CS21" s="50" t="n">
        <f aca="false">N((Calc_2!CS$4&gt;=Calc_2!$F18)*ABS(Calc_2!CS99)&gt;Tolerance)</f>
        <v>0</v>
      </c>
      <c r="CT21" s="50" t="n">
        <f aca="false">N((Calc_2!CT$4&gt;=Calc_2!$F18)*ABS(Calc_2!CT99)&gt;Tolerance)</f>
        <v>0</v>
      </c>
      <c r="CU21" s="50" t="n">
        <f aca="false">N((Calc_2!CU$4&gt;=Calc_2!$F18)*ABS(Calc_2!CU99)&gt;Tolerance)</f>
        <v>0</v>
      </c>
      <c r="CV21" s="50" t="n">
        <f aca="false">N((Calc_2!CV$4&gt;=Calc_2!$F18)*ABS(Calc_2!CV99)&gt;Tolerance)</f>
        <v>0</v>
      </c>
      <c r="CW21" s="50" t="n">
        <f aca="false">N((Calc_2!CW$4&gt;=Calc_2!$F18)*ABS(Calc_2!CW99)&gt;Tolerance)</f>
        <v>0</v>
      </c>
      <c r="CX21" s="50" t="n">
        <f aca="false">N((Calc_2!CX$4&gt;=Calc_2!$F18)*ABS(Calc_2!CX99)&gt;Tolerance)</f>
        <v>0</v>
      </c>
      <c r="CY21" s="50" t="n">
        <f aca="false">N((Calc_2!CY$4&gt;=Calc_2!$F18)*ABS(Calc_2!CY99)&gt;Tolerance)</f>
        <v>0</v>
      </c>
      <c r="CZ21" s="50" t="n">
        <f aca="false">N((Calc_2!CZ$4&gt;=Calc_2!$F18)*ABS(Calc_2!CZ99)&gt;Tolerance)</f>
        <v>0</v>
      </c>
      <c r="DA21" s="50" t="n">
        <f aca="false">N((Calc_2!DA$4&gt;=Calc_2!$F18)*ABS(Calc_2!DA99)&gt;Tolerance)</f>
        <v>0</v>
      </c>
      <c r="DB21" s="50" t="n">
        <f aca="false">N((Calc_2!DB$4&gt;=Calc_2!$F18)*ABS(Calc_2!DB99)&gt;Tolerance)</f>
        <v>0</v>
      </c>
      <c r="DC21" s="50" t="n">
        <f aca="false">N((Calc_2!DC$4&gt;=Calc_2!$F18)*ABS(Calc_2!DC99)&gt;Tolerance)</f>
        <v>0</v>
      </c>
      <c r="DD21" s="50" t="n">
        <f aca="false">N((Calc_2!DD$4&gt;=Calc_2!$F18)*ABS(Calc_2!DD99)&gt;Tolerance)</f>
        <v>0</v>
      </c>
      <c r="DE21" s="50" t="n">
        <f aca="false">N((Calc_2!DE$4&gt;=Calc_2!$F18)*ABS(Calc_2!DE99)&gt;Tolerance)</f>
        <v>0</v>
      </c>
      <c r="DF21" s="50" t="n">
        <f aca="false">N((Calc_2!DF$4&gt;=Calc_2!$F18)*ABS(Calc_2!DF99)&gt;Tolerance)</f>
        <v>0</v>
      </c>
      <c r="DG21" s="50" t="n">
        <f aca="false">N((Calc_2!DG$4&gt;=Calc_2!$F18)*ABS(Calc_2!DG99)&gt;Tolerance)</f>
        <v>0</v>
      </c>
      <c r="DH21" s="50" t="n">
        <f aca="false">N((Calc_2!DH$4&gt;=Calc_2!$F18)*ABS(Calc_2!DH99)&gt;Tolerance)</f>
        <v>0</v>
      </c>
      <c r="DI21" s="50" t="n">
        <f aca="false">N((Calc_2!DI$4&gt;=Calc_2!$F18)*ABS(Calc_2!DI99)&gt;Tolerance)</f>
        <v>0</v>
      </c>
      <c r="DJ21" s="50" t="n">
        <f aca="false">N((Calc_2!DJ$4&gt;=Calc_2!$F18)*ABS(Calc_2!DJ99)&gt;Tolerance)</f>
        <v>0</v>
      </c>
      <c r="DK21" s="50" t="n">
        <f aca="false">N((Calc_2!DK$4&gt;=Calc_2!$F18)*ABS(Calc_2!DK99)&gt;Tolerance)</f>
        <v>0</v>
      </c>
      <c r="DL21" s="50" t="n">
        <f aca="false">N((Calc_2!DL$4&gt;=Calc_2!$F18)*ABS(Calc_2!DL99)&gt;Tolerance)</f>
        <v>0</v>
      </c>
      <c r="DM21" s="50" t="n">
        <f aca="false">N((Calc_2!DM$4&gt;=Calc_2!$F18)*ABS(Calc_2!DM99)&gt;Tolerance)</f>
        <v>0</v>
      </c>
      <c r="DN21" s="50" t="n">
        <f aca="false">N((Calc_2!DN$4&gt;=Calc_2!$F18)*ABS(Calc_2!DN99)&gt;Tolerance)</f>
        <v>0</v>
      </c>
      <c r="DO21" s="50" t="n">
        <f aca="false">N((Calc_2!DO$4&gt;=Calc_2!$F18)*ABS(Calc_2!DO99)&gt;Tolerance)</f>
        <v>0</v>
      </c>
      <c r="DP21" s="50" t="n">
        <f aca="false">N((Calc_2!DP$4&gt;=Calc_2!$F18)*ABS(Calc_2!DP99)&gt;Tolerance)</f>
        <v>0</v>
      </c>
      <c r="DQ21" s="50" t="n">
        <f aca="false">N((Calc_2!DQ$4&gt;=Calc_2!$F18)*ABS(Calc_2!DQ99)&gt;Tolerance)</f>
        <v>0</v>
      </c>
      <c r="DR21" s="50" t="n">
        <f aca="false">N((Calc_2!DR$4&gt;=Calc_2!$F18)*ABS(Calc_2!DR99)&gt;Tolerance)</f>
        <v>0</v>
      </c>
      <c r="DS21" s="50" t="n">
        <f aca="false">N((Calc_2!DS$4&gt;=Calc_2!$F18)*ABS(Calc_2!DS99)&gt;Tolerance)</f>
        <v>0</v>
      </c>
      <c r="DT21" s="50" t="n">
        <f aca="false">N((Calc_2!DT$4&gt;=Calc_2!$F18)*ABS(Calc_2!DT99)&gt;Tolerance)</f>
        <v>0</v>
      </c>
      <c r="DU21" s="50" t="n">
        <f aca="false">N((Calc_2!DU$4&gt;=Calc_2!$F18)*ABS(Calc_2!DU99)&gt;Tolerance)</f>
        <v>0</v>
      </c>
      <c r="DV21" s="50" t="n">
        <f aca="false">N((Calc_2!DV$4&gt;=Calc_2!$F18)*ABS(Calc_2!DV99)&gt;Tolerance)</f>
        <v>0</v>
      </c>
      <c r="DW21" s="50" t="n">
        <f aca="false">N((Calc_2!DW$4&gt;=Calc_2!$F18)*ABS(Calc_2!DW99)&gt;Tolerance)</f>
        <v>0</v>
      </c>
      <c r="DX21" s="50" t="n">
        <f aca="false">N((Calc_2!DX$4&gt;=Calc_2!$F18)*ABS(Calc_2!DX99)&gt;Tolerance)</f>
        <v>0</v>
      </c>
      <c r="DY21" s="50" t="n">
        <f aca="false">N((Calc_2!DY$4&gt;=Calc_2!$F18)*ABS(Calc_2!DY99)&gt;Tolerance)</f>
        <v>0</v>
      </c>
      <c r="DZ21" s="50" t="n">
        <f aca="false">N((Calc_2!DZ$4&gt;=Calc_2!$F18)*ABS(Calc_2!DZ99)&gt;Tolerance)</f>
        <v>0</v>
      </c>
      <c r="EA21" s="50" t="n">
        <f aca="false">N((Calc_2!EA$4&gt;=Calc_2!$F18)*ABS(Calc_2!EA99)&gt;Tolerance)</f>
        <v>0</v>
      </c>
      <c r="EB21" s="50" t="n">
        <f aca="false">N((Calc_2!EB$4&gt;=Calc_2!$F18)*ABS(Calc_2!EB99)&gt;Tolerance)</f>
        <v>0</v>
      </c>
      <c r="EC21" s="50" t="n">
        <f aca="false">N((Calc_2!EC$4&gt;=Calc_2!$F18)*ABS(Calc_2!EC99)&gt;Tolerance)</f>
        <v>0</v>
      </c>
      <c r="ED21" s="50" t="n">
        <f aca="false">N((Calc_2!ED$4&gt;=Calc_2!$F18)*ABS(Calc_2!ED99)&gt;Tolerance)</f>
        <v>0</v>
      </c>
      <c r="EE21" s="50" t="n">
        <f aca="false">N((Calc_2!EE$4&gt;=Calc_2!$F18)*ABS(Calc_2!EE99)&gt;Tolerance)</f>
        <v>0</v>
      </c>
      <c r="EF21" s="50" t="n">
        <f aca="false">N((Calc_2!EF$4&gt;=Calc_2!$F18)*ABS(Calc_2!EF99)&gt;Tolerance)</f>
        <v>0</v>
      </c>
      <c r="EG21" s="50" t="n">
        <f aca="false">N((Calc_2!EG$4&gt;=Calc_2!$F18)*ABS(Calc_2!EG99)&gt;Tolerance)</f>
        <v>0</v>
      </c>
      <c r="EH21" s="50" t="n">
        <f aca="false">N((Calc_2!EH$4&gt;=Calc_2!$F18)*ABS(Calc_2!EH99)&gt;Tolerance)</f>
        <v>0</v>
      </c>
      <c r="EI21" s="50" t="n">
        <f aca="false">N((Calc_2!EI$4&gt;=Calc_2!$F18)*ABS(Calc_2!EI99)&gt;Tolerance)</f>
        <v>0</v>
      </c>
      <c r="EJ21" s="50" t="n">
        <f aca="false">N((Calc_2!EJ$4&gt;=Calc_2!$F18)*ABS(Calc_2!EJ99)&gt;Tolerance)</f>
        <v>0</v>
      </c>
      <c r="EK21" s="50" t="n">
        <f aca="false">N((Calc_2!EK$4&gt;=Calc_2!$F18)*ABS(Calc_2!EK99)&gt;Tolerance)</f>
        <v>0</v>
      </c>
      <c r="EL21" s="50" t="n">
        <f aca="false">N((Calc_2!EL$4&gt;=Calc_2!$F18)*ABS(Calc_2!EL99)&gt;Tolerance)</f>
        <v>0</v>
      </c>
      <c r="EM21" s="50" t="n">
        <f aca="false">N((Calc_2!EM$4&gt;=Calc_2!$F18)*ABS(Calc_2!EM99)&gt;Tolerance)</f>
        <v>0</v>
      </c>
      <c r="EN21" s="50" t="n">
        <f aca="false">N((Calc_2!EN$4&gt;=Calc_2!$F18)*ABS(Calc_2!EN99)&gt;Tolerance)</f>
        <v>0</v>
      </c>
      <c r="EO21" s="50" t="n">
        <f aca="false">N((Calc_2!EO$4&gt;=Calc_2!$F18)*ABS(Calc_2!EO99)&gt;Tolerance)</f>
        <v>0</v>
      </c>
    </row>
    <row r="22" customFormat="false" ht="15" hidden="false" customHeight="false" outlineLevel="0" collapsed="false">
      <c r="C22" s="0" t="s">
        <v>518</v>
      </c>
      <c r="D22" s="11" t="s">
        <v>43</v>
      </c>
      <c r="E22" s="27" t="str">
        <f aca="false">IF(F22=0,"OK","CHECK")</f>
        <v>OK</v>
      </c>
      <c r="F22" s="50" t="n">
        <f aca="false">N(Calc_1!$E103&lt;In_DSCR-Tolerance)</f>
        <v>0</v>
      </c>
    </row>
    <row r="23" customFormat="false" ht="15" hidden="false" customHeight="false" outlineLevel="0" collapsed="false">
      <c r="C23" s="0" t="s">
        <v>519</v>
      </c>
      <c r="D23" s="11" t="s">
        <v>43</v>
      </c>
      <c r="E23" s="27" t="str">
        <f aca="false">IF(F23=0,"OK","CHECK")</f>
        <v>OK</v>
      </c>
      <c r="F23" s="50" t="n">
        <f aca="false">N(Calc_2!$E103&lt;In_DSCR-Tolerance)</f>
        <v>0</v>
      </c>
    </row>
    <row r="24" customFormat="false" ht="15" hidden="false" customHeight="false" outlineLevel="0" collapsed="false">
      <c r="C24" s="0" t="s">
        <v>520</v>
      </c>
      <c r="D24" s="11" t="s">
        <v>43</v>
      </c>
      <c r="E24" s="27" t="str">
        <f aca="false">IF(F24=0,"OK","CHECK")</f>
        <v>OK</v>
      </c>
      <c r="F24" s="50" t="n">
        <f aca="false">N(ABS(Calc_1!$E124+Calc_1!$I131-Calc_1!$E99)&gt;Tolerance)</f>
        <v>0</v>
      </c>
    </row>
    <row r="25" customFormat="false" ht="15" hidden="false" customHeight="false" outlineLevel="0" collapsed="false">
      <c r="C25" s="0" t="s">
        <v>521</v>
      </c>
      <c r="D25" s="11" t="s">
        <v>43</v>
      </c>
      <c r="E25" s="27" t="str">
        <f aca="false">IF(F25=0,"OK","CHECK")</f>
        <v>OK</v>
      </c>
      <c r="F25" s="50" t="n">
        <f aca="false">N(ABS(Calc_2!$E124+Calc_2!$I131-Calc_2!$E99)&gt;Tolerance)</f>
        <v>0</v>
      </c>
    </row>
    <row r="26" customFormat="false" ht="15" hidden="false" customHeight="false" outlineLevel="0" collapsed="false">
      <c r="C26" s="0" t="s">
        <v>522</v>
      </c>
      <c r="D26" s="11" t="s">
        <v>43</v>
      </c>
      <c r="E26" s="27" t="str">
        <f aca="false">IF(F26=0,"OK","CHECK")</f>
        <v>OK</v>
      </c>
      <c r="F26" s="50" t="n">
        <f aca="false">N(ISERROR(Calc_1!$E136))+N(ISERROR(Calc_1!$E149))+N(ISERROR(Calc_1!$E147))+N(ISERROR(Calc_1!$E143))</f>
        <v>0</v>
      </c>
    </row>
    <row r="27" customFormat="false" ht="15" hidden="false" customHeight="false" outlineLevel="0" collapsed="false">
      <c r="C27" s="0" t="s">
        <v>523</v>
      </c>
      <c r="D27" s="11" t="s">
        <v>43</v>
      </c>
      <c r="E27" s="27" t="str">
        <f aca="false">IF(F27=0,"OK","CHECK")</f>
        <v>OK</v>
      </c>
      <c r="F27" s="50" t="n">
        <f aca="false">N(ISERROR(Calc_2!$E136))+N(ISERROR(Calc_2!$E149))+N(ISERROR(Calc_2!$E147))+N(ISERROR(Calc_2!$E143))</f>
        <v>0</v>
      </c>
    </row>
    <row r="28" customFormat="false" ht="15" hidden="false" customHeight="false" outlineLevel="0" collapsed="false">
      <c r="C28" s="0" t="s">
        <v>524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525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178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2026-10-15T08:52:26Z</dcterms:created>
  <dc:creator>openpyxl</dc:creator>
  <dc:description/>
  <dc:language>en-US</dc:language>
  <cp:lastModifiedBy/>
  <dcterms:modified xsi:type="dcterms:W3CDTF">2026-10-15T08:52:33Z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